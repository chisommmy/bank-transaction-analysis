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106d998a92fe0a/Desktop/DATA ANALYSIS/"/>
    </mc:Choice>
  </mc:AlternateContent>
  <xr:revisionPtr revIDLastSave="4" documentId="8_{7661D0A6-050D-43D8-8D23-CE4C7CE06A4E}" xr6:coauthVersionLast="47" xr6:coauthVersionMax="47" xr10:uidLastSave="{DC44704E-ECAB-4323-9D09-5CA4D00623BD}"/>
  <bookViews>
    <workbookView xWindow="-110" yWindow="-110" windowWidth="19420" windowHeight="10300" activeTab="1" xr2:uid="{BB738446-6525-4FD3-9B9A-78BC2DC21317}"/>
  </bookViews>
  <sheets>
    <sheet name="bank_transactions_data_2" sheetId="1" r:id="rId1"/>
    <sheet name="Table 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4" l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" i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/>
  <c r="U46" i="1" a="1"/>
  <c r="U46" i="1" s="1"/>
  <c r="U47" i="1" a="1"/>
  <c r="U47" i="1" s="1"/>
  <c r="U48" i="1" a="1"/>
  <c r="U48" i="1" s="1"/>
  <c r="U49" i="1" a="1"/>
  <c r="U49" i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 s="1"/>
  <c r="U105" i="1" a="1"/>
  <c r="U105" i="1" s="1"/>
  <c r="U106" i="1" a="1"/>
  <c r="U106" i="1" s="1"/>
  <c r="U107" i="1" a="1"/>
  <c r="U107" i="1" s="1"/>
  <c r="U108" i="1" a="1"/>
  <c r="U108" i="1" s="1"/>
  <c r="U109" i="1" a="1"/>
  <c r="U109" i="1" s="1"/>
  <c r="U110" i="1" a="1"/>
  <c r="U110" i="1" s="1"/>
  <c r="U111" i="1" a="1"/>
  <c r="U111" i="1" s="1"/>
  <c r="U112" i="1" a="1"/>
  <c r="U112" i="1" s="1"/>
  <c r="U113" i="1" a="1"/>
  <c r="U113" i="1" s="1"/>
  <c r="U114" i="1" a="1"/>
  <c r="U114" i="1" s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 s="1"/>
  <c r="U129" i="1" a="1"/>
  <c r="U129" i="1"/>
  <c r="U130" i="1" a="1"/>
  <c r="U130" i="1" s="1"/>
  <c r="U131" i="1" a="1"/>
  <c r="U131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37" i="1" a="1"/>
  <c r="U137" i="1" s="1"/>
  <c r="U138" i="1" a="1"/>
  <c r="U138" i="1" s="1"/>
  <c r="U139" i="1" a="1"/>
  <c r="U139" i="1" s="1"/>
  <c r="U140" i="1" a="1"/>
  <c r="U140" i="1" s="1"/>
  <c r="U141" i="1" a="1"/>
  <c r="U141" i="1" s="1"/>
  <c r="U142" i="1" a="1"/>
  <c r="U142" i="1" s="1"/>
  <c r="U143" i="1" a="1"/>
  <c r="U143" i="1" s="1"/>
  <c r="U144" i="1" a="1"/>
  <c r="U144" i="1" s="1"/>
  <c r="U145" i="1" a="1"/>
  <c r="U145" i="1"/>
  <c r="U146" i="1" a="1"/>
  <c r="U146" i="1" s="1"/>
  <c r="U147" i="1" a="1"/>
  <c r="U147" i="1" s="1"/>
  <c r="U148" i="1" a="1"/>
  <c r="U148" i="1" s="1"/>
  <c r="U149" i="1" a="1"/>
  <c r="U149" i="1"/>
  <c r="U150" i="1" a="1"/>
  <c r="U150" i="1" s="1"/>
  <c r="U151" i="1" a="1"/>
  <c r="U151" i="1" s="1"/>
  <c r="U152" i="1" a="1"/>
  <c r="U152" i="1" s="1"/>
  <c r="U153" i="1" a="1"/>
  <c r="U153" i="1" s="1"/>
  <c r="U154" i="1" a="1"/>
  <c r="U154" i="1" s="1"/>
  <c r="U155" i="1" a="1"/>
  <c r="U155" i="1" s="1"/>
  <c r="U156" i="1" a="1"/>
  <c r="U156" i="1" s="1"/>
  <c r="U157" i="1" a="1"/>
  <c r="U157" i="1"/>
  <c r="U158" i="1" a="1"/>
  <c r="U158" i="1" s="1"/>
  <c r="U159" i="1" a="1"/>
  <c r="U159" i="1" s="1"/>
  <c r="U160" i="1" a="1"/>
  <c r="U160" i="1" s="1"/>
  <c r="U161" i="1" a="1"/>
  <c r="U161" i="1"/>
  <c r="U162" i="1" a="1"/>
  <c r="U162" i="1" s="1"/>
  <c r="U163" i="1" a="1"/>
  <c r="U163" i="1" s="1"/>
  <c r="U164" i="1" a="1"/>
  <c r="U164" i="1" s="1"/>
  <c r="U165" i="1" a="1"/>
  <c r="U165" i="1" s="1"/>
  <c r="U166" i="1" a="1"/>
  <c r="U166" i="1" s="1"/>
  <c r="U167" i="1" a="1"/>
  <c r="U167" i="1" s="1"/>
  <c r="U168" i="1" a="1"/>
  <c r="U168" i="1" s="1"/>
  <c r="U169" i="1" a="1"/>
  <c r="U169" i="1" s="1"/>
  <c r="U170" i="1" a="1"/>
  <c r="U170" i="1" s="1"/>
  <c r="U171" i="1" a="1"/>
  <c r="U17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 s="1"/>
  <c r="U177" i="1" a="1"/>
  <c r="U177" i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/>
  <c r="U186" i="1" a="1"/>
  <c r="U186" i="1" s="1"/>
  <c r="U187" i="1" a="1"/>
  <c r="U187" i="1" s="1"/>
  <c r="U188" i="1" a="1"/>
  <c r="U188" i="1" s="1"/>
  <c r="U189" i="1" a="1"/>
  <c r="U189" i="1"/>
  <c r="U190" i="1" a="1"/>
  <c r="U190" i="1" s="1"/>
  <c r="U191" i="1" a="1"/>
  <c r="U191" i="1" s="1"/>
  <c r="U192" i="1" a="1"/>
  <c r="U192" i="1" s="1"/>
  <c r="U193" i="1" a="1"/>
  <c r="U193" i="1"/>
  <c r="U194" i="1" a="1"/>
  <c r="U194" i="1" s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5" i="1" a="1"/>
  <c r="U205" i="1" s="1"/>
  <c r="U206" i="1" a="1"/>
  <c r="U206" i="1" s="1"/>
  <c r="U207" i="1" a="1"/>
  <c r="U207" i="1" s="1"/>
  <c r="U208" i="1" a="1"/>
  <c r="U208" i="1" s="1"/>
  <c r="U209" i="1" a="1"/>
  <c r="U209" i="1" s="1"/>
  <c r="U210" i="1" a="1"/>
  <c r="U210" i="1" s="1"/>
  <c r="U211" i="1" a="1"/>
  <c r="U211" i="1" s="1"/>
  <c r="U212" i="1" a="1"/>
  <c r="U212" i="1" s="1"/>
  <c r="U213" i="1" a="1"/>
  <c r="U213" i="1"/>
  <c r="U214" i="1" a="1"/>
  <c r="U214" i="1" s="1"/>
  <c r="U215" i="1" a="1"/>
  <c r="U215" i="1" s="1"/>
  <c r="U216" i="1" a="1"/>
  <c r="U216" i="1" s="1"/>
  <c r="U217" i="1" a="1"/>
  <c r="U217" i="1"/>
  <c r="U218" i="1" a="1"/>
  <c r="U218" i="1" s="1"/>
  <c r="U219" i="1" a="1"/>
  <c r="U219" i="1" s="1"/>
  <c r="U220" i="1" a="1"/>
  <c r="U220" i="1" s="1"/>
  <c r="U221" i="1" a="1"/>
  <c r="U221" i="1" s="1"/>
  <c r="U222" i="1" a="1"/>
  <c r="U222" i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/>
  <c r="U230" i="1" a="1"/>
  <c r="U230" i="1" s="1"/>
  <c r="U231" i="1" a="1"/>
  <c r="U231" i="1" s="1"/>
  <c r="U232" i="1" a="1"/>
  <c r="U232" i="1" s="1"/>
  <c r="U233" i="1" a="1"/>
  <c r="U233" i="1"/>
  <c r="U234" i="1" a="1"/>
  <c r="U234" i="1"/>
  <c r="U235" i="1" a="1"/>
  <c r="U235" i="1" s="1"/>
  <c r="U236" i="1" a="1"/>
  <c r="U236" i="1" s="1"/>
  <c r="U237" i="1" a="1"/>
  <c r="U237" i="1" s="1"/>
  <c r="U238" i="1" a="1"/>
  <c r="U238" i="1"/>
  <c r="U239" i="1" a="1"/>
  <c r="U239" i="1" s="1"/>
  <c r="U240" i="1" a="1"/>
  <c r="U240" i="1" s="1"/>
  <c r="U241" i="1" a="1"/>
  <c r="U241" i="1" s="1"/>
  <c r="U242" i="1" a="1"/>
  <c r="U242" i="1" s="1"/>
  <c r="U243" i="1" a="1"/>
  <c r="U243" i="1" s="1"/>
  <c r="U244" i="1" a="1"/>
  <c r="U244" i="1" s="1"/>
  <c r="U245" i="1" a="1"/>
  <c r="U245" i="1" s="1"/>
  <c r="U246" i="1" a="1"/>
  <c r="U246" i="1" s="1"/>
  <c r="U247" i="1" a="1"/>
  <c r="U247" i="1" s="1"/>
  <c r="U248" i="1" a="1"/>
  <c r="U248" i="1" s="1"/>
  <c r="U249" i="1" a="1"/>
  <c r="U249" i="1"/>
  <c r="U250" i="1" a="1"/>
  <c r="U250" i="1" s="1"/>
  <c r="U251" i="1" a="1"/>
  <c r="U251" i="1" s="1"/>
  <c r="U252" i="1" a="1"/>
  <c r="U252" i="1" s="1"/>
  <c r="U253" i="1" a="1"/>
  <c r="U253" i="1" s="1"/>
  <c r="U254" i="1" a="1"/>
  <c r="U254" i="1" s="1"/>
  <c r="U255" i="1" a="1"/>
  <c r="U255" i="1" s="1"/>
  <c r="U256" i="1" a="1"/>
  <c r="U256" i="1" s="1"/>
  <c r="U257" i="1" a="1"/>
  <c r="U257" i="1" s="1"/>
  <c r="U258" i="1" a="1"/>
  <c r="U25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8" i="1" a="1"/>
  <c r="U268" i="1" s="1"/>
  <c r="U269" i="1" a="1"/>
  <c r="U269" i="1" s="1"/>
  <c r="U270" i="1" a="1"/>
  <c r="U270" i="1" s="1"/>
  <c r="U271" i="1" a="1"/>
  <c r="U271" i="1" s="1"/>
  <c r="U272" i="1" a="1"/>
  <c r="U272" i="1" s="1"/>
  <c r="U273" i="1" a="1"/>
  <c r="U273" i="1" s="1"/>
  <c r="U274" i="1" a="1"/>
  <c r="U274" i="1" s="1"/>
  <c r="U275" i="1" a="1"/>
  <c r="U275" i="1" s="1"/>
  <c r="U276" i="1" a="1"/>
  <c r="U276" i="1" s="1"/>
  <c r="U277" i="1" a="1"/>
  <c r="U277" i="1" s="1"/>
  <c r="U278" i="1" a="1"/>
  <c r="U278" i="1" s="1"/>
  <c r="U279" i="1" a="1"/>
  <c r="U279" i="1" s="1"/>
  <c r="U280" i="1" a="1"/>
  <c r="U280" i="1" s="1"/>
  <c r="U281" i="1" a="1"/>
  <c r="U281" i="1" s="1"/>
  <c r="U282" i="1" a="1"/>
  <c r="U282" i="1" s="1"/>
  <c r="U283" i="1" a="1"/>
  <c r="U283" i="1" s="1"/>
  <c r="U284" i="1" a="1"/>
  <c r="U284" i="1" s="1"/>
  <c r="U285" i="1" a="1"/>
  <c r="U285" i="1" s="1"/>
  <c r="U286" i="1" a="1"/>
  <c r="U286" i="1" s="1"/>
  <c r="U287" i="1" a="1"/>
  <c r="U287" i="1" s="1"/>
  <c r="U288" i="1" a="1"/>
  <c r="U288" i="1" s="1"/>
  <c r="U289" i="1" a="1"/>
  <c r="U289" i="1" s="1"/>
  <c r="U290" i="1" a="1"/>
  <c r="U290" i="1" s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/>
  <c r="U298" i="1" a="1"/>
  <c r="U298" i="1" s="1"/>
  <c r="U299" i="1" a="1"/>
  <c r="U299" i="1" s="1"/>
  <c r="U300" i="1" a="1"/>
  <c r="U300" i="1" s="1"/>
  <c r="U301" i="1" a="1"/>
  <c r="U301" i="1" s="1"/>
  <c r="U302" i="1" a="1"/>
  <c r="U302" i="1" s="1"/>
  <c r="U303" i="1" a="1"/>
  <c r="U303" i="1" s="1"/>
  <c r="U304" i="1" a="1"/>
  <c r="U304" i="1" s="1"/>
  <c r="U305" i="1" a="1"/>
  <c r="U305" i="1" s="1"/>
  <c r="U306" i="1" a="1"/>
  <c r="U306" i="1" s="1"/>
  <c r="U307" i="1" a="1"/>
  <c r="U307" i="1" s="1"/>
  <c r="U308" i="1" a="1"/>
  <c r="U308" i="1" s="1"/>
  <c r="U309" i="1" a="1"/>
  <c r="U309" i="1" s="1"/>
  <c r="U310" i="1" a="1"/>
  <c r="U310" i="1" s="1"/>
  <c r="U311" i="1" a="1"/>
  <c r="U311" i="1" s="1"/>
  <c r="U312" i="1" a="1"/>
  <c r="U312" i="1" s="1"/>
  <c r="U313" i="1" a="1"/>
  <c r="U313" i="1" s="1"/>
  <c r="U314" i="1" a="1"/>
  <c r="U314" i="1"/>
  <c r="U315" i="1" a="1"/>
  <c r="U315" i="1" s="1"/>
  <c r="U316" i="1" a="1"/>
  <c r="U316" i="1" s="1"/>
  <c r="U317" i="1" a="1"/>
  <c r="U317" i="1" s="1"/>
  <c r="U318" i="1" a="1"/>
  <c r="U318" i="1" s="1"/>
  <c r="U319" i="1" a="1"/>
  <c r="U319" i="1" s="1"/>
  <c r="U320" i="1" a="1"/>
  <c r="U320" i="1" s="1"/>
  <c r="U321" i="1" a="1"/>
  <c r="U321" i="1" s="1"/>
  <c r="U322" i="1" a="1"/>
  <c r="U322" i="1" s="1"/>
  <c r="U323" i="1" a="1"/>
  <c r="U323" i="1" s="1"/>
  <c r="U324" i="1" a="1"/>
  <c r="U324" i="1" s="1"/>
  <c r="U325" i="1" a="1"/>
  <c r="U325" i="1" s="1"/>
  <c r="U326" i="1" a="1"/>
  <c r="U326" i="1" s="1"/>
  <c r="U327" i="1" a="1"/>
  <c r="U327" i="1" s="1"/>
  <c r="U328" i="1" a="1"/>
  <c r="U328" i="1" s="1"/>
  <c r="U329" i="1" a="1"/>
  <c r="U329" i="1"/>
  <c r="U330" i="1" a="1"/>
  <c r="U330" i="1" s="1"/>
  <c r="U331" i="1" a="1"/>
  <c r="U331" i="1" s="1"/>
  <c r="U332" i="1" a="1"/>
  <c r="U332" i="1" s="1"/>
  <c r="U333" i="1" a="1"/>
  <c r="U333" i="1" s="1"/>
  <c r="U334" i="1" a="1"/>
  <c r="U334" i="1"/>
  <c r="U335" i="1" a="1"/>
  <c r="U335" i="1" s="1"/>
  <c r="U336" i="1" a="1"/>
  <c r="U336" i="1" s="1"/>
  <c r="U337" i="1" a="1"/>
  <c r="U337" i="1" s="1"/>
  <c r="U338" i="1" a="1"/>
  <c r="U338" i="1" s="1"/>
  <c r="U339" i="1" a="1"/>
  <c r="U339" i="1" s="1"/>
  <c r="U340" i="1" a="1"/>
  <c r="U340" i="1" s="1"/>
  <c r="U341" i="1" a="1"/>
  <c r="U341" i="1" s="1"/>
  <c r="U342" i="1" a="1"/>
  <c r="U342" i="1" s="1"/>
  <c r="U343" i="1" a="1"/>
  <c r="U343" i="1" s="1"/>
  <c r="U344" i="1" a="1"/>
  <c r="U344" i="1"/>
  <c r="U345" i="1" a="1"/>
  <c r="U345" i="1"/>
  <c r="U346" i="1" a="1"/>
  <c r="U346" i="1" s="1"/>
  <c r="U347" i="1" a="1"/>
  <c r="U347" i="1" s="1"/>
  <c r="U348" i="1" a="1"/>
  <c r="U348" i="1" s="1"/>
  <c r="U349" i="1" a="1"/>
  <c r="U349" i="1" s="1"/>
  <c r="U350" i="1" a="1"/>
  <c r="U350" i="1" s="1"/>
  <c r="U351" i="1" a="1"/>
  <c r="U351" i="1" s="1"/>
  <c r="U352" i="1" a="1"/>
  <c r="U352" i="1" s="1"/>
  <c r="U353" i="1" a="1"/>
  <c r="U353" i="1" s="1"/>
  <c r="U354" i="1" a="1"/>
  <c r="U354" i="1" s="1"/>
  <c r="U355" i="1" a="1"/>
  <c r="U355" i="1"/>
  <c r="U356" i="1" a="1"/>
  <c r="U356" i="1" s="1"/>
  <c r="U357" i="1" a="1"/>
  <c r="U357" i="1" s="1"/>
  <c r="U358" i="1" a="1"/>
  <c r="U358" i="1" s="1"/>
  <c r="U359" i="1" a="1"/>
  <c r="U359" i="1" s="1"/>
  <c r="U360" i="1" a="1"/>
  <c r="U360" i="1"/>
  <c r="U361" i="1" a="1"/>
  <c r="U361" i="1" s="1"/>
  <c r="U362" i="1" a="1"/>
  <c r="U362" i="1" s="1"/>
  <c r="U363" i="1" a="1"/>
  <c r="U363" i="1" s="1"/>
  <c r="U364" i="1" a="1"/>
  <c r="U364" i="1" s="1"/>
  <c r="U365" i="1" a="1"/>
  <c r="U365" i="1" s="1"/>
  <c r="U366" i="1" a="1"/>
  <c r="U366" i="1" s="1"/>
  <c r="U367" i="1" a="1"/>
  <c r="U367" i="1" s="1"/>
  <c r="U368" i="1" a="1"/>
  <c r="U368" i="1" s="1"/>
  <c r="U369" i="1" a="1"/>
  <c r="U369" i="1" s="1"/>
  <c r="U370" i="1" a="1"/>
  <c r="U370" i="1" s="1"/>
  <c r="U371" i="1" a="1"/>
  <c r="U371" i="1" s="1"/>
  <c r="U372" i="1" a="1"/>
  <c r="U372" i="1" s="1"/>
  <c r="U373" i="1" a="1"/>
  <c r="U373" i="1"/>
  <c r="U374" i="1" a="1"/>
  <c r="U374" i="1" s="1"/>
  <c r="U375" i="1" a="1"/>
  <c r="U375" i="1" s="1"/>
  <c r="U376" i="1" a="1"/>
  <c r="U376" i="1"/>
  <c r="U377" i="1" a="1"/>
  <c r="U377" i="1" s="1"/>
  <c r="U378" i="1" a="1"/>
  <c r="U378" i="1" s="1"/>
  <c r="U379" i="1" a="1"/>
  <c r="U379" i="1" s="1"/>
  <c r="U380" i="1" a="1"/>
  <c r="U380" i="1" s="1"/>
  <c r="U381" i="1" a="1"/>
  <c r="U381" i="1" s="1"/>
  <c r="U382" i="1" a="1"/>
  <c r="U382" i="1" s="1"/>
  <c r="U383" i="1" a="1"/>
  <c r="U383" i="1" s="1"/>
  <c r="U384" i="1" a="1"/>
  <c r="U384" i="1" s="1"/>
  <c r="U385" i="1" a="1"/>
  <c r="U385" i="1" s="1"/>
  <c r="U386" i="1" a="1"/>
  <c r="U386" i="1" s="1"/>
  <c r="U387" i="1" a="1"/>
  <c r="U387" i="1"/>
  <c r="U388" i="1" a="1"/>
  <c r="U388" i="1" s="1"/>
  <c r="U389" i="1" a="1"/>
  <c r="U389" i="1" s="1"/>
  <c r="U390" i="1" a="1"/>
  <c r="U390" i="1" s="1"/>
  <c r="U391" i="1" a="1"/>
  <c r="U391" i="1" s="1"/>
  <c r="U392" i="1" a="1"/>
  <c r="U392" i="1" s="1"/>
  <c r="U393" i="1" a="1"/>
  <c r="U393" i="1"/>
  <c r="U394" i="1" a="1"/>
  <c r="U394" i="1" s="1"/>
  <c r="U395" i="1" a="1"/>
  <c r="U395" i="1" s="1"/>
  <c r="U396" i="1" a="1"/>
  <c r="U396" i="1" s="1"/>
  <c r="U397" i="1" a="1"/>
  <c r="U397" i="1" s="1"/>
  <c r="U398" i="1" a="1"/>
  <c r="U398" i="1" s="1"/>
  <c r="U399" i="1" a="1"/>
  <c r="U399" i="1"/>
  <c r="U400" i="1" a="1"/>
  <c r="U400" i="1" s="1"/>
  <c r="U401" i="1" a="1"/>
  <c r="U401" i="1" s="1"/>
  <c r="U402" i="1" a="1"/>
  <c r="U402" i="1" s="1"/>
  <c r="U403" i="1" a="1"/>
  <c r="U403" i="1" s="1"/>
  <c r="U404" i="1" a="1"/>
  <c r="U404" i="1" s="1"/>
  <c r="U405" i="1" a="1"/>
  <c r="U405" i="1"/>
  <c r="U406" i="1" a="1"/>
  <c r="U406" i="1" s="1"/>
  <c r="U407" i="1" a="1"/>
  <c r="U407" i="1" s="1"/>
  <c r="U408" i="1" a="1"/>
  <c r="U408" i="1" s="1"/>
  <c r="U409" i="1" a="1"/>
  <c r="U409" i="1"/>
  <c r="U410" i="1" a="1"/>
  <c r="U410" i="1" s="1"/>
  <c r="U411" i="1" a="1"/>
  <c r="U411" i="1" s="1"/>
  <c r="U412" i="1" a="1"/>
  <c r="U412" i="1" s="1"/>
  <c r="U413" i="1" a="1"/>
  <c r="U413" i="1" s="1"/>
  <c r="U414" i="1" a="1"/>
  <c r="U414" i="1" s="1"/>
  <c r="U415" i="1" a="1"/>
  <c r="U415" i="1" s="1"/>
  <c r="U416" i="1" a="1"/>
  <c r="U416" i="1"/>
  <c r="U417" i="1" a="1"/>
  <c r="U417" i="1" s="1"/>
  <c r="U418" i="1" a="1"/>
  <c r="U418" i="1" s="1"/>
  <c r="U419" i="1" a="1"/>
  <c r="U419" i="1"/>
  <c r="U420" i="1" a="1"/>
  <c r="U420" i="1" s="1"/>
  <c r="U421" i="1" a="1"/>
  <c r="U421" i="1" s="1"/>
  <c r="U422" i="1" a="1"/>
  <c r="U422" i="1" s="1"/>
  <c r="U423" i="1" a="1"/>
  <c r="U423" i="1" s="1"/>
  <c r="U424" i="1" a="1"/>
  <c r="U424" i="1" s="1"/>
  <c r="U425" i="1" a="1"/>
  <c r="U425" i="1"/>
  <c r="U426" i="1" a="1"/>
  <c r="U426" i="1" s="1"/>
  <c r="U427" i="1" a="1"/>
  <c r="U427" i="1" s="1"/>
  <c r="U428" i="1" a="1"/>
  <c r="U428" i="1"/>
  <c r="U429" i="1" a="1"/>
  <c r="U429" i="1" s="1"/>
  <c r="U430" i="1" a="1"/>
  <c r="U430" i="1" s="1"/>
  <c r="U431" i="1" a="1"/>
  <c r="U431" i="1"/>
  <c r="U432" i="1" a="1"/>
  <c r="U432" i="1"/>
  <c r="U433" i="1" a="1"/>
  <c r="U433" i="1" s="1"/>
  <c r="U434" i="1" a="1"/>
  <c r="U434" i="1" s="1"/>
  <c r="U435" i="1" a="1"/>
  <c r="U435" i="1" s="1"/>
  <c r="U436" i="1" a="1"/>
  <c r="U436" i="1" s="1"/>
  <c r="U437" i="1" a="1"/>
  <c r="U437" i="1"/>
  <c r="U438" i="1" a="1"/>
  <c r="U438" i="1" s="1"/>
  <c r="U439" i="1" a="1"/>
  <c r="U439" i="1"/>
  <c r="U440" i="1" a="1"/>
  <c r="U440" i="1" s="1"/>
  <c r="U441" i="1" a="1"/>
  <c r="U441" i="1" s="1"/>
  <c r="U442" i="1" a="1"/>
  <c r="U442" i="1" s="1"/>
  <c r="U443" i="1" a="1"/>
  <c r="U443" i="1" s="1"/>
  <c r="U444" i="1" a="1"/>
  <c r="U444" i="1" s="1"/>
  <c r="U445" i="1" a="1"/>
  <c r="U445" i="1" s="1"/>
  <c r="U446" i="1" a="1"/>
  <c r="U446" i="1" s="1"/>
  <c r="U447" i="1" a="1"/>
  <c r="U447" i="1" s="1"/>
  <c r="U448" i="1" a="1"/>
  <c r="U448" i="1" s="1"/>
  <c r="U449" i="1" a="1"/>
  <c r="U449" i="1" s="1"/>
  <c r="U450" i="1" a="1"/>
  <c r="U450" i="1" s="1"/>
  <c r="U451" i="1" a="1"/>
  <c r="U451" i="1"/>
  <c r="U452" i="1" a="1"/>
  <c r="U452" i="1" s="1"/>
  <c r="U453" i="1" a="1"/>
  <c r="U453" i="1" s="1"/>
  <c r="U454" i="1" a="1"/>
  <c r="U454" i="1" s="1"/>
  <c r="U455" i="1" a="1"/>
  <c r="U455" i="1" s="1"/>
  <c r="U456" i="1" a="1"/>
  <c r="U456" i="1" s="1"/>
  <c r="U457" i="1" a="1"/>
  <c r="U457" i="1"/>
  <c r="U458" i="1" a="1"/>
  <c r="U458" i="1" s="1"/>
  <c r="U459" i="1" a="1"/>
  <c r="U459" i="1" s="1"/>
  <c r="U460" i="1" a="1"/>
  <c r="U460" i="1"/>
  <c r="U461" i="1" a="1"/>
  <c r="U461" i="1" s="1"/>
  <c r="U462" i="1" a="1"/>
  <c r="U462" i="1" s="1"/>
  <c r="U463" i="1" a="1"/>
  <c r="U463" i="1"/>
  <c r="U464" i="1" a="1"/>
  <c r="U464" i="1"/>
  <c r="U465" i="1" a="1"/>
  <c r="U465" i="1" s="1"/>
  <c r="U466" i="1" a="1"/>
  <c r="U466" i="1" s="1"/>
  <c r="U467" i="1" a="1"/>
  <c r="U467" i="1" s="1"/>
  <c r="U468" i="1" a="1"/>
  <c r="U468" i="1" s="1"/>
  <c r="U469" i="1" a="1"/>
  <c r="U469" i="1"/>
  <c r="U470" i="1" a="1"/>
  <c r="U470" i="1" s="1"/>
  <c r="U471" i="1" a="1"/>
  <c r="U471" i="1" s="1"/>
  <c r="U472" i="1" a="1"/>
  <c r="U472" i="1" s="1"/>
  <c r="U473" i="1" a="1"/>
  <c r="U473" i="1"/>
  <c r="U474" i="1" a="1"/>
  <c r="U474" i="1" s="1"/>
  <c r="U475" i="1" a="1"/>
  <c r="U475" i="1" s="1"/>
  <c r="U476" i="1" a="1"/>
  <c r="U476" i="1" s="1"/>
  <c r="U477" i="1" a="1"/>
  <c r="U477" i="1" s="1"/>
  <c r="U478" i="1" a="1"/>
  <c r="U478" i="1" s="1"/>
  <c r="U479" i="1" a="1"/>
  <c r="U479" i="1" s="1"/>
  <c r="U480" i="1" a="1"/>
  <c r="U480" i="1" s="1"/>
  <c r="U481" i="1" a="1"/>
  <c r="U481" i="1"/>
  <c r="U482" i="1" a="1"/>
  <c r="U482" i="1" s="1"/>
  <c r="U483" i="1" a="1"/>
  <c r="U483" i="1"/>
  <c r="U484" i="1" a="1"/>
  <c r="U484" i="1" s="1"/>
  <c r="U485" i="1" a="1"/>
  <c r="U485" i="1" s="1"/>
  <c r="U486" i="1" a="1"/>
  <c r="U486" i="1" s="1"/>
  <c r="U487" i="1" a="1"/>
  <c r="U487" i="1" s="1"/>
  <c r="U488" i="1" a="1"/>
  <c r="U488" i="1" s="1"/>
  <c r="U489" i="1" a="1"/>
  <c r="U489" i="1" s="1"/>
  <c r="U490" i="1" a="1"/>
  <c r="U490" i="1" s="1"/>
  <c r="U491" i="1" a="1"/>
  <c r="U491" i="1" s="1"/>
  <c r="U492" i="1" a="1"/>
  <c r="U492" i="1" s="1"/>
  <c r="U493" i="1" a="1"/>
  <c r="U493" i="1" s="1"/>
  <c r="U494" i="1" a="1"/>
  <c r="U494" i="1" s="1"/>
  <c r="U495" i="1" a="1"/>
  <c r="U495" i="1" s="1"/>
  <c r="U496" i="1" a="1"/>
  <c r="U496" i="1" s="1"/>
  <c r="U497" i="1" a="1"/>
  <c r="U497" i="1" s="1"/>
  <c r="U498" i="1" a="1"/>
  <c r="U498" i="1" s="1"/>
  <c r="U499" i="1" a="1"/>
  <c r="U499" i="1" s="1"/>
  <c r="U500" i="1" a="1"/>
  <c r="U500" i="1" s="1"/>
  <c r="U501" i="1" a="1"/>
  <c r="U501" i="1" s="1"/>
  <c r="U502" i="1" a="1"/>
  <c r="U502" i="1" s="1"/>
  <c r="U503" i="1" a="1"/>
  <c r="U503" i="1"/>
  <c r="U504" i="1" a="1"/>
  <c r="U504" i="1" s="1"/>
  <c r="U505" i="1" a="1"/>
  <c r="U505" i="1"/>
  <c r="U506" i="1" a="1"/>
  <c r="U506" i="1" s="1"/>
  <c r="U507" i="1" a="1"/>
  <c r="U507" i="1" s="1"/>
  <c r="U508" i="1" a="1"/>
  <c r="U508" i="1" s="1"/>
  <c r="U509" i="1" a="1"/>
  <c r="U509" i="1" s="1"/>
  <c r="U510" i="1" a="1"/>
  <c r="U510" i="1" s="1"/>
  <c r="U511" i="1" a="1"/>
  <c r="U511" i="1" s="1"/>
  <c r="U512" i="1" a="1"/>
  <c r="U512" i="1"/>
  <c r="U513" i="1" a="1"/>
  <c r="U513" i="1"/>
  <c r="U514" i="1" a="1"/>
  <c r="U514" i="1" s="1"/>
  <c r="U515" i="1" a="1"/>
  <c r="U515" i="1" s="1"/>
  <c r="U516" i="1" a="1"/>
  <c r="U516" i="1" s="1"/>
  <c r="U517" i="1" a="1"/>
  <c r="U517" i="1" s="1"/>
  <c r="U518" i="1" a="1"/>
  <c r="U518" i="1" s="1"/>
  <c r="U519" i="1" a="1"/>
  <c r="U519" i="1"/>
  <c r="U520" i="1" a="1"/>
  <c r="U520" i="1" s="1"/>
  <c r="U521" i="1" a="1"/>
  <c r="U521" i="1" s="1"/>
  <c r="U522" i="1" a="1"/>
  <c r="U522" i="1" s="1"/>
  <c r="U523" i="1" a="1"/>
  <c r="U523" i="1" s="1"/>
  <c r="U524" i="1" a="1"/>
  <c r="U524" i="1" s="1"/>
  <c r="U525" i="1" a="1"/>
  <c r="U525" i="1" s="1"/>
  <c r="U526" i="1" a="1"/>
  <c r="U526" i="1" s="1"/>
  <c r="U527" i="1" a="1"/>
  <c r="U527" i="1" s="1"/>
  <c r="U528" i="1" a="1"/>
  <c r="U528" i="1" s="1"/>
  <c r="U529" i="1" a="1"/>
  <c r="U529" i="1" s="1"/>
  <c r="U530" i="1" a="1"/>
  <c r="U530" i="1" s="1"/>
  <c r="U531" i="1" a="1"/>
  <c r="U531" i="1" s="1"/>
  <c r="U532" i="1" a="1"/>
  <c r="U532" i="1" s="1"/>
  <c r="U533" i="1" a="1"/>
  <c r="U533" i="1" s="1"/>
  <c r="U534" i="1" a="1"/>
  <c r="U534" i="1" s="1"/>
  <c r="U535" i="1" a="1"/>
  <c r="U535" i="1"/>
  <c r="U536" i="1" a="1"/>
  <c r="U536" i="1"/>
  <c r="U537" i="1" a="1"/>
  <c r="U537" i="1"/>
  <c r="U538" i="1" a="1"/>
  <c r="U538" i="1" s="1"/>
  <c r="U539" i="1" a="1"/>
  <c r="U539" i="1" s="1"/>
  <c r="U540" i="1" a="1"/>
  <c r="U540" i="1" s="1"/>
  <c r="U541" i="1" a="1"/>
  <c r="U541" i="1" s="1"/>
  <c r="U542" i="1" a="1"/>
  <c r="U542" i="1" s="1"/>
  <c r="U543" i="1" a="1"/>
  <c r="U543" i="1" s="1"/>
  <c r="U544" i="1" a="1"/>
  <c r="U544" i="1"/>
  <c r="U545" i="1" a="1"/>
  <c r="U545" i="1" s="1"/>
  <c r="U546" i="1" a="1"/>
  <c r="U546" i="1" s="1"/>
  <c r="U547" i="1" a="1"/>
  <c r="U547" i="1" s="1"/>
  <c r="U548" i="1" a="1"/>
  <c r="U548" i="1" s="1"/>
  <c r="U549" i="1" a="1"/>
  <c r="U549" i="1" s="1"/>
  <c r="U550" i="1" a="1"/>
  <c r="U550" i="1" s="1"/>
  <c r="U551" i="1" a="1"/>
  <c r="U551" i="1" s="1"/>
  <c r="U552" i="1" a="1"/>
  <c r="U552" i="1" s="1"/>
  <c r="U553" i="1" a="1"/>
  <c r="U553" i="1" s="1"/>
  <c r="U554" i="1" a="1"/>
  <c r="U554" i="1" s="1"/>
  <c r="U555" i="1" a="1"/>
  <c r="U555" i="1" s="1"/>
  <c r="U556" i="1" a="1"/>
  <c r="U556" i="1" s="1"/>
  <c r="U557" i="1" a="1"/>
  <c r="U557" i="1" s="1"/>
  <c r="U558" i="1" a="1"/>
  <c r="U558" i="1" s="1"/>
  <c r="U559" i="1" a="1"/>
  <c r="U559" i="1" s="1"/>
  <c r="U560" i="1" a="1"/>
  <c r="U560" i="1"/>
  <c r="U561" i="1" a="1"/>
  <c r="U561" i="1" s="1"/>
  <c r="U562" i="1" a="1"/>
  <c r="U562" i="1" s="1"/>
  <c r="U563" i="1" a="1"/>
  <c r="U563" i="1" s="1"/>
  <c r="U564" i="1" a="1"/>
  <c r="U564" i="1" s="1"/>
  <c r="U565" i="1" a="1"/>
  <c r="U565" i="1" s="1"/>
  <c r="U566" i="1" a="1"/>
  <c r="U566" i="1" s="1"/>
  <c r="U567" i="1" a="1"/>
  <c r="U567" i="1"/>
  <c r="U568" i="1" a="1"/>
  <c r="U568" i="1" s="1"/>
  <c r="U569" i="1" a="1"/>
  <c r="U569" i="1"/>
  <c r="U570" i="1" a="1"/>
  <c r="U570" i="1" s="1"/>
  <c r="U571" i="1" a="1"/>
  <c r="U571" i="1" s="1"/>
  <c r="U572" i="1" a="1"/>
  <c r="U572" i="1" s="1"/>
  <c r="U573" i="1" a="1"/>
  <c r="U573" i="1" s="1"/>
  <c r="U574" i="1" a="1"/>
  <c r="U574" i="1" s="1"/>
  <c r="U575" i="1" a="1"/>
  <c r="U575" i="1" s="1"/>
  <c r="U576" i="1" a="1"/>
  <c r="U576" i="1" s="1"/>
  <c r="U577" i="1" a="1"/>
  <c r="U577" i="1"/>
  <c r="U578" i="1" a="1"/>
  <c r="U578" i="1" s="1"/>
  <c r="U579" i="1" a="1"/>
  <c r="U579" i="1" s="1"/>
  <c r="U580" i="1" a="1"/>
  <c r="U580" i="1" s="1"/>
  <c r="U581" i="1" a="1"/>
  <c r="U581" i="1" s="1"/>
  <c r="U582" i="1" a="1"/>
  <c r="U582" i="1" s="1"/>
  <c r="U583" i="1" a="1"/>
  <c r="U583" i="1"/>
  <c r="U584" i="1" a="1"/>
  <c r="U584" i="1" s="1"/>
  <c r="U585" i="1" a="1"/>
  <c r="U585" i="1" s="1"/>
  <c r="U586" i="1" a="1"/>
  <c r="U586" i="1" s="1"/>
  <c r="U587" i="1" a="1"/>
  <c r="U587" i="1" s="1"/>
  <c r="U588" i="1" a="1"/>
  <c r="U588" i="1"/>
  <c r="U589" i="1" a="1"/>
  <c r="U589" i="1" s="1"/>
  <c r="U590" i="1" a="1"/>
  <c r="U590" i="1" s="1"/>
  <c r="U591" i="1" a="1"/>
  <c r="U591" i="1" s="1"/>
  <c r="U592" i="1" a="1"/>
  <c r="U592" i="1" s="1"/>
  <c r="U593" i="1" a="1"/>
  <c r="U593" i="1"/>
  <c r="U594" i="1" a="1"/>
  <c r="U594" i="1" s="1"/>
  <c r="U595" i="1" a="1"/>
  <c r="U595" i="1" s="1"/>
  <c r="U596" i="1" a="1"/>
  <c r="U596" i="1" s="1"/>
  <c r="U597" i="1" a="1"/>
  <c r="U597" i="1"/>
  <c r="U598" i="1" a="1"/>
  <c r="U598" i="1" s="1"/>
  <c r="U599" i="1" a="1"/>
  <c r="U599" i="1" s="1"/>
  <c r="U600" i="1" a="1"/>
  <c r="U600" i="1" s="1"/>
  <c r="U601" i="1" a="1"/>
  <c r="U601" i="1" s="1"/>
  <c r="U602" i="1" a="1"/>
  <c r="U602" i="1" s="1"/>
  <c r="U603" i="1" a="1"/>
  <c r="U603" i="1" s="1"/>
  <c r="U604" i="1" a="1"/>
  <c r="U604" i="1" s="1"/>
  <c r="U605" i="1" a="1"/>
  <c r="U605" i="1"/>
  <c r="U606" i="1" a="1"/>
  <c r="U606" i="1" s="1"/>
  <c r="U607" i="1" a="1"/>
  <c r="U607" i="1" s="1"/>
  <c r="U608" i="1" a="1"/>
  <c r="U608" i="1" s="1"/>
  <c r="U609" i="1" a="1"/>
  <c r="U609" i="1" s="1"/>
  <c r="U610" i="1" a="1"/>
  <c r="U610" i="1" s="1"/>
  <c r="U611" i="1" a="1"/>
  <c r="U611" i="1" s="1"/>
  <c r="U612" i="1" a="1"/>
  <c r="U612" i="1" s="1"/>
  <c r="U613" i="1" a="1"/>
  <c r="U613" i="1" s="1"/>
  <c r="U614" i="1" a="1"/>
  <c r="U614" i="1" s="1"/>
  <c r="U615" i="1" a="1"/>
  <c r="U615" i="1" s="1"/>
  <c r="U616" i="1" a="1"/>
  <c r="U616" i="1" s="1"/>
  <c r="U617" i="1" a="1"/>
  <c r="U617" i="1"/>
  <c r="U618" i="1" a="1"/>
  <c r="U618" i="1" s="1"/>
  <c r="U619" i="1" a="1"/>
  <c r="U619" i="1" s="1"/>
  <c r="U620" i="1" a="1"/>
  <c r="U620" i="1" s="1"/>
  <c r="U621" i="1" a="1"/>
  <c r="U621" i="1" s="1"/>
  <c r="U622" i="1" a="1"/>
  <c r="U622" i="1" s="1"/>
  <c r="U623" i="1" a="1"/>
  <c r="U623" i="1" s="1"/>
  <c r="U624" i="1" a="1"/>
  <c r="U624" i="1" s="1"/>
  <c r="U625" i="1" a="1"/>
  <c r="U625" i="1"/>
  <c r="U626" i="1" a="1"/>
  <c r="U626" i="1" s="1"/>
  <c r="U627" i="1" a="1"/>
  <c r="U627" i="1" s="1"/>
  <c r="U628" i="1" a="1"/>
  <c r="U628" i="1" s="1"/>
  <c r="U629" i="1" a="1"/>
  <c r="U629" i="1" s="1"/>
  <c r="U630" i="1" a="1"/>
  <c r="U630" i="1" s="1"/>
  <c r="U631" i="1" a="1"/>
  <c r="U631" i="1" s="1"/>
  <c r="U632" i="1" a="1"/>
  <c r="U632" i="1" s="1"/>
  <c r="U633" i="1" a="1"/>
  <c r="U633" i="1"/>
  <c r="U634" i="1" a="1"/>
  <c r="U634" i="1" s="1"/>
  <c r="U635" i="1" a="1"/>
  <c r="U635" i="1" s="1"/>
  <c r="U636" i="1" a="1"/>
  <c r="U636" i="1" s="1"/>
  <c r="U637" i="1" a="1"/>
  <c r="U637" i="1"/>
  <c r="U638" i="1" a="1"/>
  <c r="U638" i="1" s="1"/>
  <c r="U639" i="1" a="1"/>
  <c r="U639" i="1" s="1"/>
  <c r="U640" i="1" a="1"/>
  <c r="U640" i="1" s="1"/>
  <c r="U641" i="1" a="1"/>
  <c r="U641" i="1" s="1"/>
  <c r="U642" i="1" a="1"/>
  <c r="U642" i="1" s="1"/>
  <c r="U643" i="1" a="1"/>
  <c r="U643" i="1" s="1"/>
  <c r="U644" i="1" a="1"/>
  <c r="U644" i="1" s="1"/>
  <c r="U645" i="1" a="1"/>
  <c r="U645" i="1" s="1"/>
  <c r="U646" i="1" a="1"/>
  <c r="U646" i="1" s="1"/>
  <c r="U647" i="1" a="1"/>
  <c r="U647" i="1" s="1"/>
  <c r="U648" i="1" a="1"/>
  <c r="U648" i="1" s="1"/>
  <c r="U649" i="1" a="1"/>
  <c r="U649" i="1" s="1"/>
  <c r="U650" i="1" a="1"/>
  <c r="U650" i="1" s="1"/>
  <c r="U651" i="1" a="1"/>
  <c r="U651" i="1" s="1"/>
  <c r="U652" i="1" a="1"/>
  <c r="U652" i="1" s="1"/>
  <c r="U653" i="1" a="1"/>
  <c r="U653" i="1"/>
  <c r="U654" i="1" a="1"/>
  <c r="U654" i="1" s="1"/>
  <c r="U655" i="1" a="1"/>
  <c r="U655" i="1" s="1"/>
  <c r="U656" i="1" a="1"/>
  <c r="U656" i="1" s="1"/>
  <c r="U657" i="1" a="1"/>
  <c r="U657" i="1"/>
  <c r="U658" i="1" a="1"/>
  <c r="U658" i="1" s="1"/>
  <c r="U659" i="1" a="1"/>
  <c r="U659" i="1" s="1"/>
  <c r="U660" i="1" a="1"/>
  <c r="U660" i="1" s="1"/>
  <c r="U661" i="1" a="1"/>
  <c r="U661" i="1" s="1"/>
  <c r="U662" i="1" a="1"/>
  <c r="U662" i="1" s="1"/>
  <c r="U663" i="1" a="1"/>
  <c r="U663" i="1" s="1"/>
  <c r="U664" i="1" a="1"/>
  <c r="U664" i="1" s="1"/>
  <c r="U665" i="1" a="1"/>
  <c r="U665" i="1" s="1"/>
  <c r="U666" i="1" a="1"/>
  <c r="U666" i="1" s="1"/>
  <c r="U667" i="1" a="1"/>
  <c r="U667" i="1" s="1"/>
  <c r="U668" i="1" a="1"/>
  <c r="U668" i="1" s="1"/>
  <c r="U669" i="1" a="1"/>
  <c r="U669" i="1" s="1"/>
  <c r="U670" i="1" a="1"/>
  <c r="U670" i="1" s="1"/>
  <c r="U671" i="1" a="1"/>
  <c r="U671" i="1" s="1"/>
  <c r="U672" i="1" a="1"/>
  <c r="U672" i="1" s="1"/>
  <c r="U673" i="1" a="1"/>
  <c r="U673" i="1"/>
  <c r="U674" i="1" a="1"/>
  <c r="U674" i="1" s="1"/>
  <c r="U675" i="1" a="1"/>
  <c r="U675" i="1" s="1"/>
  <c r="U676" i="1" a="1"/>
  <c r="U676" i="1" s="1"/>
  <c r="U677" i="1" a="1"/>
  <c r="U677" i="1" s="1"/>
  <c r="U678" i="1" a="1"/>
  <c r="U678" i="1" s="1"/>
  <c r="U679" i="1" a="1"/>
  <c r="U679" i="1" s="1"/>
  <c r="U680" i="1" a="1"/>
  <c r="U680" i="1" s="1"/>
  <c r="U681" i="1" a="1"/>
  <c r="U681" i="1"/>
  <c r="U682" i="1" a="1"/>
  <c r="U682" i="1" s="1"/>
  <c r="U683" i="1" a="1"/>
  <c r="U683" i="1" s="1"/>
  <c r="U684" i="1" a="1"/>
  <c r="U684" i="1" s="1"/>
  <c r="U685" i="1" a="1"/>
  <c r="U685" i="1" s="1"/>
  <c r="U686" i="1" a="1"/>
  <c r="U686" i="1" s="1"/>
  <c r="U687" i="1" a="1"/>
  <c r="U687" i="1" s="1"/>
  <c r="U688" i="1" a="1"/>
  <c r="U688" i="1" s="1"/>
  <c r="U689" i="1" a="1"/>
  <c r="U689" i="1" s="1"/>
  <c r="U690" i="1" a="1"/>
  <c r="U690" i="1" s="1"/>
  <c r="U691" i="1" a="1"/>
  <c r="U691" i="1" s="1"/>
  <c r="U692" i="1" a="1"/>
  <c r="U692" i="1" s="1"/>
  <c r="U693" i="1" a="1"/>
  <c r="U693" i="1" s="1"/>
  <c r="U694" i="1" a="1"/>
  <c r="U694" i="1" s="1"/>
  <c r="U695" i="1" a="1"/>
  <c r="U695" i="1" s="1"/>
  <c r="U696" i="1" a="1"/>
  <c r="U696" i="1" s="1"/>
  <c r="U697" i="1" a="1"/>
  <c r="U697" i="1" s="1"/>
  <c r="U698" i="1" a="1"/>
  <c r="U698" i="1" s="1"/>
  <c r="U699" i="1" a="1"/>
  <c r="U699" i="1" s="1"/>
  <c r="U700" i="1" a="1"/>
  <c r="U700" i="1" s="1"/>
  <c r="U701" i="1" a="1"/>
  <c r="U701" i="1" s="1"/>
  <c r="U702" i="1" a="1"/>
  <c r="U702" i="1" s="1"/>
  <c r="U703" i="1" a="1"/>
  <c r="U703" i="1" s="1"/>
  <c r="U704" i="1" a="1"/>
  <c r="U704" i="1" s="1"/>
  <c r="U705" i="1" a="1"/>
  <c r="U705" i="1" s="1"/>
  <c r="U706" i="1" a="1"/>
  <c r="U706" i="1" s="1"/>
  <c r="U707" i="1" a="1"/>
  <c r="U707" i="1" s="1"/>
  <c r="U708" i="1" a="1"/>
  <c r="U708" i="1" s="1"/>
  <c r="U709" i="1" a="1"/>
  <c r="U709" i="1" s="1"/>
  <c r="U710" i="1" a="1"/>
  <c r="U710" i="1" s="1"/>
  <c r="U711" i="1" a="1"/>
  <c r="U711" i="1" s="1"/>
  <c r="U712" i="1" a="1"/>
  <c r="U712" i="1" s="1"/>
  <c r="U713" i="1" a="1"/>
  <c r="U713" i="1"/>
  <c r="U714" i="1" a="1"/>
  <c r="U714" i="1" s="1"/>
  <c r="U715" i="1" a="1"/>
  <c r="U715" i="1" s="1"/>
  <c r="U716" i="1" a="1"/>
  <c r="U716" i="1" s="1"/>
  <c r="U717" i="1" a="1"/>
  <c r="U717" i="1" s="1"/>
  <c r="U718" i="1" a="1"/>
  <c r="U718" i="1" s="1"/>
  <c r="U719" i="1" a="1"/>
  <c r="U719" i="1" s="1"/>
  <c r="U720" i="1" a="1"/>
  <c r="U720" i="1" s="1"/>
  <c r="U721" i="1" a="1"/>
  <c r="U721" i="1" s="1"/>
  <c r="U722" i="1" a="1"/>
  <c r="U722" i="1" s="1"/>
  <c r="U723" i="1" a="1"/>
  <c r="U723" i="1" s="1"/>
  <c r="U724" i="1" a="1"/>
  <c r="U724" i="1" s="1"/>
  <c r="U725" i="1" a="1"/>
  <c r="U725" i="1" s="1"/>
  <c r="U726" i="1" a="1"/>
  <c r="U726" i="1" s="1"/>
  <c r="U727" i="1" a="1"/>
  <c r="U727" i="1" s="1"/>
  <c r="U728" i="1" a="1"/>
  <c r="U728" i="1" s="1"/>
  <c r="U729" i="1" a="1"/>
  <c r="U729" i="1"/>
  <c r="U730" i="1" a="1"/>
  <c r="U730" i="1" s="1"/>
  <c r="U731" i="1" a="1"/>
  <c r="U731" i="1" s="1"/>
  <c r="U732" i="1" a="1"/>
  <c r="U732" i="1" s="1"/>
  <c r="U733" i="1" a="1"/>
  <c r="U733" i="1" s="1"/>
  <c r="U734" i="1" a="1"/>
  <c r="U734" i="1" s="1"/>
  <c r="U735" i="1" a="1"/>
  <c r="U735" i="1" s="1"/>
  <c r="U736" i="1" a="1"/>
  <c r="U736" i="1" s="1"/>
  <c r="U737" i="1" a="1"/>
  <c r="U737" i="1" s="1"/>
  <c r="U738" i="1" a="1"/>
  <c r="U738" i="1" s="1"/>
  <c r="U739" i="1" a="1"/>
  <c r="U739" i="1" s="1"/>
  <c r="U740" i="1" a="1"/>
  <c r="U740" i="1" s="1"/>
  <c r="U741" i="1" a="1"/>
  <c r="U741" i="1" s="1"/>
  <c r="U742" i="1" a="1"/>
  <c r="U742" i="1" s="1"/>
  <c r="U743" i="1" a="1"/>
  <c r="U743" i="1" s="1"/>
  <c r="U744" i="1" a="1"/>
  <c r="U744" i="1" s="1"/>
  <c r="U745" i="1" a="1"/>
  <c r="U745" i="1"/>
  <c r="U746" i="1" a="1"/>
  <c r="U746" i="1" s="1"/>
  <c r="U747" i="1" a="1"/>
  <c r="U747" i="1" s="1"/>
  <c r="U748" i="1" a="1"/>
  <c r="U748" i="1" s="1"/>
  <c r="U749" i="1" a="1"/>
  <c r="U749" i="1"/>
  <c r="U750" i="1" a="1"/>
  <c r="U750" i="1" s="1"/>
  <c r="U751" i="1" a="1"/>
  <c r="U751" i="1" s="1"/>
  <c r="U752" i="1" a="1"/>
  <c r="U752" i="1" s="1"/>
  <c r="U753" i="1" a="1"/>
  <c r="U753" i="1" s="1"/>
  <c r="U754" i="1" a="1"/>
  <c r="U754" i="1" s="1"/>
  <c r="U755" i="1" a="1"/>
  <c r="U755" i="1" s="1"/>
  <c r="U756" i="1" a="1"/>
  <c r="U756" i="1" s="1"/>
  <c r="U757" i="1" a="1"/>
  <c r="U757" i="1" s="1"/>
  <c r="U758" i="1" a="1"/>
  <c r="U758" i="1" s="1"/>
  <c r="U759" i="1" a="1"/>
  <c r="U759" i="1" s="1"/>
  <c r="U760" i="1" a="1"/>
  <c r="U760" i="1" s="1"/>
  <c r="U761" i="1" a="1"/>
  <c r="U761" i="1" s="1"/>
  <c r="U762" i="1" a="1"/>
  <c r="U762" i="1" s="1"/>
  <c r="U763" i="1" a="1"/>
  <c r="U763" i="1" s="1"/>
  <c r="U764" i="1" a="1"/>
  <c r="U764" i="1" s="1"/>
  <c r="U765" i="1" a="1"/>
  <c r="U765" i="1"/>
  <c r="U766" i="1" a="1"/>
  <c r="U766" i="1" s="1"/>
  <c r="U767" i="1" a="1"/>
  <c r="U767" i="1" s="1"/>
  <c r="U768" i="1" a="1"/>
  <c r="U768" i="1" s="1"/>
  <c r="U769" i="1" a="1"/>
  <c r="U769" i="1" s="1"/>
  <c r="U770" i="1" a="1"/>
  <c r="U770" i="1" s="1"/>
  <c r="U771" i="1" a="1"/>
  <c r="U771" i="1" s="1"/>
  <c r="U772" i="1" a="1"/>
  <c r="U772" i="1" s="1"/>
  <c r="U773" i="1" a="1"/>
  <c r="U773" i="1" s="1"/>
  <c r="U774" i="1" a="1"/>
  <c r="U774" i="1" s="1"/>
  <c r="U775" i="1" a="1"/>
  <c r="U775" i="1" s="1"/>
  <c r="U776" i="1" a="1"/>
  <c r="U776" i="1" s="1"/>
  <c r="U777" i="1" a="1"/>
  <c r="U777" i="1" s="1"/>
  <c r="U778" i="1" a="1"/>
  <c r="U778" i="1" s="1"/>
  <c r="U779" i="1" a="1"/>
  <c r="U779" i="1" s="1"/>
  <c r="U780" i="1" a="1"/>
  <c r="U780" i="1" s="1"/>
  <c r="U781" i="1" a="1"/>
  <c r="U781" i="1" s="1"/>
  <c r="U782" i="1" a="1"/>
  <c r="U782" i="1" s="1"/>
  <c r="U783" i="1" a="1"/>
  <c r="U783" i="1" s="1"/>
  <c r="U784" i="1" a="1"/>
  <c r="U784" i="1" s="1"/>
  <c r="U785" i="1" a="1"/>
  <c r="U785" i="1" s="1"/>
  <c r="U786" i="1" a="1"/>
  <c r="U786" i="1" s="1"/>
  <c r="U787" i="1" a="1"/>
  <c r="U787" i="1" s="1"/>
  <c r="U788" i="1" a="1"/>
  <c r="U788" i="1" s="1"/>
  <c r="U789" i="1" a="1"/>
  <c r="U789" i="1" s="1"/>
  <c r="U790" i="1" a="1"/>
  <c r="U790" i="1" s="1"/>
  <c r="U791" i="1" a="1"/>
  <c r="U791" i="1"/>
  <c r="U792" i="1" a="1"/>
  <c r="U792" i="1" s="1"/>
  <c r="U793" i="1" a="1"/>
  <c r="U793" i="1" s="1"/>
  <c r="U794" i="1" a="1"/>
  <c r="U794" i="1" s="1"/>
  <c r="U795" i="1" a="1"/>
  <c r="U795" i="1" s="1"/>
  <c r="U796" i="1" a="1"/>
  <c r="U796" i="1" s="1"/>
  <c r="U797" i="1" a="1"/>
  <c r="U797" i="1"/>
  <c r="U798" i="1" a="1"/>
  <c r="U798" i="1" s="1"/>
  <c r="U799" i="1" a="1"/>
  <c r="U799" i="1" s="1"/>
  <c r="U800" i="1" a="1"/>
  <c r="U800" i="1" s="1"/>
  <c r="U801" i="1" a="1"/>
  <c r="U801" i="1" s="1"/>
  <c r="U802" i="1" a="1"/>
  <c r="U802" i="1" s="1"/>
  <c r="U803" i="1" a="1"/>
  <c r="U803" i="1"/>
  <c r="U804" i="1" a="1"/>
  <c r="U804" i="1" s="1"/>
  <c r="U805" i="1" a="1"/>
  <c r="U805" i="1" s="1"/>
  <c r="U806" i="1" a="1"/>
  <c r="U806" i="1" s="1"/>
  <c r="U807" i="1" a="1"/>
  <c r="U807" i="1" s="1"/>
  <c r="U808" i="1" a="1"/>
  <c r="U808" i="1" s="1"/>
  <c r="U809" i="1" a="1"/>
  <c r="U809" i="1" s="1"/>
  <c r="U810" i="1" a="1"/>
  <c r="U810" i="1" s="1"/>
  <c r="U811" i="1" a="1"/>
  <c r="U811" i="1" s="1"/>
  <c r="U812" i="1" a="1"/>
  <c r="U812" i="1" s="1"/>
  <c r="U813" i="1" a="1"/>
  <c r="U813" i="1"/>
  <c r="U814" i="1" a="1"/>
  <c r="U814" i="1" s="1"/>
  <c r="U815" i="1" a="1"/>
  <c r="U815" i="1" s="1"/>
  <c r="U816" i="1" a="1"/>
  <c r="U816" i="1" s="1"/>
  <c r="U817" i="1" a="1"/>
  <c r="U817" i="1" s="1"/>
  <c r="U818" i="1" a="1"/>
  <c r="U818" i="1" s="1"/>
  <c r="U819" i="1" a="1"/>
  <c r="U819" i="1" s="1"/>
  <c r="U820" i="1" a="1"/>
  <c r="U820" i="1" s="1"/>
  <c r="U821" i="1" a="1"/>
  <c r="U821" i="1" s="1"/>
  <c r="U822" i="1" a="1"/>
  <c r="U822" i="1" s="1"/>
  <c r="U823" i="1" a="1"/>
  <c r="U823" i="1" s="1"/>
  <c r="U824" i="1" a="1"/>
  <c r="U824" i="1" s="1"/>
  <c r="U825" i="1" a="1"/>
  <c r="U825" i="1" s="1"/>
  <c r="U826" i="1" a="1"/>
  <c r="U826" i="1" s="1"/>
  <c r="U827" i="1" a="1"/>
  <c r="U827" i="1" s="1"/>
  <c r="U828" i="1" a="1"/>
  <c r="U828" i="1" s="1"/>
  <c r="U829" i="1" a="1"/>
  <c r="U829" i="1"/>
  <c r="U830" i="1" a="1"/>
  <c r="U830" i="1" s="1"/>
  <c r="U831" i="1" a="1"/>
  <c r="U831" i="1" s="1"/>
  <c r="U832" i="1" a="1"/>
  <c r="U832" i="1" s="1"/>
  <c r="U833" i="1" a="1"/>
  <c r="U833" i="1" s="1"/>
  <c r="U834" i="1" a="1"/>
  <c r="U834" i="1" s="1"/>
  <c r="U835" i="1" a="1"/>
  <c r="U835" i="1" s="1"/>
  <c r="U836" i="1" a="1"/>
  <c r="U836" i="1" s="1"/>
  <c r="U837" i="1" a="1"/>
  <c r="U837" i="1" s="1"/>
  <c r="U838" i="1" a="1"/>
  <c r="U838" i="1"/>
  <c r="U839" i="1" a="1"/>
  <c r="U839" i="1" s="1"/>
  <c r="U840" i="1" a="1"/>
  <c r="U840" i="1"/>
  <c r="U841" i="1" a="1"/>
  <c r="U841" i="1" s="1"/>
  <c r="U842" i="1" a="1"/>
  <c r="U842" i="1" s="1"/>
  <c r="U843" i="1" a="1"/>
  <c r="U843" i="1" s="1"/>
  <c r="U844" i="1" a="1"/>
  <c r="U844" i="1" s="1"/>
  <c r="U845" i="1" a="1"/>
  <c r="U845" i="1" s="1"/>
  <c r="U846" i="1" a="1"/>
  <c r="U846" i="1" s="1"/>
  <c r="U847" i="1" a="1"/>
  <c r="U847" i="1" s="1"/>
  <c r="U848" i="1" a="1"/>
  <c r="U848" i="1" s="1"/>
  <c r="U849" i="1" a="1"/>
  <c r="U849" i="1" s="1"/>
  <c r="U850" i="1" a="1"/>
  <c r="U850" i="1" s="1"/>
  <c r="U851" i="1" a="1"/>
  <c r="U851" i="1" s="1"/>
  <c r="U852" i="1" a="1"/>
  <c r="U852" i="1" s="1"/>
  <c r="U853" i="1" a="1"/>
  <c r="U853" i="1" s="1"/>
  <c r="U854" i="1" a="1"/>
  <c r="U854" i="1" s="1"/>
  <c r="U855" i="1" a="1"/>
  <c r="U855" i="1" s="1"/>
  <c r="U856" i="1" a="1"/>
  <c r="U856" i="1"/>
  <c r="U857" i="1" a="1"/>
  <c r="U857" i="1" s="1"/>
  <c r="U858" i="1" a="1"/>
  <c r="U858" i="1" s="1"/>
  <c r="U859" i="1" a="1"/>
  <c r="U859" i="1"/>
  <c r="U860" i="1" a="1"/>
  <c r="U860" i="1" s="1"/>
  <c r="U861" i="1" a="1"/>
  <c r="U861" i="1" s="1"/>
  <c r="U862" i="1" a="1"/>
  <c r="U862" i="1" s="1"/>
  <c r="U863" i="1" a="1"/>
  <c r="U863" i="1" s="1"/>
  <c r="U864" i="1" a="1"/>
  <c r="U864" i="1"/>
  <c r="U865" i="1" a="1"/>
  <c r="U865" i="1" s="1"/>
  <c r="U866" i="1" a="1"/>
  <c r="U866" i="1" s="1"/>
  <c r="U867" i="1" a="1"/>
  <c r="U867" i="1" s="1"/>
  <c r="U868" i="1" a="1"/>
  <c r="U868" i="1" s="1"/>
  <c r="U869" i="1" a="1"/>
  <c r="U869" i="1" s="1"/>
  <c r="U870" i="1" a="1"/>
  <c r="U870" i="1" s="1"/>
  <c r="U871" i="1" a="1"/>
  <c r="U871" i="1" s="1"/>
  <c r="U872" i="1" a="1"/>
  <c r="U872" i="1"/>
  <c r="U873" i="1" a="1"/>
  <c r="U873" i="1" s="1"/>
  <c r="U874" i="1" a="1"/>
  <c r="U874" i="1" s="1"/>
  <c r="U875" i="1" a="1"/>
  <c r="U875" i="1" s="1"/>
  <c r="U876" i="1" a="1"/>
  <c r="U876" i="1" s="1"/>
  <c r="U877" i="1" a="1"/>
  <c r="U877" i="1" s="1"/>
  <c r="U878" i="1" a="1"/>
  <c r="U878" i="1" s="1"/>
  <c r="U879" i="1" a="1"/>
  <c r="U879" i="1" s="1"/>
  <c r="U880" i="1" a="1"/>
  <c r="U880" i="1" s="1"/>
  <c r="U881" i="1" a="1"/>
  <c r="U881" i="1" s="1"/>
  <c r="U882" i="1" a="1"/>
  <c r="U882" i="1" s="1"/>
  <c r="U883" i="1" a="1"/>
  <c r="U883" i="1" s="1"/>
  <c r="U884" i="1" a="1"/>
  <c r="U884" i="1"/>
  <c r="U885" i="1" a="1"/>
  <c r="U885" i="1" s="1"/>
  <c r="U886" i="1" a="1"/>
  <c r="U886" i="1" s="1"/>
  <c r="U887" i="1" a="1"/>
  <c r="U887" i="1"/>
  <c r="U888" i="1" a="1"/>
  <c r="U888" i="1" s="1"/>
  <c r="U889" i="1" a="1"/>
  <c r="U889" i="1" s="1"/>
  <c r="U890" i="1" a="1"/>
  <c r="U890" i="1" s="1"/>
  <c r="U891" i="1" a="1"/>
  <c r="U891" i="1" s="1"/>
  <c r="U892" i="1" a="1"/>
  <c r="U892" i="1"/>
  <c r="U893" i="1" a="1"/>
  <c r="U893" i="1" s="1"/>
  <c r="U894" i="1" a="1"/>
  <c r="U894" i="1" s="1"/>
  <c r="U895" i="1" a="1"/>
  <c r="U895" i="1"/>
  <c r="U896" i="1" a="1"/>
  <c r="U896" i="1" s="1"/>
  <c r="U897" i="1" a="1"/>
  <c r="U897" i="1" s="1"/>
  <c r="U898" i="1" a="1"/>
  <c r="U898" i="1" s="1"/>
  <c r="U899" i="1" a="1"/>
  <c r="U899" i="1" s="1"/>
  <c r="U900" i="1" a="1"/>
  <c r="U900" i="1"/>
  <c r="U901" i="1" a="1"/>
  <c r="U901" i="1" s="1"/>
  <c r="U902" i="1" a="1"/>
  <c r="U902" i="1" s="1"/>
  <c r="U903" i="1" a="1"/>
  <c r="U903" i="1" s="1"/>
  <c r="U904" i="1" a="1"/>
  <c r="U904" i="1"/>
  <c r="U905" i="1" a="1"/>
  <c r="U905" i="1" s="1"/>
  <c r="U906" i="1" a="1"/>
  <c r="U906" i="1" s="1"/>
  <c r="U907" i="1" a="1"/>
  <c r="U907" i="1"/>
  <c r="U908" i="1" a="1"/>
  <c r="U908" i="1" s="1"/>
  <c r="U909" i="1" a="1"/>
  <c r="U909" i="1" s="1"/>
  <c r="U910" i="1" a="1"/>
  <c r="U910" i="1" s="1"/>
  <c r="U911" i="1" a="1"/>
  <c r="U911" i="1" s="1"/>
  <c r="U912" i="1" a="1"/>
  <c r="U912" i="1"/>
  <c r="U913" i="1" a="1"/>
  <c r="U913" i="1" s="1"/>
  <c r="U914" i="1" a="1"/>
  <c r="U914" i="1" s="1"/>
  <c r="U915" i="1" a="1"/>
  <c r="U915" i="1" s="1"/>
  <c r="U916" i="1" a="1"/>
  <c r="U916" i="1"/>
  <c r="U917" i="1" a="1"/>
  <c r="U917" i="1" s="1"/>
  <c r="U918" i="1" a="1"/>
  <c r="U918" i="1" s="1"/>
  <c r="U919" i="1" a="1"/>
  <c r="U919" i="1" s="1"/>
  <c r="U920" i="1" a="1"/>
  <c r="U920" i="1" s="1"/>
  <c r="U921" i="1" a="1"/>
  <c r="U921" i="1" s="1"/>
  <c r="U922" i="1" a="1"/>
  <c r="U922" i="1" s="1"/>
  <c r="U923" i="1" a="1"/>
  <c r="U923" i="1"/>
  <c r="U924" i="1" a="1"/>
  <c r="U924" i="1" s="1"/>
  <c r="U925" i="1" a="1"/>
  <c r="U925" i="1" s="1"/>
  <c r="U926" i="1" a="1"/>
  <c r="U926" i="1" s="1"/>
  <c r="U927" i="1" a="1"/>
  <c r="U927" i="1" s="1"/>
  <c r="U928" i="1" a="1"/>
  <c r="U928" i="1" s="1"/>
  <c r="U929" i="1" a="1"/>
  <c r="U929" i="1" s="1"/>
  <c r="U930" i="1" a="1"/>
  <c r="U930" i="1" s="1"/>
  <c r="U931" i="1" a="1"/>
  <c r="U931" i="1" s="1"/>
  <c r="U932" i="1" a="1"/>
  <c r="U932" i="1" s="1"/>
  <c r="U933" i="1" a="1"/>
  <c r="U933" i="1" s="1"/>
  <c r="U934" i="1" a="1"/>
  <c r="U934" i="1" s="1"/>
  <c r="U935" i="1" a="1"/>
  <c r="U935" i="1" s="1"/>
  <c r="U936" i="1" a="1"/>
  <c r="U936" i="1" s="1"/>
  <c r="U937" i="1" a="1"/>
  <c r="U937" i="1" s="1"/>
  <c r="U938" i="1" a="1"/>
  <c r="U938" i="1" s="1"/>
  <c r="U939" i="1" a="1"/>
  <c r="U939" i="1"/>
  <c r="U940" i="1" a="1"/>
  <c r="U940" i="1" s="1"/>
  <c r="U941" i="1" a="1"/>
  <c r="U941" i="1" s="1"/>
  <c r="U942" i="1" a="1"/>
  <c r="U942" i="1" s="1"/>
  <c r="U943" i="1" a="1"/>
  <c r="U943" i="1" s="1"/>
  <c r="U944" i="1" a="1"/>
  <c r="U944" i="1" s="1"/>
  <c r="U945" i="1" a="1"/>
  <c r="U945" i="1" s="1"/>
  <c r="U946" i="1" a="1"/>
  <c r="U946" i="1" s="1"/>
  <c r="U947" i="1" a="1"/>
  <c r="U947" i="1" s="1"/>
  <c r="U948" i="1" a="1"/>
  <c r="U948" i="1" s="1"/>
  <c r="U949" i="1" a="1"/>
  <c r="U949" i="1" s="1"/>
  <c r="U950" i="1" a="1"/>
  <c r="U950" i="1" s="1"/>
  <c r="U951" i="1" a="1"/>
  <c r="U951" i="1" s="1"/>
  <c r="U952" i="1" a="1"/>
  <c r="U952" i="1" s="1"/>
  <c r="U953" i="1" a="1"/>
  <c r="U953" i="1" s="1"/>
  <c r="U954" i="1" a="1"/>
  <c r="U954" i="1" s="1"/>
  <c r="U955" i="1" a="1"/>
  <c r="U955" i="1" s="1"/>
  <c r="U956" i="1" a="1"/>
  <c r="U956" i="1" s="1"/>
  <c r="U957" i="1" a="1"/>
  <c r="U957" i="1" s="1"/>
  <c r="U958" i="1" a="1"/>
  <c r="U958" i="1" s="1"/>
  <c r="U959" i="1" a="1"/>
  <c r="U959" i="1" s="1"/>
  <c r="U960" i="1" a="1"/>
  <c r="U960" i="1"/>
  <c r="U961" i="1" a="1"/>
  <c r="U961" i="1" s="1"/>
  <c r="U962" i="1" a="1"/>
  <c r="U962" i="1" s="1"/>
  <c r="U963" i="1" a="1"/>
  <c r="U963" i="1" s="1"/>
  <c r="U964" i="1" a="1"/>
  <c r="U964" i="1" s="1"/>
  <c r="U965" i="1" a="1"/>
  <c r="U965" i="1" s="1"/>
  <c r="U966" i="1" a="1"/>
  <c r="U966" i="1" s="1"/>
  <c r="U967" i="1" a="1"/>
  <c r="U967" i="1" s="1"/>
  <c r="U968" i="1" a="1"/>
  <c r="U968" i="1" s="1"/>
  <c r="U969" i="1" a="1"/>
  <c r="U969" i="1" s="1"/>
  <c r="U970" i="1" a="1"/>
  <c r="U970" i="1" s="1"/>
  <c r="U971" i="1" a="1"/>
  <c r="U971" i="1" s="1"/>
  <c r="U972" i="1" a="1"/>
  <c r="U972" i="1" s="1"/>
  <c r="U973" i="1" a="1"/>
  <c r="U973" i="1" s="1"/>
  <c r="U974" i="1" a="1"/>
  <c r="U974" i="1" s="1"/>
  <c r="U975" i="1" a="1"/>
  <c r="U975" i="1" s="1"/>
  <c r="U976" i="1" a="1"/>
  <c r="U976" i="1" s="1"/>
  <c r="U977" i="1" a="1"/>
  <c r="U977" i="1" s="1"/>
  <c r="U978" i="1" a="1"/>
  <c r="U978" i="1" s="1"/>
  <c r="U979" i="1" a="1"/>
  <c r="U979" i="1" s="1"/>
  <c r="U980" i="1" a="1"/>
  <c r="U980" i="1" s="1"/>
  <c r="U981" i="1" a="1"/>
  <c r="U981" i="1" s="1"/>
  <c r="U982" i="1" a="1"/>
  <c r="U982" i="1" s="1"/>
  <c r="U983" i="1" a="1"/>
  <c r="U983" i="1" s="1"/>
  <c r="U984" i="1" a="1"/>
  <c r="U984" i="1" s="1"/>
  <c r="U985" i="1" a="1"/>
  <c r="U985" i="1" s="1"/>
  <c r="U986" i="1" a="1"/>
  <c r="U986" i="1" s="1"/>
  <c r="U987" i="1" a="1"/>
  <c r="U987" i="1" s="1"/>
  <c r="U988" i="1" a="1"/>
  <c r="U988" i="1" s="1"/>
  <c r="U989" i="1" a="1"/>
  <c r="U989" i="1" s="1"/>
  <c r="U990" i="1" a="1"/>
  <c r="U990" i="1" s="1"/>
  <c r="U991" i="1" a="1"/>
  <c r="U991" i="1" s="1"/>
  <c r="U992" i="1" a="1"/>
  <c r="U992" i="1" s="1"/>
  <c r="U993" i="1" a="1"/>
  <c r="U993" i="1" s="1"/>
  <c r="U994" i="1" a="1"/>
  <c r="U994" i="1" s="1"/>
  <c r="U995" i="1" a="1"/>
  <c r="U995" i="1" s="1"/>
  <c r="U996" i="1" a="1"/>
  <c r="U996" i="1" s="1"/>
  <c r="U997" i="1" a="1"/>
  <c r="U997" i="1" s="1"/>
  <c r="U998" i="1" a="1"/>
  <c r="U998" i="1" s="1"/>
  <c r="U999" i="1" a="1"/>
  <c r="U999" i="1" s="1"/>
  <c r="U1000" i="1" a="1"/>
  <c r="U1000" i="1" s="1"/>
  <c r="U1001" i="1" a="1"/>
  <c r="U1001" i="1" s="1"/>
  <c r="U1002" i="1" a="1"/>
  <c r="U1002" i="1" s="1"/>
  <c r="U1003" i="1" a="1"/>
  <c r="U1003" i="1"/>
  <c r="U1004" i="1" a="1"/>
  <c r="U1004" i="1" s="1"/>
  <c r="U1005" i="1" a="1"/>
  <c r="U1005" i="1" s="1"/>
  <c r="U1006" i="1" a="1"/>
  <c r="U1006" i="1" s="1"/>
  <c r="U1007" i="1" a="1"/>
  <c r="U1007" i="1" s="1"/>
  <c r="U1008" i="1" a="1"/>
  <c r="U1008" i="1" s="1"/>
  <c r="U1009" i="1" a="1"/>
  <c r="U1009" i="1" s="1"/>
  <c r="U1010" i="1" a="1"/>
  <c r="U1010" i="1" s="1"/>
  <c r="U1011" i="1" a="1"/>
  <c r="U1011" i="1" s="1"/>
  <c r="U1012" i="1" a="1"/>
  <c r="U1012" i="1" s="1"/>
  <c r="U1013" i="1" a="1"/>
  <c r="U1013" i="1" s="1"/>
  <c r="U1014" i="1" a="1"/>
  <c r="U1014" i="1" s="1"/>
  <c r="U1015" i="1" a="1"/>
  <c r="U1015" i="1" s="1"/>
  <c r="U1016" i="1" a="1"/>
  <c r="U1016" i="1" s="1"/>
  <c r="U1017" i="1" a="1"/>
  <c r="U1017" i="1" s="1"/>
  <c r="U1018" i="1" a="1"/>
  <c r="U1018" i="1" s="1"/>
  <c r="U1019" i="1" a="1"/>
  <c r="U1019" i="1" s="1"/>
  <c r="U1020" i="1" a="1"/>
  <c r="U1020" i="1" s="1"/>
  <c r="U1021" i="1" a="1"/>
  <c r="U1021" i="1" s="1"/>
  <c r="U1022" i="1" a="1"/>
  <c r="U1022" i="1" s="1"/>
  <c r="U1023" i="1" a="1"/>
  <c r="U1023" i="1" s="1"/>
  <c r="U1024" i="1" a="1"/>
  <c r="U1024" i="1"/>
  <c r="U1025" i="1" a="1"/>
  <c r="U1025" i="1" s="1"/>
  <c r="U1026" i="1" a="1"/>
  <c r="U1026" i="1" s="1"/>
  <c r="U1027" i="1" a="1"/>
  <c r="U1027" i="1" s="1"/>
  <c r="U1028" i="1" a="1"/>
  <c r="U1028" i="1" s="1"/>
  <c r="U1029" i="1" a="1"/>
  <c r="U1029" i="1" s="1"/>
  <c r="U1030" i="1" a="1"/>
  <c r="U1030" i="1" s="1"/>
  <c r="U1031" i="1" a="1"/>
  <c r="U1031" i="1" s="1"/>
  <c r="U1032" i="1" a="1"/>
  <c r="U1032" i="1" s="1"/>
  <c r="U1033" i="1" a="1"/>
  <c r="U1033" i="1" s="1"/>
  <c r="U1034" i="1" a="1"/>
  <c r="U1034" i="1" s="1"/>
  <c r="U1035" i="1" a="1"/>
  <c r="U1035" i="1" s="1"/>
  <c r="U1036" i="1" a="1"/>
  <c r="U1036" i="1" s="1"/>
  <c r="U1037" i="1" a="1"/>
  <c r="U1037" i="1" s="1"/>
  <c r="U1038" i="1" a="1"/>
  <c r="U1038" i="1" s="1"/>
  <c r="U1039" i="1" a="1"/>
  <c r="U1039" i="1" s="1"/>
  <c r="U1040" i="1" a="1"/>
  <c r="U1040" i="1" s="1"/>
  <c r="U1041" i="1" a="1"/>
  <c r="U1041" i="1" s="1"/>
  <c r="U1042" i="1" a="1"/>
  <c r="U1042" i="1" s="1"/>
  <c r="U1043" i="1" a="1"/>
  <c r="U1043" i="1" s="1"/>
  <c r="U1044" i="1" a="1"/>
  <c r="U1044" i="1" s="1"/>
  <c r="U1045" i="1" a="1"/>
  <c r="U1045" i="1" s="1"/>
  <c r="U1046" i="1" a="1"/>
  <c r="U1046" i="1" s="1"/>
  <c r="U1047" i="1" a="1"/>
  <c r="U1047" i="1" s="1"/>
  <c r="U1048" i="1" a="1"/>
  <c r="U1048" i="1" s="1"/>
  <c r="U1049" i="1" a="1"/>
  <c r="U1049" i="1" s="1"/>
  <c r="U1050" i="1" a="1"/>
  <c r="U1050" i="1" s="1"/>
  <c r="U1051" i="1" a="1"/>
  <c r="U1051" i="1" s="1"/>
  <c r="U1052" i="1" a="1"/>
  <c r="U1052" i="1" s="1"/>
  <c r="U1053" i="1" a="1"/>
  <c r="U1053" i="1" s="1"/>
  <c r="U1054" i="1" a="1"/>
  <c r="U1054" i="1" s="1"/>
  <c r="U1055" i="1" a="1"/>
  <c r="U1055" i="1" s="1"/>
  <c r="U1056" i="1" a="1"/>
  <c r="U1056" i="1" s="1"/>
  <c r="U1057" i="1" a="1"/>
  <c r="U1057" i="1" s="1"/>
  <c r="U1058" i="1" a="1"/>
  <c r="U1058" i="1" s="1"/>
  <c r="U1059" i="1" a="1"/>
  <c r="U1059" i="1" s="1"/>
  <c r="U1060" i="1" a="1"/>
  <c r="U1060" i="1" s="1"/>
  <c r="U1061" i="1" a="1"/>
  <c r="U1061" i="1" s="1"/>
  <c r="U1062" i="1" a="1"/>
  <c r="U1062" i="1" s="1"/>
  <c r="U1063" i="1" a="1"/>
  <c r="U1063" i="1" s="1"/>
  <c r="U1064" i="1" a="1"/>
  <c r="U1064" i="1" s="1"/>
  <c r="U1065" i="1" a="1"/>
  <c r="U1065" i="1" s="1"/>
  <c r="U1066" i="1" a="1"/>
  <c r="U1066" i="1" s="1"/>
  <c r="U1067" i="1" a="1"/>
  <c r="U1067" i="1"/>
  <c r="U1068" i="1" a="1"/>
  <c r="U1068" i="1" s="1"/>
  <c r="U1069" i="1" a="1"/>
  <c r="U1069" i="1" s="1"/>
  <c r="U1070" i="1" a="1"/>
  <c r="U1070" i="1" s="1"/>
  <c r="U1071" i="1" a="1"/>
  <c r="U1071" i="1" s="1"/>
  <c r="U1072" i="1" a="1"/>
  <c r="U1072" i="1" s="1"/>
  <c r="U1073" i="1" a="1"/>
  <c r="U1073" i="1" s="1"/>
  <c r="U1074" i="1" a="1"/>
  <c r="U1074" i="1" s="1"/>
  <c r="U1075" i="1" a="1"/>
  <c r="U1075" i="1" s="1"/>
  <c r="U1076" i="1" a="1"/>
  <c r="U1076" i="1" s="1"/>
  <c r="U1077" i="1" a="1"/>
  <c r="U1077" i="1" s="1"/>
  <c r="U1078" i="1" a="1"/>
  <c r="U1078" i="1" s="1"/>
  <c r="U1079" i="1" a="1"/>
  <c r="U1079" i="1" s="1"/>
  <c r="U1080" i="1" a="1"/>
  <c r="U1080" i="1" s="1"/>
  <c r="U1081" i="1" a="1"/>
  <c r="U1081" i="1" s="1"/>
  <c r="U1082" i="1" a="1"/>
  <c r="U1082" i="1" s="1"/>
  <c r="U1083" i="1" a="1"/>
  <c r="U1083" i="1" s="1"/>
  <c r="U1084" i="1" a="1"/>
  <c r="U1084" i="1" s="1"/>
  <c r="U1085" i="1" a="1"/>
  <c r="U1085" i="1" s="1"/>
  <c r="U1086" i="1" a="1"/>
  <c r="U1086" i="1" s="1"/>
  <c r="U1087" i="1" a="1"/>
  <c r="U1087" i="1" s="1"/>
  <c r="U1088" i="1" a="1"/>
  <c r="U1088" i="1"/>
  <c r="U1089" i="1" a="1"/>
  <c r="U1089" i="1" s="1"/>
  <c r="U1090" i="1" a="1"/>
  <c r="U1090" i="1" s="1"/>
  <c r="U1091" i="1" a="1"/>
  <c r="U1091" i="1" s="1"/>
  <c r="U1092" i="1" a="1"/>
  <c r="U1092" i="1" s="1"/>
  <c r="U1093" i="1" a="1"/>
  <c r="U1093" i="1" s="1"/>
  <c r="U1094" i="1" a="1"/>
  <c r="U1094" i="1" s="1"/>
  <c r="U1095" i="1" a="1"/>
  <c r="U1095" i="1" s="1"/>
  <c r="U1096" i="1" a="1"/>
  <c r="U1096" i="1" s="1"/>
  <c r="U1097" i="1" a="1"/>
  <c r="U1097" i="1" s="1"/>
  <c r="U1098" i="1" a="1"/>
  <c r="U1098" i="1" s="1"/>
  <c r="U1099" i="1" a="1"/>
  <c r="U1099" i="1" s="1"/>
  <c r="U1100" i="1" a="1"/>
  <c r="U1100" i="1" s="1"/>
  <c r="U1101" i="1" a="1"/>
  <c r="U1101" i="1" s="1"/>
  <c r="U1102" i="1" a="1"/>
  <c r="U1102" i="1" s="1"/>
  <c r="U1103" i="1" a="1"/>
  <c r="U1103" i="1" s="1"/>
  <c r="U1104" i="1" a="1"/>
  <c r="U1104" i="1" s="1"/>
  <c r="U1105" i="1" a="1"/>
  <c r="U1105" i="1" s="1"/>
  <c r="U1106" i="1" a="1"/>
  <c r="U1106" i="1" s="1"/>
  <c r="U1107" i="1" a="1"/>
  <c r="U1107" i="1" s="1"/>
  <c r="U1108" i="1" a="1"/>
  <c r="U1108" i="1" s="1"/>
  <c r="U1109" i="1" a="1"/>
  <c r="U1109" i="1" s="1"/>
  <c r="U1110" i="1" a="1"/>
  <c r="U1110" i="1" s="1"/>
  <c r="U1111" i="1" a="1"/>
  <c r="U1111" i="1" s="1"/>
  <c r="U1112" i="1" a="1"/>
  <c r="U1112" i="1" s="1"/>
  <c r="U1113" i="1" a="1"/>
  <c r="U1113" i="1" s="1"/>
  <c r="U1114" i="1" a="1"/>
  <c r="U1114" i="1" s="1"/>
  <c r="U1115" i="1" a="1"/>
  <c r="U1115" i="1" s="1"/>
  <c r="U1116" i="1" a="1"/>
  <c r="U1116" i="1" s="1"/>
  <c r="U1117" i="1" a="1"/>
  <c r="U1117" i="1" s="1"/>
  <c r="U1118" i="1" a="1"/>
  <c r="U1118" i="1" s="1"/>
  <c r="U1119" i="1" a="1"/>
  <c r="U1119" i="1" s="1"/>
  <c r="U1120" i="1" a="1"/>
  <c r="U1120" i="1" s="1"/>
  <c r="U1121" i="1" a="1"/>
  <c r="U1121" i="1" s="1"/>
  <c r="U1122" i="1" a="1"/>
  <c r="U1122" i="1" s="1"/>
  <c r="U1123" i="1" a="1"/>
  <c r="U1123" i="1" s="1"/>
  <c r="U1124" i="1" a="1"/>
  <c r="U1124" i="1" s="1"/>
  <c r="U1125" i="1" a="1"/>
  <c r="U1125" i="1" s="1"/>
  <c r="U1126" i="1" a="1"/>
  <c r="U1126" i="1" s="1"/>
  <c r="U1127" i="1" a="1"/>
  <c r="U1127" i="1" s="1"/>
  <c r="U1128" i="1" a="1"/>
  <c r="U1128" i="1" s="1"/>
  <c r="U1129" i="1" a="1"/>
  <c r="U1129" i="1" s="1"/>
  <c r="U1130" i="1" a="1"/>
  <c r="U1130" i="1" s="1"/>
  <c r="U1131" i="1" a="1"/>
  <c r="U1131" i="1"/>
  <c r="U1132" i="1" a="1"/>
  <c r="U1132" i="1" s="1"/>
  <c r="U1133" i="1" a="1"/>
  <c r="U1133" i="1" s="1"/>
  <c r="U1134" i="1" a="1"/>
  <c r="U1134" i="1" s="1"/>
  <c r="U1135" i="1" a="1"/>
  <c r="U1135" i="1" s="1"/>
  <c r="U1136" i="1" a="1"/>
  <c r="U1136" i="1" s="1"/>
  <c r="U1137" i="1" a="1"/>
  <c r="U1137" i="1" s="1"/>
  <c r="U1138" i="1" a="1"/>
  <c r="U1138" i="1" s="1"/>
  <c r="U1139" i="1" a="1"/>
  <c r="U1139" i="1" s="1"/>
  <c r="U1140" i="1" a="1"/>
  <c r="U1140" i="1" s="1"/>
  <c r="U1141" i="1" a="1"/>
  <c r="U1141" i="1" s="1"/>
  <c r="U1142" i="1" a="1"/>
  <c r="U1142" i="1" s="1"/>
  <c r="U1143" i="1" a="1"/>
  <c r="U1143" i="1" s="1"/>
  <c r="U1144" i="1" a="1"/>
  <c r="U1144" i="1" s="1"/>
  <c r="U1145" i="1" a="1"/>
  <c r="U1145" i="1" s="1"/>
  <c r="U1146" i="1" a="1"/>
  <c r="U1146" i="1" s="1"/>
  <c r="U1147" i="1" a="1"/>
  <c r="U1147" i="1" s="1"/>
  <c r="U1148" i="1" a="1"/>
  <c r="U1148" i="1" s="1"/>
  <c r="U1149" i="1" a="1"/>
  <c r="U1149" i="1" s="1"/>
  <c r="U1150" i="1" a="1"/>
  <c r="U1150" i="1" s="1"/>
  <c r="U1151" i="1" a="1"/>
  <c r="U1151" i="1" s="1"/>
  <c r="U1152" i="1" a="1"/>
  <c r="U1152" i="1"/>
  <c r="U1153" i="1" a="1"/>
  <c r="U1153" i="1" s="1"/>
  <c r="U1154" i="1" a="1"/>
  <c r="U1154" i="1" s="1"/>
  <c r="U1155" i="1" a="1"/>
  <c r="U1155" i="1" s="1"/>
  <c r="U1156" i="1" a="1"/>
  <c r="U1156" i="1" s="1"/>
  <c r="U1157" i="1" a="1"/>
  <c r="U1157" i="1" s="1"/>
  <c r="U1158" i="1" a="1"/>
  <c r="U1158" i="1" s="1"/>
  <c r="U1159" i="1" a="1"/>
  <c r="U1159" i="1" s="1"/>
  <c r="U1160" i="1" a="1"/>
  <c r="U1160" i="1" s="1"/>
  <c r="U1161" i="1" a="1"/>
  <c r="U1161" i="1" s="1"/>
  <c r="U1162" i="1" a="1"/>
  <c r="U1162" i="1" s="1"/>
  <c r="U1163" i="1" a="1"/>
  <c r="U1163" i="1" s="1"/>
  <c r="U1164" i="1" a="1"/>
  <c r="U1164" i="1" s="1"/>
  <c r="U1165" i="1" a="1"/>
  <c r="U1165" i="1" s="1"/>
  <c r="U1166" i="1" a="1"/>
  <c r="U1166" i="1" s="1"/>
  <c r="U1167" i="1" a="1"/>
  <c r="U1167" i="1" s="1"/>
  <c r="U1168" i="1" a="1"/>
  <c r="U1168" i="1" s="1"/>
  <c r="U1169" i="1" a="1"/>
  <c r="U1169" i="1" s="1"/>
  <c r="U1170" i="1" a="1"/>
  <c r="U1170" i="1" s="1"/>
  <c r="U1171" i="1" a="1"/>
  <c r="U1171" i="1" s="1"/>
  <c r="U1172" i="1" a="1"/>
  <c r="U1172" i="1" s="1"/>
  <c r="U1173" i="1" a="1"/>
  <c r="U1173" i="1" s="1"/>
  <c r="U1174" i="1" a="1"/>
  <c r="U1174" i="1" s="1"/>
  <c r="U1175" i="1" a="1"/>
  <c r="U1175" i="1" s="1"/>
  <c r="U1176" i="1" a="1"/>
  <c r="U1176" i="1" s="1"/>
  <c r="U1177" i="1" a="1"/>
  <c r="U1177" i="1" s="1"/>
  <c r="U1178" i="1" a="1"/>
  <c r="U1178" i="1" s="1"/>
  <c r="U1179" i="1" a="1"/>
  <c r="U1179" i="1" s="1"/>
  <c r="U1180" i="1" a="1"/>
  <c r="U1180" i="1" s="1"/>
  <c r="U1181" i="1" a="1"/>
  <c r="U1181" i="1" s="1"/>
  <c r="U1182" i="1" a="1"/>
  <c r="U1182" i="1" s="1"/>
  <c r="U1183" i="1" a="1"/>
  <c r="U1183" i="1" s="1"/>
  <c r="U1184" i="1" a="1"/>
  <c r="U1184" i="1" s="1"/>
  <c r="U1185" i="1" a="1"/>
  <c r="U1185" i="1" s="1"/>
  <c r="U1186" i="1" a="1"/>
  <c r="U1186" i="1" s="1"/>
  <c r="U1187" i="1" a="1"/>
  <c r="U1187" i="1" s="1"/>
  <c r="U1188" i="1" a="1"/>
  <c r="U1188" i="1" s="1"/>
  <c r="U1189" i="1" a="1"/>
  <c r="U1189" i="1" s="1"/>
  <c r="U1190" i="1" a="1"/>
  <c r="U1190" i="1" s="1"/>
  <c r="U1191" i="1" a="1"/>
  <c r="U1191" i="1" s="1"/>
  <c r="U1192" i="1" a="1"/>
  <c r="U1192" i="1" s="1"/>
  <c r="U1193" i="1" a="1"/>
  <c r="U1193" i="1" s="1"/>
  <c r="U1194" i="1" a="1"/>
  <c r="U1194" i="1" s="1"/>
  <c r="U1195" i="1" a="1"/>
  <c r="U1195" i="1" s="1"/>
  <c r="U1196" i="1" a="1"/>
  <c r="U1196" i="1" s="1"/>
  <c r="U1197" i="1" a="1"/>
  <c r="U1197" i="1" s="1"/>
  <c r="U1198" i="1" a="1"/>
  <c r="U1198" i="1" s="1"/>
  <c r="U1199" i="1" a="1"/>
  <c r="U1199" i="1" s="1"/>
  <c r="U1200" i="1" a="1"/>
  <c r="U1200" i="1" s="1"/>
  <c r="U1201" i="1" a="1"/>
  <c r="U1201" i="1" s="1"/>
  <c r="U1202" i="1" a="1"/>
  <c r="U1202" i="1" s="1"/>
  <c r="U1203" i="1" a="1"/>
  <c r="U1203" i="1" s="1"/>
  <c r="U1204" i="1" a="1"/>
  <c r="U1204" i="1" s="1"/>
  <c r="U1205" i="1" a="1"/>
  <c r="U1205" i="1" s="1"/>
  <c r="U1206" i="1" a="1"/>
  <c r="U1206" i="1"/>
  <c r="U1207" i="1" a="1"/>
  <c r="U1207" i="1" s="1"/>
  <c r="U1208" i="1" a="1"/>
  <c r="U1208" i="1" s="1"/>
  <c r="U1209" i="1" a="1"/>
  <c r="U1209" i="1" s="1"/>
  <c r="U1210" i="1" a="1"/>
  <c r="U1210" i="1" s="1"/>
  <c r="U1211" i="1" a="1"/>
  <c r="U1211" i="1" s="1"/>
  <c r="U1212" i="1" a="1"/>
  <c r="U1212" i="1"/>
  <c r="U1213" i="1" a="1"/>
  <c r="U1213" i="1" s="1"/>
  <c r="U1214" i="1" a="1"/>
  <c r="U1214" i="1"/>
  <c r="U1215" i="1" a="1"/>
  <c r="U1215" i="1"/>
  <c r="U1216" i="1" a="1"/>
  <c r="U1216" i="1" s="1"/>
  <c r="U1217" i="1" a="1"/>
  <c r="U1217" i="1" s="1"/>
  <c r="U1218" i="1" a="1"/>
  <c r="U1218" i="1" s="1"/>
  <c r="U1219" i="1" a="1"/>
  <c r="U1219" i="1" s="1"/>
  <c r="U1220" i="1" a="1"/>
  <c r="U1220" i="1" s="1"/>
  <c r="U1221" i="1" a="1"/>
  <c r="U1221" i="1" s="1"/>
  <c r="U1222" i="1" a="1"/>
  <c r="U1222" i="1" s="1"/>
  <c r="U1223" i="1" a="1"/>
  <c r="U1223" i="1"/>
  <c r="U1224" i="1" a="1"/>
  <c r="U1224" i="1" s="1"/>
  <c r="U1225" i="1" a="1"/>
  <c r="U1225" i="1" s="1"/>
  <c r="U1226" i="1" a="1"/>
  <c r="U1226" i="1" s="1"/>
  <c r="U1227" i="1" a="1"/>
  <c r="U1227" i="1" s="1"/>
  <c r="U1228" i="1" a="1"/>
  <c r="U1228" i="1" s="1"/>
  <c r="U1229" i="1" a="1"/>
  <c r="U1229" i="1" s="1"/>
  <c r="U1230" i="1" a="1"/>
  <c r="U1230" i="1" s="1"/>
  <c r="U1231" i="1" a="1"/>
  <c r="U1231" i="1"/>
  <c r="U1232" i="1" a="1"/>
  <c r="U1232" i="1"/>
  <c r="U1233" i="1" a="1"/>
  <c r="U1233" i="1" s="1"/>
  <c r="U1234" i="1" a="1"/>
  <c r="U1234" i="1" s="1"/>
  <c r="U1235" i="1" a="1"/>
  <c r="U1235" i="1" s="1"/>
  <c r="U1236" i="1" a="1"/>
  <c r="U1236" i="1" s="1"/>
  <c r="U1237" i="1" a="1"/>
  <c r="U1237" i="1" s="1"/>
  <c r="U1238" i="1" a="1"/>
  <c r="U1238" i="1"/>
  <c r="U1239" i="1" a="1"/>
  <c r="U1239" i="1" s="1"/>
  <c r="U1240" i="1" a="1"/>
  <c r="U1240" i="1" s="1"/>
  <c r="U1241" i="1" a="1"/>
  <c r="U1241" i="1" s="1"/>
  <c r="U1242" i="1" a="1"/>
  <c r="U1242" i="1" s="1"/>
  <c r="U1243" i="1" a="1"/>
  <c r="U1243" i="1" s="1"/>
  <c r="U1244" i="1" a="1"/>
  <c r="U1244" i="1" s="1"/>
  <c r="U1245" i="1" a="1"/>
  <c r="U1245" i="1" s="1"/>
  <c r="U1246" i="1" a="1"/>
  <c r="U1246" i="1"/>
  <c r="U1247" i="1" a="1"/>
  <c r="U1247" i="1" s="1"/>
  <c r="U1248" i="1" a="1"/>
  <c r="U1248" i="1" s="1"/>
  <c r="U1249" i="1" a="1"/>
  <c r="U1249" i="1" s="1"/>
  <c r="U1250" i="1" a="1"/>
  <c r="U1250" i="1" s="1"/>
  <c r="U1251" i="1" a="1"/>
  <c r="U1251" i="1" s="1"/>
  <c r="U1252" i="1" a="1"/>
  <c r="U1252" i="1" s="1"/>
  <c r="U1253" i="1" a="1"/>
  <c r="U1253" i="1" s="1"/>
  <c r="U1254" i="1" a="1"/>
  <c r="U1254" i="1" s="1"/>
  <c r="U1255" i="1" a="1"/>
  <c r="U1255" i="1" s="1"/>
  <c r="U1256" i="1" a="1"/>
  <c r="U1256" i="1" s="1"/>
  <c r="U1257" i="1" a="1"/>
  <c r="U1257" i="1" s="1"/>
  <c r="U1258" i="1" a="1"/>
  <c r="U1258" i="1" s="1"/>
  <c r="U1259" i="1" a="1"/>
  <c r="U1259" i="1" s="1"/>
  <c r="U1260" i="1" a="1"/>
  <c r="U1260" i="1" s="1"/>
  <c r="U1261" i="1" a="1"/>
  <c r="U1261" i="1" s="1"/>
  <c r="U1262" i="1" a="1"/>
  <c r="U1262" i="1" s="1"/>
  <c r="U1263" i="1" a="1"/>
  <c r="U1263" i="1" s="1"/>
  <c r="U1264" i="1" a="1"/>
  <c r="U1264" i="1" s="1"/>
  <c r="U1265" i="1" a="1"/>
  <c r="U1265" i="1" s="1"/>
  <c r="U1266" i="1" a="1"/>
  <c r="U1266" i="1" s="1"/>
  <c r="U1267" i="1" a="1"/>
  <c r="U1267" i="1" s="1"/>
  <c r="U1268" i="1" a="1"/>
  <c r="U1268" i="1" s="1"/>
  <c r="U1269" i="1" a="1"/>
  <c r="U1269" i="1" s="1"/>
  <c r="U1270" i="1" a="1"/>
  <c r="U1270" i="1"/>
  <c r="U1271" i="1" a="1"/>
  <c r="U1271" i="1" s="1"/>
  <c r="U1272" i="1" a="1"/>
  <c r="U1272" i="1" s="1"/>
  <c r="U1273" i="1" a="1"/>
  <c r="U1273" i="1" s="1"/>
  <c r="U1274" i="1" a="1"/>
  <c r="U1274" i="1" s="1"/>
  <c r="U1275" i="1" a="1"/>
  <c r="U1275" i="1" s="1"/>
  <c r="U1276" i="1" a="1"/>
  <c r="U1276" i="1"/>
  <c r="U1277" i="1" a="1"/>
  <c r="U1277" i="1" s="1"/>
  <c r="U1278" i="1" a="1"/>
  <c r="U1278" i="1"/>
  <c r="U1279" i="1" a="1"/>
  <c r="U1279" i="1"/>
  <c r="U1280" i="1" a="1"/>
  <c r="U1280" i="1" s="1"/>
  <c r="U1281" i="1" a="1"/>
  <c r="U1281" i="1" s="1"/>
  <c r="U1282" i="1" a="1"/>
  <c r="U1282" i="1" s="1"/>
  <c r="U1283" i="1" a="1"/>
  <c r="U1283" i="1" s="1"/>
  <c r="U1284" i="1" a="1"/>
  <c r="U1284" i="1" s="1"/>
  <c r="U1285" i="1" a="1"/>
  <c r="U1285" i="1" s="1"/>
  <c r="U1286" i="1" a="1"/>
  <c r="U1286" i="1" s="1"/>
  <c r="U1287" i="1" a="1"/>
  <c r="U1287" i="1"/>
  <c r="U1288" i="1" a="1"/>
  <c r="U1288" i="1" s="1"/>
  <c r="U1289" i="1" a="1"/>
  <c r="U1289" i="1" s="1"/>
  <c r="U1290" i="1" a="1"/>
  <c r="U1290" i="1" s="1"/>
  <c r="U1291" i="1" a="1"/>
  <c r="U1291" i="1" s="1"/>
  <c r="U1292" i="1" a="1"/>
  <c r="U1292" i="1" s="1"/>
  <c r="U1293" i="1" a="1"/>
  <c r="U1293" i="1" s="1"/>
  <c r="U1294" i="1" a="1"/>
  <c r="U1294" i="1" s="1"/>
  <c r="U1295" i="1" a="1"/>
  <c r="U1295" i="1"/>
  <c r="U1296" i="1" a="1"/>
  <c r="U1296" i="1"/>
  <c r="U1297" i="1" a="1"/>
  <c r="U1297" i="1" s="1"/>
  <c r="U1298" i="1" a="1"/>
  <c r="U1298" i="1" s="1"/>
  <c r="U1299" i="1" a="1"/>
  <c r="U1299" i="1" s="1"/>
  <c r="U1300" i="1" a="1"/>
  <c r="U1300" i="1" s="1"/>
  <c r="U1301" i="1" a="1"/>
  <c r="U1301" i="1" s="1"/>
  <c r="U1302" i="1" a="1"/>
  <c r="U1302" i="1" s="1"/>
  <c r="U1303" i="1" a="1"/>
  <c r="U1303" i="1" s="1"/>
  <c r="U1304" i="1" a="1"/>
  <c r="U1304" i="1" s="1"/>
  <c r="U1305" i="1" a="1"/>
  <c r="U1305" i="1" s="1"/>
  <c r="U1306" i="1" a="1"/>
  <c r="U1306" i="1" s="1"/>
  <c r="U1307" i="1" a="1"/>
  <c r="U1307" i="1" s="1"/>
  <c r="U1308" i="1" a="1"/>
  <c r="U1308" i="1" s="1"/>
  <c r="U1309" i="1" a="1"/>
  <c r="U1309" i="1" s="1"/>
  <c r="U1310" i="1" a="1"/>
  <c r="U1310" i="1" s="1"/>
  <c r="U1311" i="1" a="1"/>
  <c r="U1311" i="1" s="1"/>
  <c r="U1312" i="1" a="1"/>
  <c r="U1312" i="1" s="1"/>
  <c r="U1313" i="1" a="1"/>
  <c r="U1313" i="1" s="1"/>
  <c r="U1314" i="1" a="1"/>
  <c r="U1314" i="1" s="1"/>
  <c r="U1315" i="1" a="1"/>
  <c r="U1315" i="1" s="1"/>
  <c r="U1316" i="1" a="1"/>
  <c r="U1316" i="1" s="1"/>
  <c r="U1317" i="1" a="1"/>
  <c r="U1317" i="1" s="1"/>
  <c r="U1318" i="1" a="1"/>
  <c r="U1318" i="1" s="1"/>
  <c r="U1319" i="1" a="1"/>
  <c r="U1319" i="1" s="1"/>
  <c r="U1320" i="1" a="1"/>
  <c r="U1320" i="1" s="1"/>
  <c r="U1321" i="1" a="1"/>
  <c r="U1321" i="1" s="1"/>
  <c r="U1322" i="1" a="1"/>
  <c r="U1322" i="1" s="1"/>
  <c r="U1323" i="1" a="1"/>
  <c r="U1323" i="1" s="1"/>
  <c r="U1324" i="1" a="1"/>
  <c r="U1324" i="1" s="1"/>
  <c r="U1325" i="1" a="1"/>
  <c r="U1325" i="1" s="1"/>
  <c r="U1326" i="1" a="1"/>
  <c r="U1326" i="1" s="1"/>
  <c r="U1327" i="1" a="1"/>
  <c r="U1327" i="1" s="1"/>
  <c r="U1328" i="1" a="1"/>
  <c r="U1328" i="1" s="1"/>
  <c r="U1329" i="1" a="1"/>
  <c r="U1329" i="1" s="1"/>
  <c r="U1330" i="1" a="1"/>
  <c r="U1330" i="1" s="1"/>
  <c r="U1331" i="1" a="1"/>
  <c r="U1331" i="1" s="1"/>
  <c r="U1332" i="1" a="1"/>
  <c r="U1332" i="1" s="1"/>
  <c r="U1333" i="1" a="1"/>
  <c r="U1333" i="1" s="1"/>
  <c r="U1334" i="1" a="1"/>
  <c r="U1334" i="1" s="1"/>
  <c r="U1335" i="1" a="1"/>
  <c r="U1335" i="1" s="1"/>
  <c r="U1336" i="1" a="1"/>
  <c r="U1336" i="1" s="1"/>
  <c r="U1337" i="1" a="1"/>
  <c r="U1337" i="1" s="1"/>
  <c r="U1338" i="1" a="1"/>
  <c r="U1338" i="1" s="1"/>
  <c r="U1339" i="1" a="1"/>
  <c r="U1339" i="1" s="1"/>
  <c r="U1340" i="1" a="1"/>
  <c r="U1340" i="1" s="1"/>
  <c r="U1341" i="1" a="1"/>
  <c r="U1341" i="1" s="1"/>
  <c r="U1342" i="1" a="1"/>
  <c r="U1342" i="1" s="1"/>
  <c r="U1343" i="1" a="1"/>
  <c r="U1343" i="1" s="1"/>
  <c r="U1344" i="1" a="1"/>
  <c r="U1344" i="1" s="1"/>
  <c r="U1345" i="1" a="1"/>
  <c r="U1345" i="1" s="1"/>
  <c r="U1346" i="1" a="1"/>
  <c r="U1346" i="1" s="1"/>
  <c r="U1347" i="1" a="1"/>
  <c r="U1347" i="1" s="1"/>
  <c r="U1348" i="1" a="1"/>
  <c r="U1348" i="1" s="1"/>
  <c r="U1349" i="1" a="1"/>
  <c r="U1349" i="1" s="1"/>
  <c r="U1350" i="1" a="1"/>
  <c r="U1350" i="1" s="1"/>
  <c r="U1351" i="1" a="1"/>
  <c r="U1351" i="1" s="1"/>
  <c r="U1352" i="1" a="1"/>
  <c r="U1352" i="1" s="1"/>
  <c r="U1353" i="1" a="1"/>
  <c r="U1353" i="1" s="1"/>
  <c r="U1354" i="1" a="1"/>
  <c r="U1354" i="1" s="1"/>
  <c r="U1355" i="1" a="1"/>
  <c r="U1355" i="1" s="1"/>
  <c r="U1356" i="1" a="1"/>
  <c r="U1356" i="1" s="1"/>
  <c r="U1357" i="1" a="1"/>
  <c r="U1357" i="1" s="1"/>
  <c r="U1358" i="1" a="1"/>
  <c r="U1358" i="1" s="1"/>
  <c r="U1359" i="1" a="1"/>
  <c r="U1359" i="1" s="1"/>
  <c r="U1360" i="1" a="1"/>
  <c r="U1360" i="1" s="1"/>
  <c r="U1361" i="1" a="1"/>
  <c r="U1361" i="1" s="1"/>
  <c r="U1362" i="1" a="1"/>
  <c r="U1362" i="1" s="1"/>
  <c r="U1363" i="1" a="1"/>
  <c r="U1363" i="1" s="1"/>
  <c r="U1364" i="1" a="1"/>
  <c r="U1364" i="1" s="1"/>
  <c r="U1365" i="1" a="1"/>
  <c r="U1365" i="1" s="1"/>
  <c r="U1366" i="1" a="1"/>
  <c r="U1366" i="1" s="1"/>
  <c r="U1367" i="1" a="1"/>
  <c r="U1367" i="1" s="1"/>
  <c r="U1368" i="1" a="1"/>
  <c r="U1368" i="1" s="1"/>
  <c r="U1369" i="1" a="1"/>
  <c r="U1369" i="1" s="1"/>
  <c r="U1370" i="1" a="1"/>
  <c r="U1370" i="1" s="1"/>
  <c r="U1371" i="1" a="1"/>
  <c r="U1371" i="1" s="1"/>
  <c r="U1372" i="1" a="1"/>
  <c r="U1372" i="1" s="1"/>
  <c r="U1373" i="1" a="1"/>
  <c r="U1373" i="1" s="1"/>
  <c r="U1374" i="1" a="1"/>
  <c r="U1374" i="1" s="1"/>
  <c r="U1375" i="1" a="1"/>
  <c r="U1375" i="1" s="1"/>
  <c r="U1376" i="1" a="1"/>
  <c r="U1376" i="1" s="1"/>
  <c r="U1377" i="1" a="1"/>
  <c r="U1377" i="1" s="1"/>
  <c r="U1378" i="1" a="1"/>
  <c r="U1378" i="1" s="1"/>
  <c r="U1379" i="1" a="1"/>
  <c r="U1379" i="1" s="1"/>
  <c r="U1380" i="1" a="1"/>
  <c r="U1380" i="1" s="1"/>
  <c r="U1381" i="1" a="1"/>
  <c r="U1381" i="1" s="1"/>
  <c r="U1382" i="1" a="1"/>
  <c r="U1382" i="1" s="1"/>
  <c r="U1383" i="1" a="1"/>
  <c r="U1383" i="1" s="1"/>
  <c r="U1384" i="1" a="1"/>
  <c r="U1384" i="1" s="1"/>
  <c r="U1385" i="1" a="1"/>
  <c r="U1385" i="1" s="1"/>
  <c r="U1386" i="1" a="1"/>
  <c r="U1386" i="1" s="1"/>
  <c r="U1387" i="1" a="1"/>
  <c r="U1387" i="1" s="1"/>
  <c r="U1388" i="1" a="1"/>
  <c r="U1388" i="1" s="1"/>
  <c r="U1389" i="1" a="1"/>
  <c r="U1389" i="1" s="1"/>
  <c r="U1390" i="1" a="1"/>
  <c r="U1390" i="1" s="1"/>
  <c r="U1391" i="1" a="1"/>
  <c r="U1391" i="1" s="1"/>
  <c r="U1392" i="1" a="1"/>
  <c r="U1392" i="1" s="1"/>
  <c r="U1393" i="1" a="1"/>
  <c r="U1393" i="1" s="1"/>
  <c r="U1394" i="1" a="1"/>
  <c r="U1394" i="1" s="1"/>
  <c r="U1395" i="1" a="1"/>
  <c r="U1395" i="1" s="1"/>
  <c r="U1396" i="1" a="1"/>
  <c r="U1396" i="1" s="1"/>
  <c r="U1397" i="1" a="1"/>
  <c r="U1397" i="1" s="1"/>
  <c r="U1398" i="1" a="1"/>
  <c r="U1398" i="1" s="1"/>
  <c r="U1399" i="1" a="1"/>
  <c r="U1399" i="1" s="1"/>
  <c r="U1400" i="1" a="1"/>
  <c r="U1400" i="1" s="1"/>
  <c r="U1401" i="1" a="1"/>
  <c r="U1401" i="1" s="1"/>
  <c r="U1402" i="1" a="1"/>
  <c r="U1402" i="1" s="1"/>
  <c r="U1403" i="1" a="1"/>
  <c r="U1403" i="1" s="1"/>
  <c r="U1404" i="1" a="1"/>
  <c r="U1404" i="1" s="1"/>
  <c r="U1405" i="1" a="1"/>
  <c r="U1405" i="1" s="1"/>
  <c r="U1406" i="1" a="1"/>
  <c r="U1406" i="1" s="1"/>
  <c r="U1407" i="1" a="1"/>
  <c r="U1407" i="1" s="1"/>
  <c r="U1408" i="1" a="1"/>
  <c r="U1408" i="1" s="1"/>
  <c r="U1409" i="1" a="1"/>
  <c r="U1409" i="1" s="1"/>
  <c r="U1410" i="1" a="1"/>
  <c r="U1410" i="1" s="1"/>
  <c r="U1411" i="1" a="1"/>
  <c r="U1411" i="1" s="1"/>
  <c r="U1412" i="1" a="1"/>
  <c r="U1412" i="1" s="1"/>
  <c r="U1413" i="1" a="1"/>
  <c r="U1413" i="1" s="1"/>
  <c r="U1414" i="1" a="1"/>
  <c r="U1414" i="1" s="1"/>
  <c r="U1415" i="1" a="1"/>
  <c r="U1415" i="1" s="1"/>
  <c r="U1416" i="1" a="1"/>
  <c r="U1416" i="1" s="1"/>
  <c r="U1417" i="1" a="1"/>
  <c r="U1417" i="1" s="1"/>
  <c r="U1418" i="1" a="1"/>
  <c r="U1418" i="1" s="1"/>
  <c r="U1419" i="1" a="1"/>
  <c r="U1419" i="1" s="1"/>
  <c r="U1420" i="1" a="1"/>
  <c r="U1420" i="1" s="1"/>
  <c r="U1421" i="1" a="1"/>
  <c r="U1421" i="1" s="1"/>
  <c r="U1422" i="1" a="1"/>
  <c r="U1422" i="1" s="1"/>
  <c r="U1423" i="1" a="1"/>
  <c r="U1423" i="1" s="1"/>
  <c r="U1424" i="1" a="1"/>
  <c r="U1424" i="1" s="1"/>
  <c r="U1425" i="1" a="1"/>
  <c r="U1425" i="1" s="1"/>
  <c r="U1426" i="1" a="1"/>
  <c r="U1426" i="1" s="1"/>
  <c r="U1427" i="1" a="1"/>
  <c r="U1427" i="1" s="1"/>
  <c r="U1428" i="1" a="1"/>
  <c r="U1428" i="1" s="1"/>
  <c r="U1429" i="1" a="1"/>
  <c r="U1429" i="1" s="1"/>
  <c r="U1430" i="1" a="1"/>
  <c r="U1430" i="1" s="1"/>
  <c r="U1431" i="1" a="1"/>
  <c r="U1431" i="1" s="1"/>
  <c r="U1432" i="1" a="1"/>
  <c r="U1432" i="1" s="1"/>
  <c r="U1433" i="1" a="1"/>
  <c r="U1433" i="1" s="1"/>
  <c r="U1434" i="1" a="1"/>
  <c r="U1434" i="1" s="1"/>
  <c r="U1435" i="1" a="1"/>
  <c r="U1435" i="1" s="1"/>
  <c r="U1436" i="1" a="1"/>
  <c r="U1436" i="1" s="1"/>
  <c r="U1437" i="1" a="1"/>
  <c r="U1437" i="1" s="1"/>
  <c r="U1438" i="1" a="1"/>
  <c r="U1438" i="1" s="1"/>
  <c r="U1439" i="1" a="1"/>
  <c r="U1439" i="1" s="1"/>
  <c r="U1440" i="1" a="1"/>
  <c r="U1440" i="1" s="1"/>
  <c r="U1441" i="1" a="1"/>
  <c r="U1441" i="1" s="1"/>
  <c r="U1442" i="1" a="1"/>
  <c r="U1442" i="1" s="1"/>
  <c r="U1443" i="1" a="1"/>
  <c r="U1443" i="1" s="1"/>
  <c r="U1444" i="1" a="1"/>
  <c r="U1444" i="1" s="1"/>
  <c r="U1445" i="1" a="1"/>
  <c r="U1445" i="1" s="1"/>
  <c r="U1446" i="1" a="1"/>
  <c r="U1446" i="1" s="1"/>
  <c r="U1447" i="1" a="1"/>
  <c r="U1447" i="1" s="1"/>
  <c r="U1448" i="1" a="1"/>
  <c r="U1448" i="1" s="1"/>
  <c r="U1449" i="1" a="1"/>
  <c r="U1449" i="1" s="1"/>
  <c r="U1450" i="1" a="1"/>
  <c r="U1450" i="1" s="1"/>
  <c r="U1451" i="1" a="1"/>
  <c r="U1451" i="1" s="1"/>
  <c r="U1452" i="1" a="1"/>
  <c r="U1452" i="1" s="1"/>
  <c r="U1453" i="1" a="1"/>
  <c r="U1453" i="1" s="1"/>
  <c r="U1454" i="1" a="1"/>
  <c r="U1454" i="1" s="1"/>
  <c r="U1455" i="1" a="1"/>
  <c r="U1455" i="1" s="1"/>
  <c r="U1456" i="1" a="1"/>
  <c r="U1456" i="1" s="1"/>
  <c r="U1457" i="1" a="1"/>
  <c r="U1457" i="1" s="1"/>
  <c r="U1458" i="1" a="1"/>
  <c r="U1458" i="1" s="1"/>
  <c r="U1459" i="1" a="1"/>
  <c r="U1459" i="1" s="1"/>
  <c r="U1460" i="1" a="1"/>
  <c r="U1460" i="1" s="1"/>
  <c r="U1461" i="1" a="1"/>
  <c r="U1461" i="1" s="1"/>
  <c r="U1462" i="1" a="1"/>
  <c r="U1462" i="1" s="1"/>
  <c r="U1463" i="1" a="1"/>
  <c r="U1463" i="1" s="1"/>
  <c r="U1464" i="1" a="1"/>
  <c r="U1464" i="1" s="1"/>
  <c r="U1465" i="1" a="1"/>
  <c r="U1465" i="1" s="1"/>
  <c r="U1466" i="1" a="1"/>
  <c r="U1466" i="1" s="1"/>
  <c r="U1467" i="1" a="1"/>
  <c r="U1467" i="1" s="1"/>
  <c r="U1468" i="1" a="1"/>
  <c r="U1468" i="1" s="1"/>
  <c r="U1469" i="1" a="1"/>
  <c r="U1469" i="1" s="1"/>
  <c r="U1470" i="1" a="1"/>
  <c r="U1470" i="1" s="1"/>
  <c r="U1471" i="1" a="1"/>
  <c r="U1471" i="1" s="1"/>
  <c r="U1472" i="1" a="1"/>
  <c r="U1472" i="1" s="1"/>
  <c r="U1473" i="1" a="1"/>
  <c r="U1473" i="1" s="1"/>
  <c r="U1474" i="1" a="1"/>
  <c r="U1474" i="1" s="1"/>
  <c r="U1475" i="1" a="1"/>
  <c r="U1475" i="1" s="1"/>
  <c r="U1476" i="1" a="1"/>
  <c r="U1476" i="1" s="1"/>
  <c r="U1477" i="1" a="1"/>
  <c r="U1477" i="1" s="1"/>
  <c r="U1478" i="1" a="1"/>
  <c r="U1478" i="1" s="1"/>
  <c r="U1479" i="1" a="1"/>
  <c r="U1479" i="1" s="1"/>
  <c r="U1480" i="1" a="1"/>
  <c r="U1480" i="1" s="1"/>
  <c r="U1481" i="1" a="1"/>
  <c r="U1481" i="1" s="1"/>
  <c r="U1482" i="1" a="1"/>
  <c r="U1482" i="1" s="1"/>
  <c r="U1483" i="1" a="1"/>
  <c r="U1483" i="1" s="1"/>
  <c r="U1484" i="1" a="1"/>
  <c r="U1484" i="1" s="1"/>
  <c r="U1485" i="1" a="1"/>
  <c r="U1485" i="1" s="1"/>
  <c r="U1486" i="1" a="1"/>
  <c r="U1486" i="1" s="1"/>
  <c r="U1487" i="1" a="1"/>
  <c r="U1487" i="1" s="1"/>
  <c r="U1488" i="1" a="1"/>
  <c r="U1488" i="1" s="1"/>
  <c r="U1489" i="1" a="1"/>
  <c r="U1489" i="1" s="1"/>
  <c r="U1490" i="1" a="1"/>
  <c r="U1490" i="1" s="1"/>
  <c r="U1491" i="1" a="1"/>
  <c r="U1491" i="1" s="1"/>
  <c r="U1492" i="1" a="1"/>
  <c r="U1492" i="1" s="1"/>
  <c r="U1493" i="1" a="1"/>
  <c r="U1493" i="1" s="1"/>
  <c r="U1494" i="1" a="1"/>
  <c r="U1494" i="1" s="1"/>
  <c r="U1495" i="1" a="1"/>
  <c r="U1495" i="1" s="1"/>
  <c r="U1496" i="1" a="1"/>
  <c r="U1496" i="1" s="1"/>
  <c r="U1497" i="1" a="1"/>
  <c r="U1497" i="1" s="1"/>
  <c r="U1498" i="1" a="1"/>
  <c r="U1498" i="1" s="1"/>
  <c r="U1499" i="1" a="1"/>
  <c r="U1499" i="1" s="1"/>
  <c r="U1500" i="1" a="1"/>
  <c r="U1500" i="1" s="1"/>
  <c r="U1501" i="1" a="1"/>
  <c r="U1501" i="1" s="1"/>
  <c r="U1502" i="1" a="1"/>
  <c r="U1502" i="1" s="1"/>
  <c r="U1503" i="1" a="1"/>
  <c r="U1503" i="1" s="1"/>
  <c r="U1504" i="1" a="1"/>
  <c r="U1504" i="1" s="1"/>
  <c r="U1505" i="1" a="1"/>
  <c r="U1505" i="1" s="1"/>
  <c r="U1506" i="1" a="1"/>
  <c r="U1506" i="1" s="1"/>
  <c r="U1507" i="1" a="1"/>
  <c r="U1507" i="1" s="1"/>
  <c r="U1508" i="1" a="1"/>
  <c r="U1508" i="1" s="1"/>
  <c r="U1509" i="1" a="1"/>
  <c r="U1509" i="1" s="1"/>
  <c r="U1510" i="1" a="1"/>
  <c r="U1510" i="1" s="1"/>
  <c r="U1511" i="1" a="1"/>
  <c r="U1511" i="1" s="1"/>
  <c r="U1512" i="1" a="1"/>
  <c r="U1512" i="1" s="1"/>
  <c r="U1513" i="1" a="1"/>
  <c r="U1513" i="1" s="1"/>
  <c r="U1514" i="1" a="1"/>
  <c r="U1514" i="1" s="1"/>
  <c r="U1515" i="1" a="1"/>
  <c r="U1515" i="1" s="1"/>
  <c r="U1516" i="1" a="1"/>
  <c r="U1516" i="1" s="1"/>
  <c r="U1517" i="1" a="1"/>
  <c r="U1517" i="1" s="1"/>
  <c r="U1518" i="1" a="1"/>
  <c r="U1518" i="1" s="1"/>
  <c r="U1519" i="1" a="1"/>
  <c r="U1519" i="1" s="1"/>
  <c r="U1520" i="1" a="1"/>
  <c r="U1520" i="1" s="1"/>
  <c r="U1521" i="1" a="1"/>
  <c r="U1521" i="1" s="1"/>
  <c r="U1522" i="1" a="1"/>
  <c r="U1522" i="1" s="1"/>
  <c r="U1523" i="1" a="1"/>
  <c r="U1523" i="1" s="1"/>
  <c r="U1524" i="1" a="1"/>
  <c r="U1524" i="1" s="1"/>
  <c r="U1525" i="1" a="1"/>
  <c r="U1525" i="1" s="1"/>
  <c r="U1526" i="1" a="1"/>
  <c r="U1526" i="1" s="1"/>
  <c r="U1527" i="1" a="1"/>
  <c r="U1527" i="1" s="1"/>
  <c r="U1528" i="1" a="1"/>
  <c r="U1528" i="1" s="1"/>
  <c r="U1529" i="1" a="1"/>
  <c r="U1529" i="1" s="1"/>
  <c r="U1530" i="1" a="1"/>
  <c r="U1530" i="1" s="1"/>
  <c r="U1531" i="1" a="1"/>
  <c r="U1531" i="1" s="1"/>
  <c r="U1532" i="1" a="1"/>
  <c r="U1532" i="1" s="1"/>
  <c r="U1533" i="1" a="1"/>
  <c r="U1533" i="1" s="1"/>
  <c r="U1534" i="1" a="1"/>
  <c r="U1534" i="1" s="1"/>
  <c r="U1535" i="1" a="1"/>
  <c r="U1535" i="1" s="1"/>
  <c r="U1536" i="1" a="1"/>
  <c r="U1536" i="1" s="1"/>
  <c r="U1537" i="1" a="1"/>
  <c r="U1537" i="1" s="1"/>
  <c r="U1538" i="1" a="1"/>
  <c r="U1538" i="1" s="1"/>
  <c r="U1539" i="1" a="1"/>
  <c r="U1539" i="1" s="1"/>
  <c r="U1540" i="1" a="1"/>
  <c r="U1540" i="1" s="1"/>
  <c r="U1541" i="1" a="1"/>
  <c r="U1541" i="1" s="1"/>
  <c r="U1542" i="1" a="1"/>
  <c r="U1542" i="1" s="1"/>
  <c r="U1543" i="1" a="1"/>
  <c r="U1543" i="1" s="1"/>
  <c r="U1544" i="1" a="1"/>
  <c r="U1544" i="1" s="1"/>
  <c r="U1545" i="1" a="1"/>
  <c r="U1545" i="1" s="1"/>
  <c r="U1546" i="1" a="1"/>
  <c r="U1546" i="1" s="1"/>
  <c r="U1547" i="1" a="1"/>
  <c r="U1547" i="1" s="1"/>
  <c r="U1548" i="1" a="1"/>
  <c r="U1548" i="1" s="1"/>
  <c r="U1549" i="1" a="1"/>
  <c r="U1549" i="1" s="1"/>
  <c r="U1550" i="1" a="1"/>
  <c r="U1550" i="1" s="1"/>
  <c r="U1551" i="1" a="1"/>
  <c r="U1551" i="1" s="1"/>
  <c r="U1552" i="1" a="1"/>
  <c r="U1552" i="1" s="1"/>
  <c r="U1553" i="1" a="1"/>
  <c r="U1553" i="1" s="1"/>
  <c r="U1554" i="1" a="1"/>
  <c r="U1554" i="1" s="1"/>
  <c r="U1555" i="1" a="1"/>
  <c r="U1555" i="1" s="1"/>
  <c r="U1556" i="1" a="1"/>
  <c r="U1556" i="1" s="1"/>
  <c r="U1557" i="1" a="1"/>
  <c r="U1557" i="1" s="1"/>
  <c r="U1558" i="1" a="1"/>
  <c r="U1558" i="1" s="1"/>
  <c r="U1559" i="1" a="1"/>
  <c r="U1559" i="1" s="1"/>
  <c r="U1560" i="1" a="1"/>
  <c r="U1560" i="1" s="1"/>
  <c r="U1561" i="1" a="1"/>
  <c r="U1561" i="1" s="1"/>
  <c r="U1562" i="1" a="1"/>
  <c r="U1562" i="1" s="1"/>
  <c r="U1563" i="1" a="1"/>
  <c r="U1563" i="1" s="1"/>
  <c r="U1564" i="1" a="1"/>
  <c r="U1564" i="1" s="1"/>
  <c r="U1565" i="1" a="1"/>
  <c r="U1565" i="1" s="1"/>
  <c r="U1566" i="1" a="1"/>
  <c r="U1566" i="1" s="1"/>
  <c r="U1567" i="1" a="1"/>
  <c r="U1567" i="1" s="1"/>
  <c r="U1568" i="1" a="1"/>
  <c r="U1568" i="1" s="1"/>
  <c r="U1569" i="1" a="1"/>
  <c r="U1569" i="1" s="1"/>
  <c r="U1570" i="1" a="1"/>
  <c r="U1570" i="1" s="1"/>
  <c r="U1571" i="1" a="1"/>
  <c r="U1571" i="1" s="1"/>
  <c r="U1572" i="1" a="1"/>
  <c r="U1572" i="1" s="1"/>
  <c r="U1573" i="1" a="1"/>
  <c r="U1573" i="1" s="1"/>
  <c r="U1574" i="1" a="1"/>
  <c r="U1574" i="1" s="1"/>
  <c r="U1575" i="1" a="1"/>
  <c r="U1575" i="1" s="1"/>
  <c r="U1576" i="1" a="1"/>
  <c r="U1576" i="1" s="1"/>
  <c r="U1577" i="1" a="1"/>
  <c r="U1577" i="1" s="1"/>
  <c r="U1578" i="1" a="1"/>
  <c r="U1578" i="1" s="1"/>
  <c r="U1579" i="1" a="1"/>
  <c r="U1579" i="1" s="1"/>
  <c r="U1580" i="1" a="1"/>
  <c r="U1580" i="1" s="1"/>
  <c r="U1581" i="1" a="1"/>
  <c r="U1581" i="1" s="1"/>
  <c r="U1582" i="1" a="1"/>
  <c r="U1582" i="1" s="1"/>
  <c r="U1583" i="1" a="1"/>
  <c r="U1583" i="1" s="1"/>
  <c r="U1584" i="1" a="1"/>
  <c r="U1584" i="1" s="1"/>
  <c r="U1585" i="1" a="1"/>
  <c r="U1585" i="1" s="1"/>
  <c r="U1586" i="1" a="1"/>
  <c r="U1586" i="1" s="1"/>
  <c r="U1587" i="1" a="1"/>
  <c r="U1587" i="1" s="1"/>
  <c r="U1588" i="1" a="1"/>
  <c r="U1588" i="1" s="1"/>
  <c r="U1589" i="1" a="1"/>
  <c r="U1589" i="1" s="1"/>
  <c r="U1590" i="1" a="1"/>
  <c r="U1590" i="1" s="1"/>
  <c r="U1591" i="1" a="1"/>
  <c r="U1591" i="1" s="1"/>
  <c r="U1592" i="1" a="1"/>
  <c r="U1592" i="1" s="1"/>
  <c r="U1593" i="1" a="1"/>
  <c r="U1593" i="1" s="1"/>
  <c r="U1594" i="1" a="1"/>
  <c r="U1594" i="1" s="1"/>
  <c r="U1595" i="1" a="1"/>
  <c r="U1595" i="1" s="1"/>
  <c r="U1596" i="1" a="1"/>
  <c r="U1596" i="1" s="1"/>
  <c r="U1597" i="1" a="1"/>
  <c r="U1597" i="1" s="1"/>
  <c r="U1598" i="1" a="1"/>
  <c r="U1598" i="1" s="1"/>
  <c r="U1599" i="1" a="1"/>
  <c r="U1599" i="1" s="1"/>
  <c r="U1600" i="1" a="1"/>
  <c r="U1600" i="1" s="1"/>
  <c r="U1601" i="1" a="1"/>
  <c r="U1601" i="1" s="1"/>
  <c r="U1602" i="1" a="1"/>
  <c r="U1602" i="1" s="1"/>
  <c r="U1603" i="1" a="1"/>
  <c r="U1603" i="1" s="1"/>
  <c r="U1604" i="1" a="1"/>
  <c r="U1604" i="1" s="1"/>
  <c r="U1605" i="1" a="1"/>
  <c r="U1605" i="1" s="1"/>
  <c r="U1606" i="1" a="1"/>
  <c r="U1606" i="1" s="1"/>
  <c r="U1607" i="1" a="1"/>
  <c r="U1607" i="1" s="1"/>
  <c r="U1608" i="1" a="1"/>
  <c r="U1608" i="1" s="1"/>
  <c r="U1609" i="1" a="1"/>
  <c r="U1609" i="1" s="1"/>
  <c r="U1610" i="1" a="1"/>
  <c r="U1610" i="1" s="1"/>
  <c r="U1611" i="1" a="1"/>
  <c r="U1611" i="1" s="1"/>
  <c r="U1612" i="1" a="1"/>
  <c r="U1612" i="1" s="1"/>
  <c r="U1613" i="1" a="1"/>
  <c r="U1613" i="1" s="1"/>
  <c r="U1614" i="1" a="1"/>
  <c r="U1614" i="1" s="1"/>
  <c r="U1615" i="1" a="1"/>
  <c r="U1615" i="1" s="1"/>
  <c r="U1616" i="1" a="1"/>
  <c r="U1616" i="1" s="1"/>
  <c r="U1617" i="1" a="1"/>
  <c r="U1617" i="1" s="1"/>
  <c r="U1618" i="1" a="1"/>
  <c r="U1618" i="1" s="1"/>
  <c r="U1619" i="1" a="1"/>
  <c r="U1619" i="1" s="1"/>
  <c r="U1620" i="1" a="1"/>
  <c r="U1620" i="1" s="1"/>
  <c r="U1621" i="1" a="1"/>
  <c r="U1621" i="1" s="1"/>
  <c r="U1622" i="1" a="1"/>
  <c r="U1622" i="1" s="1"/>
  <c r="U1623" i="1" a="1"/>
  <c r="U1623" i="1" s="1"/>
  <c r="U1624" i="1" a="1"/>
  <c r="U1624" i="1" s="1"/>
  <c r="U1625" i="1" a="1"/>
  <c r="U1625" i="1" s="1"/>
  <c r="U1626" i="1" a="1"/>
  <c r="U1626" i="1" s="1"/>
  <c r="U1627" i="1" a="1"/>
  <c r="U1627" i="1" s="1"/>
  <c r="U1628" i="1" a="1"/>
  <c r="U1628" i="1" s="1"/>
  <c r="U1629" i="1" a="1"/>
  <c r="U1629" i="1" s="1"/>
  <c r="U1630" i="1" a="1"/>
  <c r="U1630" i="1" s="1"/>
  <c r="U1631" i="1" a="1"/>
  <c r="U1631" i="1" s="1"/>
  <c r="U1632" i="1" a="1"/>
  <c r="U1632" i="1" s="1"/>
  <c r="U1633" i="1" a="1"/>
  <c r="U1633" i="1" s="1"/>
  <c r="U1634" i="1" a="1"/>
  <c r="U1634" i="1" s="1"/>
  <c r="U1635" i="1" a="1"/>
  <c r="U1635" i="1" s="1"/>
  <c r="U1636" i="1" a="1"/>
  <c r="U1636" i="1" s="1"/>
  <c r="U1637" i="1" a="1"/>
  <c r="U1637" i="1" s="1"/>
  <c r="U1638" i="1" a="1"/>
  <c r="U1638" i="1" s="1"/>
  <c r="U1639" i="1" a="1"/>
  <c r="U1639" i="1" s="1"/>
  <c r="U1640" i="1" a="1"/>
  <c r="U1640" i="1" s="1"/>
  <c r="U1641" i="1" a="1"/>
  <c r="U1641" i="1" s="1"/>
  <c r="U1642" i="1" a="1"/>
  <c r="U1642" i="1" s="1"/>
  <c r="U1643" i="1" a="1"/>
  <c r="U1643" i="1" s="1"/>
  <c r="U1644" i="1" a="1"/>
  <c r="U1644" i="1" s="1"/>
  <c r="U1645" i="1" a="1"/>
  <c r="U1645" i="1" s="1"/>
  <c r="U1646" i="1" a="1"/>
  <c r="U1646" i="1" s="1"/>
  <c r="U1647" i="1" a="1"/>
  <c r="U1647" i="1" s="1"/>
  <c r="U1648" i="1" a="1"/>
  <c r="U1648" i="1" s="1"/>
  <c r="U1649" i="1" a="1"/>
  <c r="U1649" i="1" s="1"/>
  <c r="U1650" i="1" a="1"/>
  <c r="U1650" i="1" s="1"/>
  <c r="U1651" i="1" a="1"/>
  <c r="U1651" i="1" s="1"/>
  <c r="U1652" i="1" a="1"/>
  <c r="U1652" i="1" s="1"/>
  <c r="U1653" i="1" a="1"/>
  <c r="U1653" i="1" s="1"/>
  <c r="U1654" i="1" a="1"/>
  <c r="U1654" i="1" s="1"/>
  <c r="U1655" i="1" a="1"/>
  <c r="U1655" i="1" s="1"/>
  <c r="U1656" i="1" a="1"/>
  <c r="U1656" i="1" s="1"/>
  <c r="U1657" i="1" a="1"/>
  <c r="U1657" i="1" s="1"/>
  <c r="U1658" i="1" a="1"/>
  <c r="U1658" i="1" s="1"/>
  <c r="U1659" i="1" a="1"/>
  <c r="U1659" i="1" s="1"/>
  <c r="U1660" i="1" a="1"/>
  <c r="U1660" i="1" s="1"/>
  <c r="U1661" i="1" a="1"/>
  <c r="U1661" i="1" s="1"/>
  <c r="U1662" i="1" a="1"/>
  <c r="U1662" i="1" s="1"/>
  <c r="U1663" i="1" a="1"/>
  <c r="U1663" i="1" s="1"/>
  <c r="U1664" i="1" a="1"/>
  <c r="U1664" i="1" s="1"/>
  <c r="U1665" i="1" a="1"/>
  <c r="U1665" i="1" s="1"/>
  <c r="U1666" i="1" a="1"/>
  <c r="U1666" i="1" s="1"/>
  <c r="U1667" i="1" a="1"/>
  <c r="U1667" i="1" s="1"/>
  <c r="U1668" i="1" a="1"/>
  <c r="U1668" i="1" s="1"/>
  <c r="U1669" i="1" a="1"/>
  <c r="U1669" i="1" s="1"/>
  <c r="U1670" i="1" a="1"/>
  <c r="U1670" i="1" s="1"/>
  <c r="U1671" i="1" a="1"/>
  <c r="U1671" i="1" s="1"/>
  <c r="U1672" i="1" a="1"/>
  <c r="U1672" i="1" s="1"/>
  <c r="U1673" i="1" a="1"/>
  <c r="U1673" i="1" s="1"/>
  <c r="U1674" i="1" a="1"/>
  <c r="U1674" i="1" s="1"/>
  <c r="U1675" i="1" a="1"/>
  <c r="U1675" i="1" s="1"/>
  <c r="U1676" i="1" a="1"/>
  <c r="U1676" i="1" s="1"/>
  <c r="U1677" i="1" a="1"/>
  <c r="U1677" i="1" s="1"/>
  <c r="U1678" i="1" a="1"/>
  <c r="U1678" i="1" s="1"/>
  <c r="U1679" i="1" a="1"/>
  <c r="U1679" i="1" s="1"/>
  <c r="U1680" i="1" a="1"/>
  <c r="U1680" i="1" s="1"/>
  <c r="U1681" i="1" a="1"/>
  <c r="U1681" i="1" s="1"/>
  <c r="U1682" i="1" a="1"/>
  <c r="U1682" i="1" s="1"/>
  <c r="U1683" i="1" a="1"/>
  <c r="U1683" i="1" s="1"/>
  <c r="U1684" i="1" a="1"/>
  <c r="U1684" i="1" s="1"/>
  <c r="U1685" i="1" a="1"/>
  <c r="U1685" i="1" s="1"/>
  <c r="U1686" i="1" a="1"/>
  <c r="U1686" i="1" s="1"/>
  <c r="U1687" i="1" a="1"/>
  <c r="U1687" i="1" s="1"/>
  <c r="U1688" i="1" a="1"/>
  <c r="U1688" i="1" s="1"/>
  <c r="U1689" i="1" a="1"/>
  <c r="U1689" i="1" s="1"/>
  <c r="U1690" i="1" a="1"/>
  <c r="U1690" i="1" s="1"/>
  <c r="U1691" i="1" a="1"/>
  <c r="U1691" i="1" s="1"/>
  <c r="U1692" i="1" a="1"/>
  <c r="U1692" i="1" s="1"/>
  <c r="U1693" i="1" a="1"/>
  <c r="U1693" i="1" s="1"/>
  <c r="U1694" i="1" a="1"/>
  <c r="U1694" i="1" s="1"/>
  <c r="U1695" i="1" a="1"/>
  <c r="U1695" i="1" s="1"/>
  <c r="U1696" i="1" a="1"/>
  <c r="U1696" i="1" s="1"/>
  <c r="U1697" i="1" a="1"/>
  <c r="U1697" i="1" s="1"/>
  <c r="U1698" i="1" a="1"/>
  <c r="U1698" i="1" s="1"/>
  <c r="U1699" i="1" a="1"/>
  <c r="U1699" i="1" s="1"/>
  <c r="U1700" i="1" a="1"/>
  <c r="U1700" i="1" s="1"/>
  <c r="U1701" i="1" a="1"/>
  <c r="U1701" i="1" s="1"/>
  <c r="U1702" i="1" a="1"/>
  <c r="U1702" i="1" s="1"/>
  <c r="U1703" i="1" a="1"/>
  <c r="U1703" i="1" s="1"/>
  <c r="U1704" i="1" a="1"/>
  <c r="U1704" i="1" s="1"/>
  <c r="U1705" i="1" a="1"/>
  <c r="U1705" i="1" s="1"/>
  <c r="U1706" i="1" a="1"/>
  <c r="U1706" i="1" s="1"/>
  <c r="U1707" i="1" a="1"/>
  <c r="U1707" i="1" s="1"/>
  <c r="U1708" i="1" a="1"/>
  <c r="U1708" i="1" s="1"/>
  <c r="U1709" i="1" a="1"/>
  <c r="U1709" i="1" s="1"/>
  <c r="U1710" i="1" a="1"/>
  <c r="U1710" i="1" s="1"/>
  <c r="U1711" i="1" a="1"/>
  <c r="U1711" i="1" s="1"/>
  <c r="U1712" i="1" a="1"/>
  <c r="U1712" i="1" s="1"/>
  <c r="U1713" i="1" a="1"/>
  <c r="U1713" i="1" s="1"/>
  <c r="U1714" i="1" a="1"/>
  <c r="U1714" i="1" s="1"/>
  <c r="U1715" i="1" a="1"/>
  <c r="U1715" i="1" s="1"/>
  <c r="U1716" i="1" a="1"/>
  <c r="U1716" i="1" s="1"/>
  <c r="U1717" i="1" a="1"/>
  <c r="U1717" i="1" s="1"/>
  <c r="U1718" i="1" a="1"/>
  <c r="U1718" i="1" s="1"/>
  <c r="U1719" i="1" a="1"/>
  <c r="U1719" i="1" s="1"/>
  <c r="U1720" i="1" a="1"/>
  <c r="U1720" i="1" s="1"/>
  <c r="U1721" i="1" a="1"/>
  <c r="U1721" i="1" s="1"/>
  <c r="U1722" i="1" a="1"/>
  <c r="U1722" i="1" s="1"/>
  <c r="U1723" i="1" a="1"/>
  <c r="U1723" i="1" s="1"/>
  <c r="U1724" i="1" a="1"/>
  <c r="U1724" i="1" s="1"/>
  <c r="U1725" i="1" a="1"/>
  <c r="U1725" i="1" s="1"/>
  <c r="U1726" i="1" a="1"/>
  <c r="U1726" i="1" s="1"/>
  <c r="U1727" i="1" a="1"/>
  <c r="U1727" i="1" s="1"/>
  <c r="U1728" i="1" a="1"/>
  <c r="U1728" i="1" s="1"/>
  <c r="U1729" i="1" a="1"/>
  <c r="U1729" i="1" s="1"/>
  <c r="U1730" i="1" a="1"/>
  <c r="U1730" i="1" s="1"/>
  <c r="U1731" i="1" a="1"/>
  <c r="U1731" i="1" s="1"/>
  <c r="U1732" i="1" a="1"/>
  <c r="U1732" i="1" s="1"/>
  <c r="U1733" i="1" a="1"/>
  <c r="U1733" i="1" s="1"/>
  <c r="U1734" i="1" a="1"/>
  <c r="U1734" i="1" s="1"/>
  <c r="U1735" i="1" a="1"/>
  <c r="U1735" i="1" s="1"/>
  <c r="U1736" i="1" a="1"/>
  <c r="U1736" i="1" s="1"/>
  <c r="U1737" i="1" a="1"/>
  <c r="U1737" i="1" s="1"/>
  <c r="U1738" i="1" a="1"/>
  <c r="U1738" i="1" s="1"/>
  <c r="U1739" i="1" a="1"/>
  <c r="U1739" i="1" s="1"/>
  <c r="U1740" i="1" a="1"/>
  <c r="U1740" i="1" s="1"/>
  <c r="U1741" i="1" a="1"/>
  <c r="U1741" i="1" s="1"/>
  <c r="U1742" i="1" a="1"/>
  <c r="U1742" i="1" s="1"/>
  <c r="U1743" i="1" a="1"/>
  <c r="U1743" i="1" s="1"/>
  <c r="U1744" i="1" a="1"/>
  <c r="U1744" i="1" s="1"/>
  <c r="U1745" i="1" a="1"/>
  <c r="U1745" i="1" s="1"/>
  <c r="U1746" i="1" a="1"/>
  <c r="U1746" i="1" s="1"/>
  <c r="U1747" i="1" a="1"/>
  <c r="U1747" i="1" s="1"/>
  <c r="U1748" i="1" a="1"/>
  <c r="U1748" i="1" s="1"/>
  <c r="U1749" i="1" a="1"/>
  <c r="U1749" i="1" s="1"/>
  <c r="U1750" i="1" a="1"/>
  <c r="U1750" i="1" s="1"/>
  <c r="U1751" i="1" a="1"/>
  <c r="U1751" i="1" s="1"/>
  <c r="U1752" i="1" a="1"/>
  <c r="U1752" i="1" s="1"/>
  <c r="U1753" i="1" a="1"/>
  <c r="U1753" i="1" s="1"/>
  <c r="U1754" i="1" a="1"/>
  <c r="U1754" i="1" s="1"/>
  <c r="U1755" i="1" a="1"/>
  <c r="U1755" i="1" s="1"/>
  <c r="U1756" i="1" a="1"/>
  <c r="U1756" i="1" s="1"/>
  <c r="U1757" i="1" a="1"/>
  <c r="U1757" i="1" s="1"/>
  <c r="U1758" i="1" a="1"/>
  <c r="U1758" i="1" s="1"/>
  <c r="U1759" i="1" a="1"/>
  <c r="U1759" i="1" s="1"/>
  <c r="U1760" i="1" a="1"/>
  <c r="U1760" i="1" s="1"/>
  <c r="U1761" i="1" a="1"/>
  <c r="U1761" i="1" s="1"/>
  <c r="U1762" i="1" a="1"/>
  <c r="U1762" i="1" s="1"/>
  <c r="U1763" i="1" a="1"/>
  <c r="U1763" i="1" s="1"/>
  <c r="U1764" i="1" a="1"/>
  <c r="U1764" i="1" s="1"/>
  <c r="U1765" i="1" a="1"/>
  <c r="U1765" i="1" s="1"/>
  <c r="U1766" i="1" a="1"/>
  <c r="U1766" i="1" s="1"/>
  <c r="U1767" i="1" a="1"/>
  <c r="U1767" i="1" s="1"/>
  <c r="U1768" i="1" a="1"/>
  <c r="U1768" i="1" s="1"/>
  <c r="U1769" i="1" a="1"/>
  <c r="U1769" i="1" s="1"/>
  <c r="U1770" i="1" a="1"/>
  <c r="U1770" i="1" s="1"/>
  <c r="U1771" i="1" a="1"/>
  <c r="U1771" i="1" s="1"/>
  <c r="U1772" i="1" a="1"/>
  <c r="U1772" i="1" s="1"/>
  <c r="U1773" i="1" a="1"/>
  <c r="U1773" i="1" s="1"/>
  <c r="U1774" i="1" a="1"/>
  <c r="U1774" i="1" s="1"/>
  <c r="U1775" i="1" a="1"/>
  <c r="U1775" i="1" s="1"/>
  <c r="U1776" i="1" a="1"/>
  <c r="U1776" i="1" s="1"/>
  <c r="U1777" i="1" a="1"/>
  <c r="U1777" i="1" s="1"/>
  <c r="U1778" i="1" a="1"/>
  <c r="U1778" i="1" s="1"/>
  <c r="U1779" i="1" a="1"/>
  <c r="U1779" i="1"/>
  <c r="U1780" i="1" a="1"/>
  <c r="U1780" i="1" s="1"/>
  <c r="U1781" i="1" a="1"/>
  <c r="U1781" i="1" s="1"/>
  <c r="U1782" i="1" a="1"/>
  <c r="U1782" i="1" s="1"/>
  <c r="U1783" i="1" a="1"/>
  <c r="U1783" i="1" s="1"/>
  <c r="U1784" i="1" a="1"/>
  <c r="U1784" i="1" s="1"/>
  <c r="U1785" i="1" a="1"/>
  <c r="U1785" i="1" s="1"/>
  <c r="U1786" i="1" a="1"/>
  <c r="U1786" i="1" s="1"/>
  <c r="U1787" i="1" a="1"/>
  <c r="U1787" i="1"/>
  <c r="U1788" i="1" a="1"/>
  <c r="U1788" i="1"/>
  <c r="U1789" i="1" a="1"/>
  <c r="U1789" i="1" s="1"/>
  <c r="U1790" i="1" a="1"/>
  <c r="U1790" i="1" s="1"/>
  <c r="U1791" i="1" a="1"/>
  <c r="U1791" i="1"/>
  <c r="U1792" i="1" a="1"/>
  <c r="U1792" i="1"/>
  <c r="U1793" i="1" a="1"/>
  <c r="U1793" i="1" s="1"/>
  <c r="U1794" i="1" a="1"/>
  <c r="U1794" i="1" s="1"/>
  <c r="U1795" i="1" a="1"/>
  <c r="U1795" i="1"/>
  <c r="U1796" i="1" a="1"/>
  <c r="U1796" i="1"/>
  <c r="U1797" i="1" a="1"/>
  <c r="U1797" i="1" s="1"/>
  <c r="U1798" i="1" a="1"/>
  <c r="U1798" i="1" s="1"/>
  <c r="U1799" i="1" a="1"/>
  <c r="U1799" i="1" s="1"/>
  <c r="U1800" i="1" a="1"/>
  <c r="U1800" i="1"/>
  <c r="U1801" i="1" a="1"/>
  <c r="U1801" i="1" s="1"/>
  <c r="U1802" i="1" a="1"/>
  <c r="U1802" i="1" s="1"/>
  <c r="U1803" i="1" a="1"/>
  <c r="U1803" i="1"/>
  <c r="U1804" i="1" a="1"/>
  <c r="U1804" i="1"/>
  <c r="U1805" i="1" a="1"/>
  <c r="U1805" i="1" s="1"/>
  <c r="U1806" i="1" a="1"/>
  <c r="U1806" i="1" s="1"/>
  <c r="U1807" i="1" a="1"/>
  <c r="U1807" i="1"/>
  <c r="U1808" i="1" a="1"/>
  <c r="U1808" i="1"/>
  <c r="U1809" i="1" a="1"/>
  <c r="U1809" i="1" s="1"/>
  <c r="U1810" i="1" a="1"/>
  <c r="U1810" i="1" s="1"/>
  <c r="U1811" i="1" a="1"/>
  <c r="U1811" i="1"/>
  <c r="U1812" i="1" a="1"/>
  <c r="U1812" i="1"/>
  <c r="U1813" i="1" a="1"/>
  <c r="U1813" i="1" s="1"/>
  <c r="U1814" i="1" a="1"/>
  <c r="U1814" i="1" s="1"/>
  <c r="U1815" i="1" a="1"/>
  <c r="U1815" i="1" s="1"/>
  <c r="U1816" i="1" a="1"/>
  <c r="U1816" i="1"/>
  <c r="U1817" i="1" a="1"/>
  <c r="U1817" i="1" s="1"/>
  <c r="U1818" i="1" a="1"/>
  <c r="U1818" i="1" s="1"/>
  <c r="U1819" i="1" a="1"/>
  <c r="U1819" i="1"/>
  <c r="U1820" i="1" a="1"/>
  <c r="U1820" i="1"/>
  <c r="U1821" i="1" a="1"/>
  <c r="U1821" i="1" s="1"/>
  <c r="U1822" i="1" a="1"/>
  <c r="U1822" i="1" s="1"/>
  <c r="U1823" i="1" a="1"/>
  <c r="U1823" i="1"/>
  <c r="U1824" i="1" a="1"/>
  <c r="U1824" i="1"/>
  <c r="U1825" i="1" a="1"/>
  <c r="U1825" i="1" s="1"/>
  <c r="U1826" i="1" a="1"/>
  <c r="U1826" i="1" s="1"/>
  <c r="U1827" i="1" a="1"/>
  <c r="U1827" i="1"/>
  <c r="U1828" i="1" a="1"/>
  <c r="U1828" i="1"/>
  <c r="U1829" i="1" a="1"/>
  <c r="U1829" i="1" s="1"/>
  <c r="U1830" i="1" a="1"/>
  <c r="U1830" i="1" s="1"/>
  <c r="U1831" i="1" a="1"/>
  <c r="U1831" i="1" s="1"/>
  <c r="U1832" i="1" a="1"/>
  <c r="U1832" i="1"/>
  <c r="U1833" i="1" a="1"/>
  <c r="U1833" i="1" s="1"/>
  <c r="U1834" i="1" a="1"/>
  <c r="U1834" i="1" s="1"/>
  <c r="U1835" i="1" a="1"/>
  <c r="U1835" i="1"/>
  <c r="U1836" i="1" a="1"/>
  <c r="U1836" i="1" s="1"/>
  <c r="U1837" i="1" a="1"/>
  <c r="U1837" i="1" s="1"/>
  <c r="U1838" i="1" a="1"/>
  <c r="U1838" i="1" s="1"/>
  <c r="U1839" i="1" a="1"/>
  <c r="U1839" i="1"/>
  <c r="U1840" i="1" a="1"/>
  <c r="U1840" i="1"/>
  <c r="U1841" i="1" a="1"/>
  <c r="U1841" i="1" s="1"/>
  <c r="U1842" i="1" a="1"/>
  <c r="U1842" i="1" s="1"/>
  <c r="U1843" i="1" a="1"/>
  <c r="U1843" i="1"/>
  <c r="U1844" i="1" a="1"/>
  <c r="U1844" i="1"/>
  <c r="U1845" i="1" a="1"/>
  <c r="U1845" i="1" s="1"/>
  <c r="U1846" i="1" a="1"/>
  <c r="U1846" i="1" s="1"/>
  <c r="U1847" i="1" a="1"/>
  <c r="U1847" i="1" s="1"/>
  <c r="U1848" i="1" a="1"/>
  <c r="U1848" i="1"/>
  <c r="U1849" i="1" a="1"/>
  <c r="U1849" i="1" s="1"/>
  <c r="U1850" i="1" a="1"/>
  <c r="U1850" i="1" s="1"/>
  <c r="U1851" i="1" a="1"/>
  <c r="U1851" i="1"/>
  <c r="U1852" i="1" a="1"/>
  <c r="U1852" i="1" s="1"/>
  <c r="U1853" i="1" a="1"/>
  <c r="U1853" i="1" s="1"/>
  <c r="U1854" i="1" a="1"/>
  <c r="U1854" i="1" s="1"/>
  <c r="U1855" i="1" a="1"/>
  <c r="U1855" i="1"/>
  <c r="U1856" i="1" a="1"/>
  <c r="U1856" i="1"/>
  <c r="U1857" i="1" a="1"/>
  <c r="U1857" i="1" s="1"/>
  <c r="U1858" i="1" a="1"/>
  <c r="U1858" i="1" s="1"/>
  <c r="U1859" i="1" a="1"/>
  <c r="U1859" i="1" s="1"/>
  <c r="U1860" i="1" a="1"/>
  <c r="U1860" i="1"/>
  <c r="U1861" i="1" a="1"/>
  <c r="U1861" i="1" s="1"/>
  <c r="U1862" i="1" a="1"/>
  <c r="U1862" i="1" s="1"/>
  <c r="U1863" i="1" a="1"/>
  <c r="U1863" i="1" s="1"/>
  <c r="U1864" i="1" a="1"/>
  <c r="U1864" i="1" s="1"/>
  <c r="U1865" i="1" a="1"/>
  <c r="U1865" i="1" s="1"/>
  <c r="U1866" i="1" a="1"/>
  <c r="U1866" i="1" s="1"/>
  <c r="U1867" i="1" a="1"/>
  <c r="U1867" i="1"/>
  <c r="U1868" i="1" a="1"/>
  <c r="U1868" i="1" s="1"/>
  <c r="U1869" i="1" a="1"/>
  <c r="U1869" i="1" s="1"/>
  <c r="U1870" i="1" a="1"/>
  <c r="U1870" i="1" s="1"/>
  <c r="U1871" i="1" a="1"/>
  <c r="U1871" i="1"/>
  <c r="U1872" i="1" a="1"/>
  <c r="U1872" i="1"/>
  <c r="U1873" i="1" a="1"/>
  <c r="U1873" i="1" s="1"/>
  <c r="U1874" i="1" a="1"/>
  <c r="U1874" i="1" s="1"/>
  <c r="U1875" i="1" a="1"/>
  <c r="U1875" i="1" s="1"/>
  <c r="U1876" i="1" a="1"/>
  <c r="U1876" i="1"/>
  <c r="U1877" i="1" a="1"/>
  <c r="U1877" i="1" s="1"/>
  <c r="U1878" i="1" a="1"/>
  <c r="U1878" i="1" s="1"/>
  <c r="U1879" i="1" a="1"/>
  <c r="U1879" i="1" s="1"/>
  <c r="U1880" i="1" a="1"/>
  <c r="U1880" i="1" s="1"/>
  <c r="U1881" i="1" a="1"/>
  <c r="U1881" i="1" s="1"/>
  <c r="U1882" i="1" a="1"/>
  <c r="U1882" i="1" s="1"/>
  <c r="U1883" i="1" a="1"/>
  <c r="U1883" i="1"/>
  <c r="U1884" i="1" a="1"/>
  <c r="U1884" i="1" s="1"/>
  <c r="U1885" i="1" a="1"/>
  <c r="U1885" i="1" s="1"/>
  <c r="U1886" i="1" a="1"/>
  <c r="U1886" i="1" s="1"/>
  <c r="U1887" i="1" a="1"/>
  <c r="U1887" i="1"/>
  <c r="U1888" i="1" a="1"/>
  <c r="U1888" i="1"/>
  <c r="U1889" i="1" a="1"/>
  <c r="U1889" i="1" s="1"/>
  <c r="U1890" i="1" a="1"/>
  <c r="U1890" i="1" s="1"/>
  <c r="U1891" i="1" a="1"/>
  <c r="U1891" i="1" s="1"/>
  <c r="U1892" i="1" a="1"/>
  <c r="U1892" i="1"/>
  <c r="U1893" i="1" a="1"/>
  <c r="U1893" i="1" s="1"/>
  <c r="U1894" i="1" a="1"/>
  <c r="U1894" i="1" s="1"/>
  <c r="U1895" i="1" a="1"/>
  <c r="U1895" i="1"/>
  <c r="U1896" i="1" a="1"/>
  <c r="U1896" i="1"/>
  <c r="U1897" i="1" a="1"/>
  <c r="U1897" i="1" s="1"/>
  <c r="U1898" i="1" a="1"/>
  <c r="U1898" i="1" s="1"/>
  <c r="U1899" i="1" a="1"/>
  <c r="U1899" i="1" s="1"/>
  <c r="U1900" i="1" a="1"/>
  <c r="U1900" i="1" s="1"/>
  <c r="U1901" i="1" a="1"/>
  <c r="U1901" i="1"/>
  <c r="U1902" i="1" a="1"/>
  <c r="U1902" i="1" s="1"/>
  <c r="U1903" i="1" a="1"/>
  <c r="U1903" i="1"/>
  <c r="U1904" i="1" a="1"/>
  <c r="U1904" i="1"/>
  <c r="U1905" i="1" a="1"/>
  <c r="U1905" i="1"/>
  <c r="U1906" i="1" a="1"/>
  <c r="U1906" i="1" s="1"/>
  <c r="U1907" i="1" a="1"/>
  <c r="U1907" i="1"/>
  <c r="U1908" i="1" a="1"/>
  <c r="U1908" i="1" s="1"/>
  <c r="U1909" i="1" a="1"/>
  <c r="U1909" i="1" s="1"/>
  <c r="U1910" i="1" a="1"/>
  <c r="U1910" i="1" s="1"/>
  <c r="U1911" i="1" a="1"/>
  <c r="U1911" i="1" s="1"/>
  <c r="U1912" i="1" a="1"/>
  <c r="U1912" i="1"/>
  <c r="U1913" i="1" a="1"/>
  <c r="U1913" i="1"/>
  <c r="U1914" i="1" a="1"/>
  <c r="U1914" i="1" s="1"/>
  <c r="U1915" i="1" a="1"/>
  <c r="U1915" i="1"/>
  <c r="U1916" i="1" a="1"/>
  <c r="U1916" i="1"/>
  <c r="U1917" i="1" a="1"/>
  <c r="U1917" i="1" s="1"/>
  <c r="U1918" i="1" a="1"/>
  <c r="U1918" i="1" s="1"/>
  <c r="U1919" i="1" a="1"/>
  <c r="U1919" i="1"/>
  <c r="U1920" i="1" a="1"/>
  <c r="U1920" i="1" s="1"/>
  <c r="U1921" i="1" a="1"/>
  <c r="U1921" i="1"/>
  <c r="U1922" i="1" a="1"/>
  <c r="U1922" i="1" s="1"/>
  <c r="U1923" i="1" a="1"/>
  <c r="U1923" i="1" s="1"/>
  <c r="U1924" i="1" a="1"/>
  <c r="U1924" i="1"/>
  <c r="U1925" i="1" a="1"/>
  <c r="U1925" i="1"/>
  <c r="U1926" i="1" a="1"/>
  <c r="U1926" i="1" s="1"/>
  <c r="U1927" i="1" a="1"/>
  <c r="U1927" i="1"/>
  <c r="U1928" i="1" a="1"/>
  <c r="U1928" i="1"/>
  <c r="U1929" i="1" a="1"/>
  <c r="U1929" i="1" s="1"/>
  <c r="U1930" i="1" a="1"/>
  <c r="U1930" i="1" s="1"/>
  <c r="U1931" i="1" a="1"/>
  <c r="U1931" i="1" s="1"/>
  <c r="U1932" i="1" a="1"/>
  <c r="U1932" i="1" s="1"/>
  <c r="U1933" i="1" a="1"/>
  <c r="U1933" i="1"/>
  <c r="U1934" i="1" a="1"/>
  <c r="U1934" i="1" s="1"/>
  <c r="U1935" i="1" a="1"/>
  <c r="U1935" i="1"/>
  <c r="U1936" i="1" a="1"/>
  <c r="U1936" i="1"/>
  <c r="U1937" i="1" a="1"/>
  <c r="U1937" i="1"/>
  <c r="U1938" i="1" a="1"/>
  <c r="U1938" i="1" s="1"/>
  <c r="U1939" i="1" a="1"/>
  <c r="U1939" i="1"/>
  <c r="U1940" i="1" a="1"/>
  <c r="U1940" i="1" s="1"/>
  <c r="U1941" i="1" a="1"/>
  <c r="U1941" i="1" s="1"/>
  <c r="U1942" i="1" a="1"/>
  <c r="U1942" i="1" s="1"/>
  <c r="U1943" i="1" a="1"/>
  <c r="U1943" i="1" s="1"/>
  <c r="U1944" i="1" a="1"/>
  <c r="U1944" i="1"/>
  <c r="U1945" i="1" a="1"/>
  <c r="U1945" i="1"/>
  <c r="U1946" i="1" a="1"/>
  <c r="U1946" i="1" s="1"/>
  <c r="U1947" i="1" a="1"/>
  <c r="U1947" i="1"/>
  <c r="U1948" i="1" a="1"/>
  <c r="U1948" i="1" s="1"/>
  <c r="U1949" i="1" a="1"/>
  <c r="U1949" i="1" s="1"/>
  <c r="U1950" i="1" a="1"/>
  <c r="U1950" i="1" s="1"/>
  <c r="U1951" i="1" a="1"/>
  <c r="U1951" i="1"/>
  <c r="U1952" i="1" a="1"/>
  <c r="U1952" i="1" s="1"/>
  <c r="U1953" i="1" a="1"/>
  <c r="U1953" i="1"/>
  <c r="U1954" i="1" a="1"/>
  <c r="U1954" i="1" s="1"/>
  <c r="U1955" i="1" a="1"/>
  <c r="U1955" i="1" s="1"/>
  <c r="U1956" i="1" a="1"/>
  <c r="U1956" i="1"/>
  <c r="U1957" i="1" a="1"/>
  <c r="U1957" i="1" s="1"/>
  <c r="U1958" i="1" a="1"/>
  <c r="U1958" i="1" s="1"/>
  <c r="U1959" i="1" a="1"/>
  <c r="U1959" i="1" s="1"/>
  <c r="U1960" i="1" a="1"/>
  <c r="U1960" i="1"/>
  <c r="U1961" i="1" a="1"/>
  <c r="U1961" i="1" s="1"/>
  <c r="U1962" i="1" a="1"/>
  <c r="U1962" i="1" s="1"/>
  <c r="U1963" i="1" a="1"/>
  <c r="U1963" i="1" s="1"/>
  <c r="U1964" i="1" a="1"/>
  <c r="U1964" i="1" s="1"/>
  <c r="U1965" i="1" a="1"/>
  <c r="U1965" i="1" s="1"/>
  <c r="U1966" i="1" a="1"/>
  <c r="U1966" i="1"/>
  <c r="U1967" i="1" a="1"/>
  <c r="U1967" i="1"/>
  <c r="U1968" i="1" a="1"/>
  <c r="U1968" i="1" s="1"/>
  <c r="U1969" i="1" a="1"/>
  <c r="U1969" i="1"/>
  <c r="U1970" i="1" a="1"/>
  <c r="U1970" i="1" s="1"/>
  <c r="U1971" i="1" a="1"/>
  <c r="U1971" i="1" s="1"/>
  <c r="U1972" i="1" a="1"/>
  <c r="U1972" i="1" s="1"/>
  <c r="U1973" i="1" a="1"/>
  <c r="U1973" i="1"/>
  <c r="U1974" i="1" a="1"/>
  <c r="U1974" i="1" s="1"/>
  <c r="U1975" i="1" a="1"/>
  <c r="U1975" i="1"/>
  <c r="U1976" i="1" a="1"/>
  <c r="U1976" i="1" s="1"/>
  <c r="U1977" i="1" a="1"/>
  <c r="U1977" i="1" s="1"/>
  <c r="U1978" i="1" a="1"/>
  <c r="U1978" i="1"/>
  <c r="U1979" i="1" a="1"/>
  <c r="U1979" i="1" s="1"/>
  <c r="U1980" i="1" a="1"/>
  <c r="U1980" i="1" s="1"/>
  <c r="U1981" i="1" a="1"/>
  <c r="U1981" i="1"/>
  <c r="U1982" i="1" a="1"/>
  <c r="U1982" i="1"/>
  <c r="U1983" i="1" a="1"/>
  <c r="U1983" i="1" s="1"/>
  <c r="U1984" i="1" a="1"/>
  <c r="U1984" i="1" s="1"/>
  <c r="U1985" i="1" a="1"/>
  <c r="U1985" i="1" s="1"/>
  <c r="U1986" i="1" a="1"/>
  <c r="U1986" i="1" s="1"/>
  <c r="U1987" i="1" a="1"/>
  <c r="U1987" i="1"/>
  <c r="U1988" i="1" a="1"/>
  <c r="U1988" i="1" s="1"/>
  <c r="U1989" i="1" a="1"/>
  <c r="U1989" i="1"/>
  <c r="U1990" i="1" a="1"/>
  <c r="U1990" i="1"/>
  <c r="U1991" i="1" a="1"/>
  <c r="U1991" i="1"/>
  <c r="U1992" i="1" a="1"/>
  <c r="U1992" i="1" s="1"/>
  <c r="U1993" i="1" a="1"/>
  <c r="U1993" i="1" s="1"/>
  <c r="U1994" i="1" a="1"/>
  <c r="U1994" i="1" s="1"/>
  <c r="U1995" i="1" a="1"/>
  <c r="U1995" i="1" s="1"/>
  <c r="U1996" i="1" a="1"/>
  <c r="U1996" i="1" s="1"/>
  <c r="U1997" i="1" a="1"/>
  <c r="U1997" i="1" s="1"/>
  <c r="U1998" i="1" a="1"/>
  <c r="U1998" i="1"/>
  <c r="U1999" i="1" a="1"/>
  <c r="U1999" i="1"/>
  <c r="U2000" i="1" a="1"/>
  <c r="U2000" i="1" s="1"/>
  <c r="U2001" i="1" a="1"/>
  <c r="U2001" i="1"/>
  <c r="U2002" i="1" a="1"/>
  <c r="U2002" i="1" s="1"/>
  <c r="U2003" i="1" a="1"/>
  <c r="U2003" i="1" s="1"/>
  <c r="U2004" i="1" a="1"/>
  <c r="U2004" i="1" s="1"/>
  <c r="U2005" i="1" a="1"/>
  <c r="U2005" i="1"/>
  <c r="U2006" i="1" a="1"/>
  <c r="U2006" i="1" s="1"/>
  <c r="U2007" i="1" a="1"/>
  <c r="U2007" i="1"/>
  <c r="U2008" i="1" a="1"/>
  <c r="U2008" i="1" s="1"/>
  <c r="U2009" i="1" a="1"/>
  <c r="U2009" i="1" s="1"/>
  <c r="U2010" i="1" a="1"/>
  <c r="U2010" i="1"/>
  <c r="U2011" i="1" a="1"/>
  <c r="U2011" i="1" s="1"/>
  <c r="U2012" i="1" a="1"/>
  <c r="U2012" i="1" s="1"/>
  <c r="U2013" i="1" a="1"/>
  <c r="U2013" i="1" s="1"/>
  <c r="U2014" i="1" a="1"/>
  <c r="U2014" i="1" s="1"/>
  <c r="U2015" i="1" a="1"/>
  <c r="U2015" i="1"/>
  <c r="U2016" i="1" a="1"/>
  <c r="U2016" i="1" s="1"/>
  <c r="U2017" i="1" a="1"/>
  <c r="U2017" i="1" s="1"/>
  <c r="U2018" i="1" a="1"/>
  <c r="U2018" i="1" s="1"/>
  <c r="U2019" i="1" a="1"/>
  <c r="U2019" i="1" s="1"/>
  <c r="U2020" i="1" a="1"/>
  <c r="U2020" i="1" s="1"/>
  <c r="U2021" i="1" a="1"/>
  <c r="U2021" i="1" s="1"/>
  <c r="U2022" i="1" a="1"/>
  <c r="U2022" i="1" s="1"/>
  <c r="U2023" i="1" a="1"/>
  <c r="U2023" i="1" s="1"/>
  <c r="U2024" i="1" a="1"/>
  <c r="U2024" i="1" s="1"/>
  <c r="U2025" i="1" a="1"/>
  <c r="U2025" i="1" s="1"/>
  <c r="U2026" i="1" a="1"/>
  <c r="U2026" i="1" s="1"/>
  <c r="U2027" i="1" a="1"/>
  <c r="U2027" i="1" s="1"/>
  <c r="U2028" i="1" a="1"/>
  <c r="U2028" i="1" s="1"/>
  <c r="U2029" i="1" a="1"/>
  <c r="U2029" i="1" s="1"/>
  <c r="U2030" i="1" a="1"/>
  <c r="U2030" i="1" s="1"/>
  <c r="U2031" i="1" a="1"/>
  <c r="U2031" i="1" s="1"/>
  <c r="U2032" i="1" a="1"/>
  <c r="U2032" i="1" s="1"/>
  <c r="U2033" i="1" a="1"/>
  <c r="U2033" i="1" s="1"/>
  <c r="U2034" i="1" a="1"/>
  <c r="U2034" i="1" s="1"/>
  <c r="U2035" i="1" a="1"/>
  <c r="U2035" i="1"/>
  <c r="U2036" i="1" a="1"/>
  <c r="U2036" i="1" s="1"/>
  <c r="U2037" i="1" a="1"/>
  <c r="U2037" i="1" s="1"/>
  <c r="U2038" i="1" a="1"/>
  <c r="U2038" i="1" s="1"/>
  <c r="U2039" i="1" a="1"/>
  <c r="U2039" i="1" s="1"/>
  <c r="U2040" i="1" a="1"/>
  <c r="U2040" i="1" s="1"/>
  <c r="U2041" i="1" a="1"/>
  <c r="U2041" i="1" s="1"/>
  <c r="U2042" i="1" a="1"/>
  <c r="U2042" i="1" s="1"/>
  <c r="U2043" i="1" a="1"/>
  <c r="U2043" i="1"/>
  <c r="U2044" i="1" a="1"/>
  <c r="U2044" i="1" s="1"/>
  <c r="U2045" i="1" a="1"/>
  <c r="U2045" i="1" s="1"/>
  <c r="U2046" i="1" a="1"/>
  <c r="U2046" i="1" s="1"/>
  <c r="U2047" i="1" a="1"/>
  <c r="U2047" i="1" s="1"/>
  <c r="U2048" i="1" a="1"/>
  <c r="U2048" i="1" s="1"/>
  <c r="U2049" i="1" a="1"/>
  <c r="U2049" i="1" s="1"/>
  <c r="U2050" i="1" a="1"/>
  <c r="U2050" i="1" s="1"/>
  <c r="U2051" i="1" a="1"/>
  <c r="U2051" i="1" s="1"/>
  <c r="U2052" i="1" a="1"/>
  <c r="U2052" i="1" s="1"/>
  <c r="U2053" i="1" a="1"/>
  <c r="U2053" i="1" s="1"/>
  <c r="U2054" i="1" a="1"/>
  <c r="U2054" i="1" s="1"/>
  <c r="U2055" i="1" a="1"/>
  <c r="U2055" i="1" s="1"/>
  <c r="U2056" i="1" a="1"/>
  <c r="U2056" i="1" s="1"/>
  <c r="U2057" i="1" a="1"/>
  <c r="U2057" i="1" s="1"/>
  <c r="U2058" i="1" a="1"/>
  <c r="U2058" i="1" s="1"/>
  <c r="U2059" i="1" a="1"/>
  <c r="U2059" i="1"/>
  <c r="U2060" i="1" a="1"/>
  <c r="U2060" i="1" s="1"/>
  <c r="U2061" i="1" a="1"/>
  <c r="U2061" i="1" s="1"/>
  <c r="U2062" i="1" a="1"/>
  <c r="U2062" i="1" s="1"/>
  <c r="U2063" i="1" a="1"/>
  <c r="U2063" i="1" s="1"/>
  <c r="U2064" i="1" a="1"/>
  <c r="U2064" i="1" s="1"/>
  <c r="U2065" i="1" a="1"/>
  <c r="U2065" i="1" s="1"/>
  <c r="U2066" i="1" a="1"/>
  <c r="U2066" i="1" s="1"/>
  <c r="U2067" i="1" a="1"/>
  <c r="U2067" i="1"/>
  <c r="U2068" i="1" a="1"/>
  <c r="U2068" i="1" s="1"/>
  <c r="U2069" i="1" a="1"/>
  <c r="U2069" i="1" s="1"/>
  <c r="U2070" i="1" a="1"/>
  <c r="U2070" i="1" s="1"/>
  <c r="U2071" i="1" a="1"/>
  <c r="U2071" i="1" s="1"/>
  <c r="U2072" i="1" a="1"/>
  <c r="U2072" i="1" s="1"/>
  <c r="U2073" i="1" a="1"/>
  <c r="U2073" i="1" s="1"/>
  <c r="U2074" i="1" a="1"/>
  <c r="U2074" i="1" s="1"/>
  <c r="U2075" i="1" a="1"/>
  <c r="U2075" i="1"/>
  <c r="U2076" i="1" a="1"/>
  <c r="U2076" i="1" s="1"/>
  <c r="U2077" i="1" a="1"/>
  <c r="U2077" i="1" s="1"/>
  <c r="U2078" i="1" a="1"/>
  <c r="U2078" i="1" s="1"/>
  <c r="U2079" i="1" a="1"/>
  <c r="U2079" i="1" s="1"/>
  <c r="U2080" i="1" a="1"/>
  <c r="U2080" i="1" s="1"/>
  <c r="U2081" i="1" a="1"/>
  <c r="U2081" i="1" s="1"/>
  <c r="U2082" i="1" a="1"/>
  <c r="U2082" i="1" s="1"/>
  <c r="U2083" i="1" a="1"/>
  <c r="U2083" i="1" s="1"/>
  <c r="U2084" i="1" a="1"/>
  <c r="U2084" i="1" s="1"/>
  <c r="U2085" i="1" a="1"/>
  <c r="U2085" i="1" s="1"/>
  <c r="U2086" i="1" a="1"/>
  <c r="U2086" i="1" s="1"/>
  <c r="U2087" i="1" a="1"/>
  <c r="U2087" i="1" s="1"/>
  <c r="U2088" i="1" a="1"/>
  <c r="U2088" i="1" s="1"/>
  <c r="U2089" i="1" a="1"/>
  <c r="U2089" i="1" s="1"/>
  <c r="U2090" i="1" a="1"/>
  <c r="U2090" i="1" s="1"/>
  <c r="U2091" i="1" a="1"/>
  <c r="U2091" i="1"/>
  <c r="U2092" i="1" a="1"/>
  <c r="U2092" i="1" s="1"/>
  <c r="U2093" i="1" a="1"/>
  <c r="U2093" i="1" s="1"/>
  <c r="U2094" i="1" a="1"/>
  <c r="U2094" i="1" s="1"/>
  <c r="U2095" i="1" a="1"/>
  <c r="U2095" i="1" s="1"/>
  <c r="U2096" i="1" a="1"/>
  <c r="U2096" i="1" s="1"/>
  <c r="U2097" i="1" a="1"/>
  <c r="U2097" i="1" s="1"/>
  <c r="U2098" i="1" a="1"/>
  <c r="U2098" i="1" s="1"/>
  <c r="U2099" i="1" a="1"/>
  <c r="U2099" i="1"/>
  <c r="U2100" i="1" a="1"/>
  <c r="U2100" i="1" s="1"/>
  <c r="U2101" i="1" a="1"/>
  <c r="U2101" i="1" s="1"/>
  <c r="U2102" i="1" a="1"/>
  <c r="U2102" i="1" s="1"/>
  <c r="U2103" i="1" a="1"/>
  <c r="U2103" i="1" s="1"/>
  <c r="U2104" i="1" a="1"/>
  <c r="U2104" i="1" s="1"/>
  <c r="U2105" i="1" a="1"/>
  <c r="U2105" i="1" s="1"/>
  <c r="U2106" i="1" a="1"/>
  <c r="U2106" i="1" s="1"/>
  <c r="U2107" i="1" a="1"/>
  <c r="U2107" i="1"/>
  <c r="U2108" i="1" a="1"/>
  <c r="U2108" i="1" s="1"/>
  <c r="U2109" i="1" a="1"/>
  <c r="U2109" i="1" s="1"/>
  <c r="U2110" i="1" a="1"/>
  <c r="U2110" i="1" s="1"/>
  <c r="U2111" i="1" a="1"/>
  <c r="U2111" i="1" s="1"/>
  <c r="U2112" i="1" a="1"/>
  <c r="U2112" i="1" s="1"/>
  <c r="U2113" i="1" a="1"/>
  <c r="U2113" i="1" s="1"/>
  <c r="U2114" i="1" a="1"/>
  <c r="U2114" i="1" s="1"/>
  <c r="U2115" i="1" a="1"/>
  <c r="U2115" i="1" s="1"/>
  <c r="U2116" i="1" a="1"/>
  <c r="U2116" i="1" s="1"/>
  <c r="U2117" i="1" a="1"/>
  <c r="U2117" i="1" s="1"/>
  <c r="U2118" i="1" a="1"/>
  <c r="U2118" i="1" s="1"/>
  <c r="U2119" i="1" a="1"/>
  <c r="U2119" i="1" s="1"/>
  <c r="U2120" i="1" a="1"/>
  <c r="U2120" i="1" s="1"/>
  <c r="U2121" i="1" a="1"/>
  <c r="U2121" i="1" s="1"/>
  <c r="U2122" i="1" a="1"/>
  <c r="U2122" i="1" s="1"/>
  <c r="U2123" i="1" a="1"/>
  <c r="U2123" i="1"/>
  <c r="U2124" i="1" a="1"/>
  <c r="U2124" i="1" s="1"/>
  <c r="U2125" i="1" a="1"/>
  <c r="U2125" i="1" s="1"/>
  <c r="U2126" i="1" a="1"/>
  <c r="U2126" i="1" s="1"/>
  <c r="U2127" i="1" a="1"/>
  <c r="U2127" i="1"/>
  <c r="U2128" i="1" a="1"/>
  <c r="U2128" i="1" s="1"/>
  <c r="U2129" i="1" a="1"/>
  <c r="U2129" i="1" s="1"/>
  <c r="U2130" i="1" a="1"/>
  <c r="U2130" i="1" s="1"/>
  <c r="U2131" i="1" a="1"/>
  <c r="U2131" i="1"/>
  <c r="U2132" i="1" a="1"/>
  <c r="U2132" i="1" s="1"/>
  <c r="U2133" i="1" a="1"/>
  <c r="U2133" i="1" s="1"/>
  <c r="U2134" i="1" a="1"/>
  <c r="U2134" i="1" s="1"/>
  <c r="U2135" i="1" a="1"/>
  <c r="U2135" i="1" s="1"/>
  <c r="U2136" i="1" a="1"/>
  <c r="U2136" i="1" s="1"/>
  <c r="U2137" i="1" a="1"/>
  <c r="U2137" i="1" s="1"/>
  <c r="U2138" i="1" a="1"/>
  <c r="U2138" i="1" s="1"/>
  <c r="U2139" i="1" a="1"/>
  <c r="U2139" i="1"/>
  <c r="U2140" i="1" a="1"/>
  <c r="U2140" i="1" s="1"/>
  <c r="U2141" i="1" a="1"/>
  <c r="U2141" i="1" s="1"/>
  <c r="U2142" i="1" a="1"/>
  <c r="U2142" i="1" s="1"/>
  <c r="U2143" i="1" a="1"/>
  <c r="U2143" i="1" s="1"/>
  <c r="U2144" i="1" a="1"/>
  <c r="U2144" i="1" s="1"/>
  <c r="U2145" i="1" a="1"/>
  <c r="U2145" i="1" s="1"/>
  <c r="U2146" i="1" a="1"/>
  <c r="U2146" i="1" s="1"/>
  <c r="U2147" i="1" a="1"/>
  <c r="U2147" i="1" s="1"/>
  <c r="U2148" i="1" a="1"/>
  <c r="U2148" i="1" s="1"/>
  <c r="U2149" i="1" a="1"/>
  <c r="U2149" i="1" s="1"/>
  <c r="U2150" i="1" a="1"/>
  <c r="U2150" i="1" s="1"/>
  <c r="U2151" i="1" a="1"/>
  <c r="U2151" i="1" s="1"/>
  <c r="U2152" i="1" a="1"/>
  <c r="U2152" i="1" s="1"/>
  <c r="U2153" i="1" a="1"/>
  <c r="U2153" i="1" s="1"/>
  <c r="U2154" i="1" a="1"/>
  <c r="U2154" i="1" s="1"/>
  <c r="U2155" i="1" a="1"/>
  <c r="U2155" i="1"/>
  <c r="U2156" i="1" a="1"/>
  <c r="U2156" i="1" s="1"/>
  <c r="U2157" i="1" a="1"/>
  <c r="U2157" i="1" s="1"/>
  <c r="U2158" i="1" a="1"/>
  <c r="U2158" i="1" s="1"/>
  <c r="U2159" i="1" a="1"/>
  <c r="U2159" i="1"/>
  <c r="U2160" i="1" a="1"/>
  <c r="U2160" i="1" s="1"/>
  <c r="U2161" i="1" a="1"/>
  <c r="U2161" i="1" s="1"/>
  <c r="U2162" i="1" a="1"/>
  <c r="U2162" i="1" s="1"/>
  <c r="U2163" i="1" a="1"/>
  <c r="U2163" i="1"/>
  <c r="U2164" i="1" a="1"/>
  <c r="U2164" i="1" s="1"/>
  <c r="U2165" i="1" a="1"/>
  <c r="U2165" i="1" s="1"/>
  <c r="U2166" i="1" a="1"/>
  <c r="U2166" i="1" s="1"/>
  <c r="U2167" i="1" a="1"/>
  <c r="U2167" i="1" s="1"/>
  <c r="U2168" i="1" a="1"/>
  <c r="U2168" i="1" s="1"/>
  <c r="U2169" i="1" a="1"/>
  <c r="U2169" i="1" s="1"/>
  <c r="U2170" i="1" a="1"/>
  <c r="U2170" i="1" s="1"/>
  <c r="U2171" i="1" a="1"/>
  <c r="U2171" i="1"/>
  <c r="U2172" i="1" a="1"/>
  <c r="U2172" i="1" s="1"/>
  <c r="U2173" i="1" a="1"/>
  <c r="U2173" i="1" s="1"/>
  <c r="U2174" i="1" a="1"/>
  <c r="U2174" i="1" s="1"/>
  <c r="U2175" i="1" a="1"/>
  <c r="U2175" i="1" s="1"/>
  <c r="U2176" i="1" a="1"/>
  <c r="U2176" i="1" s="1"/>
  <c r="U2177" i="1" a="1"/>
  <c r="U2177" i="1" s="1"/>
  <c r="U2178" i="1" a="1"/>
  <c r="U2178" i="1" s="1"/>
  <c r="U2179" i="1" a="1"/>
  <c r="U2179" i="1" s="1"/>
  <c r="U2180" i="1" a="1"/>
  <c r="U2180" i="1" s="1"/>
  <c r="U2181" i="1" a="1"/>
  <c r="U2181" i="1" s="1"/>
  <c r="U2182" i="1" a="1"/>
  <c r="U2182" i="1" s="1"/>
  <c r="U2183" i="1" a="1"/>
  <c r="U2183" i="1" s="1"/>
  <c r="U2184" i="1" a="1"/>
  <c r="U2184" i="1" s="1"/>
  <c r="U2185" i="1" a="1"/>
  <c r="U2185" i="1" s="1"/>
  <c r="U2186" i="1" a="1"/>
  <c r="U2186" i="1" s="1"/>
  <c r="U2187" i="1" a="1"/>
  <c r="U2187" i="1"/>
  <c r="U2188" i="1" a="1"/>
  <c r="U2188" i="1" s="1"/>
  <c r="U2189" i="1" a="1"/>
  <c r="U2189" i="1" s="1"/>
  <c r="U2190" i="1" a="1"/>
  <c r="U2190" i="1" s="1"/>
  <c r="U2191" i="1" a="1"/>
  <c r="U2191" i="1"/>
  <c r="U2192" i="1" a="1"/>
  <c r="U2192" i="1" s="1"/>
  <c r="U2193" i="1" a="1"/>
  <c r="U2193" i="1" s="1"/>
  <c r="U2194" i="1" a="1"/>
  <c r="U2194" i="1" s="1"/>
  <c r="U2195" i="1" a="1"/>
  <c r="U2195" i="1"/>
  <c r="U2196" i="1" a="1"/>
  <c r="U2196" i="1" s="1"/>
  <c r="U2197" i="1" a="1"/>
  <c r="U2197" i="1" s="1"/>
  <c r="U2198" i="1" a="1"/>
  <c r="U2198" i="1" s="1"/>
  <c r="U2199" i="1" a="1"/>
  <c r="U2199" i="1" s="1"/>
  <c r="U2200" i="1" a="1"/>
  <c r="U2200" i="1" s="1"/>
  <c r="U2201" i="1" a="1"/>
  <c r="U2201" i="1" s="1"/>
  <c r="U2202" i="1" a="1"/>
  <c r="U2202" i="1" s="1"/>
  <c r="U2203" i="1" a="1"/>
  <c r="U2203" i="1"/>
  <c r="U2204" i="1" a="1"/>
  <c r="U2204" i="1" s="1"/>
  <c r="U2205" i="1" a="1"/>
  <c r="U2205" i="1" s="1"/>
  <c r="U2206" i="1" a="1"/>
  <c r="U2206" i="1" s="1"/>
  <c r="U2207" i="1" a="1"/>
  <c r="U2207" i="1" s="1"/>
  <c r="U2208" i="1" a="1"/>
  <c r="U2208" i="1" s="1"/>
  <c r="U2209" i="1" a="1"/>
  <c r="U2209" i="1" s="1"/>
  <c r="U2210" i="1" a="1"/>
  <c r="U2210" i="1" s="1"/>
  <c r="U2211" i="1" a="1"/>
  <c r="U2211" i="1" s="1"/>
  <c r="U2212" i="1" a="1"/>
  <c r="U2212" i="1" s="1"/>
  <c r="U2213" i="1" a="1"/>
  <c r="U2213" i="1" s="1"/>
  <c r="U2214" i="1" a="1"/>
  <c r="U2214" i="1" s="1"/>
  <c r="U2215" i="1" a="1"/>
  <c r="U2215" i="1" s="1"/>
  <c r="U2216" i="1" a="1"/>
  <c r="U2216" i="1" s="1"/>
  <c r="U2217" i="1" a="1"/>
  <c r="U2217" i="1" s="1"/>
  <c r="U2218" i="1" a="1"/>
  <c r="U2218" i="1" s="1"/>
  <c r="U2219" i="1" a="1"/>
  <c r="U2219" i="1"/>
  <c r="U2220" i="1" a="1"/>
  <c r="U2220" i="1" s="1"/>
  <c r="U2221" i="1" a="1"/>
  <c r="U2221" i="1" s="1"/>
  <c r="U2222" i="1" a="1"/>
  <c r="U2222" i="1" s="1"/>
  <c r="U2223" i="1" a="1"/>
  <c r="U2223" i="1"/>
  <c r="U2224" i="1" a="1"/>
  <c r="U2224" i="1" s="1"/>
  <c r="U2225" i="1" a="1"/>
  <c r="U2225" i="1" s="1"/>
  <c r="U2226" i="1" a="1"/>
  <c r="U2226" i="1" s="1"/>
  <c r="U2227" i="1" a="1"/>
  <c r="U2227" i="1"/>
  <c r="U2228" i="1" a="1"/>
  <c r="U2228" i="1" s="1"/>
  <c r="U2229" i="1" a="1"/>
  <c r="U2229" i="1" s="1"/>
  <c r="U2230" i="1" a="1"/>
  <c r="U2230" i="1" s="1"/>
  <c r="U2231" i="1" a="1"/>
  <c r="U2231" i="1" s="1"/>
  <c r="U2232" i="1" a="1"/>
  <c r="U2232" i="1" s="1"/>
  <c r="U2233" i="1" a="1"/>
  <c r="U2233" i="1" s="1"/>
  <c r="U2234" i="1" a="1"/>
  <c r="U2234" i="1" s="1"/>
  <c r="U2235" i="1" a="1"/>
  <c r="U2235" i="1"/>
  <c r="U2236" i="1" a="1"/>
  <c r="U2236" i="1" s="1"/>
  <c r="U2237" i="1" a="1"/>
  <c r="U2237" i="1" s="1"/>
  <c r="U2238" i="1" a="1"/>
  <c r="U2238" i="1" s="1"/>
  <c r="U2239" i="1" a="1"/>
  <c r="U2239" i="1" s="1"/>
  <c r="U2240" i="1" a="1"/>
  <c r="U2240" i="1" s="1"/>
  <c r="U2241" i="1" a="1"/>
  <c r="U2241" i="1" s="1"/>
  <c r="U2242" i="1" a="1"/>
  <c r="U2242" i="1" s="1"/>
  <c r="U2243" i="1" a="1"/>
  <c r="U2243" i="1" s="1"/>
  <c r="U2244" i="1" a="1"/>
  <c r="U2244" i="1" s="1"/>
  <c r="U2245" i="1" a="1"/>
  <c r="U2245" i="1" s="1"/>
  <c r="U2246" i="1" a="1"/>
  <c r="U2246" i="1" s="1"/>
  <c r="U2247" i="1" a="1"/>
  <c r="U2247" i="1" s="1"/>
  <c r="U2248" i="1" a="1"/>
  <c r="U2248" i="1" s="1"/>
  <c r="U2249" i="1" a="1"/>
  <c r="U2249" i="1" s="1"/>
  <c r="U2250" i="1" a="1"/>
  <c r="U2250" i="1" s="1"/>
  <c r="U2251" i="1" a="1"/>
  <c r="U2251" i="1"/>
  <c r="U2252" i="1" a="1"/>
  <c r="U2252" i="1" s="1"/>
  <c r="U2253" i="1" a="1"/>
  <c r="U2253" i="1" s="1"/>
  <c r="U2254" i="1" a="1"/>
  <c r="U2254" i="1" s="1"/>
  <c r="U2255" i="1" a="1"/>
  <c r="U2255" i="1"/>
  <c r="U2256" i="1" a="1"/>
  <c r="U2256" i="1" s="1"/>
  <c r="U2257" i="1" a="1"/>
  <c r="U2257" i="1" s="1"/>
  <c r="U2258" i="1" a="1"/>
  <c r="U2258" i="1" s="1"/>
  <c r="U2259" i="1" a="1"/>
  <c r="U2259" i="1"/>
  <c r="U2260" i="1" a="1"/>
  <c r="U2260" i="1" s="1"/>
  <c r="U2261" i="1" a="1"/>
  <c r="U2261" i="1" s="1"/>
  <c r="U2262" i="1" a="1"/>
  <c r="U2262" i="1" s="1"/>
  <c r="U2263" i="1" a="1"/>
  <c r="U2263" i="1" s="1"/>
  <c r="U2264" i="1" a="1"/>
  <c r="U2264" i="1" s="1"/>
  <c r="U2265" i="1" a="1"/>
  <c r="U2265" i="1" s="1"/>
  <c r="U2266" i="1" a="1"/>
  <c r="U2266" i="1" s="1"/>
  <c r="U2267" i="1" a="1"/>
  <c r="U2267" i="1"/>
  <c r="U2268" i="1" a="1"/>
  <c r="U2268" i="1" s="1"/>
  <c r="U2269" i="1" a="1"/>
  <c r="U2269" i="1" s="1"/>
  <c r="U2270" i="1" a="1"/>
  <c r="U2270" i="1" s="1"/>
  <c r="U2271" i="1" a="1"/>
  <c r="U2271" i="1" s="1"/>
  <c r="U2272" i="1" a="1"/>
  <c r="U2272" i="1" s="1"/>
  <c r="U2273" i="1" a="1"/>
  <c r="U2273" i="1" s="1"/>
  <c r="U2274" i="1" a="1"/>
  <c r="U2274" i="1" s="1"/>
  <c r="U2275" i="1" a="1"/>
  <c r="U2275" i="1" s="1"/>
  <c r="U2276" i="1" a="1"/>
  <c r="U2276" i="1" s="1"/>
  <c r="U2277" i="1" a="1"/>
  <c r="U2277" i="1" s="1"/>
  <c r="U2278" i="1" a="1"/>
  <c r="U2278" i="1" s="1"/>
  <c r="U2279" i="1" a="1"/>
  <c r="U2279" i="1" s="1"/>
  <c r="U2280" i="1" a="1"/>
  <c r="U2280" i="1" s="1"/>
  <c r="U2281" i="1" a="1"/>
  <c r="U2281" i="1" s="1"/>
  <c r="U2282" i="1" a="1"/>
  <c r="U2282" i="1" s="1"/>
  <c r="U2283" i="1" a="1"/>
  <c r="U2283" i="1"/>
  <c r="U2284" i="1" a="1"/>
  <c r="U2284" i="1" s="1"/>
  <c r="U2285" i="1" a="1"/>
  <c r="U2285" i="1" s="1"/>
  <c r="U2286" i="1" a="1"/>
  <c r="U2286" i="1" s="1"/>
  <c r="U2287" i="1" a="1"/>
  <c r="U2287" i="1"/>
  <c r="U2288" i="1" a="1"/>
  <c r="U2288" i="1" s="1"/>
  <c r="U2289" i="1" a="1"/>
  <c r="U2289" i="1" s="1"/>
  <c r="U2290" i="1" a="1"/>
  <c r="U2290" i="1" s="1"/>
  <c r="U2291" i="1" a="1"/>
  <c r="U2291" i="1"/>
  <c r="U2292" i="1" a="1"/>
  <c r="U2292" i="1" s="1"/>
  <c r="U2293" i="1" a="1"/>
  <c r="U2293" i="1" s="1"/>
  <c r="U2294" i="1" a="1"/>
  <c r="U2294" i="1" s="1"/>
  <c r="U2295" i="1" a="1"/>
  <c r="U2295" i="1" s="1"/>
  <c r="U2296" i="1" a="1"/>
  <c r="U2296" i="1" s="1"/>
  <c r="U2297" i="1" a="1"/>
  <c r="U2297" i="1" s="1"/>
  <c r="U2298" i="1" a="1"/>
  <c r="U2298" i="1" s="1"/>
  <c r="U2299" i="1" a="1"/>
  <c r="U2299" i="1"/>
  <c r="U2300" i="1" a="1"/>
  <c r="U2300" i="1" s="1"/>
  <c r="U2301" i="1" a="1"/>
  <c r="U2301" i="1" s="1"/>
  <c r="U2302" i="1" a="1"/>
  <c r="U2302" i="1" s="1"/>
  <c r="U2303" i="1" a="1"/>
  <c r="U2303" i="1" s="1"/>
  <c r="U2304" i="1" a="1"/>
  <c r="U2304" i="1" s="1"/>
  <c r="U2305" i="1" a="1"/>
  <c r="U2305" i="1" s="1"/>
  <c r="U2306" i="1" a="1"/>
  <c r="U2306" i="1" s="1"/>
  <c r="U2307" i="1" a="1"/>
  <c r="U2307" i="1" s="1"/>
  <c r="U2308" i="1" a="1"/>
  <c r="U2308" i="1" s="1"/>
  <c r="U2309" i="1" a="1"/>
  <c r="U2309" i="1" s="1"/>
  <c r="U2310" i="1" a="1"/>
  <c r="U2310" i="1" s="1"/>
  <c r="U2311" i="1" a="1"/>
  <c r="U2311" i="1" s="1"/>
  <c r="U2312" i="1" a="1"/>
  <c r="U2312" i="1" s="1"/>
  <c r="U2313" i="1" a="1"/>
  <c r="U2313" i="1" s="1"/>
  <c r="U2314" i="1" a="1"/>
  <c r="U2314" i="1" s="1"/>
  <c r="U2315" i="1" a="1"/>
  <c r="U2315" i="1"/>
  <c r="U2316" i="1" a="1"/>
  <c r="U2316" i="1" s="1"/>
  <c r="U2317" i="1" a="1"/>
  <c r="U2317" i="1" s="1"/>
  <c r="U2318" i="1" a="1"/>
  <c r="U2318" i="1" s="1"/>
  <c r="U2319" i="1" a="1"/>
  <c r="U2319" i="1"/>
  <c r="U2320" i="1" a="1"/>
  <c r="U2320" i="1" s="1"/>
  <c r="U2321" i="1" a="1"/>
  <c r="U2321" i="1" s="1"/>
  <c r="U2322" i="1" a="1"/>
  <c r="U2322" i="1" s="1"/>
  <c r="U2323" i="1" a="1"/>
  <c r="U2323" i="1"/>
  <c r="U2324" i="1" a="1"/>
  <c r="U2324" i="1" s="1"/>
  <c r="U2325" i="1" a="1"/>
  <c r="U2325" i="1" s="1"/>
  <c r="U2326" i="1" a="1"/>
  <c r="U2326" i="1" s="1"/>
  <c r="U2327" i="1" a="1"/>
  <c r="U2327" i="1" s="1"/>
  <c r="U2328" i="1" a="1"/>
  <c r="U2328" i="1" s="1"/>
  <c r="U2329" i="1" a="1"/>
  <c r="U2329" i="1" s="1"/>
  <c r="U2330" i="1" a="1"/>
  <c r="U2330" i="1" s="1"/>
  <c r="U2331" i="1" a="1"/>
  <c r="U2331" i="1"/>
  <c r="U2332" i="1" a="1"/>
  <c r="U2332" i="1" s="1"/>
  <c r="U2333" i="1" a="1"/>
  <c r="U2333" i="1" s="1"/>
  <c r="U2334" i="1" a="1"/>
  <c r="U2334" i="1" s="1"/>
  <c r="U2335" i="1" a="1"/>
  <c r="U2335" i="1" s="1"/>
  <c r="U2336" i="1" a="1"/>
  <c r="U2336" i="1" s="1"/>
  <c r="U2337" i="1" a="1"/>
  <c r="U2337" i="1" s="1"/>
  <c r="U2338" i="1" a="1"/>
  <c r="U2338" i="1" s="1"/>
  <c r="U2339" i="1" a="1"/>
  <c r="U2339" i="1" s="1"/>
  <c r="U2340" i="1" a="1"/>
  <c r="U2340" i="1" s="1"/>
  <c r="U2341" i="1" a="1"/>
  <c r="U2341" i="1" s="1"/>
  <c r="U2342" i="1" a="1"/>
  <c r="U2342" i="1" s="1"/>
  <c r="U2343" i="1" a="1"/>
  <c r="U2343" i="1" s="1"/>
  <c r="U2344" i="1" a="1"/>
  <c r="U2344" i="1" s="1"/>
  <c r="U2345" i="1" a="1"/>
  <c r="U2345" i="1" s="1"/>
  <c r="U2346" i="1" a="1"/>
  <c r="U2346" i="1" s="1"/>
  <c r="U2347" i="1" a="1"/>
  <c r="U2347" i="1"/>
  <c r="U2348" i="1" a="1"/>
  <c r="U2348" i="1" s="1"/>
  <c r="U2349" i="1" a="1"/>
  <c r="U2349" i="1" s="1"/>
  <c r="U2350" i="1" a="1"/>
  <c r="U2350" i="1" s="1"/>
  <c r="U2351" i="1" a="1"/>
  <c r="U2351" i="1"/>
  <c r="U2352" i="1" a="1"/>
  <c r="U2352" i="1" s="1"/>
  <c r="U2353" i="1" a="1"/>
  <c r="U2353" i="1" s="1"/>
  <c r="U2354" i="1" a="1"/>
  <c r="U2354" i="1" s="1"/>
  <c r="U2355" i="1" a="1"/>
  <c r="U2355" i="1"/>
  <c r="U2356" i="1" a="1"/>
  <c r="U2356" i="1" s="1"/>
  <c r="U2357" i="1" a="1"/>
  <c r="U2357" i="1" s="1"/>
  <c r="U2358" i="1" a="1"/>
  <c r="U2358" i="1" s="1"/>
  <c r="U2359" i="1" a="1"/>
  <c r="U2359" i="1" s="1"/>
  <c r="U2360" i="1" a="1"/>
  <c r="U2360" i="1" s="1"/>
  <c r="U2361" i="1" a="1"/>
  <c r="U2361" i="1" s="1"/>
  <c r="U2362" i="1" a="1"/>
  <c r="U2362" i="1" s="1"/>
  <c r="U2363" i="1" a="1"/>
  <c r="U2363" i="1"/>
  <c r="U2364" i="1" a="1"/>
  <c r="U2364" i="1" s="1"/>
  <c r="U2365" i="1" a="1"/>
  <c r="U2365" i="1" s="1"/>
  <c r="U2366" i="1" a="1"/>
  <c r="U2366" i="1" s="1"/>
  <c r="U2367" i="1" a="1"/>
  <c r="U2367" i="1" s="1"/>
  <c r="U2368" i="1" a="1"/>
  <c r="U2368" i="1" s="1"/>
  <c r="U2369" i="1" a="1"/>
  <c r="U2369" i="1" s="1"/>
  <c r="U2370" i="1" a="1"/>
  <c r="U2370" i="1" s="1"/>
  <c r="U2371" i="1" a="1"/>
  <c r="U2371" i="1" s="1"/>
  <c r="U2372" i="1" a="1"/>
  <c r="U2372" i="1" s="1"/>
  <c r="U2373" i="1" a="1"/>
  <c r="U2373" i="1" s="1"/>
  <c r="U2374" i="1" a="1"/>
  <c r="U2374" i="1" s="1"/>
  <c r="U2375" i="1" a="1"/>
  <c r="U2375" i="1" s="1"/>
  <c r="U2376" i="1" a="1"/>
  <c r="U2376" i="1" s="1"/>
  <c r="U2377" i="1" a="1"/>
  <c r="U2377" i="1" s="1"/>
  <c r="U2378" i="1" a="1"/>
  <c r="U2378" i="1" s="1"/>
  <c r="U2379" i="1" a="1"/>
  <c r="U2379" i="1"/>
  <c r="U2380" i="1" a="1"/>
  <c r="U2380" i="1" s="1"/>
  <c r="U2381" i="1" a="1"/>
  <c r="U2381" i="1" s="1"/>
  <c r="U2382" i="1" a="1"/>
  <c r="U2382" i="1" s="1"/>
  <c r="U2383" i="1" a="1"/>
  <c r="U2383" i="1"/>
  <c r="U2384" i="1" a="1"/>
  <c r="U2384" i="1" s="1"/>
  <c r="U2385" i="1" a="1"/>
  <c r="U2385" i="1" s="1"/>
  <c r="U2386" i="1" a="1"/>
  <c r="U2386" i="1" s="1"/>
  <c r="U2387" i="1" a="1"/>
  <c r="U2387" i="1"/>
  <c r="U2388" i="1" a="1"/>
  <c r="U2388" i="1" s="1"/>
  <c r="U2389" i="1" a="1"/>
  <c r="U2389" i="1" s="1"/>
  <c r="U2390" i="1" a="1"/>
  <c r="U2390" i="1" s="1"/>
  <c r="U2391" i="1" a="1"/>
  <c r="U2391" i="1" s="1"/>
  <c r="U2392" i="1" a="1"/>
  <c r="U2392" i="1" s="1"/>
  <c r="U2393" i="1" a="1"/>
  <c r="U2393" i="1" s="1"/>
  <c r="U2394" i="1" a="1"/>
  <c r="U2394" i="1" s="1"/>
  <c r="U2395" i="1" a="1"/>
  <c r="U2395" i="1"/>
  <c r="U2396" i="1" a="1"/>
  <c r="U2396" i="1" s="1"/>
  <c r="U2397" i="1" a="1"/>
  <c r="U2397" i="1" s="1"/>
  <c r="U2398" i="1" a="1"/>
  <c r="U2398" i="1" s="1"/>
  <c r="U2399" i="1" a="1"/>
  <c r="U2399" i="1" s="1"/>
  <c r="U2400" i="1" a="1"/>
  <c r="U2400" i="1" s="1"/>
  <c r="U2401" i="1" a="1"/>
  <c r="U2401" i="1" s="1"/>
  <c r="U2402" i="1" a="1"/>
  <c r="U2402" i="1" s="1"/>
  <c r="U2403" i="1" a="1"/>
  <c r="U2403" i="1" s="1"/>
  <c r="U2404" i="1" a="1"/>
  <c r="U2404" i="1" s="1"/>
  <c r="U2405" i="1" a="1"/>
  <c r="U2405" i="1" s="1"/>
  <c r="U2406" i="1" a="1"/>
  <c r="U2406" i="1" s="1"/>
  <c r="U2407" i="1" a="1"/>
  <c r="U2407" i="1" s="1"/>
  <c r="U2408" i="1" a="1"/>
  <c r="U2408" i="1" s="1"/>
  <c r="U2409" i="1" a="1"/>
  <c r="U2409" i="1" s="1"/>
  <c r="U2410" i="1" a="1"/>
  <c r="U2410" i="1" s="1"/>
  <c r="U2411" i="1" a="1"/>
  <c r="U2411" i="1"/>
  <c r="U2412" i="1" a="1"/>
  <c r="U2412" i="1" s="1"/>
  <c r="U2413" i="1" a="1"/>
  <c r="U2413" i="1" s="1"/>
  <c r="U2414" i="1" a="1"/>
  <c r="U2414" i="1" s="1"/>
  <c r="U2415" i="1" a="1"/>
  <c r="U2415" i="1"/>
  <c r="U2416" i="1" a="1"/>
  <c r="U2416" i="1" s="1"/>
  <c r="U2417" i="1" a="1"/>
  <c r="U2417" i="1" s="1"/>
  <c r="U2418" i="1" a="1"/>
  <c r="U2418" i="1" s="1"/>
  <c r="U2419" i="1" a="1"/>
  <c r="U2419" i="1"/>
  <c r="U2420" i="1" a="1"/>
  <c r="U2420" i="1" s="1"/>
  <c r="U2421" i="1" a="1"/>
  <c r="U2421" i="1" s="1"/>
  <c r="U2422" i="1" a="1"/>
  <c r="U2422" i="1" s="1"/>
  <c r="U2423" i="1" a="1"/>
  <c r="U2423" i="1" s="1"/>
  <c r="U2424" i="1" a="1"/>
  <c r="U2424" i="1" s="1"/>
  <c r="U2425" i="1" a="1"/>
  <c r="U2425" i="1" s="1"/>
  <c r="U2426" i="1" a="1"/>
  <c r="U2426" i="1" s="1"/>
  <c r="U2427" i="1" a="1"/>
  <c r="U2427" i="1"/>
  <c r="U2428" i="1" a="1"/>
  <c r="U2428" i="1" s="1"/>
  <c r="U2429" i="1" a="1"/>
  <c r="U2429" i="1" s="1"/>
  <c r="U2430" i="1" a="1"/>
  <c r="U2430" i="1" s="1"/>
  <c r="U2431" i="1" a="1"/>
  <c r="U2431" i="1" s="1"/>
  <c r="U2432" i="1" a="1"/>
  <c r="U2432" i="1" s="1"/>
  <c r="U2433" i="1" a="1"/>
  <c r="U2433" i="1" s="1"/>
  <c r="U2434" i="1" a="1"/>
  <c r="U2434" i="1" s="1"/>
  <c r="U2435" i="1" a="1"/>
  <c r="U2435" i="1" s="1"/>
  <c r="U2436" i="1" a="1"/>
  <c r="U2436" i="1" s="1"/>
  <c r="U2437" i="1" a="1"/>
  <c r="U2437" i="1" s="1"/>
  <c r="U2438" i="1" a="1"/>
  <c r="U2438" i="1" s="1"/>
  <c r="U2439" i="1" a="1"/>
  <c r="U2439" i="1" s="1"/>
  <c r="U2440" i="1" a="1"/>
  <c r="U2440" i="1" s="1"/>
  <c r="U2441" i="1" a="1"/>
  <c r="U2441" i="1" s="1"/>
  <c r="U2442" i="1" a="1"/>
  <c r="U2442" i="1" s="1"/>
  <c r="U2443" i="1" a="1"/>
  <c r="U2443" i="1"/>
  <c r="U2444" i="1" a="1"/>
  <c r="U2444" i="1" s="1"/>
  <c r="U2445" i="1" a="1"/>
  <c r="U2445" i="1" s="1"/>
  <c r="U2446" i="1" a="1"/>
  <c r="U2446" i="1" s="1"/>
  <c r="U2447" i="1" a="1"/>
  <c r="U2447" i="1"/>
  <c r="U2448" i="1" a="1"/>
  <c r="U2448" i="1" s="1"/>
  <c r="U2449" i="1" a="1"/>
  <c r="U2449" i="1" s="1"/>
  <c r="U2450" i="1" a="1"/>
  <c r="U2450" i="1" s="1"/>
  <c r="U2451" i="1" a="1"/>
  <c r="U2451" i="1"/>
  <c r="U2452" i="1" a="1"/>
  <c r="U2452" i="1" s="1"/>
  <c r="U2453" i="1" a="1"/>
  <c r="U2453" i="1" s="1"/>
  <c r="U2454" i="1" a="1"/>
  <c r="U2454" i="1" s="1"/>
  <c r="U2455" i="1" a="1"/>
  <c r="U2455" i="1" s="1"/>
  <c r="U2456" i="1" a="1"/>
  <c r="U2456" i="1" s="1"/>
  <c r="U2457" i="1" a="1"/>
  <c r="U2457" i="1" s="1"/>
  <c r="U2458" i="1" a="1"/>
  <c r="U2458" i="1" s="1"/>
  <c r="U2459" i="1" a="1"/>
  <c r="U2459" i="1"/>
  <c r="U2460" i="1" a="1"/>
  <c r="U2460" i="1" s="1"/>
  <c r="U2461" i="1" a="1"/>
  <c r="U2461" i="1" s="1"/>
  <c r="U2462" i="1" a="1"/>
  <c r="U2462" i="1" s="1"/>
  <c r="U2463" i="1" a="1"/>
  <c r="U2463" i="1" s="1"/>
  <c r="U2464" i="1" a="1"/>
  <c r="U2464" i="1" s="1"/>
  <c r="U2465" i="1" a="1"/>
  <c r="U2465" i="1" s="1"/>
  <c r="U2466" i="1" a="1"/>
  <c r="U2466" i="1" s="1"/>
  <c r="U2467" i="1" a="1"/>
  <c r="U2467" i="1" s="1"/>
  <c r="U2468" i="1" a="1"/>
  <c r="U2468" i="1" s="1"/>
  <c r="U2469" i="1" a="1"/>
  <c r="U2469" i="1" s="1"/>
  <c r="U2470" i="1" a="1"/>
  <c r="U2470" i="1" s="1"/>
  <c r="U2471" i="1" a="1"/>
  <c r="U2471" i="1" s="1"/>
  <c r="U2472" i="1" a="1"/>
  <c r="U2472" i="1" s="1"/>
  <c r="U2473" i="1" a="1"/>
  <c r="U2473" i="1" s="1"/>
  <c r="U2474" i="1" a="1"/>
  <c r="U2474" i="1" s="1"/>
  <c r="U2475" i="1" a="1"/>
  <c r="U2475" i="1"/>
  <c r="U2476" i="1" a="1"/>
  <c r="U2476" i="1" s="1"/>
  <c r="U2477" i="1" a="1"/>
  <c r="U2477" i="1" s="1"/>
  <c r="U2478" i="1" a="1"/>
  <c r="U2478" i="1" s="1"/>
  <c r="U2479" i="1" a="1"/>
  <c r="U2479" i="1"/>
  <c r="U2480" i="1" a="1"/>
  <c r="U2480" i="1" s="1"/>
  <c r="U2481" i="1" a="1"/>
  <c r="U2481" i="1" s="1"/>
  <c r="U2482" i="1" a="1"/>
  <c r="U2482" i="1" s="1"/>
  <c r="U2483" i="1" a="1"/>
  <c r="U2483" i="1"/>
  <c r="U2484" i="1" a="1"/>
  <c r="U2484" i="1" s="1"/>
  <c r="U2485" i="1" a="1"/>
  <c r="U2485" i="1" s="1"/>
  <c r="U2486" i="1" a="1"/>
  <c r="U2486" i="1" s="1"/>
  <c r="U2487" i="1" a="1"/>
  <c r="U2487" i="1" s="1"/>
  <c r="U2488" i="1" a="1"/>
  <c r="U2488" i="1" s="1"/>
  <c r="U2489" i="1" a="1"/>
  <c r="U2489" i="1" s="1"/>
  <c r="U2490" i="1" a="1"/>
  <c r="U2490" i="1" s="1"/>
  <c r="U2491" i="1" a="1"/>
  <c r="U2491" i="1"/>
  <c r="U2492" i="1" a="1"/>
  <c r="U2492" i="1" s="1"/>
  <c r="U2493" i="1" a="1"/>
  <c r="U2493" i="1" s="1"/>
  <c r="U2494" i="1" a="1"/>
  <c r="U2494" i="1" s="1"/>
  <c r="U2495" i="1" a="1"/>
  <c r="U2495" i="1" s="1"/>
  <c r="U2496" i="1" a="1"/>
  <c r="U2496" i="1" s="1"/>
  <c r="U2497" i="1" a="1"/>
  <c r="U2497" i="1" s="1"/>
  <c r="U2498" i="1" a="1"/>
  <c r="U2498" i="1" s="1"/>
  <c r="U2499" i="1" a="1"/>
  <c r="U2499" i="1" s="1"/>
  <c r="U2500" i="1" a="1"/>
  <c r="U2500" i="1" s="1"/>
  <c r="U2501" i="1" a="1"/>
  <c r="U2501" i="1" s="1"/>
  <c r="U2502" i="1" a="1"/>
  <c r="U2502" i="1" s="1"/>
  <c r="U2503" i="1" a="1"/>
  <c r="U2503" i="1" s="1"/>
  <c r="U2504" i="1" a="1"/>
  <c r="U2504" i="1" s="1"/>
  <c r="U2505" i="1" a="1"/>
  <c r="U2505" i="1" s="1"/>
  <c r="U2506" i="1" a="1"/>
  <c r="U2506" i="1" s="1"/>
  <c r="U2507" i="1" a="1"/>
  <c r="U2507" i="1"/>
  <c r="U2508" i="1" a="1"/>
  <c r="U2508" i="1" s="1"/>
  <c r="U2509" i="1" a="1"/>
  <c r="U2509" i="1" s="1"/>
  <c r="U2510" i="1" a="1"/>
  <c r="U2510" i="1" s="1"/>
  <c r="U2511" i="1" a="1"/>
  <c r="U2511" i="1"/>
  <c r="U2512" i="1" a="1"/>
  <c r="U2512" i="1" s="1"/>
  <c r="U2513" i="1" a="1"/>
  <c r="U2513" i="1" s="1"/>
  <c r="U2" i="1" a="1"/>
  <c r="U2" i="1" s="1"/>
  <c r="E2" i="1"/>
  <c r="T2" i="1" s="1"/>
  <c r="F2" i="1"/>
  <c r="E3" i="1"/>
  <c r="T3" i="1" s="1"/>
  <c r="F3" i="1"/>
  <c r="E4" i="1"/>
  <c r="T4" i="1" s="1"/>
  <c r="F4" i="1"/>
  <c r="E5" i="1"/>
  <c r="T5" i="1" s="1"/>
  <c r="F5" i="1"/>
  <c r="E6" i="1"/>
  <c r="T6" i="1" s="1"/>
  <c r="F6" i="1"/>
  <c r="E7" i="1"/>
  <c r="T7" i="1" s="1"/>
  <c r="F7" i="1"/>
  <c r="E8" i="1"/>
  <c r="T8" i="1" s="1"/>
  <c r="F8" i="1"/>
  <c r="E9" i="1"/>
  <c r="T9" i="1" s="1"/>
  <c r="F9" i="1"/>
  <c r="E10" i="1"/>
  <c r="T10" i="1" s="1"/>
  <c r="F10" i="1"/>
  <c r="E11" i="1"/>
  <c r="T11" i="1" s="1"/>
  <c r="F11" i="1"/>
  <c r="E12" i="1"/>
  <c r="T12" i="1" s="1"/>
  <c r="F12" i="1"/>
  <c r="E13" i="1"/>
  <c r="T13" i="1" s="1"/>
  <c r="F13" i="1"/>
  <c r="E14" i="1"/>
  <c r="T14" i="1" s="1"/>
  <c r="F14" i="1"/>
  <c r="E15" i="1"/>
  <c r="T15" i="1" s="1"/>
  <c r="F15" i="1"/>
  <c r="E16" i="1"/>
  <c r="T16" i="1" s="1"/>
  <c r="F16" i="1"/>
  <c r="E17" i="1"/>
  <c r="T17" i="1" s="1"/>
  <c r="F17" i="1"/>
  <c r="E18" i="1"/>
  <c r="T18" i="1" s="1"/>
  <c r="F18" i="1"/>
  <c r="E19" i="1"/>
  <c r="T19" i="1" s="1"/>
  <c r="F19" i="1"/>
  <c r="E20" i="1"/>
  <c r="T20" i="1" s="1"/>
  <c r="F20" i="1"/>
  <c r="E21" i="1"/>
  <c r="T21" i="1" s="1"/>
  <c r="F21" i="1"/>
  <c r="E22" i="1"/>
  <c r="T22" i="1" s="1"/>
  <c r="F22" i="1"/>
  <c r="E23" i="1"/>
  <c r="T23" i="1" s="1"/>
  <c r="F23" i="1"/>
  <c r="E24" i="1"/>
  <c r="T24" i="1" s="1"/>
  <c r="F24" i="1"/>
  <c r="E25" i="1"/>
  <c r="T25" i="1" s="1"/>
  <c r="F25" i="1"/>
  <c r="E26" i="1"/>
  <c r="T26" i="1" s="1"/>
  <c r="F26" i="1"/>
  <c r="E27" i="1"/>
  <c r="T27" i="1" s="1"/>
  <c r="F27" i="1"/>
  <c r="E28" i="1"/>
  <c r="T28" i="1" s="1"/>
  <c r="F28" i="1"/>
  <c r="E29" i="1"/>
  <c r="T29" i="1" s="1"/>
  <c r="F29" i="1"/>
  <c r="E30" i="1"/>
  <c r="T30" i="1" s="1"/>
  <c r="F30" i="1"/>
  <c r="E31" i="1"/>
  <c r="T31" i="1" s="1"/>
  <c r="F31" i="1"/>
  <c r="E32" i="1"/>
  <c r="T32" i="1" s="1"/>
  <c r="F32" i="1"/>
  <c r="E33" i="1"/>
  <c r="T33" i="1" s="1"/>
  <c r="F33" i="1"/>
  <c r="E34" i="1"/>
  <c r="T34" i="1" s="1"/>
  <c r="F34" i="1"/>
  <c r="E35" i="1"/>
  <c r="T35" i="1" s="1"/>
  <c r="F35" i="1"/>
  <c r="E36" i="1"/>
  <c r="T36" i="1" s="1"/>
  <c r="F36" i="1"/>
  <c r="E37" i="1"/>
  <c r="T37" i="1" s="1"/>
  <c r="F37" i="1"/>
  <c r="E38" i="1"/>
  <c r="T38" i="1" s="1"/>
  <c r="F38" i="1"/>
  <c r="E39" i="1"/>
  <c r="T39" i="1" s="1"/>
  <c r="F39" i="1"/>
  <c r="E40" i="1"/>
  <c r="T40" i="1" s="1"/>
  <c r="F40" i="1"/>
  <c r="E41" i="1"/>
  <c r="T41" i="1" s="1"/>
  <c r="F41" i="1"/>
  <c r="E42" i="1"/>
  <c r="T42" i="1" s="1"/>
  <c r="F42" i="1"/>
  <c r="E43" i="1"/>
  <c r="T43" i="1" s="1"/>
  <c r="F43" i="1"/>
  <c r="E44" i="1"/>
  <c r="T44" i="1" s="1"/>
  <c r="F44" i="1"/>
  <c r="E45" i="1"/>
  <c r="T45" i="1" s="1"/>
  <c r="F45" i="1"/>
  <c r="E46" i="1"/>
  <c r="T46" i="1" s="1"/>
  <c r="F46" i="1"/>
  <c r="E47" i="1"/>
  <c r="T47" i="1" s="1"/>
  <c r="F47" i="1"/>
  <c r="E48" i="1"/>
  <c r="T48" i="1" s="1"/>
  <c r="F48" i="1"/>
  <c r="E49" i="1"/>
  <c r="T49" i="1" s="1"/>
  <c r="F49" i="1"/>
  <c r="E50" i="1"/>
  <c r="T50" i="1" s="1"/>
  <c r="F50" i="1"/>
  <c r="E51" i="1"/>
  <c r="T51" i="1" s="1"/>
  <c r="F51" i="1"/>
  <c r="E52" i="1"/>
  <c r="T52" i="1" s="1"/>
  <c r="F52" i="1"/>
  <c r="E53" i="1"/>
  <c r="T53" i="1" s="1"/>
  <c r="F53" i="1"/>
  <c r="E54" i="1"/>
  <c r="T54" i="1" s="1"/>
  <c r="F54" i="1"/>
  <c r="E55" i="1"/>
  <c r="T55" i="1" s="1"/>
  <c r="F55" i="1"/>
  <c r="E56" i="1"/>
  <c r="T56" i="1" s="1"/>
  <c r="F56" i="1"/>
  <c r="E57" i="1"/>
  <c r="T57" i="1" s="1"/>
  <c r="F57" i="1"/>
  <c r="E58" i="1"/>
  <c r="T58" i="1" s="1"/>
  <c r="F58" i="1"/>
  <c r="E59" i="1"/>
  <c r="T59" i="1" s="1"/>
  <c r="F59" i="1"/>
  <c r="E60" i="1"/>
  <c r="T60" i="1" s="1"/>
  <c r="F60" i="1"/>
  <c r="E61" i="1"/>
  <c r="T61" i="1" s="1"/>
  <c r="F61" i="1"/>
  <c r="E62" i="1"/>
  <c r="T62" i="1" s="1"/>
  <c r="F62" i="1"/>
  <c r="E63" i="1"/>
  <c r="T63" i="1" s="1"/>
  <c r="F63" i="1"/>
  <c r="E64" i="1"/>
  <c r="T64" i="1" s="1"/>
  <c r="F64" i="1"/>
  <c r="E65" i="1"/>
  <c r="T65" i="1" s="1"/>
  <c r="F65" i="1"/>
  <c r="E66" i="1"/>
  <c r="T66" i="1" s="1"/>
  <c r="F66" i="1"/>
  <c r="E67" i="1"/>
  <c r="T67" i="1" s="1"/>
  <c r="F67" i="1"/>
  <c r="E68" i="1"/>
  <c r="T68" i="1" s="1"/>
  <c r="F68" i="1"/>
  <c r="E69" i="1"/>
  <c r="T69" i="1" s="1"/>
  <c r="F69" i="1"/>
  <c r="E70" i="1"/>
  <c r="T70" i="1" s="1"/>
  <c r="F70" i="1"/>
  <c r="E71" i="1"/>
  <c r="T71" i="1" s="1"/>
  <c r="F71" i="1"/>
  <c r="E72" i="1"/>
  <c r="T72" i="1" s="1"/>
  <c r="F72" i="1"/>
  <c r="E73" i="1"/>
  <c r="T73" i="1" s="1"/>
  <c r="F73" i="1"/>
  <c r="E74" i="1"/>
  <c r="T74" i="1" s="1"/>
  <c r="F74" i="1"/>
  <c r="E75" i="1"/>
  <c r="T75" i="1" s="1"/>
  <c r="F75" i="1"/>
  <c r="E76" i="1"/>
  <c r="T76" i="1" s="1"/>
  <c r="F76" i="1"/>
  <c r="E77" i="1"/>
  <c r="T77" i="1" s="1"/>
  <c r="F77" i="1"/>
  <c r="E78" i="1"/>
  <c r="T78" i="1" s="1"/>
  <c r="F78" i="1"/>
  <c r="E79" i="1"/>
  <c r="T79" i="1" s="1"/>
  <c r="F79" i="1"/>
  <c r="E80" i="1"/>
  <c r="T80" i="1" s="1"/>
  <c r="F80" i="1"/>
  <c r="E81" i="1"/>
  <c r="T81" i="1" s="1"/>
  <c r="F81" i="1"/>
  <c r="E82" i="1"/>
  <c r="T82" i="1" s="1"/>
  <c r="F82" i="1"/>
  <c r="E83" i="1"/>
  <c r="T83" i="1" s="1"/>
  <c r="F83" i="1"/>
  <c r="E84" i="1"/>
  <c r="T84" i="1" s="1"/>
  <c r="F84" i="1"/>
  <c r="E85" i="1"/>
  <c r="T85" i="1" s="1"/>
  <c r="F85" i="1"/>
  <c r="E86" i="1"/>
  <c r="T86" i="1" s="1"/>
  <c r="F86" i="1"/>
  <c r="E87" i="1"/>
  <c r="T87" i="1" s="1"/>
  <c r="F87" i="1"/>
  <c r="E88" i="1"/>
  <c r="T88" i="1" s="1"/>
  <c r="F88" i="1"/>
  <c r="E89" i="1"/>
  <c r="T89" i="1" s="1"/>
  <c r="F89" i="1"/>
  <c r="E90" i="1"/>
  <c r="T90" i="1" s="1"/>
  <c r="F90" i="1"/>
  <c r="E91" i="1"/>
  <c r="T91" i="1" s="1"/>
  <c r="F91" i="1"/>
  <c r="E92" i="1"/>
  <c r="T92" i="1" s="1"/>
  <c r="F92" i="1"/>
  <c r="E93" i="1"/>
  <c r="T93" i="1" s="1"/>
  <c r="F93" i="1"/>
  <c r="E94" i="1"/>
  <c r="T94" i="1" s="1"/>
  <c r="F94" i="1"/>
  <c r="E95" i="1"/>
  <c r="T95" i="1" s="1"/>
  <c r="F95" i="1"/>
  <c r="E96" i="1"/>
  <c r="T96" i="1" s="1"/>
  <c r="F96" i="1"/>
  <c r="E97" i="1"/>
  <c r="T97" i="1" s="1"/>
  <c r="F97" i="1"/>
  <c r="E98" i="1"/>
  <c r="T98" i="1" s="1"/>
  <c r="F98" i="1"/>
  <c r="E99" i="1"/>
  <c r="T99" i="1" s="1"/>
  <c r="F99" i="1"/>
  <c r="E100" i="1"/>
  <c r="T100" i="1" s="1"/>
  <c r="F100" i="1"/>
  <c r="E101" i="1"/>
  <c r="T101" i="1" s="1"/>
  <c r="F101" i="1"/>
  <c r="E102" i="1"/>
  <c r="T102" i="1" s="1"/>
  <c r="F102" i="1"/>
  <c r="E103" i="1"/>
  <c r="T103" i="1" s="1"/>
  <c r="F103" i="1"/>
  <c r="E104" i="1"/>
  <c r="T104" i="1" s="1"/>
  <c r="F104" i="1"/>
  <c r="E105" i="1"/>
  <c r="T105" i="1" s="1"/>
  <c r="F105" i="1"/>
  <c r="E106" i="1"/>
  <c r="T106" i="1" s="1"/>
  <c r="F106" i="1"/>
  <c r="E107" i="1"/>
  <c r="T107" i="1" s="1"/>
  <c r="F107" i="1"/>
  <c r="E108" i="1"/>
  <c r="T108" i="1" s="1"/>
  <c r="F108" i="1"/>
  <c r="E109" i="1"/>
  <c r="T109" i="1" s="1"/>
  <c r="F109" i="1"/>
  <c r="E110" i="1"/>
  <c r="T110" i="1" s="1"/>
  <c r="F110" i="1"/>
  <c r="E111" i="1"/>
  <c r="T111" i="1" s="1"/>
  <c r="F111" i="1"/>
  <c r="E112" i="1"/>
  <c r="T112" i="1" s="1"/>
  <c r="F112" i="1"/>
  <c r="E113" i="1"/>
  <c r="T113" i="1" s="1"/>
  <c r="F113" i="1"/>
  <c r="E114" i="1"/>
  <c r="T114" i="1" s="1"/>
  <c r="F114" i="1"/>
  <c r="E115" i="1"/>
  <c r="T115" i="1" s="1"/>
  <c r="F115" i="1"/>
  <c r="E116" i="1"/>
  <c r="T116" i="1" s="1"/>
  <c r="F116" i="1"/>
  <c r="E117" i="1"/>
  <c r="T117" i="1" s="1"/>
  <c r="F117" i="1"/>
  <c r="E118" i="1"/>
  <c r="T118" i="1" s="1"/>
  <c r="F118" i="1"/>
  <c r="E119" i="1"/>
  <c r="T119" i="1" s="1"/>
  <c r="F119" i="1"/>
  <c r="E120" i="1"/>
  <c r="T120" i="1" s="1"/>
  <c r="F120" i="1"/>
  <c r="E121" i="1"/>
  <c r="T121" i="1" s="1"/>
  <c r="F121" i="1"/>
  <c r="E122" i="1"/>
  <c r="T122" i="1" s="1"/>
  <c r="F122" i="1"/>
  <c r="E123" i="1"/>
  <c r="T123" i="1" s="1"/>
  <c r="F123" i="1"/>
  <c r="E124" i="1"/>
  <c r="T124" i="1" s="1"/>
  <c r="F124" i="1"/>
  <c r="E125" i="1"/>
  <c r="T125" i="1" s="1"/>
  <c r="F125" i="1"/>
  <c r="E126" i="1"/>
  <c r="T126" i="1" s="1"/>
  <c r="F126" i="1"/>
  <c r="E127" i="1"/>
  <c r="T127" i="1" s="1"/>
  <c r="F127" i="1"/>
  <c r="E128" i="1"/>
  <c r="T128" i="1" s="1"/>
  <c r="F128" i="1"/>
  <c r="E129" i="1"/>
  <c r="T129" i="1" s="1"/>
  <c r="F129" i="1"/>
  <c r="E130" i="1"/>
  <c r="T130" i="1" s="1"/>
  <c r="F130" i="1"/>
  <c r="E131" i="1"/>
  <c r="T131" i="1" s="1"/>
  <c r="F131" i="1"/>
  <c r="E132" i="1"/>
  <c r="T132" i="1" s="1"/>
  <c r="F132" i="1"/>
  <c r="E133" i="1"/>
  <c r="T133" i="1" s="1"/>
  <c r="F133" i="1"/>
  <c r="E134" i="1"/>
  <c r="T134" i="1" s="1"/>
  <c r="F134" i="1"/>
  <c r="E135" i="1"/>
  <c r="T135" i="1" s="1"/>
  <c r="F135" i="1"/>
  <c r="E136" i="1"/>
  <c r="T136" i="1" s="1"/>
  <c r="F136" i="1"/>
  <c r="E137" i="1"/>
  <c r="T137" i="1" s="1"/>
  <c r="F137" i="1"/>
  <c r="E138" i="1"/>
  <c r="T138" i="1" s="1"/>
  <c r="F138" i="1"/>
  <c r="E139" i="1"/>
  <c r="T139" i="1" s="1"/>
  <c r="F139" i="1"/>
  <c r="E140" i="1"/>
  <c r="T140" i="1" s="1"/>
  <c r="F140" i="1"/>
  <c r="E141" i="1"/>
  <c r="T141" i="1" s="1"/>
  <c r="F141" i="1"/>
  <c r="E142" i="1"/>
  <c r="T142" i="1" s="1"/>
  <c r="F142" i="1"/>
  <c r="E143" i="1"/>
  <c r="T143" i="1" s="1"/>
  <c r="F143" i="1"/>
  <c r="E144" i="1"/>
  <c r="T144" i="1" s="1"/>
  <c r="F144" i="1"/>
  <c r="E145" i="1"/>
  <c r="T145" i="1" s="1"/>
  <c r="F145" i="1"/>
  <c r="E146" i="1"/>
  <c r="T146" i="1" s="1"/>
  <c r="F146" i="1"/>
  <c r="E147" i="1"/>
  <c r="T147" i="1" s="1"/>
  <c r="F147" i="1"/>
  <c r="E148" i="1"/>
  <c r="T148" i="1" s="1"/>
  <c r="F148" i="1"/>
  <c r="E149" i="1"/>
  <c r="T149" i="1" s="1"/>
  <c r="F149" i="1"/>
  <c r="E150" i="1"/>
  <c r="T150" i="1" s="1"/>
  <c r="F150" i="1"/>
  <c r="E151" i="1"/>
  <c r="T151" i="1" s="1"/>
  <c r="F151" i="1"/>
  <c r="E152" i="1"/>
  <c r="T152" i="1" s="1"/>
  <c r="F152" i="1"/>
  <c r="E153" i="1"/>
  <c r="T153" i="1" s="1"/>
  <c r="F153" i="1"/>
  <c r="E154" i="1"/>
  <c r="T154" i="1" s="1"/>
  <c r="F154" i="1"/>
  <c r="E155" i="1"/>
  <c r="T155" i="1" s="1"/>
  <c r="F155" i="1"/>
  <c r="E156" i="1"/>
  <c r="T156" i="1" s="1"/>
  <c r="F156" i="1"/>
  <c r="E157" i="1"/>
  <c r="T157" i="1" s="1"/>
  <c r="F157" i="1"/>
  <c r="E158" i="1"/>
  <c r="T158" i="1" s="1"/>
  <c r="F158" i="1"/>
  <c r="E159" i="1"/>
  <c r="T159" i="1" s="1"/>
  <c r="F159" i="1"/>
  <c r="E160" i="1"/>
  <c r="T160" i="1" s="1"/>
  <c r="F160" i="1"/>
  <c r="E161" i="1"/>
  <c r="T161" i="1" s="1"/>
  <c r="F161" i="1"/>
  <c r="E162" i="1"/>
  <c r="T162" i="1" s="1"/>
  <c r="F162" i="1"/>
  <c r="E163" i="1"/>
  <c r="T163" i="1" s="1"/>
  <c r="F163" i="1"/>
  <c r="E164" i="1"/>
  <c r="T164" i="1" s="1"/>
  <c r="F164" i="1"/>
  <c r="E165" i="1"/>
  <c r="T165" i="1" s="1"/>
  <c r="F165" i="1"/>
  <c r="E166" i="1"/>
  <c r="T166" i="1" s="1"/>
  <c r="F166" i="1"/>
  <c r="E167" i="1"/>
  <c r="T167" i="1" s="1"/>
  <c r="F167" i="1"/>
  <c r="E168" i="1"/>
  <c r="T168" i="1" s="1"/>
  <c r="F168" i="1"/>
  <c r="E169" i="1"/>
  <c r="T169" i="1" s="1"/>
  <c r="F169" i="1"/>
  <c r="E170" i="1"/>
  <c r="T170" i="1" s="1"/>
  <c r="F170" i="1"/>
  <c r="E171" i="1"/>
  <c r="T171" i="1" s="1"/>
  <c r="F171" i="1"/>
  <c r="E172" i="1"/>
  <c r="T172" i="1" s="1"/>
  <c r="F172" i="1"/>
  <c r="E173" i="1"/>
  <c r="T173" i="1" s="1"/>
  <c r="F173" i="1"/>
  <c r="E174" i="1"/>
  <c r="T174" i="1" s="1"/>
  <c r="F174" i="1"/>
  <c r="E175" i="1"/>
  <c r="T175" i="1" s="1"/>
  <c r="F175" i="1"/>
  <c r="E176" i="1"/>
  <c r="T176" i="1" s="1"/>
  <c r="F176" i="1"/>
  <c r="E177" i="1"/>
  <c r="T177" i="1" s="1"/>
  <c r="F177" i="1"/>
  <c r="E178" i="1"/>
  <c r="T178" i="1" s="1"/>
  <c r="F178" i="1"/>
  <c r="E179" i="1"/>
  <c r="T179" i="1" s="1"/>
  <c r="F179" i="1"/>
  <c r="E180" i="1"/>
  <c r="T180" i="1" s="1"/>
  <c r="F180" i="1"/>
  <c r="E181" i="1"/>
  <c r="T181" i="1" s="1"/>
  <c r="F181" i="1"/>
  <c r="E182" i="1"/>
  <c r="T182" i="1" s="1"/>
  <c r="F182" i="1"/>
  <c r="E183" i="1"/>
  <c r="T183" i="1" s="1"/>
  <c r="F183" i="1"/>
  <c r="E184" i="1"/>
  <c r="T184" i="1" s="1"/>
  <c r="F184" i="1"/>
  <c r="E185" i="1"/>
  <c r="T185" i="1" s="1"/>
  <c r="F185" i="1"/>
  <c r="E186" i="1"/>
  <c r="T186" i="1" s="1"/>
  <c r="F186" i="1"/>
  <c r="E187" i="1"/>
  <c r="T187" i="1" s="1"/>
  <c r="F187" i="1"/>
  <c r="E188" i="1"/>
  <c r="T188" i="1" s="1"/>
  <c r="F188" i="1"/>
  <c r="E189" i="1"/>
  <c r="T189" i="1" s="1"/>
  <c r="F189" i="1"/>
  <c r="E190" i="1"/>
  <c r="T190" i="1" s="1"/>
  <c r="F190" i="1"/>
  <c r="E191" i="1"/>
  <c r="T191" i="1" s="1"/>
  <c r="F191" i="1"/>
  <c r="E192" i="1"/>
  <c r="T192" i="1" s="1"/>
  <c r="F192" i="1"/>
  <c r="E193" i="1"/>
  <c r="T193" i="1" s="1"/>
  <c r="F193" i="1"/>
  <c r="E194" i="1"/>
  <c r="T194" i="1" s="1"/>
  <c r="F194" i="1"/>
  <c r="E195" i="1"/>
  <c r="T195" i="1" s="1"/>
  <c r="F195" i="1"/>
  <c r="E196" i="1"/>
  <c r="T196" i="1" s="1"/>
  <c r="F196" i="1"/>
  <c r="E197" i="1"/>
  <c r="T197" i="1" s="1"/>
  <c r="F197" i="1"/>
  <c r="E198" i="1"/>
  <c r="T198" i="1" s="1"/>
  <c r="F198" i="1"/>
  <c r="E199" i="1"/>
  <c r="T199" i="1" s="1"/>
  <c r="F199" i="1"/>
  <c r="E200" i="1"/>
  <c r="T200" i="1" s="1"/>
  <c r="F200" i="1"/>
  <c r="E201" i="1"/>
  <c r="T201" i="1" s="1"/>
  <c r="F201" i="1"/>
  <c r="E202" i="1"/>
  <c r="T202" i="1" s="1"/>
  <c r="F202" i="1"/>
  <c r="E203" i="1"/>
  <c r="T203" i="1" s="1"/>
  <c r="F203" i="1"/>
  <c r="E204" i="1"/>
  <c r="T204" i="1" s="1"/>
  <c r="F204" i="1"/>
  <c r="E205" i="1"/>
  <c r="T205" i="1" s="1"/>
  <c r="F205" i="1"/>
  <c r="E206" i="1"/>
  <c r="T206" i="1" s="1"/>
  <c r="F206" i="1"/>
  <c r="E207" i="1"/>
  <c r="T207" i="1" s="1"/>
  <c r="F207" i="1"/>
  <c r="E208" i="1"/>
  <c r="T208" i="1" s="1"/>
  <c r="F208" i="1"/>
  <c r="E209" i="1"/>
  <c r="T209" i="1" s="1"/>
  <c r="F209" i="1"/>
  <c r="E210" i="1"/>
  <c r="T210" i="1" s="1"/>
  <c r="F210" i="1"/>
  <c r="E211" i="1"/>
  <c r="T211" i="1" s="1"/>
  <c r="F211" i="1"/>
  <c r="E212" i="1"/>
  <c r="T212" i="1" s="1"/>
  <c r="F212" i="1"/>
  <c r="E213" i="1"/>
  <c r="T213" i="1" s="1"/>
  <c r="F213" i="1"/>
  <c r="E214" i="1"/>
  <c r="T214" i="1" s="1"/>
  <c r="F214" i="1"/>
  <c r="E215" i="1"/>
  <c r="T215" i="1" s="1"/>
  <c r="F215" i="1"/>
  <c r="E216" i="1"/>
  <c r="T216" i="1" s="1"/>
  <c r="F216" i="1"/>
  <c r="E217" i="1"/>
  <c r="T217" i="1" s="1"/>
  <c r="F217" i="1"/>
  <c r="E218" i="1"/>
  <c r="T218" i="1" s="1"/>
  <c r="F218" i="1"/>
  <c r="E219" i="1"/>
  <c r="T219" i="1" s="1"/>
  <c r="F219" i="1"/>
  <c r="E220" i="1"/>
  <c r="T220" i="1" s="1"/>
  <c r="F220" i="1"/>
  <c r="E221" i="1"/>
  <c r="T221" i="1" s="1"/>
  <c r="F221" i="1"/>
  <c r="E222" i="1"/>
  <c r="T222" i="1" s="1"/>
  <c r="F222" i="1"/>
  <c r="E223" i="1"/>
  <c r="T223" i="1" s="1"/>
  <c r="F223" i="1"/>
  <c r="E224" i="1"/>
  <c r="T224" i="1" s="1"/>
  <c r="F224" i="1"/>
  <c r="E225" i="1"/>
  <c r="T225" i="1" s="1"/>
  <c r="F225" i="1"/>
  <c r="E226" i="1"/>
  <c r="T226" i="1" s="1"/>
  <c r="F226" i="1"/>
  <c r="E227" i="1"/>
  <c r="T227" i="1" s="1"/>
  <c r="F227" i="1"/>
  <c r="E228" i="1"/>
  <c r="T228" i="1" s="1"/>
  <c r="F228" i="1"/>
  <c r="E229" i="1"/>
  <c r="T229" i="1" s="1"/>
  <c r="F229" i="1"/>
  <c r="E230" i="1"/>
  <c r="T230" i="1" s="1"/>
  <c r="F230" i="1"/>
  <c r="E231" i="1"/>
  <c r="T231" i="1" s="1"/>
  <c r="F231" i="1"/>
  <c r="E232" i="1"/>
  <c r="T232" i="1" s="1"/>
  <c r="F232" i="1"/>
  <c r="E233" i="1"/>
  <c r="T233" i="1" s="1"/>
  <c r="F233" i="1"/>
  <c r="E234" i="1"/>
  <c r="T234" i="1" s="1"/>
  <c r="F234" i="1"/>
  <c r="E235" i="1"/>
  <c r="T235" i="1" s="1"/>
  <c r="F235" i="1"/>
  <c r="E236" i="1"/>
  <c r="T236" i="1" s="1"/>
  <c r="F236" i="1"/>
  <c r="E237" i="1"/>
  <c r="T237" i="1" s="1"/>
  <c r="F237" i="1"/>
  <c r="E238" i="1"/>
  <c r="T238" i="1" s="1"/>
  <c r="F238" i="1"/>
  <c r="E239" i="1"/>
  <c r="T239" i="1" s="1"/>
  <c r="F239" i="1"/>
  <c r="E240" i="1"/>
  <c r="T240" i="1" s="1"/>
  <c r="F240" i="1"/>
  <c r="E241" i="1"/>
  <c r="T241" i="1" s="1"/>
  <c r="F241" i="1"/>
  <c r="E242" i="1"/>
  <c r="T242" i="1" s="1"/>
  <c r="F242" i="1"/>
  <c r="E243" i="1"/>
  <c r="T243" i="1" s="1"/>
  <c r="F243" i="1"/>
  <c r="E244" i="1"/>
  <c r="T244" i="1" s="1"/>
  <c r="F244" i="1"/>
  <c r="E245" i="1"/>
  <c r="T245" i="1" s="1"/>
  <c r="F245" i="1"/>
  <c r="E246" i="1"/>
  <c r="T246" i="1" s="1"/>
  <c r="F246" i="1"/>
  <c r="E247" i="1"/>
  <c r="T247" i="1" s="1"/>
  <c r="F247" i="1"/>
  <c r="E248" i="1"/>
  <c r="T248" i="1" s="1"/>
  <c r="F248" i="1"/>
  <c r="E249" i="1"/>
  <c r="T249" i="1" s="1"/>
  <c r="F249" i="1"/>
  <c r="E250" i="1"/>
  <c r="T250" i="1" s="1"/>
  <c r="F250" i="1"/>
  <c r="E251" i="1"/>
  <c r="T251" i="1" s="1"/>
  <c r="F251" i="1"/>
  <c r="E252" i="1"/>
  <c r="T252" i="1" s="1"/>
  <c r="F252" i="1"/>
  <c r="E253" i="1"/>
  <c r="T253" i="1" s="1"/>
  <c r="F253" i="1"/>
  <c r="E254" i="1"/>
  <c r="T254" i="1" s="1"/>
  <c r="F254" i="1"/>
  <c r="E255" i="1"/>
  <c r="T255" i="1" s="1"/>
  <c r="F255" i="1"/>
  <c r="E256" i="1"/>
  <c r="T256" i="1" s="1"/>
  <c r="F256" i="1"/>
  <c r="E257" i="1"/>
  <c r="T257" i="1" s="1"/>
  <c r="F257" i="1"/>
  <c r="E258" i="1"/>
  <c r="T258" i="1" s="1"/>
  <c r="F258" i="1"/>
  <c r="E259" i="1"/>
  <c r="T259" i="1" s="1"/>
  <c r="F259" i="1"/>
  <c r="E260" i="1"/>
  <c r="T260" i="1" s="1"/>
  <c r="F260" i="1"/>
  <c r="E261" i="1"/>
  <c r="T261" i="1" s="1"/>
  <c r="F261" i="1"/>
  <c r="E262" i="1"/>
  <c r="T262" i="1" s="1"/>
  <c r="F262" i="1"/>
  <c r="E263" i="1"/>
  <c r="T263" i="1" s="1"/>
  <c r="F263" i="1"/>
  <c r="E264" i="1"/>
  <c r="T264" i="1" s="1"/>
  <c r="F264" i="1"/>
  <c r="E265" i="1"/>
  <c r="T265" i="1" s="1"/>
  <c r="F265" i="1"/>
  <c r="E266" i="1"/>
  <c r="T266" i="1" s="1"/>
  <c r="F266" i="1"/>
  <c r="E267" i="1"/>
  <c r="T267" i="1" s="1"/>
  <c r="F267" i="1"/>
  <c r="E268" i="1"/>
  <c r="T268" i="1" s="1"/>
  <c r="F268" i="1"/>
  <c r="E269" i="1"/>
  <c r="T269" i="1" s="1"/>
  <c r="F269" i="1"/>
  <c r="E270" i="1"/>
  <c r="T270" i="1" s="1"/>
  <c r="F270" i="1"/>
  <c r="E271" i="1"/>
  <c r="T271" i="1" s="1"/>
  <c r="F271" i="1"/>
  <c r="E272" i="1"/>
  <c r="T272" i="1" s="1"/>
  <c r="F272" i="1"/>
  <c r="E273" i="1"/>
  <c r="T273" i="1" s="1"/>
  <c r="F273" i="1"/>
  <c r="E274" i="1"/>
  <c r="T274" i="1" s="1"/>
  <c r="F274" i="1"/>
  <c r="E275" i="1"/>
  <c r="T275" i="1" s="1"/>
  <c r="F275" i="1"/>
  <c r="E276" i="1"/>
  <c r="T276" i="1" s="1"/>
  <c r="F276" i="1"/>
  <c r="E277" i="1"/>
  <c r="T277" i="1" s="1"/>
  <c r="F277" i="1"/>
  <c r="E278" i="1"/>
  <c r="T278" i="1" s="1"/>
  <c r="F278" i="1"/>
  <c r="E279" i="1"/>
  <c r="T279" i="1" s="1"/>
  <c r="F279" i="1"/>
  <c r="E280" i="1"/>
  <c r="T280" i="1" s="1"/>
  <c r="F280" i="1"/>
  <c r="E281" i="1"/>
  <c r="T281" i="1" s="1"/>
  <c r="F281" i="1"/>
  <c r="E282" i="1"/>
  <c r="T282" i="1" s="1"/>
  <c r="F282" i="1"/>
  <c r="E283" i="1"/>
  <c r="T283" i="1" s="1"/>
  <c r="F283" i="1"/>
  <c r="E284" i="1"/>
  <c r="T284" i="1" s="1"/>
  <c r="F284" i="1"/>
  <c r="E285" i="1"/>
  <c r="T285" i="1" s="1"/>
  <c r="F285" i="1"/>
  <c r="E286" i="1"/>
  <c r="T286" i="1" s="1"/>
  <c r="F286" i="1"/>
  <c r="E287" i="1"/>
  <c r="T287" i="1" s="1"/>
  <c r="F287" i="1"/>
  <c r="E288" i="1"/>
  <c r="T288" i="1" s="1"/>
  <c r="F288" i="1"/>
  <c r="E289" i="1"/>
  <c r="T289" i="1" s="1"/>
  <c r="F289" i="1"/>
  <c r="E290" i="1"/>
  <c r="T290" i="1" s="1"/>
  <c r="F290" i="1"/>
  <c r="E291" i="1"/>
  <c r="T291" i="1" s="1"/>
  <c r="F291" i="1"/>
  <c r="E292" i="1"/>
  <c r="T292" i="1" s="1"/>
  <c r="F292" i="1"/>
  <c r="E293" i="1"/>
  <c r="T293" i="1" s="1"/>
  <c r="F293" i="1"/>
  <c r="E294" i="1"/>
  <c r="T294" i="1" s="1"/>
  <c r="F294" i="1"/>
  <c r="E295" i="1"/>
  <c r="T295" i="1" s="1"/>
  <c r="F295" i="1"/>
  <c r="E296" i="1"/>
  <c r="T296" i="1" s="1"/>
  <c r="F296" i="1"/>
  <c r="E297" i="1"/>
  <c r="T297" i="1" s="1"/>
  <c r="F297" i="1"/>
  <c r="E298" i="1"/>
  <c r="T298" i="1" s="1"/>
  <c r="F298" i="1"/>
  <c r="E299" i="1"/>
  <c r="T299" i="1" s="1"/>
  <c r="F299" i="1"/>
  <c r="E300" i="1"/>
  <c r="T300" i="1" s="1"/>
  <c r="F300" i="1"/>
  <c r="E301" i="1"/>
  <c r="T301" i="1" s="1"/>
  <c r="F301" i="1"/>
  <c r="E302" i="1"/>
  <c r="T302" i="1" s="1"/>
  <c r="F302" i="1"/>
  <c r="E303" i="1"/>
  <c r="T303" i="1" s="1"/>
  <c r="F303" i="1"/>
  <c r="E304" i="1"/>
  <c r="T304" i="1" s="1"/>
  <c r="F304" i="1"/>
  <c r="E305" i="1"/>
  <c r="T305" i="1" s="1"/>
  <c r="F305" i="1"/>
  <c r="E306" i="1"/>
  <c r="T306" i="1" s="1"/>
  <c r="F306" i="1"/>
  <c r="E307" i="1"/>
  <c r="T307" i="1" s="1"/>
  <c r="F307" i="1"/>
  <c r="E308" i="1"/>
  <c r="T308" i="1" s="1"/>
  <c r="F308" i="1"/>
  <c r="E309" i="1"/>
  <c r="T309" i="1" s="1"/>
  <c r="F309" i="1"/>
  <c r="E310" i="1"/>
  <c r="T310" i="1" s="1"/>
  <c r="F310" i="1"/>
  <c r="E311" i="1"/>
  <c r="T311" i="1" s="1"/>
  <c r="F311" i="1"/>
  <c r="E312" i="1"/>
  <c r="T312" i="1" s="1"/>
  <c r="F312" i="1"/>
  <c r="E313" i="1"/>
  <c r="T313" i="1" s="1"/>
  <c r="F313" i="1"/>
  <c r="E314" i="1"/>
  <c r="T314" i="1" s="1"/>
  <c r="F314" i="1"/>
  <c r="E315" i="1"/>
  <c r="T315" i="1" s="1"/>
  <c r="F315" i="1"/>
  <c r="E316" i="1"/>
  <c r="T316" i="1" s="1"/>
  <c r="F316" i="1"/>
  <c r="E317" i="1"/>
  <c r="T317" i="1" s="1"/>
  <c r="F317" i="1"/>
  <c r="E318" i="1"/>
  <c r="T318" i="1" s="1"/>
  <c r="F318" i="1"/>
  <c r="E319" i="1"/>
  <c r="T319" i="1" s="1"/>
  <c r="F319" i="1"/>
  <c r="E320" i="1"/>
  <c r="T320" i="1" s="1"/>
  <c r="F320" i="1"/>
  <c r="E321" i="1"/>
  <c r="T321" i="1" s="1"/>
  <c r="F321" i="1"/>
  <c r="E322" i="1"/>
  <c r="T322" i="1" s="1"/>
  <c r="F322" i="1"/>
  <c r="E323" i="1"/>
  <c r="T323" i="1" s="1"/>
  <c r="F323" i="1"/>
  <c r="E324" i="1"/>
  <c r="T324" i="1" s="1"/>
  <c r="F324" i="1"/>
  <c r="E325" i="1"/>
  <c r="T325" i="1" s="1"/>
  <c r="F325" i="1"/>
  <c r="E326" i="1"/>
  <c r="T326" i="1" s="1"/>
  <c r="F326" i="1"/>
  <c r="E327" i="1"/>
  <c r="T327" i="1" s="1"/>
  <c r="F327" i="1"/>
  <c r="E328" i="1"/>
  <c r="T328" i="1" s="1"/>
  <c r="F328" i="1"/>
  <c r="E329" i="1"/>
  <c r="T329" i="1" s="1"/>
  <c r="F329" i="1"/>
  <c r="E330" i="1"/>
  <c r="T330" i="1" s="1"/>
  <c r="F330" i="1"/>
  <c r="E331" i="1"/>
  <c r="T331" i="1" s="1"/>
  <c r="F331" i="1"/>
  <c r="E332" i="1"/>
  <c r="T332" i="1" s="1"/>
  <c r="F332" i="1"/>
  <c r="E333" i="1"/>
  <c r="T333" i="1" s="1"/>
  <c r="F333" i="1"/>
  <c r="E334" i="1"/>
  <c r="T334" i="1" s="1"/>
  <c r="F334" i="1"/>
  <c r="E335" i="1"/>
  <c r="T335" i="1" s="1"/>
  <c r="F335" i="1"/>
  <c r="E336" i="1"/>
  <c r="T336" i="1" s="1"/>
  <c r="F336" i="1"/>
  <c r="E337" i="1"/>
  <c r="T337" i="1" s="1"/>
  <c r="F337" i="1"/>
  <c r="E338" i="1"/>
  <c r="T338" i="1" s="1"/>
  <c r="F338" i="1"/>
  <c r="E339" i="1"/>
  <c r="T339" i="1" s="1"/>
  <c r="F339" i="1"/>
  <c r="E340" i="1"/>
  <c r="T340" i="1" s="1"/>
  <c r="F340" i="1"/>
  <c r="E341" i="1"/>
  <c r="T341" i="1" s="1"/>
  <c r="F341" i="1"/>
  <c r="E342" i="1"/>
  <c r="T342" i="1" s="1"/>
  <c r="F342" i="1"/>
  <c r="E343" i="1"/>
  <c r="T343" i="1" s="1"/>
  <c r="F343" i="1"/>
  <c r="E344" i="1"/>
  <c r="T344" i="1" s="1"/>
  <c r="F344" i="1"/>
  <c r="E345" i="1"/>
  <c r="T345" i="1" s="1"/>
  <c r="F345" i="1"/>
  <c r="E346" i="1"/>
  <c r="T346" i="1" s="1"/>
  <c r="F346" i="1"/>
  <c r="E347" i="1"/>
  <c r="T347" i="1" s="1"/>
  <c r="F347" i="1"/>
  <c r="E348" i="1"/>
  <c r="T348" i="1" s="1"/>
  <c r="F348" i="1"/>
  <c r="E349" i="1"/>
  <c r="T349" i="1" s="1"/>
  <c r="F349" i="1"/>
  <c r="E350" i="1"/>
  <c r="T350" i="1" s="1"/>
  <c r="F350" i="1"/>
  <c r="E351" i="1"/>
  <c r="T351" i="1" s="1"/>
  <c r="F351" i="1"/>
  <c r="E352" i="1"/>
  <c r="T352" i="1" s="1"/>
  <c r="F352" i="1"/>
  <c r="E353" i="1"/>
  <c r="T353" i="1" s="1"/>
  <c r="F353" i="1"/>
  <c r="E354" i="1"/>
  <c r="T354" i="1" s="1"/>
  <c r="F354" i="1"/>
  <c r="E355" i="1"/>
  <c r="T355" i="1" s="1"/>
  <c r="F355" i="1"/>
  <c r="E356" i="1"/>
  <c r="T356" i="1" s="1"/>
  <c r="F356" i="1"/>
  <c r="E357" i="1"/>
  <c r="T357" i="1" s="1"/>
  <c r="F357" i="1"/>
  <c r="E358" i="1"/>
  <c r="T358" i="1" s="1"/>
  <c r="F358" i="1"/>
  <c r="E359" i="1"/>
  <c r="T359" i="1" s="1"/>
  <c r="F359" i="1"/>
  <c r="E360" i="1"/>
  <c r="T360" i="1" s="1"/>
  <c r="F360" i="1"/>
  <c r="E361" i="1"/>
  <c r="T361" i="1" s="1"/>
  <c r="F361" i="1"/>
  <c r="E362" i="1"/>
  <c r="T362" i="1" s="1"/>
  <c r="F362" i="1"/>
  <c r="E363" i="1"/>
  <c r="T363" i="1" s="1"/>
  <c r="F363" i="1"/>
  <c r="E364" i="1"/>
  <c r="T364" i="1" s="1"/>
  <c r="F364" i="1"/>
  <c r="E365" i="1"/>
  <c r="T365" i="1" s="1"/>
  <c r="F365" i="1"/>
  <c r="E366" i="1"/>
  <c r="T366" i="1" s="1"/>
  <c r="F366" i="1"/>
  <c r="E367" i="1"/>
  <c r="T367" i="1" s="1"/>
  <c r="F367" i="1"/>
  <c r="E368" i="1"/>
  <c r="T368" i="1" s="1"/>
  <c r="F368" i="1"/>
  <c r="E369" i="1"/>
  <c r="T369" i="1" s="1"/>
  <c r="F369" i="1"/>
  <c r="E370" i="1"/>
  <c r="T370" i="1" s="1"/>
  <c r="F370" i="1"/>
  <c r="E371" i="1"/>
  <c r="T371" i="1" s="1"/>
  <c r="F371" i="1"/>
  <c r="E372" i="1"/>
  <c r="T372" i="1" s="1"/>
  <c r="F372" i="1"/>
  <c r="E373" i="1"/>
  <c r="T373" i="1" s="1"/>
  <c r="F373" i="1"/>
  <c r="E374" i="1"/>
  <c r="T374" i="1" s="1"/>
  <c r="F374" i="1"/>
  <c r="E375" i="1"/>
  <c r="T375" i="1" s="1"/>
  <c r="F375" i="1"/>
  <c r="E376" i="1"/>
  <c r="T376" i="1" s="1"/>
  <c r="F376" i="1"/>
  <c r="E377" i="1"/>
  <c r="T377" i="1" s="1"/>
  <c r="F377" i="1"/>
  <c r="E378" i="1"/>
  <c r="T378" i="1" s="1"/>
  <c r="F378" i="1"/>
  <c r="E379" i="1"/>
  <c r="T379" i="1" s="1"/>
  <c r="F379" i="1"/>
  <c r="E380" i="1"/>
  <c r="T380" i="1" s="1"/>
  <c r="F380" i="1"/>
  <c r="E381" i="1"/>
  <c r="T381" i="1" s="1"/>
  <c r="F381" i="1"/>
  <c r="E382" i="1"/>
  <c r="T382" i="1" s="1"/>
  <c r="F382" i="1"/>
  <c r="E383" i="1"/>
  <c r="T383" i="1" s="1"/>
  <c r="F383" i="1"/>
  <c r="E384" i="1"/>
  <c r="T384" i="1" s="1"/>
  <c r="F384" i="1"/>
  <c r="E385" i="1"/>
  <c r="T385" i="1" s="1"/>
  <c r="F385" i="1"/>
  <c r="E386" i="1"/>
  <c r="T386" i="1" s="1"/>
  <c r="F386" i="1"/>
  <c r="E387" i="1"/>
  <c r="T387" i="1" s="1"/>
  <c r="F387" i="1"/>
  <c r="E388" i="1"/>
  <c r="T388" i="1" s="1"/>
  <c r="F388" i="1"/>
  <c r="E389" i="1"/>
  <c r="T389" i="1" s="1"/>
  <c r="F389" i="1"/>
  <c r="E390" i="1"/>
  <c r="T390" i="1" s="1"/>
  <c r="F390" i="1"/>
  <c r="E391" i="1"/>
  <c r="T391" i="1" s="1"/>
  <c r="F391" i="1"/>
  <c r="E392" i="1"/>
  <c r="T392" i="1" s="1"/>
  <c r="F392" i="1"/>
  <c r="E393" i="1"/>
  <c r="T393" i="1" s="1"/>
  <c r="F393" i="1"/>
  <c r="E394" i="1"/>
  <c r="T394" i="1" s="1"/>
  <c r="F394" i="1"/>
  <c r="E395" i="1"/>
  <c r="T395" i="1" s="1"/>
  <c r="F395" i="1"/>
  <c r="E396" i="1"/>
  <c r="T396" i="1" s="1"/>
  <c r="F396" i="1"/>
  <c r="E397" i="1"/>
  <c r="T397" i="1" s="1"/>
  <c r="F397" i="1"/>
  <c r="E398" i="1"/>
  <c r="T398" i="1" s="1"/>
  <c r="F398" i="1"/>
  <c r="E399" i="1"/>
  <c r="T399" i="1" s="1"/>
  <c r="F399" i="1"/>
  <c r="E400" i="1"/>
  <c r="T400" i="1" s="1"/>
  <c r="F400" i="1"/>
  <c r="E401" i="1"/>
  <c r="T401" i="1" s="1"/>
  <c r="F401" i="1"/>
  <c r="E402" i="1"/>
  <c r="T402" i="1" s="1"/>
  <c r="F402" i="1"/>
  <c r="E403" i="1"/>
  <c r="T403" i="1" s="1"/>
  <c r="F403" i="1"/>
  <c r="E404" i="1"/>
  <c r="T404" i="1" s="1"/>
  <c r="F404" i="1"/>
  <c r="E405" i="1"/>
  <c r="T405" i="1" s="1"/>
  <c r="F405" i="1"/>
  <c r="E406" i="1"/>
  <c r="T406" i="1" s="1"/>
  <c r="F406" i="1"/>
  <c r="E407" i="1"/>
  <c r="T407" i="1" s="1"/>
  <c r="F407" i="1"/>
  <c r="E408" i="1"/>
  <c r="T408" i="1" s="1"/>
  <c r="F408" i="1"/>
  <c r="E409" i="1"/>
  <c r="T409" i="1" s="1"/>
  <c r="F409" i="1"/>
  <c r="E410" i="1"/>
  <c r="T410" i="1" s="1"/>
  <c r="F410" i="1"/>
  <c r="E411" i="1"/>
  <c r="T411" i="1" s="1"/>
  <c r="F411" i="1"/>
  <c r="E412" i="1"/>
  <c r="T412" i="1" s="1"/>
  <c r="F412" i="1"/>
  <c r="E413" i="1"/>
  <c r="T413" i="1" s="1"/>
  <c r="F413" i="1"/>
  <c r="E414" i="1"/>
  <c r="T414" i="1" s="1"/>
  <c r="F414" i="1"/>
  <c r="E415" i="1"/>
  <c r="T415" i="1" s="1"/>
  <c r="F415" i="1"/>
  <c r="E416" i="1"/>
  <c r="T416" i="1" s="1"/>
  <c r="F416" i="1"/>
  <c r="E417" i="1"/>
  <c r="T417" i="1" s="1"/>
  <c r="F417" i="1"/>
  <c r="E418" i="1"/>
  <c r="T418" i="1" s="1"/>
  <c r="F418" i="1"/>
  <c r="E419" i="1"/>
  <c r="T419" i="1" s="1"/>
  <c r="F419" i="1"/>
  <c r="E420" i="1"/>
  <c r="T420" i="1" s="1"/>
  <c r="F420" i="1"/>
  <c r="E421" i="1"/>
  <c r="T421" i="1" s="1"/>
  <c r="F421" i="1"/>
  <c r="E422" i="1"/>
  <c r="T422" i="1" s="1"/>
  <c r="F422" i="1"/>
  <c r="E423" i="1"/>
  <c r="T423" i="1" s="1"/>
  <c r="F423" i="1"/>
  <c r="E424" i="1"/>
  <c r="T424" i="1" s="1"/>
  <c r="F424" i="1"/>
  <c r="E425" i="1"/>
  <c r="T425" i="1" s="1"/>
  <c r="F425" i="1"/>
  <c r="E426" i="1"/>
  <c r="T426" i="1" s="1"/>
  <c r="F426" i="1"/>
  <c r="E427" i="1"/>
  <c r="T427" i="1" s="1"/>
  <c r="F427" i="1"/>
  <c r="E428" i="1"/>
  <c r="T428" i="1" s="1"/>
  <c r="F428" i="1"/>
  <c r="E429" i="1"/>
  <c r="T429" i="1" s="1"/>
  <c r="F429" i="1"/>
  <c r="E430" i="1"/>
  <c r="T430" i="1" s="1"/>
  <c r="F430" i="1"/>
  <c r="E431" i="1"/>
  <c r="T431" i="1" s="1"/>
  <c r="F431" i="1"/>
  <c r="E432" i="1"/>
  <c r="T432" i="1" s="1"/>
  <c r="F432" i="1"/>
  <c r="E433" i="1"/>
  <c r="T433" i="1" s="1"/>
  <c r="F433" i="1"/>
  <c r="E434" i="1"/>
  <c r="T434" i="1" s="1"/>
  <c r="F434" i="1"/>
  <c r="E435" i="1"/>
  <c r="T435" i="1" s="1"/>
  <c r="F435" i="1"/>
  <c r="E436" i="1"/>
  <c r="T436" i="1" s="1"/>
  <c r="F436" i="1"/>
  <c r="E437" i="1"/>
  <c r="T437" i="1" s="1"/>
  <c r="F437" i="1"/>
  <c r="E438" i="1"/>
  <c r="T438" i="1" s="1"/>
  <c r="F438" i="1"/>
  <c r="E439" i="1"/>
  <c r="T439" i="1" s="1"/>
  <c r="F439" i="1"/>
  <c r="E440" i="1"/>
  <c r="T440" i="1" s="1"/>
  <c r="F440" i="1"/>
  <c r="E441" i="1"/>
  <c r="T441" i="1" s="1"/>
  <c r="F441" i="1"/>
  <c r="E442" i="1"/>
  <c r="T442" i="1" s="1"/>
  <c r="F442" i="1"/>
  <c r="E443" i="1"/>
  <c r="T443" i="1" s="1"/>
  <c r="F443" i="1"/>
  <c r="E444" i="1"/>
  <c r="T444" i="1" s="1"/>
  <c r="F444" i="1"/>
  <c r="E445" i="1"/>
  <c r="T445" i="1" s="1"/>
  <c r="F445" i="1"/>
  <c r="E446" i="1"/>
  <c r="T446" i="1" s="1"/>
  <c r="F446" i="1"/>
  <c r="E447" i="1"/>
  <c r="T447" i="1" s="1"/>
  <c r="F447" i="1"/>
  <c r="E448" i="1"/>
  <c r="T448" i="1" s="1"/>
  <c r="F448" i="1"/>
  <c r="E449" i="1"/>
  <c r="T449" i="1" s="1"/>
  <c r="F449" i="1"/>
  <c r="E450" i="1"/>
  <c r="T450" i="1" s="1"/>
  <c r="F450" i="1"/>
  <c r="E451" i="1"/>
  <c r="T451" i="1" s="1"/>
  <c r="F451" i="1"/>
  <c r="E452" i="1"/>
  <c r="T452" i="1" s="1"/>
  <c r="F452" i="1"/>
  <c r="E453" i="1"/>
  <c r="T453" i="1" s="1"/>
  <c r="F453" i="1"/>
  <c r="E454" i="1"/>
  <c r="T454" i="1" s="1"/>
  <c r="F454" i="1"/>
  <c r="E455" i="1"/>
  <c r="T455" i="1" s="1"/>
  <c r="F455" i="1"/>
  <c r="E456" i="1"/>
  <c r="T456" i="1" s="1"/>
  <c r="F456" i="1"/>
  <c r="E457" i="1"/>
  <c r="T457" i="1" s="1"/>
  <c r="F457" i="1"/>
  <c r="E458" i="1"/>
  <c r="T458" i="1" s="1"/>
  <c r="F458" i="1"/>
  <c r="E459" i="1"/>
  <c r="T459" i="1" s="1"/>
  <c r="F459" i="1"/>
  <c r="E460" i="1"/>
  <c r="T460" i="1" s="1"/>
  <c r="F460" i="1"/>
  <c r="E461" i="1"/>
  <c r="T461" i="1" s="1"/>
  <c r="F461" i="1"/>
  <c r="E462" i="1"/>
  <c r="T462" i="1" s="1"/>
  <c r="F462" i="1"/>
  <c r="E463" i="1"/>
  <c r="T463" i="1" s="1"/>
  <c r="F463" i="1"/>
  <c r="E464" i="1"/>
  <c r="T464" i="1" s="1"/>
  <c r="F464" i="1"/>
  <c r="E465" i="1"/>
  <c r="T465" i="1" s="1"/>
  <c r="F465" i="1"/>
  <c r="E466" i="1"/>
  <c r="T466" i="1" s="1"/>
  <c r="F466" i="1"/>
  <c r="E467" i="1"/>
  <c r="T467" i="1" s="1"/>
  <c r="F467" i="1"/>
  <c r="E468" i="1"/>
  <c r="T468" i="1" s="1"/>
  <c r="F468" i="1"/>
  <c r="E469" i="1"/>
  <c r="T469" i="1" s="1"/>
  <c r="F469" i="1"/>
  <c r="E470" i="1"/>
  <c r="T470" i="1" s="1"/>
  <c r="F470" i="1"/>
  <c r="E471" i="1"/>
  <c r="T471" i="1" s="1"/>
  <c r="F471" i="1"/>
  <c r="E472" i="1"/>
  <c r="T472" i="1" s="1"/>
  <c r="F472" i="1"/>
  <c r="E473" i="1"/>
  <c r="T473" i="1" s="1"/>
  <c r="F473" i="1"/>
  <c r="E474" i="1"/>
  <c r="T474" i="1" s="1"/>
  <c r="F474" i="1"/>
  <c r="E475" i="1"/>
  <c r="T475" i="1" s="1"/>
  <c r="F475" i="1"/>
  <c r="E476" i="1"/>
  <c r="T476" i="1" s="1"/>
  <c r="F476" i="1"/>
  <c r="E477" i="1"/>
  <c r="T477" i="1" s="1"/>
  <c r="F477" i="1"/>
  <c r="E478" i="1"/>
  <c r="T478" i="1" s="1"/>
  <c r="F478" i="1"/>
  <c r="E479" i="1"/>
  <c r="T479" i="1" s="1"/>
  <c r="F479" i="1"/>
  <c r="E480" i="1"/>
  <c r="T480" i="1" s="1"/>
  <c r="F480" i="1"/>
  <c r="E481" i="1"/>
  <c r="T481" i="1" s="1"/>
  <c r="F481" i="1"/>
  <c r="E482" i="1"/>
  <c r="T482" i="1" s="1"/>
  <c r="F482" i="1"/>
  <c r="E483" i="1"/>
  <c r="T483" i="1" s="1"/>
  <c r="F483" i="1"/>
  <c r="E484" i="1"/>
  <c r="T484" i="1" s="1"/>
  <c r="F484" i="1"/>
  <c r="E485" i="1"/>
  <c r="T485" i="1" s="1"/>
  <c r="F485" i="1"/>
  <c r="E486" i="1"/>
  <c r="T486" i="1" s="1"/>
  <c r="F486" i="1"/>
  <c r="E487" i="1"/>
  <c r="T487" i="1" s="1"/>
  <c r="F487" i="1"/>
  <c r="E488" i="1"/>
  <c r="T488" i="1" s="1"/>
  <c r="F488" i="1"/>
  <c r="E489" i="1"/>
  <c r="T489" i="1" s="1"/>
  <c r="F489" i="1"/>
  <c r="E490" i="1"/>
  <c r="T490" i="1" s="1"/>
  <c r="F490" i="1"/>
  <c r="E491" i="1"/>
  <c r="T491" i="1" s="1"/>
  <c r="F491" i="1"/>
  <c r="E492" i="1"/>
  <c r="T492" i="1" s="1"/>
  <c r="F492" i="1"/>
  <c r="E493" i="1"/>
  <c r="T493" i="1" s="1"/>
  <c r="F493" i="1"/>
  <c r="E494" i="1"/>
  <c r="T494" i="1" s="1"/>
  <c r="F494" i="1"/>
  <c r="E495" i="1"/>
  <c r="T495" i="1" s="1"/>
  <c r="F495" i="1"/>
  <c r="E496" i="1"/>
  <c r="T496" i="1" s="1"/>
  <c r="F496" i="1"/>
  <c r="E497" i="1"/>
  <c r="T497" i="1" s="1"/>
  <c r="F497" i="1"/>
  <c r="E498" i="1"/>
  <c r="T498" i="1" s="1"/>
  <c r="F498" i="1"/>
  <c r="E499" i="1"/>
  <c r="T499" i="1" s="1"/>
  <c r="F499" i="1"/>
  <c r="E500" i="1"/>
  <c r="T500" i="1" s="1"/>
  <c r="F500" i="1"/>
  <c r="E501" i="1"/>
  <c r="T501" i="1" s="1"/>
  <c r="F501" i="1"/>
  <c r="E502" i="1"/>
  <c r="T502" i="1" s="1"/>
  <c r="F502" i="1"/>
  <c r="E503" i="1"/>
  <c r="T503" i="1" s="1"/>
  <c r="F503" i="1"/>
  <c r="E504" i="1"/>
  <c r="T504" i="1" s="1"/>
  <c r="F504" i="1"/>
  <c r="E505" i="1"/>
  <c r="T505" i="1" s="1"/>
  <c r="F505" i="1"/>
  <c r="E506" i="1"/>
  <c r="T506" i="1" s="1"/>
  <c r="F506" i="1"/>
  <c r="E507" i="1"/>
  <c r="T507" i="1" s="1"/>
  <c r="F507" i="1"/>
  <c r="E508" i="1"/>
  <c r="T508" i="1" s="1"/>
  <c r="F508" i="1"/>
  <c r="E509" i="1"/>
  <c r="T509" i="1" s="1"/>
  <c r="F509" i="1"/>
  <c r="E510" i="1"/>
  <c r="T510" i="1" s="1"/>
  <c r="F510" i="1"/>
  <c r="E511" i="1"/>
  <c r="T511" i="1" s="1"/>
  <c r="F511" i="1"/>
  <c r="E512" i="1"/>
  <c r="T512" i="1" s="1"/>
  <c r="F512" i="1"/>
  <c r="E513" i="1"/>
  <c r="T513" i="1" s="1"/>
  <c r="F513" i="1"/>
  <c r="E514" i="1"/>
  <c r="T514" i="1" s="1"/>
  <c r="F514" i="1"/>
  <c r="E515" i="1"/>
  <c r="T515" i="1" s="1"/>
  <c r="F515" i="1"/>
  <c r="E516" i="1"/>
  <c r="T516" i="1" s="1"/>
  <c r="F516" i="1"/>
  <c r="E517" i="1"/>
  <c r="T517" i="1" s="1"/>
  <c r="F517" i="1"/>
  <c r="E518" i="1"/>
  <c r="T518" i="1" s="1"/>
  <c r="F518" i="1"/>
  <c r="E519" i="1"/>
  <c r="T519" i="1" s="1"/>
  <c r="F519" i="1"/>
  <c r="E520" i="1"/>
  <c r="T520" i="1" s="1"/>
  <c r="F520" i="1"/>
  <c r="E521" i="1"/>
  <c r="T521" i="1" s="1"/>
  <c r="F521" i="1"/>
  <c r="E522" i="1"/>
  <c r="T522" i="1" s="1"/>
  <c r="F522" i="1"/>
  <c r="E523" i="1"/>
  <c r="T523" i="1" s="1"/>
  <c r="F523" i="1"/>
  <c r="E524" i="1"/>
  <c r="T524" i="1" s="1"/>
  <c r="F524" i="1"/>
  <c r="E525" i="1"/>
  <c r="T525" i="1" s="1"/>
  <c r="F525" i="1"/>
  <c r="E526" i="1"/>
  <c r="T526" i="1" s="1"/>
  <c r="F526" i="1"/>
  <c r="E527" i="1"/>
  <c r="T527" i="1" s="1"/>
  <c r="F527" i="1"/>
  <c r="E528" i="1"/>
  <c r="T528" i="1" s="1"/>
  <c r="F528" i="1"/>
  <c r="E529" i="1"/>
  <c r="T529" i="1" s="1"/>
  <c r="F529" i="1"/>
  <c r="E530" i="1"/>
  <c r="T530" i="1" s="1"/>
  <c r="F530" i="1"/>
  <c r="E531" i="1"/>
  <c r="T531" i="1" s="1"/>
  <c r="F531" i="1"/>
  <c r="E532" i="1"/>
  <c r="T532" i="1" s="1"/>
  <c r="F532" i="1"/>
  <c r="E533" i="1"/>
  <c r="T533" i="1" s="1"/>
  <c r="F533" i="1"/>
  <c r="E534" i="1"/>
  <c r="T534" i="1" s="1"/>
  <c r="F534" i="1"/>
  <c r="E535" i="1"/>
  <c r="T535" i="1" s="1"/>
  <c r="F535" i="1"/>
  <c r="E536" i="1"/>
  <c r="T536" i="1" s="1"/>
  <c r="F536" i="1"/>
  <c r="E537" i="1"/>
  <c r="T537" i="1" s="1"/>
  <c r="F537" i="1"/>
  <c r="E538" i="1"/>
  <c r="T538" i="1" s="1"/>
  <c r="F538" i="1"/>
  <c r="E539" i="1"/>
  <c r="T539" i="1" s="1"/>
  <c r="F539" i="1"/>
  <c r="E540" i="1"/>
  <c r="T540" i="1" s="1"/>
  <c r="F540" i="1"/>
  <c r="E541" i="1"/>
  <c r="T541" i="1" s="1"/>
  <c r="F541" i="1"/>
  <c r="E542" i="1"/>
  <c r="T542" i="1" s="1"/>
  <c r="F542" i="1"/>
  <c r="E543" i="1"/>
  <c r="T543" i="1" s="1"/>
  <c r="F543" i="1"/>
  <c r="E544" i="1"/>
  <c r="T544" i="1" s="1"/>
  <c r="F544" i="1"/>
  <c r="E545" i="1"/>
  <c r="T545" i="1" s="1"/>
  <c r="F545" i="1"/>
  <c r="E546" i="1"/>
  <c r="T546" i="1" s="1"/>
  <c r="F546" i="1"/>
  <c r="E547" i="1"/>
  <c r="T547" i="1" s="1"/>
  <c r="F547" i="1"/>
  <c r="E548" i="1"/>
  <c r="T548" i="1" s="1"/>
  <c r="F548" i="1"/>
  <c r="E549" i="1"/>
  <c r="T549" i="1" s="1"/>
  <c r="F549" i="1"/>
  <c r="E550" i="1"/>
  <c r="T550" i="1" s="1"/>
  <c r="F550" i="1"/>
  <c r="E551" i="1"/>
  <c r="T551" i="1" s="1"/>
  <c r="F551" i="1"/>
  <c r="E552" i="1"/>
  <c r="T552" i="1" s="1"/>
  <c r="F552" i="1"/>
  <c r="E553" i="1"/>
  <c r="T553" i="1" s="1"/>
  <c r="F553" i="1"/>
  <c r="E554" i="1"/>
  <c r="T554" i="1" s="1"/>
  <c r="F554" i="1"/>
  <c r="E555" i="1"/>
  <c r="T555" i="1" s="1"/>
  <c r="F555" i="1"/>
  <c r="E556" i="1"/>
  <c r="T556" i="1" s="1"/>
  <c r="F556" i="1"/>
  <c r="E557" i="1"/>
  <c r="T557" i="1" s="1"/>
  <c r="F557" i="1"/>
  <c r="E558" i="1"/>
  <c r="T558" i="1" s="1"/>
  <c r="F558" i="1"/>
  <c r="E559" i="1"/>
  <c r="T559" i="1" s="1"/>
  <c r="F559" i="1"/>
  <c r="E560" i="1"/>
  <c r="T560" i="1" s="1"/>
  <c r="F560" i="1"/>
  <c r="E561" i="1"/>
  <c r="T561" i="1" s="1"/>
  <c r="F561" i="1"/>
  <c r="E562" i="1"/>
  <c r="T562" i="1" s="1"/>
  <c r="F562" i="1"/>
  <c r="E563" i="1"/>
  <c r="T563" i="1" s="1"/>
  <c r="F563" i="1"/>
  <c r="E564" i="1"/>
  <c r="T564" i="1" s="1"/>
  <c r="F564" i="1"/>
  <c r="E565" i="1"/>
  <c r="T565" i="1" s="1"/>
  <c r="F565" i="1"/>
  <c r="E566" i="1"/>
  <c r="T566" i="1" s="1"/>
  <c r="F566" i="1"/>
  <c r="E567" i="1"/>
  <c r="T567" i="1" s="1"/>
  <c r="F567" i="1"/>
  <c r="E568" i="1"/>
  <c r="T568" i="1" s="1"/>
  <c r="F568" i="1"/>
  <c r="E569" i="1"/>
  <c r="T569" i="1" s="1"/>
  <c r="F569" i="1"/>
  <c r="E570" i="1"/>
  <c r="T570" i="1" s="1"/>
  <c r="F570" i="1"/>
  <c r="E571" i="1"/>
  <c r="T571" i="1" s="1"/>
  <c r="F571" i="1"/>
  <c r="E572" i="1"/>
  <c r="T572" i="1" s="1"/>
  <c r="F572" i="1"/>
  <c r="E573" i="1"/>
  <c r="T573" i="1" s="1"/>
  <c r="F573" i="1"/>
  <c r="E574" i="1"/>
  <c r="T574" i="1" s="1"/>
  <c r="F574" i="1"/>
  <c r="E575" i="1"/>
  <c r="T575" i="1" s="1"/>
  <c r="F575" i="1"/>
  <c r="E576" i="1"/>
  <c r="T576" i="1" s="1"/>
  <c r="F576" i="1"/>
  <c r="E577" i="1"/>
  <c r="T577" i="1" s="1"/>
  <c r="F577" i="1"/>
  <c r="E578" i="1"/>
  <c r="T578" i="1" s="1"/>
  <c r="F578" i="1"/>
  <c r="E579" i="1"/>
  <c r="T579" i="1" s="1"/>
  <c r="F579" i="1"/>
  <c r="E580" i="1"/>
  <c r="T580" i="1" s="1"/>
  <c r="F580" i="1"/>
  <c r="E581" i="1"/>
  <c r="T581" i="1" s="1"/>
  <c r="F581" i="1"/>
  <c r="E582" i="1"/>
  <c r="T582" i="1" s="1"/>
  <c r="F582" i="1"/>
  <c r="E583" i="1"/>
  <c r="T583" i="1" s="1"/>
  <c r="F583" i="1"/>
  <c r="E584" i="1"/>
  <c r="T584" i="1" s="1"/>
  <c r="F584" i="1"/>
  <c r="E585" i="1"/>
  <c r="T585" i="1" s="1"/>
  <c r="F585" i="1"/>
  <c r="E586" i="1"/>
  <c r="T586" i="1" s="1"/>
  <c r="F586" i="1"/>
  <c r="E587" i="1"/>
  <c r="T587" i="1" s="1"/>
  <c r="F587" i="1"/>
  <c r="E588" i="1"/>
  <c r="T588" i="1" s="1"/>
  <c r="F588" i="1"/>
  <c r="E589" i="1"/>
  <c r="T589" i="1" s="1"/>
  <c r="F589" i="1"/>
  <c r="E590" i="1"/>
  <c r="T590" i="1" s="1"/>
  <c r="F590" i="1"/>
  <c r="E591" i="1"/>
  <c r="T591" i="1" s="1"/>
  <c r="F591" i="1"/>
  <c r="E592" i="1"/>
  <c r="T592" i="1" s="1"/>
  <c r="F592" i="1"/>
  <c r="E593" i="1"/>
  <c r="T593" i="1" s="1"/>
  <c r="F593" i="1"/>
  <c r="E594" i="1"/>
  <c r="T594" i="1" s="1"/>
  <c r="F594" i="1"/>
  <c r="E595" i="1"/>
  <c r="T595" i="1" s="1"/>
  <c r="F595" i="1"/>
  <c r="E596" i="1"/>
  <c r="T596" i="1" s="1"/>
  <c r="F596" i="1"/>
  <c r="E597" i="1"/>
  <c r="T597" i="1" s="1"/>
  <c r="F597" i="1"/>
  <c r="E598" i="1"/>
  <c r="T598" i="1" s="1"/>
  <c r="F598" i="1"/>
  <c r="E599" i="1"/>
  <c r="T599" i="1" s="1"/>
  <c r="F599" i="1"/>
  <c r="E600" i="1"/>
  <c r="T600" i="1" s="1"/>
  <c r="F600" i="1"/>
  <c r="E601" i="1"/>
  <c r="T601" i="1" s="1"/>
  <c r="F601" i="1"/>
  <c r="E602" i="1"/>
  <c r="T602" i="1" s="1"/>
  <c r="F602" i="1"/>
  <c r="E603" i="1"/>
  <c r="T603" i="1" s="1"/>
  <c r="F603" i="1"/>
  <c r="E604" i="1"/>
  <c r="T604" i="1" s="1"/>
  <c r="F604" i="1"/>
  <c r="E605" i="1"/>
  <c r="T605" i="1" s="1"/>
  <c r="F605" i="1"/>
  <c r="E606" i="1"/>
  <c r="T606" i="1" s="1"/>
  <c r="F606" i="1"/>
  <c r="E607" i="1"/>
  <c r="T607" i="1" s="1"/>
  <c r="F607" i="1"/>
  <c r="E608" i="1"/>
  <c r="T608" i="1" s="1"/>
  <c r="F608" i="1"/>
  <c r="E609" i="1"/>
  <c r="T609" i="1" s="1"/>
  <c r="F609" i="1"/>
  <c r="E610" i="1"/>
  <c r="T610" i="1" s="1"/>
  <c r="F610" i="1"/>
  <c r="E611" i="1"/>
  <c r="T611" i="1" s="1"/>
  <c r="F611" i="1"/>
  <c r="E612" i="1"/>
  <c r="T612" i="1" s="1"/>
  <c r="F612" i="1"/>
  <c r="E613" i="1"/>
  <c r="T613" i="1" s="1"/>
  <c r="F613" i="1"/>
  <c r="E614" i="1"/>
  <c r="T614" i="1" s="1"/>
  <c r="F614" i="1"/>
  <c r="E615" i="1"/>
  <c r="T615" i="1" s="1"/>
  <c r="F615" i="1"/>
  <c r="E616" i="1"/>
  <c r="T616" i="1" s="1"/>
  <c r="F616" i="1"/>
  <c r="E617" i="1"/>
  <c r="T617" i="1" s="1"/>
  <c r="F617" i="1"/>
  <c r="E618" i="1"/>
  <c r="T618" i="1" s="1"/>
  <c r="F618" i="1"/>
  <c r="E619" i="1"/>
  <c r="T619" i="1" s="1"/>
  <c r="F619" i="1"/>
  <c r="E620" i="1"/>
  <c r="T620" i="1" s="1"/>
  <c r="F620" i="1"/>
  <c r="E621" i="1"/>
  <c r="T621" i="1" s="1"/>
  <c r="F621" i="1"/>
  <c r="E622" i="1"/>
  <c r="T622" i="1" s="1"/>
  <c r="F622" i="1"/>
  <c r="E623" i="1"/>
  <c r="T623" i="1" s="1"/>
  <c r="F623" i="1"/>
  <c r="E624" i="1"/>
  <c r="T624" i="1" s="1"/>
  <c r="F624" i="1"/>
  <c r="E625" i="1"/>
  <c r="T625" i="1" s="1"/>
  <c r="F625" i="1"/>
  <c r="E626" i="1"/>
  <c r="T626" i="1" s="1"/>
  <c r="F626" i="1"/>
  <c r="E627" i="1"/>
  <c r="T627" i="1" s="1"/>
  <c r="F627" i="1"/>
  <c r="E628" i="1"/>
  <c r="T628" i="1" s="1"/>
  <c r="F628" i="1"/>
  <c r="E629" i="1"/>
  <c r="T629" i="1" s="1"/>
  <c r="F629" i="1"/>
  <c r="E630" i="1"/>
  <c r="T630" i="1" s="1"/>
  <c r="F630" i="1"/>
  <c r="E631" i="1"/>
  <c r="T631" i="1" s="1"/>
  <c r="F631" i="1"/>
  <c r="E632" i="1"/>
  <c r="T632" i="1" s="1"/>
  <c r="F632" i="1"/>
  <c r="E633" i="1"/>
  <c r="T633" i="1" s="1"/>
  <c r="F633" i="1"/>
  <c r="E634" i="1"/>
  <c r="T634" i="1" s="1"/>
  <c r="F634" i="1"/>
  <c r="E635" i="1"/>
  <c r="T635" i="1" s="1"/>
  <c r="F635" i="1"/>
  <c r="E636" i="1"/>
  <c r="T636" i="1" s="1"/>
  <c r="F636" i="1"/>
  <c r="E637" i="1"/>
  <c r="T637" i="1" s="1"/>
  <c r="F637" i="1"/>
  <c r="E638" i="1"/>
  <c r="T638" i="1" s="1"/>
  <c r="F638" i="1"/>
  <c r="E639" i="1"/>
  <c r="T639" i="1" s="1"/>
  <c r="F639" i="1"/>
  <c r="E640" i="1"/>
  <c r="T640" i="1" s="1"/>
  <c r="F640" i="1"/>
  <c r="E641" i="1"/>
  <c r="T641" i="1" s="1"/>
  <c r="F641" i="1"/>
  <c r="E642" i="1"/>
  <c r="T642" i="1" s="1"/>
  <c r="F642" i="1"/>
  <c r="E643" i="1"/>
  <c r="T643" i="1" s="1"/>
  <c r="F643" i="1"/>
  <c r="E644" i="1"/>
  <c r="T644" i="1" s="1"/>
  <c r="F644" i="1"/>
  <c r="E645" i="1"/>
  <c r="T645" i="1" s="1"/>
  <c r="F645" i="1"/>
  <c r="E646" i="1"/>
  <c r="T646" i="1" s="1"/>
  <c r="F646" i="1"/>
  <c r="E647" i="1"/>
  <c r="T647" i="1" s="1"/>
  <c r="F647" i="1"/>
  <c r="E648" i="1"/>
  <c r="T648" i="1" s="1"/>
  <c r="F648" i="1"/>
  <c r="E649" i="1"/>
  <c r="T649" i="1" s="1"/>
  <c r="F649" i="1"/>
  <c r="E650" i="1"/>
  <c r="T650" i="1" s="1"/>
  <c r="F650" i="1"/>
  <c r="E651" i="1"/>
  <c r="T651" i="1" s="1"/>
  <c r="F651" i="1"/>
  <c r="E652" i="1"/>
  <c r="T652" i="1" s="1"/>
  <c r="F652" i="1"/>
  <c r="E653" i="1"/>
  <c r="T653" i="1" s="1"/>
  <c r="F653" i="1"/>
  <c r="E654" i="1"/>
  <c r="T654" i="1" s="1"/>
  <c r="F654" i="1"/>
  <c r="E655" i="1"/>
  <c r="T655" i="1" s="1"/>
  <c r="F655" i="1"/>
  <c r="E656" i="1"/>
  <c r="T656" i="1" s="1"/>
  <c r="F656" i="1"/>
  <c r="E657" i="1"/>
  <c r="T657" i="1" s="1"/>
  <c r="F657" i="1"/>
  <c r="E658" i="1"/>
  <c r="T658" i="1" s="1"/>
  <c r="F658" i="1"/>
  <c r="E659" i="1"/>
  <c r="T659" i="1" s="1"/>
  <c r="F659" i="1"/>
  <c r="E660" i="1"/>
  <c r="T660" i="1" s="1"/>
  <c r="F660" i="1"/>
  <c r="E661" i="1"/>
  <c r="T661" i="1" s="1"/>
  <c r="F661" i="1"/>
  <c r="E662" i="1"/>
  <c r="T662" i="1" s="1"/>
  <c r="F662" i="1"/>
  <c r="E663" i="1"/>
  <c r="T663" i="1" s="1"/>
  <c r="F663" i="1"/>
  <c r="E664" i="1"/>
  <c r="T664" i="1" s="1"/>
  <c r="F664" i="1"/>
  <c r="E665" i="1"/>
  <c r="T665" i="1" s="1"/>
  <c r="F665" i="1"/>
  <c r="E666" i="1"/>
  <c r="T666" i="1" s="1"/>
  <c r="F666" i="1"/>
  <c r="E667" i="1"/>
  <c r="T667" i="1" s="1"/>
  <c r="F667" i="1"/>
  <c r="E668" i="1"/>
  <c r="T668" i="1" s="1"/>
  <c r="F668" i="1"/>
  <c r="E669" i="1"/>
  <c r="T669" i="1" s="1"/>
  <c r="F669" i="1"/>
  <c r="E670" i="1"/>
  <c r="T670" i="1" s="1"/>
  <c r="F670" i="1"/>
  <c r="E671" i="1"/>
  <c r="T671" i="1" s="1"/>
  <c r="F671" i="1"/>
  <c r="E672" i="1"/>
  <c r="T672" i="1" s="1"/>
  <c r="F672" i="1"/>
  <c r="E673" i="1"/>
  <c r="T673" i="1" s="1"/>
  <c r="F673" i="1"/>
  <c r="E674" i="1"/>
  <c r="T674" i="1" s="1"/>
  <c r="F674" i="1"/>
  <c r="E675" i="1"/>
  <c r="T675" i="1" s="1"/>
  <c r="F675" i="1"/>
  <c r="E676" i="1"/>
  <c r="T676" i="1" s="1"/>
  <c r="F676" i="1"/>
  <c r="E677" i="1"/>
  <c r="T677" i="1" s="1"/>
  <c r="F677" i="1"/>
  <c r="E678" i="1"/>
  <c r="T678" i="1" s="1"/>
  <c r="F678" i="1"/>
  <c r="E679" i="1"/>
  <c r="T679" i="1" s="1"/>
  <c r="F679" i="1"/>
  <c r="E680" i="1"/>
  <c r="T680" i="1" s="1"/>
  <c r="F680" i="1"/>
  <c r="E681" i="1"/>
  <c r="T681" i="1" s="1"/>
  <c r="F681" i="1"/>
  <c r="E682" i="1"/>
  <c r="T682" i="1" s="1"/>
  <c r="F682" i="1"/>
  <c r="E683" i="1"/>
  <c r="T683" i="1" s="1"/>
  <c r="F683" i="1"/>
  <c r="E684" i="1"/>
  <c r="T684" i="1" s="1"/>
  <c r="F684" i="1"/>
  <c r="E685" i="1"/>
  <c r="T685" i="1" s="1"/>
  <c r="F685" i="1"/>
  <c r="E686" i="1"/>
  <c r="T686" i="1" s="1"/>
  <c r="F686" i="1"/>
  <c r="E687" i="1"/>
  <c r="T687" i="1" s="1"/>
  <c r="F687" i="1"/>
  <c r="E688" i="1"/>
  <c r="T688" i="1" s="1"/>
  <c r="F688" i="1"/>
  <c r="E689" i="1"/>
  <c r="T689" i="1" s="1"/>
  <c r="F689" i="1"/>
  <c r="E690" i="1"/>
  <c r="T690" i="1" s="1"/>
  <c r="F690" i="1"/>
  <c r="E691" i="1"/>
  <c r="T691" i="1" s="1"/>
  <c r="F691" i="1"/>
  <c r="E692" i="1"/>
  <c r="T692" i="1" s="1"/>
  <c r="F692" i="1"/>
  <c r="E693" i="1"/>
  <c r="T693" i="1" s="1"/>
  <c r="F693" i="1"/>
  <c r="E694" i="1"/>
  <c r="T694" i="1" s="1"/>
  <c r="F694" i="1"/>
  <c r="E695" i="1"/>
  <c r="T695" i="1" s="1"/>
  <c r="F695" i="1"/>
  <c r="E696" i="1"/>
  <c r="T696" i="1" s="1"/>
  <c r="F696" i="1"/>
  <c r="E697" i="1"/>
  <c r="T697" i="1" s="1"/>
  <c r="F697" i="1"/>
  <c r="E698" i="1"/>
  <c r="T698" i="1" s="1"/>
  <c r="F698" i="1"/>
  <c r="E699" i="1"/>
  <c r="T699" i="1" s="1"/>
  <c r="F699" i="1"/>
  <c r="E700" i="1"/>
  <c r="T700" i="1" s="1"/>
  <c r="F700" i="1"/>
  <c r="E701" i="1"/>
  <c r="T701" i="1" s="1"/>
  <c r="F701" i="1"/>
  <c r="E702" i="1"/>
  <c r="T702" i="1" s="1"/>
  <c r="F702" i="1"/>
  <c r="E703" i="1"/>
  <c r="T703" i="1" s="1"/>
  <c r="F703" i="1"/>
  <c r="E704" i="1"/>
  <c r="T704" i="1" s="1"/>
  <c r="F704" i="1"/>
  <c r="E705" i="1"/>
  <c r="T705" i="1" s="1"/>
  <c r="F705" i="1"/>
  <c r="E706" i="1"/>
  <c r="T706" i="1" s="1"/>
  <c r="F706" i="1"/>
  <c r="E707" i="1"/>
  <c r="T707" i="1" s="1"/>
  <c r="F707" i="1"/>
  <c r="E708" i="1"/>
  <c r="T708" i="1" s="1"/>
  <c r="F708" i="1"/>
  <c r="E709" i="1"/>
  <c r="T709" i="1" s="1"/>
  <c r="F709" i="1"/>
  <c r="E710" i="1"/>
  <c r="T710" i="1" s="1"/>
  <c r="F710" i="1"/>
  <c r="E711" i="1"/>
  <c r="T711" i="1" s="1"/>
  <c r="F711" i="1"/>
  <c r="E712" i="1"/>
  <c r="T712" i="1" s="1"/>
  <c r="F712" i="1"/>
  <c r="E713" i="1"/>
  <c r="T713" i="1" s="1"/>
  <c r="F713" i="1"/>
  <c r="E714" i="1"/>
  <c r="T714" i="1" s="1"/>
  <c r="F714" i="1"/>
  <c r="E715" i="1"/>
  <c r="T715" i="1" s="1"/>
  <c r="F715" i="1"/>
  <c r="E716" i="1"/>
  <c r="T716" i="1" s="1"/>
  <c r="F716" i="1"/>
  <c r="E717" i="1"/>
  <c r="T717" i="1" s="1"/>
  <c r="F717" i="1"/>
  <c r="E718" i="1"/>
  <c r="T718" i="1" s="1"/>
  <c r="F718" i="1"/>
  <c r="E719" i="1"/>
  <c r="T719" i="1" s="1"/>
  <c r="F719" i="1"/>
  <c r="E720" i="1"/>
  <c r="T720" i="1" s="1"/>
  <c r="F720" i="1"/>
  <c r="E721" i="1"/>
  <c r="T721" i="1" s="1"/>
  <c r="F721" i="1"/>
  <c r="E722" i="1"/>
  <c r="T722" i="1" s="1"/>
  <c r="F722" i="1"/>
  <c r="E723" i="1"/>
  <c r="T723" i="1" s="1"/>
  <c r="F723" i="1"/>
  <c r="E724" i="1"/>
  <c r="T724" i="1" s="1"/>
  <c r="F724" i="1"/>
  <c r="E725" i="1"/>
  <c r="T725" i="1" s="1"/>
  <c r="F725" i="1"/>
  <c r="E726" i="1"/>
  <c r="T726" i="1" s="1"/>
  <c r="F726" i="1"/>
  <c r="E727" i="1"/>
  <c r="T727" i="1" s="1"/>
  <c r="F727" i="1"/>
  <c r="E728" i="1"/>
  <c r="T728" i="1" s="1"/>
  <c r="F728" i="1"/>
  <c r="E729" i="1"/>
  <c r="T729" i="1" s="1"/>
  <c r="F729" i="1"/>
  <c r="E730" i="1"/>
  <c r="T730" i="1" s="1"/>
  <c r="F730" i="1"/>
  <c r="E731" i="1"/>
  <c r="T731" i="1" s="1"/>
  <c r="F731" i="1"/>
  <c r="E732" i="1"/>
  <c r="T732" i="1" s="1"/>
  <c r="F732" i="1"/>
  <c r="E733" i="1"/>
  <c r="T733" i="1" s="1"/>
  <c r="F733" i="1"/>
  <c r="E734" i="1"/>
  <c r="T734" i="1" s="1"/>
  <c r="F734" i="1"/>
  <c r="E735" i="1"/>
  <c r="T735" i="1" s="1"/>
  <c r="F735" i="1"/>
  <c r="E736" i="1"/>
  <c r="T736" i="1" s="1"/>
  <c r="F736" i="1"/>
  <c r="E737" i="1"/>
  <c r="T737" i="1" s="1"/>
  <c r="F737" i="1"/>
  <c r="E738" i="1"/>
  <c r="T738" i="1" s="1"/>
  <c r="F738" i="1"/>
  <c r="E739" i="1"/>
  <c r="T739" i="1" s="1"/>
  <c r="F739" i="1"/>
  <c r="E740" i="1"/>
  <c r="T740" i="1" s="1"/>
  <c r="F740" i="1"/>
  <c r="E741" i="1"/>
  <c r="T741" i="1" s="1"/>
  <c r="F741" i="1"/>
  <c r="E742" i="1"/>
  <c r="T742" i="1" s="1"/>
  <c r="F742" i="1"/>
  <c r="E743" i="1"/>
  <c r="T743" i="1" s="1"/>
  <c r="F743" i="1"/>
  <c r="E744" i="1"/>
  <c r="T744" i="1" s="1"/>
  <c r="F744" i="1"/>
  <c r="E745" i="1"/>
  <c r="T745" i="1" s="1"/>
  <c r="F745" i="1"/>
  <c r="E746" i="1"/>
  <c r="T746" i="1" s="1"/>
  <c r="F746" i="1"/>
  <c r="E747" i="1"/>
  <c r="T747" i="1" s="1"/>
  <c r="F747" i="1"/>
  <c r="E748" i="1"/>
  <c r="T748" i="1" s="1"/>
  <c r="F748" i="1"/>
  <c r="E749" i="1"/>
  <c r="T749" i="1" s="1"/>
  <c r="F749" i="1"/>
  <c r="E750" i="1"/>
  <c r="T750" i="1" s="1"/>
  <c r="F750" i="1"/>
  <c r="E751" i="1"/>
  <c r="T751" i="1" s="1"/>
  <c r="F751" i="1"/>
  <c r="E752" i="1"/>
  <c r="T752" i="1" s="1"/>
  <c r="F752" i="1"/>
  <c r="E753" i="1"/>
  <c r="T753" i="1" s="1"/>
  <c r="F753" i="1"/>
  <c r="E754" i="1"/>
  <c r="T754" i="1" s="1"/>
  <c r="F754" i="1"/>
  <c r="E755" i="1"/>
  <c r="T755" i="1" s="1"/>
  <c r="F755" i="1"/>
  <c r="E756" i="1"/>
  <c r="T756" i="1" s="1"/>
  <c r="F756" i="1"/>
  <c r="E757" i="1"/>
  <c r="T757" i="1" s="1"/>
  <c r="F757" i="1"/>
  <c r="E758" i="1"/>
  <c r="T758" i="1" s="1"/>
  <c r="F758" i="1"/>
  <c r="E759" i="1"/>
  <c r="T759" i="1" s="1"/>
  <c r="F759" i="1"/>
  <c r="E760" i="1"/>
  <c r="T760" i="1" s="1"/>
  <c r="F760" i="1"/>
  <c r="E761" i="1"/>
  <c r="T761" i="1" s="1"/>
  <c r="F761" i="1"/>
  <c r="E762" i="1"/>
  <c r="T762" i="1" s="1"/>
  <c r="F762" i="1"/>
  <c r="E763" i="1"/>
  <c r="T763" i="1" s="1"/>
  <c r="F763" i="1"/>
  <c r="E764" i="1"/>
  <c r="T764" i="1" s="1"/>
  <c r="F764" i="1"/>
  <c r="E765" i="1"/>
  <c r="T765" i="1" s="1"/>
  <c r="F765" i="1"/>
  <c r="E766" i="1"/>
  <c r="T766" i="1" s="1"/>
  <c r="F766" i="1"/>
  <c r="E767" i="1"/>
  <c r="T767" i="1" s="1"/>
  <c r="F767" i="1"/>
  <c r="E768" i="1"/>
  <c r="T768" i="1" s="1"/>
  <c r="F768" i="1"/>
  <c r="E769" i="1"/>
  <c r="T769" i="1" s="1"/>
  <c r="F769" i="1"/>
  <c r="E770" i="1"/>
  <c r="T770" i="1" s="1"/>
  <c r="F770" i="1"/>
  <c r="E771" i="1"/>
  <c r="T771" i="1" s="1"/>
  <c r="F771" i="1"/>
  <c r="E772" i="1"/>
  <c r="T772" i="1" s="1"/>
  <c r="F772" i="1"/>
  <c r="E773" i="1"/>
  <c r="T773" i="1" s="1"/>
  <c r="F773" i="1"/>
  <c r="E774" i="1"/>
  <c r="T774" i="1" s="1"/>
  <c r="F774" i="1"/>
  <c r="E775" i="1"/>
  <c r="T775" i="1" s="1"/>
  <c r="F775" i="1"/>
  <c r="E776" i="1"/>
  <c r="T776" i="1" s="1"/>
  <c r="F776" i="1"/>
  <c r="E777" i="1"/>
  <c r="T777" i="1" s="1"/>
  <c r="F777" i="1"/>
  <c r="E778" i="1"/>
  <c r="T778" i="1" s="1"/>
  <c r="F778" i="1"/>
  <c r="E779" i="1"/>
  <c r="T779" i="1" s="1"/>
  <c r="F779" i="1"/>
  <c r="E780" i="1"/>
  <c r="T780" i="1" s="1"/>
  <c r="F780" i="1"/>
  <c r="E781" i="1"/>
  <c r="T781" i="1" s="1"/>
  <c r="F781" i="1"/>
  <c r="E782" i="1"/>
  <c r="T782" i="1" s="1"/>
  <c r="F782" i="1"/>
  <c r="E783" i="1"/>
  <c r="T783" i="1" s="1"/>
  <c r="F783" i="1"/>
  <c r="E784" i="1"/>
  <c r="T784" i="1" s="1"/>
  <c r="F784" i="1"/>
  <c r="E785" i="1"/>
  <c r="T785" i="1" s="1"/>
  <c r="F785" i="1"/>
  <c r="E786" i="1"/>
  <c r="T786" i="1" s="1"/>
  <c r="F786" i="1"/>
  <c r="E787" i="1"/>
  <c r="T787" i="1" s="1"/>
  <c r="F787" i="1"/>
  <c r="E788" i="1"/>
  <c r="T788" i="1" s="1"/>
  <c r="F788" i="1"/>
  <c r="E789" i="1"/>
  <c r="T789" i="1" s="1"/>
  <c r="F789" i="1"/>
  <c r="E790" i="1"/>
  <c r="T790" i="1" s="1"/>
  <c r="F790" i="1"/>
  <c r="E791" i="1"/>
  <c r="T791" i="1" s="1"/>
  <c r="F791" i="1"/>
  <c r="E792" i="1"/>
  <c r="T792" i="1" s="1"/>
  <c r="F792" i="1"/>
  <c r="E793" i="1"/>
  <c r="T793" i="1" s="1"/>
  <c r="F793" i="1"/>
  <c r="E794" i="1"/>
  <c r="T794" i="1" s="1"/>
  <c r="F794" i="1"/>
  <c r="E795" i="1"/>
  <c r="T795" i="1" s="1"/>
  <c r="F795" i="1"/>
  <c r="E796" i="1"/>
  <c r="T796" i="1" s="1"/>
  <c r="F796" i="1"/>
  <c r="E797" i="1"/>
  <c r="T797" i="1" s="1"/>
  <c r="F797" i="1"/>
  <c r="E798" i="1"/>
  <c r="T798" i="1" s="1"/>
  <c r="F798" i="1"/>
  <c r="E799" i="1"/>
  <c r="T799" i="1" s="1"/>
  <c r="F799" i="1"/>
  <c r="E800" i="1"/>
  <c r="T800" i="1" s="1"/>
  <c r="F800" i="1"/>
  <c r="E801" i="1"/>
  <c r="T801" i="1" s="1"/>
  <c r="F801" i="1"/>
  <c r="E802" i="1"/>
  <c r="T802" i="1" s="1"/>
  <c r="F802" i="1"/>
  <c r="E803" i="1"/>
  <c r="T803" i="1" s="1"/>
  <c r="F803" i="1"/>
  <c r="E804" i="1"/>
  <c r="T804" i="1" s="1"/>
  <c r="F804" i="1"/>
  <c r="E805" i="1"/>
  <c r="T805" i="1" s="1"/>
  <c r="F805" i="1"/>
  <c r="E806" i="1"/>
  <c r="T806" i="1" s="1"/>
  <c r="F806" i="1"/>
  <c r="E807" i="1"/>
  <c r="T807" i="1" s="1"/>
  <c r="F807" i="1"/>
  <c r="E808" i="1"/>
  <c r="T808" i="1" s="1"/>
  <c r="F808" i="1"/>
  <c r="E809" i="1"/>
  <c r="T809" i="1" s="1"/>
  <c r="F809" i="1"/>
  <c r="E810" i="1"/>
  <c r="T810" i="1" s="1"/>
  <c r="F810" i="1"/>
  <c r="E811" i="1"/>
  <c r="T811" i="1" s="1"/>
  <c r="F811" i="1"/>
  <c r="E812" i="1"/>
  <c r="T812" i="1" s="1"/>
  <c r="F812" i="1"/>
  <c r="E813" i="1"/>
  <c r="T813" i="1" s="1"/>
  <c r="F813" i="1"/>
  <c r="E814" i="1"/>
  <c r="T814" i="1" s="1"/>
  <c r="F814" i="1"/>
  <c r="E815" i="1"/>
  <c r="T815" i="1" s="1"/>
  <c r="F815" i="1"/>
  <c r="E816" i="1"/>
  <c r="T816" i="1" s="1"/>
  <c r="F816" i="1"/>
  <c r="E817" i="1"/>
  <c r="T817" i="1" s="1"/>
  <c r="F817" i="1"/>
  <c r="E818" i="1"/>
  <c r="T818" i="1" s="1"/>
  <c r="F818" i="1"/>
  <c r="E819" i="1"/>
  <c r="T819" i="1" s="1"/>
  <c r="F819" i="1"/>
  <c r="E820" i="1"/>
  <c r="T820" i="1" s="1"/>
  <c r="F820" i="1"/>
  <c r="E821" i="1"/>
  <c r="T821" i="1" s="1"/>
  <c r="F821" i="1"/>
  <c r="E822" i="1"/>
  <c r="T822" i="1" s="1"/>
  <c r="F822" i="1"/>
  <c r="E823" i="1"/>
  <c r="T823" i="1" s="1"/>
  <c r="F823" i="1"/>
  <c r="E824" i="1"/>
  <c r="T824" i="1" s="1"/>
  <c r="F824" i="1"/>
  <c r="E825" i="1"/>
  <c r="T825" i="1" s="1"/>
  <c r="F825" i="1"/>
  <c r="E826" i="1"/>
  <c r="T826" i="1" s="1"/>
  <c r="F826" i="1"/>
  <c r="E827" i="1"/>
  <c r="T827" i="1" s="1"/>
  <c r="F827" i="1"/>
  <c r="E828" i="1"/>
  <c r="T828" i="1" s="1"/>
  <c r="F828" i="1"/>
  <c r="E829" i="1"/>
  <c r="T829" i="1" s="1"/>
  <c r="F829" i="1"/>
  <c r="E830" i="1"/>
  <c r="T830" i="1" s="1"/>
  <c r="F830" i="1"/>
  <c r="E831" i="1"/>
  <c r="T831" i="1" s="1"/>
  <c r="F831" i="1"/>
  <c r="E832" i="1"/>
  <c r="T832" i="1" s="1"/>
  <c r="F832" i="1"/>
  <c r="E833" i="1"/>
  <c r="T833" i="1" s="1"/>
  <c r="F833" i="1"/>
  <c r="E834" i="1"/>
  <c r="T834" i="1" s="1"/>
  <c r="F834" i="1"/>
  <c r="E835" i="1"/>
  <c r="T835" i="1" s="1"/>
  <c r="F835" i="1"/>
  <c r="E836" i="1"/>
  <c r="T836" i="1" s="1"/>
  <c r="F836" i="1"/>
  <c r="E837" i="1"/>
  <c r="T837" i="1" s="1"/>
  <c r="F837" i="1"/>
  <c r="E838" i="1"/>
  <c r="T838" i="1" s="1"/>
  <c r="F838" i="1"/>
  <c r="E839" i="1"/>
  <c r="T839" i="1" s="1"/>
  <c r="F839" i="1"/>
  <c r="E840" i="1"/>
  <c r="T840" i="1" s="1"/>
  <c r="F840" i="1"/>
  <c r="E841" i="1"/>
  <c r="T841" i="1" s="1"/>
  <c r="F841" i="1"/>
  <c r="E842" i="1"/>
  <c r="T842" i="1" s="1"/>
  <c r="F842" i="1"/>
  <c r="E843" i="1"/>
  <c r="T843" i="1" s="1"/>
  <c r="F843" i="1"/>
  <c r="E844" i="1"/>
  <c r="T844" i="1" s="1"/>
  <c r="F844" i="1"/>
  <c r="E845" i="1"/>
  <c r="T845" i="1" s="1"/>
  <c r="F845" i="1"/>
  <c r="E846" i="1"/>
  <c r="T846" i="1" s="1"/>
  <c r="F846" i="1"/>
  <c r="E847" i="1"/>
  <c r="T847" i="1" s="1"/>
  <c r="F847" i="1"/>
  <c r="E848" i="1"/>
  <c r="T848" i="1" s="1"/>
  <c r="F848" i="1"/>
  <c r="E849" i="1"/>
  <c r="T849" i="1" s="1"/>
  <c r="F849" i="1"/>
  <c r="E850" i="1"/>
  <c r="T850" i="1" s="1"/>
  <c r="F850" i="1"/>
  <c r="E851" i="1"/>
  <c r="T851" i="1" s="1"/>
  <c r="F851" i="1"/>
  <c r="E852" i="1"/>
  <c r="T852" i="1" s="1"/>
  <c r="F852" i="1"/>
  <c r="E853" i="1"/>
  <c r="T853" i="1" s="1"/>
  <c r="F853" i="1"/>
  <c r="E854" i="1"/>
  <c r="T854" i="1" s="1"/>
  <c r="F854" i="1"/>
  <c r="E855" i="1"/>
  <c r="T855" i="1" s="1"/>
  <c r="F855" i="1"/>
  <c r="E856" i="1"/>
  <c r="T856" i="1" s="1"/>
  <c r="F856" i="1"/>
  <c r="E857" i="1"/>
  <c r="T857" i="1" s="1"/>
  <c r="F857" i="1"/>
  <c r="E858" i="1"/>
  <c r="T858" i="1" s="1"/>
  <c r="F858" i="1"/>
  <c r="E859" i="1"/>
  <c r="T859" i="1" s="1"/>
  <c r="F859" i="1"/>
  <c r="E860" i="1"/>
  <c r="T860" i="1" s="1"/>
  <c r="F860" i="1"/>
  <c r="E861" i="1"/>
  <c r="T861" i="1" s="1"/>
  <c r="F861" i="1"/>
  <c r="E862" i="1"/>
  <c r="T862" i="1" s="1"/>
  <c r="F862" i="1"/>
  <c r="E863" i="1"/>
  <c r="T863" i="1" s="1"/>
  <c r="F863" i="1"/>
  <c r="E864" i="1"/>
  <c r="T864" i="1" s="1"/>
  <c r="F864" i="1"/>
  <c r="E865" i="1"/>
  <c r="T865" i="1" s="1"/>
  <c r="F865" i="1"/>
  <c r="E866" i="1"/>
  <c r="T866" i="1" s="1"/>
  <c r="F866" i="1"/>
  <c r="E867" i="1"/>
  <c r="T867" i="1" s="1"/>
  <c r="F867" i="1"/>
  <c r="E868" i="1"/>
  <c r="T868" i="1" s="1"/>
  <c r="F868" i="1"/>
  <c r="E869" i="1"/>
  <c r="T869" i="1" s="1"/>
  <c r="F869" i="1"/>
  <c r="E870" i="1"/>
  <c r="T870" i="1" s="1"/>
  <c r="F870" i="1"/>
  <c r="E871" i="1"/>
  <c r="T871" i="1" s="1"/>
  <c r="F871" i="1"/>
  <c r="E872" i="1"/>
  <c r="T872" i="1" s="1"/>
  <c r="F872" i="1"/>
  <c r="E873" i="1"/>
  <c r="T873" i="1" s="1"/>
  <c r="F873" i="1"/>
  <c r="E874" i="1"/>
  <c r="T874" i="1" s="1"/>
  <c r="F874" i="1"/>
  <c r="E875" i="1"/>
  <c r="T875" i="1" s="1"/>
  <c r="F875" i="1"/>
  <c r="E876" i="1"/>
  <c r="T876" i="1" s="1"/>
  <c r="F876" i="1"/>
  <c r="E877" i="1"/>
  <c r="T877" i="1" s="1"/>
  <c r="F877" i="1"/>
  <c r="E878" i="1"/>
  <c r="T878" i="1" s="1"/>
  <c r="F878" i="1"/>
  <c r="E879" i="1"/>
  <c r="T879" i="1" s="1"/>
  <c r="F879" i="1"/>
  <c r="E880" i="1"/>
  <c r="T880" i="1" s="1"/>
  <c r="F880" i="1"/>
  <c r="E881" i="1"/>
  <c r="T881" i="1" s="1"/>
  <c r="F881" i="1"/>
  <c r="E882" i="1"/>
  <c r="T882" i="1" s="1"/>
  <c r="F882" i="1"/>
  <c r="E883" i="1"/>
  <c r="T883" i="1" s="1"/>
  <c r="F883" i="1"/>
  <c r="E884" i="1"/>
  <c r="T884" i="1" s="1"/>
  <c r="F884" i="1"/>
  <c r="E885" i="1"/>
  <c r="T885" i="1" s="1"/>
  <c r="F885" i="1"/>
  <c r="E886" i="1"/>
  <c r="T886" i="1" s="1"/>
  <c r="F886" i="1"/>
  <c r="E887" i="1"/>
  <c r="T887" i="1" s="1"/>
  <c r="F887" i="1"/>
  <c r="E888" i="1"/>
  <c r="T888" i="1" s="1"/>
  <c r="F888" i="1"/>
  <c r="E889" i="1"/>
  <c r="T889" i="1" s="1"/>
  <c r="F889" i="1"/>
  <c r="E890" i="1"/>
  <c r="T890" i="1" s="1"/>
  <c r="F890" i="1"/>
  <c r="E891" i="1"/>
  <c r="T891" i="1" s="1"/>
  <c r="F891" i="1"/>
  <c r="E892" i="1"/>
  <c r="T892" i="1" s="1"/>
  <c r="F892" i="1"/>
  <c r="E893" i="1"/>
  <c r="T893" i="1" s="1"/>
  <c r="F893" i="1"/>
  <c r="E894" i="1"/>
  <c r="T894" i="1" s="1"/>
  <c r="F894" i="1"/>
  <c r="E895" i="1"/>
  <c r="T895" i="1" s="1"/>
  <c r="F895" i="1"/>
  <c r="E896" i="1"/>
  <c r="T896" i="1" s="1"/>
  <c r="F896" i="1"/>
  <c r="E897" i="1"/>
  <c r="T897" i="1" s="1"/>
  <c r="F897" i="1"/>
  <c r="E898" i="1"/>
  <c r="T898" i="1" s="1"/>
  <c r="F898" i="1"/>
  <c r="E899" i="1"/>
  <c r="T899" i="1" s="1"/>
  <c r="F899" i="1"/>
  <c r="E900" i="1"/>
  <c r="T900" i="1" s="1"/>
  <c r="F900" i="1"/>
  <c r="E901" i="1"/>
  <c r="T901" i="1" s="1"/>
  <c r="F901" i="1"/>
  <c r="E902" i="1"/>
  <c r="T902" i="1" s="1"/>
  <c r="F902" i="1"/>
  <c r="E903" i="1"/>
  <c r="T903" i="1" s="1"/>
  <c r="F903" i="1"/>
  <c r="E904" i="1"/>
  <c r="T904" i="1" s="1"/>
  <c r="F904" i="1"/>
  <c r="E905" i="1"/>
  <c r="T905" i="1" s="1"/>
  <c r="F905" i="1"/>
  <c r="E906" i="1"/>
  <c r="T906" i="1" s="1"/>
  <c r="F906" i="1"/>
  <c r="E907" i="1"/>
  <c r="T907" i="1" s="1"/>
  <c r="F907" i="1"/>
  <c r="E908" i="1"/>
  <c r="T908" i="1" s="1"/>
  <c r="F908" i="1"/>
  <c r="E909" i="1"/>
  <c r="T909" i="1" s="1"/>
  <c r="F909" i="1"/>
  <c r="E910" i="1"/>
  <c r="T910" i="1" s="1"/>
  <c r="F910" i="1"/>
  <c r="E911" i="1"/>
  <c r="T911" i="1" s="1"/>
  <c r="F911" i="1"/>
  <c r="E912" i="1"/>
  <c r="T912" i="1" s="1"/>
  <c r="F912" i="1"/>
  <c r="E913" i="1"/>
  <c r="T913" i="1" s="1"/>
  <c r="F913" i="1"/>
  <c r="E914" i="1"/>
  <c r="T914" i="1" s="1"/>
  <c r="F914" i="1"/>
  <c r="E915" i="1"/>
  <c r="T915" i="1" s="1"/>
  <c r="F915" i="1"/>
  <c r="E916" i="1"/>
  <c r="T916" i="1" s="1"/>
  <c r="F916" i="1"/>
  <c r="E917" i="1"/>
  <c r="T917" i="1" s="1"/>
  <c r="F917" i="1"/>
  <c r="E918" i="1"/>
  <c r="T918" i="1" s="1"/>
  <c r="F918" i="1"/>
  <c r="E919" i="1"/>
  <c r="T919" i="1" s="1"/>
  <c r="F919" i="1"/>
  <c r="E920" i="1"/>
  <c r="T920" i="1" s="1"/>
  <c r="F920" i="1"/>
  <c r="E921" i="1"/>
  <c r="T921" i="1" s="1"/>
  <c r="F921" i="1"/>
  <c r="E922" i="1"/>
  <c r="T922" i="1" s="1"/>
  <c r="F922" i="1"/>
  <c r="E923" i="1"/>
  <c r="T923" i="1" s="1"/>
  <c r="F923" i="1"/>
  <c r="E924" i="1"/>
  <c r="T924" i="1" s="1"/>
  <c r="F924" i="1"/>
  <c r="E925" i="1"/>
  <c r="T925" i="1" s="1"/>
  <c r="F925" i="1"/>
  <c r="E926" i="1"/>
  <c r="T926" i="1" s="1"/>
  <c r="F926" i="1"/>
  <c r="E927" i="1"/>
  <c r="T927" i="1" s="1"/>
  <c r="F927" i="1"/>
  <c r="E928" i="1"/>
  <c r="T928" i="1" s="1"/>
  <c r="F928" i="1"/>
  <c r="E929" i="1"/>
  <c r="T929" i="1" s="1"/>
  <c r="F929" i="1"/>
  <c r="E930" i="1"/>
  <c r="T930" i="1" s="1"/>
  <c r="F930" i="1"/>
  <c r="E931" i="1"/>
  <c r="T931" i="1" s="1"/>
  <c r="F931" i="1"/>
  <c r="E932" i="1"/>
  <c r="T932" i="1" s="1"/>
  <c r="F932" i="1"/>
  <c r="E933" i="1"/>
  <c r="T933" i="1" s="1"/>
  <c r="F933" i="1"/>
  <c r="E934" i="1"/>
  <c r="T934" i="1" s="1"/>
  <c r="F934" i="1"/>
  <c r="E935" i="1"/>
  <c r="T935" i="1" s="1"/>
  <c r="F935" i="1"/>
  <c r="E936" i="1"/>
  <c r="T936" i="1" s="1"/>
  <c r="F936" i="1"/>
  <c r="E937" i="1"/>
  <c r="T937" i="1" s="1"/>
  <c r="F937" i="1"/>
  <c r="E938" i="1"/>
  <c r="T938" i="1" s="1"/>
  <c r="F938" i="1"/>
  <c r="E939" i="1"/>
  <c r="T939" i="1" s="1"/>
  <c r="F939" i="1"/>
  <c r="E940" i="1"/>
  <c r="T940" i="1" s="1"/>
  <c r="F940" i="1"/>
  <c r="E941" i="1"/>
  <c r="T941" i="1" s="1"/>
  <c r="F941" i="1"/>
  <c r="E942" i="1"/>
  <c r="T942" i="1" s="1"/>
  <c r="F942" i="1"/>
  <c r="E943" i="1"/>
  <c r="T943" i="1" s="1"/>
  <c r="F943" i="1"/>
  <c r="E944" i="1"/>
  <c r="T944" i="1" s="1"/>
  <c r="F944" i="1"/>
  <c r="E945" i="1"/>
  <c r="T945" i="1" s="1"/>
  <c r="F945" i="1"/>
  <c r="E946" i="1"/>
  <c r="T946" i="1" s="1"/>
  <c r="F946" i="1"/>
  <c r="E947" i="1"/>
  <c r="T947" i="1" s="1"/>
  <c r="F947" i="1"/>
  <c r="E948" i="1"/>
  <c r="T948" i="1" s="1"/>
  <c r="F948" i="1"/>
  <c r="E949" i="1"/>
  <c r="T949" i="1" s="1"/>
  <c r="F949" i="1"/>
  <c r="E950" i="1"/>
  <c r="T950" i="1" s="1"/>
  <c r="F950" i="1"/>
  <c r="E951" i="1"/>
  <c r="T951" i="1" s="1"/>
  <c r="F951" i="1"/>
  <c r="E952" i="1"/>
  <c r="T952" i="1" s="1"/>
  <c r="F952" i="1"/>
  <c r="E953" i="1"/>
  <c r="T953" i="1" s="1"/>
  <c r="F953" i="1"/>
  <c r="E954" i="1"/>
  <c r="T954" i="1" s="1"/>
  <c r="F954" i="1"/>
  <c r="E955" i="1"/>
  <c r="T955" i="1" s="1"/>
  <c r="F955" i="1"/>
  <c r="E956" i="1"/>
  <c r="T956" i="1" s="1"/>
  <c r="F956" i="1"/>
  <c r="E957" i="1"/>
  <c r="T957" i="1" s="1"/>
  <c r="F957" i="1"/>
  <c r="E958" i="1"/>
  <c r="T958" i="1" s="1"/>
  <c r="F958" i="1"/>
  <c r="E959" i="1"/>
  <c r="T959" i="1" s="1"/>
  <c r="F959" i="1"/>
  <c r="E960" i="1"/>
  <c r="T960" i="1" s="1"/>
  <c r="F960" i="1"/>
  <c r="E961" i="1"/>
  <c r="T961" i="1" s="1"/>
  <c r="F961" i="1"/>
  <c r="E962" i="1"/>
  <c r="T962" i="1" s="1"/>
  <c r="F962" i="1"/>
  <c r="E963" i="1"/>
  <c r="T963" i="1" s="1"/>
  <c r="F963" i="1"/>
  <c r="E964" i="1"/>
  <c r="T964" i="1" s="1"/>
  <c r="F964" i="1"/>
  <c r="E965" i="1"/>
  <c r="T965" i="1" s="1"/>
  <c r="F965" i="1"/>
  <c r="E966" i="1"/>
  <c r="T966" i="1" s="1"/>
  <c r="F966" i="1"/>
  <c r="E967" i="1"/>
  <c r="T967" i="1" s="1"/>
  <c r="F967" i="1"/>
  <c r="E968" i="1"/>
  <c r="T968" i="1" s="1"/>
  <c r="F968" i="1"/>
  <c r="E969" i="1"/>
  <c r="T969" i="1" s="1"/>
  <c r="F969" i="1"/>
  <c r="E970" i="1"/>
  <c r="T970" i="1" s="1"/>
  <c r="F970" i="1"/>
  <c r="E971" i="1"/>
  <c r="T971" i="1" s="1"/>
  <c r="F971" i="1"/>
  <c r="E972" i="1"/>
  <c r="T972" i="1" s="1"/>
  <c r="F972" i="1"/>
  <c r="E973" i="1"/>
  <c r="T973" i="1" s="1"/>
  <c r="F973" i="1"/>
  <c r="E974" i="1"/>
  <c r="T974" i="1" s="1"/>
  <c r="F974" i="1"/>
  <c r="E975" i="1"/>
  <c r="T975" i="1" s="1"/>
  <c r="F975" i="1"/>
  <c r="E976" i="1"/>
  <c r="T976" i="1" s="1"/>
  <c r="F976" i="1"/>
  <c r="E977" i="1"/>
  <c r="T977" i="1" s="1"/>
  <c r="F977" i="1"/>
  <c r="E978" i="1"/>
  <c r="T978" i="1" s="1"/>
  <c r="F978" i="1"/>
  <c r="E979" i="1"/>
  <c r="T979" i="1" s="1"/>
  <c r="F979" i="1"/>
  <c r="E980" i="1"/>
  <c r="T980" i="1" s="1"/>
  <c r="F980" i="1"/>
  <c r="E981" i="1"/>
  <c r="T981" i="1" s="1"/>
  <c r="F981" i="1"/>
  <c r="E982" i="1"/>
  <c r="T982" i="1" s="1"/>
  <c r="F982" i="1"/>
  <c r="E983" i="1"/>
  <c r="T983" i="1" s="1"/>
  <c r="F983" i="1"/>
  <c r="E984" i="1"/>
  <c r="T984" i="1" s="1"/>
  <c r="F984" i="1"/>
  <c r="E985" i="1"/>
  <c r="T985" i="1" s="1"/>
  <c r="F985" i="1"/>
  <c r="E986" i="1"/>
  <c r="T986" i="1" s="1"/>
  <c r="F986" i="1"/>
  <c r="E987" i="1"/>
  <c r="T987" i="1" s="1"/>
  <c r="F987" i="1"/>
  <c r="E988" i="1"/>
  <c r="T988" i="1" s="1"/>
  <c r="F988" i="1"/>
  <c r="E989" i="1"/>
  <c r="T989" i="1" s="1"/>
  <c r="F989" i="1"/>
  <c r="E990" i="1"/>
  <c r="T990" i="1" s="1"/>
  <c r="F990" i="1"/>
  <c r="E991" i="1"/>
  <c r="T991" i="1" s="1"/>
  <c r="F991" i="1"/>
  <c r="E992" i="1"/>
  <c r="T992" i="1" s="1"/>
  <c r="F992" i="1"/>
  <c r="E993" i="1"/>
  <c r="T993" i="1" s="1"/>
  <c r="F993" i="1"/>
  <c r="E994" i="1"/>
  <c r="T994" i="1" s="1"/>
  <c r="F994" i="1"/>
  <c r="E995" i="1"/>
  <c r="T995" i="1" s="1"/>
  <c r="F995" i="1"/>
  <c r="E996" i="1"/>
  <c r="T996" i="1" s="1"/>
  <c r="F996" i="1"/>
  <c r="E997" i="1"/>
  <c r="T997" i="1" s="1"/>
  <c r="F997" i="1"/>
  <c r="E998" i="1"/>
  <c r="T998" i="1" s="1"/>
  <c r="F998" i="1"/>
  <c r="E999" i="1"/>
  <c r="T999" i="1" s="1"/>
  <c r="F999" i="1"/>
  <c r="E1000" i="1"/>
  <c r="T1000" i="1" s="1"/>
  <c r="F1000" i="1"/>
  <c r="E1001" i="1"/>
  <c r="T1001" i="1" s="1"/>
  <c r="F1001" i="1"/>
  <c r="E1002" i="1"/>
  <c r="T1002" i="1" s="1"/>
  <c r="F1002" i="1"/>
  <c r="E1003" i="1"/>
  <c r="T1003" i="1" s="1"/>
  <c r="F1003" i="1"/>
  <c r="E1004" i="1"/>
  <c r="T1004" i="1" s="1"/>
  <c r="F1004" i="1"/>
  <c r="E1005" i="1"/>
  <c r="T1005" i="1" s="1"/>
  <c r="F1005" i="1"/>
  <c r="E1006" i="1"/>
  <c r="T1006" i="1" s="1"/>
  <c r="F1006" i="1"/>
  <c r="E1007" i="1"/>
  <c r="T1007" i="1" s="1"/>
  <c r="F1007" i="1"/>
  <c r="E1008" i="1"/>
  <c r="T1008" i="1" s="1"/>
  <c r="F1008" i="1"/>
  <c r="E1009" i="1"/>
  <c r="T1009" i="1" s="1"/>
  <c r="F1009" i="1"/>
  <c r="E1010" i="1"/>
  <c r="T1010" i="1" s="1"/>
  <c r="F1010" i="1"/>
  <c r="E1011" i="1"/>
  <c r="T1011" i="1" s="1"/>
  <c r="F1011" i="1"/>
  <c r="E1012" i="1"/>
  <c r="T1012" i="1" s="1"/>
  <c r="F1012" i="1"/>
  <c r="E1013" i="1"/>
  <c r="T1013" i="1" s="1"/>
  <c r="F1013" i="1"/>
  <c r="E1014" i="1"/>
  <c r="T1014" i="1" s="1"/>
  <c r="F1014" i="1"/>
  <c r="E1015" i="1"/>
  <c r="T1015" i="1" s="1"/>
  <c r="F1015" i="1"/>
  <c r="E1016" i="1"/>
  <c r="T1016" i="1" s="1"/>
  <c r="F1016" i="1"/>
  <c r="E1017" i="1"/>
  <c r="T1017" i="1" s="1"/>
  <c r="F1017" i="1"/>
  <c r="E1018" i="1"/>
  <c r="T1018" i="1" s="1"/>
  <c r="F1018" i="1"/>
  <c r="E1019" i="1"/>
  <c r="T1019" i="1" s="1"/>
  <c r="F1019" i="1"/>
  <c r="E1020" i="1"/>
  <c r="T1020" i="1" s="1"/>
  <c r="F1020" i="1"/>
  <c r="E1021" i="1"/>
  <c r="T1021" i="1" s="1"/>
  <c r="F1021" i="1"/>
  <c r="E1022" i="1"/>
  <c r="T1022" i="1" s="1"/>
  <c r="F1022" i="1"/>
  <c r="E1023" i="1"/>
  <c r="T1023" i="1" s="1"/>
  <c r="F1023" i="1"/>
  <c r="E1024" i="1"/>
  <c r="T1024" i="1" s="1"/>
  <c r="F1024" i="1"/>
  <c r="E1025" i="1"/>
  <c r="T1025" i="1" s="1"/>
  <c r="F1025" i="1"/>
  <c r="E1026" i="1"/>
  <c r="T1026" i="1" s="1"/>
  <c r="F1026" i="1"/>
  <c r="E1027" i="1"/>
  <c r="T1027" i="1" s="1"/>
  <c r="F1027" i="1"/>
  <c r="E1028" i="1"/>
  <c r="T1028" i="1" s="1"/>
  <c r="F1028" i="1"/>
  <c r="E1029" i="1"/>
  <c r="T1029" i="1" s="1"/>
  <c r="F1029" i="1"/>
  <c r="E1030" i="1"/>
  <c r="T1030" i="1" s="1"/>
  <c r="F1030" i="1"/>
  <c r="E1031" i="1"/>
  <c r="T1031" i="1" s="1"/>
  <c r="F1031" i="1"/>
  <c r="E1032" i="1"/>
  <c r="T1032" i="1" s="1"/>
  <c r="F1032" i="1"/>
  <c r="E1033" i="1"/>
  <c r="T1033" i="1" s="1"/>
  <c r="F1033" i="1"/>
  <c r="E1034" i="1"/>
  <c r="T1034" i="1" s="1"/>
  <c r="F1034" i="1"/>
  <c r="E1035" i="1"/>
  <c r="T1035" i="1" s="1"/>
  <c r="F1035" i="1"/>
  <c r="E1036" i="1"/>
  <c r="T1036" i="1" s="1"/>
  <c r="F1036" i="1"/>
  <c r="E1037" i="1"/>
  <c r="T1037" i="1" s="1"/>
  <c r="F1037" i="1"/>
  <c r="E1038" i="1"/>
  <c r="T1038" i="1" s="1"/>
  <c r="F1038" i="1"/>
  <c r="E1039" i="1"/>
  <c r="T1039" i="1" s="1"/>
  <c r="F1039" i="1"/>
  <c r="E1040" i="1"/>
  <c r="T1040" i="1" s="1"/>
  <c r="F1040" i="1"/>
  <c r="E1041" i="1"/>
  <c r="T1041" i="1" s="1"/>
  <c r="F1041" i="1"/>
  <c r="E1042" i="1"/>
  <c r="T1042" i="1" s="1"/>
  <c r="F1042" i="1"/>
  <c r="E1043" i="1"/>
  <c r="T1043" i="1" s="1"/>
  <c r="F1043" i="1"/>
  <c r="E1044" i="1"/>
  <c r="T1044" i="1" s="1"/>
  <c r="F1044" i="1"/>
  <c r="E1045" i="1"/>
  <c r="T1045" i="1" s="1"/>
  <c r="F1045" i="1"/>
  <c r="E1046" i="1"/>
  <c r="T1046" i="1" s="1"/>
  <c r="F1046" i="1"/>
  <c r="E1047" i="1"/>
  <c r="T1047" i="1" s="1"/>
  <c r="F1047" i="1"/>
  <c r="E1048" i="1"/>
  <c r="T1048" i="1" s="1"/>
  <c r="F1048" i="1"/>
  <c r="E1049" i="1"/>
  <c r="T1049" i="1" s="1"/>
  <c r="F1049" i="1"/>
  <c r="E1050" i="1"/>
  <c r="T1050" i="1" s="1"/>
  <c r="F1050" i="1"/>
  <c r="E1051" i="1"/>
  <c r="T1051" i="1" s="1"/>
  <c r="F1051" i="1"/>
  <c r="E1052" i="1"/>
  <c r="T1052" i="1" s="1"/>
  <c r="F1052" i="1"/>
  <c r="E1053" i="1"/>
  <c r="T1053" i="1" s="1"/>
  <c r="F1053" i="1"/>
  <c r="E1054" i="1"/>
  <c r="T1054" i="1" s="1"/>
  <c r="F1054" i="1"/>
  <c r="E1055" i="1"/>
  <c r="T1055" i="1" s="1"/>
  <c r="F1055" i="1"/>
  <c r="E1056" i="1"/>
  <c r="T1056" i="1" s="1"/>
  <c r="F1056" i="1"/>
  <c r="E1057" i="1"/>
  <c r="T1057" i="1" s="1"/>
  <c r="F1057" i="1"/>
  <c r="E1058" i="1"/>
  <c r="T1058" i="1" s="1"/>
  <c r="F1058" i="1"/>
  <c r="E1059" i="1"/>
  <c r="T1059" i="1" s="1"/>
  <c r="F1059" i="1"/>
  <c r="E1060" i="1"/>
  <c r="T1060" i="1" s="1"/>
  <c r="F1060" i="1"/>
  <c r="E1061" i="1"/>
  <c r="T1061" i="1" s="1"/>
  <c r="F1061" i="1"/>
  <c r="E1062" i="1"/>
  <c r="T1062" i="1" s="1"/>
  <c r="F1062" i="1"/>
  <c r="E1063" i="1"/>
  <c r="T1063" i="1" s="1"/>
  <c r="F1063" i="1"/>
  <c r="E1064" i="1"/>
  <c r="T1064" i="1" s="1"/>
  <c r="F1064" i="1"/>
  <c r="E1065" i="1"/>
  <c r="T1065" i="1" s="1"/>
  <c r="F1065" i="1"/>
  <c r="E1066" i="1"/>
  <c r="T1066" i="1" s="1"/>
  <c r="F1066" i="1"/>
  <c r="E1067" i="1"/>
  <c r="T1067" i="1" s="1"/>
  <c r="F1067" i="1"/>
  <c r="E1068" i="1"/>
  <c r="T1068" i="1" s="1"/>
  <c r="F1068" i="1"/>
  <c r="E1069" i="1"/>
  <c r="T1069" i="1" s="1"/>
  <c r="F1069" i="1"/>
  <c r="E1070" i="1"/>
  <c r="T1070" i="1" s="1"/>
  <c r="F1070" i="1"/>
  <c r="E1071" i="1"/>
  <c r="T1071" i="1" s="1"/>
  <c r="F1071" i="1"/>
  <c r="E1072" i="1"/>
  <c r="T1072" i="1" s="1"/>
  <c r="F1072" i="1"/>
  <c r="E1073" i="1"/>
  <c r="T1073" i="1" s="1"/>
  <c r="F1073" i="1"/>
  <c r="E1074" i="1"/>
  <c r="T1074" i="1" s="1"/>
  <c r="F1074" i="1"/>
  <c r="E1075" i="1"/>
  <c r="T1075" i="1" s="1"/>
  <c r="F1075" i="1"/>
  <c r="E1076" i="1"/>
  <c r="T1076" i="1" s="1"/>
  <c r="F1076" i="1"/>
  <c r="E1077" i="1"/>
  <c r="T1077" i="1" s="1"/>
  <c r="F1077" i="1"/>
  <c r="E1078" i="1"/>
  <c r="T1078" i="1" s="1"/>
  <c r="F1078" i="1"/>
  <c r="E1079" i="1"/>
  <c r="T1079" i="1" s="1"/>
  <c r="F1079" i="1"/>
  <c r="E1080" i="1"/>
  <c r="T1080" i="1" s="1"/>
  <c r="F1080" i="1"/>
  <c r="E1081" i="1"/>
  <c r="T1081" i="1" s="1"/>
  <c r="F1081" i="1"/>
  <c r="E1082" i="1"/>
  <c r="T1082" i="1" s="1"/>
  <c r="F1082" i="1"/>
  <c r="E1083" i="1"/>
  <c r="T1083" i="1" s="1"/>
  <c r="F1083" i="1"/>
  <c r="E1084" i="1"/>
  <c r="T1084" i="1" s="1"/>
  <c r="F1084" i="1"/>
  <c r="E1085" i="1"/>
  <c r="T1085" i="1" s="1"/>
  <c r="F1085" i="1"/>
  <c r="E1086" i="1"/>
  <c r="T1086" i="1" s="1"/>
  <c r="F1086" i="1"/>
  <c r="E1087" i="1"/>
  <c r="T1087" i="1" s="1"/>
  <c r="F1087" i="1"/>
  <c r="E1088" i="1"/>
  <c r="T1088" i="1" s="1"/>
  <c r="F1088" i="1"/>
  <c r="E1089" i="1"/>
  <c r="T1089" i="1" s="1"/>
  <c r="F1089" i="1"/>
  <c r="E1090" i="1"/>
  <c r="T1090" i="1" s="1"/>
  <c r="F1090" i="1"/>
  <c r="E1091" i="1"/>
  <c r="T1091" i="1" s="1"/>
  <c r="F1091" i="1"/>
  <c r="E1092" i="1"/>
  <c r="T1092" i="1" s="1"/>
  <c r="F1092" i="1"/>
  <c r="E1093" i="1"/>
  <c r="T1093" i="1" s="1"/>
  <c r="F1093" i="1"/>
  <c r="E1094" i="1"/>
  <c r="T1094" i="1" s="1"/>
  <c r="F1094" i="1"/>
  <c r="E1095" i="1"/>
  <c r="T1095" i="1" s="1"/>
  <c r="F1095" i="1"/>
  <c r="E1096" i="1"/>
  <c r="T1096" i="1" s="1"/>
  <c r="F1096" i="1"/>
  <c r="E1097" i="1"/>
  <c r="T1097" i="1" s="1"/>
  <c r="F1097" i="1"/>
  <c r="E1098" i="1"/>
  <c r="T1098" i="1" s="1"/>
  <c r="F1098" i="1"/>
  <c r="E1099" i="1"/>
  <c r="T1099" i="1" s="1"/>
  <c r="F1099" i="1"/>
  <c r="E1100" i="1"/>
  <c r="T1100" i="1" s="1"/>
  <c r="F1100" i="1"/>
  <c r="E1101" i="1"/>
  <c r="T1101" i="1" s="1"/>
  <c r="F1101" i="1"/>
  <c r="E1102" i="1"/>
  <c r="T1102" i="1" s="1"/>
  <c r="F1102" i="1"/>
  <c r="E1103" i="1"/>
  <c r="T1103" i="1" s="1"/>
  <c r="F1103" i="1"/>
  <c r="E1104" i="1"/>
  <c r="T1104" i="1" s="1"/>
  <c r="F1104" i="1"/>
  <c r="E1105" i="1"/>
  <c r="T1105" i="1" s="1"/>
  <c r="F1105" i="1"/>
  <c r="E1106" i="1"/>
  <c r="T1106" i="1" s="1"/>
  <c r="F1106" i="1"/>
  <c r="E1107" i="1"/>
  <c r="T1107" i="1" s="1"/>
  <c r="F1107" i="1"/>
  <c r="E1108" i="1"/>
  <c r="T1108" i="1" s="1"/>
  <c r="F1108" i="1"/>
  <c r="E1109" i="1"/>
  <c r="T1109" i="1" s="1"/>
  <c r="F1109" i="1"/>
  <c r="E1110" i="1"/>
  <c r="T1110" i="1" s="1"/>
  <c r="F1110" i="1"/>
  <c r="E1111" i="1"/>
  <c r="T1111" i="1" s="1"/>
  <c r="F1111" i="1"/>
  <c r="E1112" i="1"/>
  <c r="T1112" i="1" s="1"/>
  <c r="F1112" i="1"/>
  <c r="E1113" i="1"/>
  <c r="T1113" i="1" s="1"/>
  <c r="F1113" i="1"/>
  <c r="E1114" i="1"/>
  <c r="T1114" i="1" s="1"/>
  <c r="F1114" i="1"/>
  <c r="E1115" i="1"/>
  <c r="T1115" i="1" s="1"/>
  <c r="F1115" i="1"/>
  <c r="E1116" i="1"/>
  <c r="T1116" i="1" s="1"/>
  <c r="F1116" i="1"/>
  <c r="E1117" i="1"/>
  <c r="T1117" i="1" s="1"/>
  <c r="F1117" i="1"/>
  <c r="E1118" i="1"/>
  <c r="T1118" i="1" s="1"/>
  <c r="F1118" i="1"/>
  <c r="E1119" i="1"/>
  <c r="T1119" i="1" s="1"/>
  <c r="F1119" i="1"/>
  <c r="E1120" i="1"/>
  <c r="T1120" i="1" s="1"/>
  <c r="F1120" i="1"/>
  <c r="E1121" i="1"/>
  <c r="T1121" i="1" s="1"/>
  <c r="F1121" i="1"/>
  <c r="E1122" i="1"/>
  <c r="T1122" i="1" s="1"/>
  <c r="F1122" i="1"/>
  <c r="E1123" i="1"/>
  <c r="T1123" i="1" s="1"/>
  <c r="F1123" i="1"/>
  <c r="E1124" i="1"/>
  <c r="T1124" i="1" s="1"/>
  <c r="F1124" i="1"/>
  <c r="E1125" i="1"/>
  <c r="T1125" i="1" s="1"/>
  <c r="F1125" i="1"/>
  <c r="E1126" i="1"/>
  <c r="T1126" i="1" s="1"/>
  <c r="F1126" i="1"/>
  <c r="E1127" i="1"/>
  <c r="T1127" i="1" s="1"/>
  <c r="F1127" i="1"/>
  <c r="E1128" i="1"/>
  <c r="T1128" i="1" s="1"/>
  <c r="F1128" i="1"/>
  <c r="E1129" i="1"/>
  <c r="T1129" i="1" s="1"/>
  <c r="F1129" i="1"/>
  <c r="E1130" i="1"/>
  <c r="T1130" i="1" s="1"/>
  <c r="F1130" i="1"/>
  <c r="E1131" i="1"/>
  <c r="T1131" i="1" s="1"/>
  <c r="F1131" i="1"/>
  <c r="E1132" i="1"/>
  <c r="T1132" i="1" s="1"/>
  <c r="F1132" i="1"/>
  <c r="E1133" i="1"/>
  <c r="T1133" i="1" s="1"/>
  <c r="F1133" i="1"/>
  <c r="E1134" i="1"/>
  <c r="T1134" i="1" s="1"/>
  <c r="F1134" i="1"/>
  <c r="E1135" i="1"/>
  <c r="T1135" i="1" s="1"/>
  <c r="F1135" i="1"/>
  <c r="E1136" i="1"/>
  <c r="T1136" i="1" s="1"/>
  <c r="F1136" i="1"/>
  <c r="E1137" i="1"/>
  <c r="T1137" i="1" s="1"/>
  <c r="F1137" i="1"/>
  <c r="E1138" i="1"/>
  <c r="T1138" i="1" s="1"/>
  <c r="F1138" i="1"/>
  <c r="E1139" i="1"/>
  <c r="T1139" i="1" s="1"/>
  <c r="F1139" i="1"/>
  <c r="E1140" i="1"/>
  <c r="T1140" i="1" s="1"/>
  <c r="F1140" i="1"/>
  <c r="E1141" i="1"/>
  <c r="T1141" i="1" s="1"/>
  <c r="F1141" i="1"/>
  <c r="E1142" i="1"/>
  <c r="T1142" i="1" s="1"/>
  <c r="F1142" i="1"/>
  <c r="E1143" i="1"/>
  <c r="T1143" i="1" s="1"/>
  <c r="F1143" i="1"/>
  <c r="E1144" i="1"/>
  <c r="T1144" i="1" s="1"/>
  <c r="F1144" i="1"/>
  <c r="E1145" i="1"/>
  <c r="T1145" i="1" s="1"/>
  <c r="F1145" i="1"/>
  <c r="E1146" i="1"/>
  <c r="T1146" i="1" s="1"/>
  <c r="F1146" i="1"/>
  <c r="E1147" i="1"/>
  <c r="T1147" i="1" s="1"/>
  <c r="F1147" i="1"/>
  <c r="E1148" i="1"/>
  <c r="T1148" i="1" s="1"/>
  <c r="F1148" i="1"/>
  <c r="E1149" i="1"/>
  <c r="T1149" i="1" s="1"/>
  <c r="F1149" i="1"/>
  <c r="E1150" i="1"/>
  <c r="T1150" i="1" s="1"/>
  <c r="F1150" i="1"/>
  <c r="E1151" i="1"/>
  <c r="T1151" i="1" s="1"/>
  <c r="F1151" i="1"/>
  <c r="E1152" i="1"/>
  <c r="T1152" i="1" s="1"/>
  <c r="F1152" i="1"/>
  <c r="E1153" i="1"/>
  <c r="T1153" i="1" s="1"/>
  <c r="F1153" i="1"/>
  <c r="E1154" i="1"/>
  <c r="T1154" i="1" s="1"/>
  <c r="F1154" i="1"/>
  <c r="E1155" i="1"/>
  <c r="T1155" i="1" s="1"/>
  <c r="F1155" i="1"/>
  <c r="E1156" i="1"/>
  <c r="T1156" i="1" s="1"/>
  <c r="F1156" i="1"/>
  <c r="E1157" i="1"/>
  <c r="T1157" i="1" s="1"/>
  <c r="F1157" i="1"/>
  <c r="E1158" i="1"/>
  <c r="T1158" i="1" s="1"/>
  <c r="F1158" i="1"/>
  <c r="E1159" i="1"/>
  <c r="T1159" i="1" s="1"/>
  <c r="F1159" i="1"/>
  <c r="E1160" i="1"/>
  <c r="T1160" i="1" s="1"/>
  <c r="F1160" i="1"/>
  <c r="E1161" i="1"/>
  <c r="T1161" i="1" s="1"/>
  <c r="F1161" i="1"/>
  <c r="E1162" i="1"/>
  <c r="T1162" i="1" s="1"/>
  <c r="F1162" i="1"/>
  <c r="E1163" i="1"/>
  <c r="T1163" i="1" s="1"/>
  <c r="F1163" i="1"/>
  <c r="E1164" i="1"/>
  <c r="T1164" i="1" s="1"/>
  <c r="F1164" i="1"/>
  <c r="E1165" i="1"/>
  <c r="T1165" i="1" s="1"/>
  <c r="F1165" i="1"/>
  <c r="E1166" i="1"/>
  <c r="T1166" i="1" s="1"/>
  <c r="F1166" i="1"/>
  <c r="E1167" i="1"/>
  <c r="T1167" i="1" s="1"/>
  <c r="F1167" i="1"/>
  <c r="E1168" i="1"/>
  <c r="T1168" i="1" s="1"/>
  <c r="F1168" i="1"/>
  <c r="E1169" i="1"/>
  <c r="T1169" i="1" s="1"/>
  <c r="F1169" i="1"/>
  <c r="E1170" i="1"/>
  <c r="T1170" i="1" s="1"/>
  <c r="F1170" i="1"/>
  <c r="E1171" i="1"/>
  <c r="T1171" i="1" s="1"/>
  <c r="F1171" i="1"/>
  <c r="E1172" i="1"/>
  <c r="T1172" i="1" s="1"/>
  <c r="F1172" i="1"/>
  <c r="E1173" i="1"/>
  <c r="T1173" i="1" s="1"/>
  <c r="F1173" i="1"/>
  <c r="E1174" i="1"/>
  <c r="T1174" i="1" s="1"/>
  <c r="F1174" i="1"/>
  <c r="E1175" i="1"/>
  <c r="T1175" i="1" s="1"/>
  <c r="F1175" i="1"/>
  <c r="E1176" i="1"/>
  <c r="T1176" i="1" s="1"/>
  <c r="F1176" i="1"/>
  <c r="E1177" i="1"/>
  <c r="T1177" i="1" s="1"/>
  <c r="F1177" i="1"/>
  <c r="E1178" i="1"/>
  <c r="T1178" i="1" s="1"/>
  <c r="F1178" i="1"/>
  <c r="E1179" i="1"/>
  <c r="T1179" i="1" s="1"/>
  <c r="F1179" i="1"/>
  <c r="E1180" i="1"/>
  <c r="T1180" i="1" s="1"/>
  <c r="F1180" i="1"/>
  <c r="E1181" i="1"/>
  <c r="T1181" i="1" s="1"/>
  <c r="F1181" i="1"/>
  <c r="E1182" i="1"/>
  <c r="T1182" i="1" s="1"/>
  <c r="F1182" i="1"/>
  <c r="E1183" i="1"/>
  <c r="T1183" i="1" s="1"/>
  <c r="F1183" i="1"/>
  <c r="E1184" i="1"/>
  <c r="T1184" i="1" s="1"/>
  <c r="F1184" i="1"/>
  <c r="E1185" i="1"/>
  <c r="T1185" i="1" s="1"/>
  <c r="F1185" i="1"/>
  <c r="E1186" i="1"/>
  <c r="T1186" i="1" s="1"/>
  <c r="F1186" i="1"/>
  <c r="E1187" i="1"/>
  <c r="T1187" i="1" s="1"/>
  <c r="F1187" i="1"/>
  <c r="E1188" i="1"/>
  <c r="T1188" i="1" s="1"/>
  <c r="F1188" i="1"/>
  <c r="E1189" i="1"/>
  <c r="T1189" i="1" s="1"/>
  <c r="F1189" i="1"/>
  <c r="E1190" i="1"/>
  <c r="T1190" i="1" s="1"/>
  <c r="F1190" i="1"/>
  <c r="E1191" i="1"/>
  <c r="T1191" i="1" s="1"/>
  <c r="F1191" i="1"/>
  <c r="E1192" i="1"/>
  <c r="T1192" i="1" s="1"/>
  <c r="F1192" i="1"/>
  <c r="E1193" i="1"/>
  <c r="T1193" i="1" s="1"/>
  <c r="F1193" i="1"/>
  <c r="E1194" i="1"/>
  <c r="T1194" i="1" s="1"/>
  <c r="F1194" i="1"/>
  <c r="E1195" i="1"/>
  <c r="T1195" i="1" s="1"/>
  <c r="F1195" i="1"/>
  <c r="E1196" i="1"/>
  <c r="T1196" i="1" s="1"/>
  <c r="F1196" i="1"/>
  <c r="E1197" i="1"/>
  <c r="T1197" i="1" s="1"/>
  <c r="F1197" i="1"/>
  <c r="E1198" i="1"/>
  <c r="T1198" i="1" s="1"/>
  <c r="F1198" i="1"/>
  <c r="E1199" i="1"/>
  <c r="T1199" i="1" s="1"/>
  <c r="F1199" i="1"/>
  <c r="E1200" i="1"/>
  <c r="T1200" i="1" s="1"/>
  <c r="F1200" i="1"/>
  <c r="E1201" i="1"/>
  <c r="T1201" i="1" s="1"/>
  <c r="F1201" i="1"/>
  <c r="E1202" i="1"/>
  <c r="T1202" i="1" s="1"/>
  <c r="F1202" i="1"/>
  <c r="E1203" i="1"/>
  <c r="T1203" i="1" s="1"/>
  <c r="F1203" i="1"/>
  <c r="E1204" i="1"/>
  <c r="T1204" i="1" s="1"/>
  <c r="F1204" i="1"/>
  <c r="E1205" i="1"/>
  <c r="T1205" i="1" s="1"/>
  <c r="F1205" i="1"/>
  <c r="E1206" i="1"/>
  <c r="T1206" i="1" s="1"/>
  <c r="F1206" i="1"/>
  <c r="E1207" i="1"/>
  <c r="T1207" i="1" s="1"/>
  <c r="F1207" i="1"/>
  <c r="E1208" i="1"/>
  <c r="T1208" i="1" s="1"/>
  <c r="F1208" i="1"/>
  <c r="E1209" i="1"/>
  <c r="T1209" i="1" s="1"/>
  <c r="F1209" i="1"/>
  <c r="E1210" i="1"/>
  <c r="T1210" i="1" s="1"/>
  <c r="F1210" i="1"/>
  <c r="E1211" i="1"/>
  <c r="T1211" i="1" s="1"/>
  <c r="F1211" i="1"/>
  <c r="E1212" i="1"/>
  <c r="T1212" i="1" s="1"/>
  <c r="F1212" i="1"/>
  <c r="E1213" i="1"/>
  <c r="T1213" i="1" s="1"/>
  <c r="F1213" i="1"/>
  <c r="E1214" i="1"/>
  <c r="T1214" i="1" s="1"/>
  <c r="F1214" i="1"/>
  <c r="E1215" i="1"/>
  <c r="T1215" i="1" s="1"/>
  <c r="F1215" i="1"/>
  <c r="E1216" i="1"/>
  <c r="T1216" i="1" s="1"/>
  <c r="F1216" i="1"/>
  <c r="E1217" i="1"/>
  <c r="T1217" i="1" s="1"/>
  <c r="F1217" i="1"/>
  <c r="E1218" i="1"/>
  <c r="T1218" i="1" s="1"/>
  <c r="F1218" i="1"/>
  <c r="E1219" i="1"/>
  <c r="T1219" i="1" s="1"/>
  <c r="F1219" i="1"/>
  <c r="E1220" i="1"/>
  <c r="T1220" i="1" s="1"/>
  <c r="F1220" i="1"/>
  <c r="E1221" i="1"/>
  <c r="T1221" i="1" s="1"/>
  <c r="F1221" i="1"/>
  <c r="E1222" i="1"/>
  <c r="T1222" i="1" s="1"/>
  <c r="F1222" i="1"/>
  <c r="E1223" i="1"/>
  <c r="T1223" i="1" s="1"/>
  <c r="F1223" i="1"/>
  <c r="E1224" i="1"/>
  <c r="T1224" i="1" s="1"/>
  <c r="F1224" i="1"/>
  <c r="E1225" i="1"/>
  <c r="T1225" i="1" s="1"/>
  <c r="F1225" i="1"/>
  <c r="E1226" i="1"/>
  <c r="T1226" i="1" s="1"/>
  <c r="F1226" i="1"/>
  <c r="E1227" i="1"/>
  <c r="T1227" i="1" s="1"/>
  <c r="F1227" i="1"/>
  <c r="E1228" i="1"/>
  <c r="T1228" i="1" s="1"/>
  <c r="F1228" i="1"/>
  <c r="E1229" i="1"/>
  <c r="T1229" i="1" s="1"/>
  <c r="F1229" i="1"/>
  <c r="E1230" i="1"/>
  <c r="T1230" i="1" s="1"/>
  <c r="F1230" i="1"/>
  <c r="E1231" i="1"/>
  <c r="T1231" i="1" s="1"/>
  <c r="F1231" i="1"/>
  <c r="E1232" i="1"/>
  <c r="T1232" i="1" s="1"/>
  <c r="F1232" i="1"/>
  <c r="E1233" i="1"/>
  <c r="T1233" i="1" s="1"/>
  <c r="F1233" i="1"/>
  <c r="E1234" i="1"/>
  <c r="T1234" i="1" s="1"/>
  <c r="F1234" i="1"/>
  <c r="E1235" i="1"/>
  <c r="T1235" i="1" s="1"/>
  <c r="F1235" i="1"/>
  <c r="E1236" i="1"/>
  <c r="T1236" i="1" s="1"/>
  <c r="F1236" i="1"/>
  <c r="E1237" i="1"/>
  <c r="T1237" i="1" s="1"/>
  <c r="F1237" i="1"/>
  <c r="E1238" i="1"/>
  <c r="T1238" i="1" s="1"/>
  <c r="F1238" i="1"/>
  <c r="E1239" i="1"/>
  <c r="T1239" i="1" s="1"/>
  <c r="F1239" i="1"/>
  <c r="E1240" i="1"/>
  <c r="T1240" i="1" s="1"/>
  <c r="F1240" i="1"/>
  <c r="E1241" i="1"/>
  <c r="T1241" i="1" s="1"/>
  <c r="F1241" i="1"/>
  <c r="E1242" i="1"/>
  <c r="T1242" i="1" s="1"/>
  <c r="F1242" i="1"/>
  <c r="E1243" i="1"/>
  <c r="T1243" i="1" s="1"/>
  <c r="F1243" i="1"/>
  <c r="E1244" i="1"/>
  <c r="T1244" i="1" s="1"/>
  <c r="F1244" i="1"/>
  <c r="E1245" i="1"/>
  <c r="T1245" i="1" s="1"/>
  <c r="F1245" i="1"/>
  <c r="E1246" i="1"/>
  <c r="T1246" i="1" s="1"/>
  <c r="F1246" i="1"/>
  <c r="E1247" i="1"/>
  <c r="T1247" i="1" s="1"/>
  <c r="F1247" i="1"/>
  <c r="E1248" i="1"/>
  <c r="T1248" i="1" s="1"/>
  <c r="F1248" i="1"/>
  <c r="E1249" i="1"/>
  <c r="T1249" i="1" s="1"/>
  <c r="F1249" i="1"/>
  <c r="E1250" i="1"/>
  <c r="T1250" i="1" s="1"/>
  <c r="F1250" i="1"/>
  <c r="E1251" i="1"/>
  <c r="T1251" i="1" s="1"/>
  <c r="F1251" i="1"/>
  <c r="E1252" i="1"/>
  <c r="T1252" i="1" s="1"/>
  <c r="F1252" i="1"/>
  <c r="E1253" i="1"/>
  <c r="T1253" i="1" s="1"/>
  <c r="F1253" i="1"/>
  <c r="E1254" i="1"/>
  <c r="T1254" i="1" s="1"/>
  <c r="F1254" i="1"/>
  <c r="E1255" i="1"/>
  <c r="T1255" i="1" s="1"/>
  <c r="F1255" i="1"/>
  <c r="E1256" i="1"/>
  <c r="T1256" i="1" s="1"/>
  <c r="F1256" i="1"/>
  <c r="E1257" i="1"/>
  <c r="T1257" i="1" s="1"/>
  <c r="F1257" i="1"/>
  <c r="E1258" i="1"/>
  <c r="T1258" i="1" s="1"/>
  <c r="F1258" i="1"/>
  <c r="E1259" i="1"/>
  <c r="T1259" i="1" s="1"/>
  <c r="F1259" i="1"/>
  <c r="E1260" i="1"/>
  <c r="T1260" i="1" s="1"/>
  <c r="F1260" i="1"/>
  <c r="E1261" i="1"/>
  <c r="T1261" i="1" s="1"/>
  <c r="F1261" i="1"/>
  <c r="E1262" i="1"/>
  <c r="T1262" i="1" s="1"/>
  <c r="F1262" i="1"/>
  <c r="E1263" i="1"/>
  <c r="T1263" i="1" s="1"/>
  <c r="F1263" i="1"/>
  <c r="E1264" i="1"/>
  <c r="T1264" i="1" s="1"/>
  <c r="F1264" i="1"/>
  <c r="E1265" i="1"/>
  <c r="T1265" i="1" s="1"/>
  <c r="F1265" i="1"/>
  <c r="E1266" i="1"/>
  <c r="T1266" i="1" s="1"/>
  <c r="F1266" i="1"/>
  <c r="E1267" i="1"/>
  <c r="T1267" i="1" s="1"/>
  <c r="F1267" i="1"/>
  <c r="E1268" i="1"/>
  <c r="T1268" i="1" s="1"/>
  <c r="F1268" i="1"/>
  <c r="E1269" i="1"/>
  <c r="T1269" i="1" s="1"/>
  <c r="F1269" i="1"/>
  <c r="E1270" i="1"/>
  <c r="T1270" i="1" s="1"/>
  <c r="F1270" i="1"/>
  <c r="E1271" i="1"/>
  <c r="T1271" i="1" s="1"/>
  <c r="F1271" i="1"/>
  <c r="E1272" i="1"/>
  <c r="T1272" i="1" s="1"/>
  <c r="F1272" i="1"/>
  <c r="E1273" i="1"/>
  <c r="T1273" i="1" s="1"/>
  <c r="F1273" i="1"/>
  <c r="E1274" i="1"/>
  <c r="T1274" i="1" s="1"/>
  <c r="F1274" i="1"/>
  <c r="E1275" i="1"/>
  <c r="T1275" i="1" s="1"/>
  <c r="F1275" i="1"/>
  <c r="E1276" i="1"/>
  <c r="T1276" i="1" s="1"/>
  <c r="F1276" i="1"/>
  <c r="E1277" i="1"/>
  <c r="T1277" i="1" s="1"/>
  <c r="F1277" i="1"/>
  <c r="E1278" i="1"/>
  <c r="T1278" i="1" s="1"/>
  <c r="F1278" i="1"/>
  <c r="E1279" i="1"/>
  <c r="T1279" i="1" s="1"/>
  <c r="F1279" i="1"/>
  <c r="E1280" i="1"/>
  <c r="T1280" i="1" s="1"/>
  <c r="F1280" i="1"/>
  <c r="E1281" i="1"/>
  <c r="T1281" i="1" s="1"/>
  <c r="F1281" i="1"/>
  <c r="E1282" i="1"/>
  <c r="T1282" i="1" s="1"/>
  <c r="F1282" i="1"/>
  <c r="E1283" i="1"/>
  <c r="T1283" i="1" s="1"/>
  <c r="F1283" i="1"/>
  <c r="E1284" i="1"/>
  <c r="T1284" i="1" s="1"/>
  <c r="F1284" i="1"/>
  <c r="E1285" i="1"/>
  <c r="T1285" i="1" s="1"/>
  <c r="F1285" i="1"/>
  <c r="E1286" i="1"/>
  <c r="T1286" i="1" s="1"/>
  <c r="F1286" i="1"/>
  <c r="E1287" i="1"/>
  <c r="T1287" i="1" s="1"/>
  <c r="F1287" i="1"/>
  <c r="E1288" i="1"/>
  <c r="T1288" i="1" s="1"/>
  <c r="F1288" i="1"/>
  <c r="E1289" i="1"/>
  <c r="T1289" i="1" s="1"/>
  <c r="F1289" i="1"/>
  <c r="E1290" i="1"/>
  <c r="T1290" i="1" s="1"/>
  <c r="F1290" i="1"/>
  <c r="E1291" i="1"/>
  <c r="T1291" i="1" s="1"/>
  <c r="F1291" i="1"/>
  <c r="E1292" i="1"/>
  <c r="T1292" i="1" s="1"/>
  <c r="F1292" i="1"/>
  <c r="E1293" i="1"/>
  <c r="T1293" i="1" s="1"/>
  <c r="F1293" i="1"/>
  <c r="E1294" i="1"/>
  <c r="T1294" i="1" s="1"/>
  <c r="F1294" i="1"/>
  <c r="E1295" i="1"/>
  <c r="T1295" i="1" s="1"/>
  <c r="F1295" i="1"/>
  <c r="E1296" i="1"/>
  <c r="T1296" i="1" s="1"/>
  <c r="F1296" i="1"/>
  <c r="E1297" i="1"/>
  <c r="T1297" i="1" s="1"/>
  <c r="F1297" i="1"/>
  <c r="E1298" i="1"/>
  <c r="T1298" i="1" s="1"/>
  <c r="F1298" i="1"/>
  <c r="E1299" i="1"/>
  <c r="T1299" i="1" s="1"/>
  <c r="F1299" i="1"/>
  <c r="E1300" i="1"/>
  <c r="T1300" i="1" s="1"/>
  <c r="F1300" i="1"/>
  <c r="E1301" i="1"/>
  <c r="T1301" i="1" s="1"/>
  <c r="F1301" i="1"/>
  <c r="E1302" i="1"/>
  <c r="T1302" i="1" s="1"/>
  <c r="F1302" i="1"/>
  <c r="E1303" i="1"/>
  <c r="T1303" i="1" s="1"/>
  <c r="F1303" i="1"/>
  <c r="E1304" i="1"/>
  <c r="T1304" i="1" s="1"/>
  <c r="F1304" i="1"/>
  <c r="E1305" i="1"/>
  <c r="T1305" i="1" s="1"/>
  <c r="F1305" i="1"/>
  <c r="E1306" i="1"/>
  <c r="T1306" i="1" s="1"/>
  <c r="F1306" i="1"/>
  <c r="E1307" i="1"/>
  <c r="T1307" i="1" s="1"/>
  <c r="F1307" i="1"/>
  <c r="E1308" i="1"/>
  <c r="T1308" i="1" s="1"/>
  <c r="F1308" i="1"/>
  <c r="E1309" i="1"/>
  <c r="T1309" i="1" s="1"/>
  <c r="F1309" i="1"/>
  <c r="E1310" i="1"/>
  <c r="T1310" i="1" s="1"/>
  <c r="F1310" i="1"/>
  <c r="E1311" i="1"/>
  <c r="T1311" i="1" s="1"/>
  <c r="F1311" i="1"/>
  <c r="E1312" i="1"/>
  <c r="T1312" i="1" s="1"/>
  <c r="F1312" i="1"/>
  <c r="E1313" i="1"/>
  <c r="T1313" i="1" s="1"/>
  <c r="F1313" i="1"/>
  <c r="E1314" i="1"/>
  <c r="T1314" i="1" s="1"/>
  <c r="F1314" i="1"/>
  <c r="E1315" i="1"/>
  <c r="T1315" i="1" s="1"/>
  <c r="F1315" i="1"/>
  <c r="E1316" i="1"/>
  <c r="T1316" i="1" s="1"/>
  <c r="F1316" i="1"/>
  <c r="E1317" i="1"/>
  <c r="T1317" i="1" s="1"/>
  <c r="F1317" i="1"/>
  <c r="E1318" i="1"/>
  <c r="T1318" i="1" s="1"/>
  <c r="F1318" i="1"/>
  <c r="E1319" i="1"/>
  <c r="T1319" i="1" s="1"/>
  <c r="F1319" i="1"/>
  <c r="E1320" i="1"/>
  <c r="T1320" i="1" s="1"/>
  <c r="F1320" i="1"/>
  <c r="E1321" i="1"/>
  <c r="T1321" i="1" s="1"/>
  <c r="F1321" i="1"/>
  <c r="E1322" i="1"/>
  <c r="T1322" i="1" s="1"/>
  <c r="F1322" i="1"/>
  <c r="E1323" i="1"/>
  <c r="T1323" i="1" s="1"/>
  <c r="F1323" i="1"/>
  <c r="E1324" i="1"/>
  <c r="T1324" i="1" s="1"/>
  <c r="F1324" i="1"/>
  <c r="E1325" i="1"/>
  <c r="T1325" i="1" s="1"/>
  <c r="F1325" i="1"/>
  <c r="E1326" i="1"/>
  <c r="T1326" i="1" s="1"/>
  <c r="F1326" i="1"/>
  <c r="E1327" i="1"/>
  <c r="T1327" i="1" s="1"/>
  <c r="F1327" i="1"/>
  <c r="E1328" i="1"/>
  <c r="T1328" i="1" s="1"/>
  <c r="F1328" i="1"/>
  <c r="E1329" i="1"/>
  <c r="T1329" i="1" s="1"/>
  <c r="F1329" i="1"/>
  <c r="E1330" i="1"/>
  <c r="T1330" i="1" s="1"/>
  <c r="F1330" i="1"/>
  <c r="E1331" i="1"/>
  <c r="T1331" i="1" s="1"/>
  <c r="F1331" i="1"/>
  <c r="E1332" i="1"/>
  <c r="T1332" i="1" s="1"/>
  <c r="F1332" i="1"/>
  <c r="E1333" i="1"/>
  <c r="T1333" i="1" s="1"/>
  <c r="F1333" i="1"/>
  <c r="E1334" i="1"/>
  <c r="T1334" i="1" s="1"/>
  <c r="F1334" i="1"/>
  <c r="E1335" i="1"/>
  <c r="T1335" i="1" s="1"/>
  <c r="F1335" i="1"/>
  <c r="E1336" i="1"/>
  <c r="T1336" i="1" s="1"/>
  <c r="F1336" i="1"/>
  <c r="E1337" i="1"/>
  <c r="T1337" i="1" s="1"/>
  <c r="F1337" i="1"/>
  <c r="E1338" i="1"/>
  <c r="T1338" i="1" s="1"/>
  <c r="F1338" i="1"/>
  <c r="E1339" i="1"/>
  <c r="T1339" i="1" s="1"/>
  <c r="F1339" i="1"/>
  <c r="E1340" i="1"/>
  <c r="T1340" i="1" s="1"/>
  <c r="F1340" i="1"/>
  <c r="E1341" i="1"/>
  <c r="T1341" i="1" s="1"/>
  <c r="F1341" i="1"/>
  <c r="E1342" i="1"/>
  <c r="T1342" i="1" s="1"/>
  <c r="F1342" i="1"/>
  <c r="E1343" i="1"/>
  <c r="T1343" i="1" s="1"/>
  <c r="F1343" i="1"/>
  <c r="E1344" i="1"/>
  <c r="T1344" i="1" s="1"/>
  <c r="F1344" i="1"/>
  <c r="E1345" i="1"/>
  <c r="T1345" i="1" s="1"/>
  <c r="F1345" i="1"/>
  <c r="E1346" i="1"/>
  <c r="T1346" i="1" s="1"/>
  <c r="F1346" i="1"/>
  <c r="E1347" i="1"/>
  <c r="T1347" i="1" s="1"/>
  <c r="F1347" i="1"/>
  <c r="E1348" i="1"/>
  <c r="T1348" i="1" s="1"/>
  <c r="F1348" i="1"/>
  <c r="E1349" i="1"/>
  <c r="T1349" i="1" s="1"/>
  <c r="F1349" i="1"/>
  <c r="E1350" i="1"/>
  <c r="T1350" i="1" s="1"/>
  <c r="F1350" i="1"/>
  <c r="E1351" i="1"/>
  <c r="T1351" i="1" s="1"/>
  <c r="F1351" i="1"/>
  <c r="E1352" i="1"/>
  <c r="T1352" i="1" s="1"/>
  <c r="F1352" i="1"/>
  <c r="E1353" i="1"/>
  <c r="T1353" i="1" s="1"/>
  <c r="F1353" i="1"/>
  <c r="E1354" i="1"/>
  <c r="T1354" i="1" s="1"/>
  <c r="F1354" i="1"/>
  <c r="E1355" i="1"/>
  <c r="T1355" i="1" s="1"/>
  <c r="F1355" i="1"/>
  <c r="E1356" i="1"/>
  <c r="T1356" i="1" s="1"/>
  <c r="F1356" i="1"/>
  <c r="E1357" i="1"/>
  <c r="T1357" i="1" s="1"/>
  <c r="F1357" i="1"/>
  <c r="E1358" i="1"/>
  <c r="T1358" i="1" s="1"/>
  <c r="F1358" i="1"/>
  <c r="E1359" i="1"/>
  <c r="T1359" i="1" s="1"/>
  <c r="F1359" i="1"/>
  <c r="E1360" i="1"/>
  <c r="T1360" i="1" s="1"/>
  <c r="F1360" i="1"/>
  <c r="E1361" i="1"/>
  <c r="T1361" i="1" s="1"/>
  <c r="F1361" i="1"/>
  <c r="E1362" i="1"/>
  <c r="T1362" i="1" s="1"/>
  <c r="F1362" i="1"/>
  <c r="E1363" i="1"/>
  <c r="T1363" i="1" s="1"/>
  <c r="F1363" i="1"/>
  <c r="E1364" i="1"/>
  <c r="T1364" i="1" s="1"/>
  <c r="F1364" i="1"/>
  <c r="E1365" i="1"/>
  <c r="T1365" i="1" s="1"/>
  <c r="F1365" i="1"/>
  <c r="E1366" i="1"/>
  <c r="T1366" i="1" s="1"/>
  <c r="F1366" i="1"/>
  <c r="E1367" i="1"/>
  <c r="T1367" i="1" s="1"/>
  <c r="F1367" i="1"/>
  <c r="E1368" i="1"/>
  <c r="T1368" i="1" s="1"/>
  <c r="F1368" i="1"/>
  <c r="E1369" i="1"/>
  <c r="T1369" i="1" s="1"/>
  <c r="F1369" i="1"/>
  <c r="E1370" i="1"/>
  <c r="T1370" i="1" s="1"/>
  <c r="F1370" i="1"/>
  <c r="E1371" i="1"/>
  <c r="T1371" i="1" s="1"/>
  <c r="F1371" i="1"/>
  <c r="E1372" i="1"/>
  <c r="T1372" i="1" s="1"/>
  <c r="F1372" i="1"/>
  <c r="E1373" i="1"/>
  <c r="T1373" i="1" s="1"/>
  <c r="F1373" i="1"/>
  <c r="E1374" i="1"/>
  <c r="T1374" i="1" s="1"/>
  <c r="F1374" i="1"/>
  <c r="E1375" i="1"/>
  <c r="T1375" i="1" s="1"/>
  <c r="F1375" i="1"/>
  <c r="E1376" i="1"/>
  <c r="T1376" i="1" s="1"/>
  <c r="F1376" i="1"/>
  <c r="E1377" i="1"/>
  <c r="T1377" i="1" s="1"/>
  <c r="F1377" i="1"/>
  <c r="E1378" i="1"/>
  <c r="T1378" i="1" s="1"/>
  <c r="F1378" i="1"/>
  <c r="E1379" i="1"/>
  <c r="T1379" i="1" s="1"/>
  <c r="F1379" i="1"/>
  <c r="E1380" i="1"/>
  <c r="T1380" i="1" s="1"/>
  <c r="F1380" i="1"/>
  <c r="E1381" i="1"/>
  <c r="T1381" i="1" s="1"/>
  <c r="F1381" i="1"/>
  <c r="E1382" i="1"/>
  <c r="T1382" i="1" s="1"/>
  <c r="F1382" i="1"/>
  <c r="E1383" i="1"/>
  <c r="T1383" i="1" s="1"/>
  <c r="F1383" i="1"/>
  <c r="E1384" i="1"/>
  <c r="T1384" i="1" s="1"/>
  <c r="F1384" i="1"/>
  <c r="E1385" i="1"/>
  <c r="T1385" i="1" s="1"/>
  <c r="F1385" i="1"/>
  <c r="E1386" i="1"/>
  <c r="T1386" i="1" s="1"/>
  <c r="F1386" i="1"/>
  <c r="E1387" i="1"/>
  <c r="T1387" i="1" s="1"/>
  <c r="F1387" i="1"/>
  <c r="E1388" i="1"/>
  <c r="T1388" i="1" s="1"/>
  <c r="F1388" i="1"/>
  <c r="E1389" i="1"/>
  <c r="T1389" i="1" s="1"/>
  <c r="F1389" i="1"/>
  <c r="E1390" i="1"/>
  <c r="T1390" i="1" s="1"/>
  <c r="F1390" i="1"/>
  <c r="E1391" i="1"/>
  <c r="T1391" i="1" s="1"/>
  <c r="F1391" i="1"/>
  <c r="E1392" i="1"/>
  <c r="T1392" i="1" s="1"/>
  <c r="F1392" i="1"/>
  <c r="E1393" i="1"/>
  <c r="T1393" i="1" s="1"/>
  <c r="F1393" i="1"/>
  <c r="E1394" i="1"/>
  <c r="T1394" i="1" s="1"/>
  <c r="F1394" i="1"/>
  <c r="E1395" i="1"/>
  <c r="T1395" i="1" s="1"/>
  <c r="F1395" i="1"/>
  <c r="E1396" i="1"/>
  <c r="T1396" i="1" s="1"/>
  <c r="F1396" i="1"/>
  <c r="E1397" i="1"/>
  <c r="T1397" i="1" s="1"/>
  <c r="F1397" i="1"/>
  <c r="E1398" i="1"/>
  <c r="T1398" i="1" s="1"/>
  <c r="F1398" i="1"/>
  <c r="E1399" i="1"/>
  <c r="T1399" i="1" s="1"/>
  <c r="F1399" i="1"/>
  <c r="E1400" i="1"/>
  <c r="T1400" i="1" s="1"/>
  <c r="F1400" i="1"/>
  <c r="E1401" i="1"/>
  <c r="T1401" i="1" s="1"/>
  <c r="F1401" i="1"/>
  <c r="E1402" i="1"/>
  <c r="T1402" i="1" s="1"/>
  <c r="F1402" i="1"/>
  <c r="E1403" i="1"/>
  <c r="T1403" i="1" s="1"/>
  <c r="F1403" i="1"/>
  <c r="E1404" i="1"/>
  <c r="T1404" i="1" s="1"/>
  <c r="F1404" i="1"/>
  <c r="E1405" i="1"/>
  <c r="T1405" i="1" s="1"/>
  <c r="F1405" i="1"/>
  <c r="E1406" i="1"/>
  <c r="T1406" i="1" s="1"/>
  <c r="F1406" i="1"/>
  <c r="E1407" i="1"/>
  <c r="T1407" i="1" s="1"/>
  <c r="F1407" i="1"/>
  <c r="E1408" i="1"/>
  <c r="T1408" i="1" s="1"/>
  <c r="F1408" i="1"/>
  <c r="E1409" i="1"/>
  <c r="T1409" i="1" s="1"/>
  <c r="F1409" i="1"/>
  <c r="E1410" i="1"/>
  <c r="T1410" i="1" s="1"/>
  <c r="F1410" i="1"/>
  <c r="E1411" i="1"/>
  <c r="T1411" i="1" s="1"/>
  <c r="F1411" i="1"/>
  <c r="E1412" i="1"/>
  <c r="T1412" i="1" s="1"/>
  <c r="F1412" i="1"/>
  <c r="E1413" i="1"/>
  <c r="T1413" i="1" s="1"/>
  <c r="F1413" i="1"/>
  <c r="E1414" i="1"/>
  <c r="T1414" i="1" s="1"/>
  <c r="F1414" i="1"/>
  <c r="E1415" i="1"/>
  <c r="T1415" i="1" s="1"/>
  <c r="F1415" i="1"/>
  <c r="E1416" i="1"/>
  <c r="T1416" i="1" s="1"/>
  <c r="F1416" i="1"/>
  <c r="E1417" i="1"/>
  <c r="T1417" i="1" s="1"/>
  <c r="F1417" i="1"/>
  <c r="E1418" i="1"/>
  <c r="T1418" i="1" s="1"/>
  <c r="F1418" i="1"/>
  <c r="E1419" i="1"/>
  <c r="T1419" i="1" s="1"/>
  <c r="F1419" i="1"/>
  <c r="E1420" i="1"/>
  <c r="T1420" i="1" s="1"/>
  <c r="F1420" i="1"/>
  <c r="E1421" i="1"/>
  <c r="T1421" i="1" s="1"/>
  <c r="F1421" i="1"/>
  <c r="E1422" i="1"/>
  <c r="T1422" i="1" s="1"/>
  <c r="F1422" i="1"/>
  <c r="E1423" i="1"/>
  <c r="T1423" i="1" s="1"/>
  <c r="F1423" i="1"/>
  <c r="E1424" i="1"/>
  <c r="T1424" i="1" s="1"/>
  <c r="F1424" i="1"/>
  <c r="E1425" i="1"/>
  <c r="T1425" i="1" s="1"/>
  <c r="F1425" i="1"/>
  <c r="E1426" i="1"/>
  <c r="T1426" i="1" s="1"/>
  <c r="F1426" i="1"/>
  <c r="E1427" i="1"/>
  <c r="T1427" i="1" s="1"/>
  <c r="F1427" i="1"/>
  <c r="E1428" i="1"/>
  <c r="T1428" i="1" s="1"/>
  <c r="F1428" i="1"/>
  <c r="E1429" i="1"/>
  <c r="T1429" i="1" s="1"/>
  <c r="F1429" i="1"/>
  <c r="E1430" i="1"/>
  <c r="T1430" i="1" s="1"/>
  <c r="F1430" i="1"/>
  <c r="E1431" i="1"/>
  <c r="T1431" i="1" s="1"/>
  <c r="F1431" i="1"/>
  <c r="E1432" i="1"/>
  <c r="T1432" i="1" s="1"/>
  <c r="F1432" i="1"/>
  <c r="E1433" i="1"/>
  <c r="T1433" i="1" s="1"/>
  <c r="F1433" i="1"/>
  <c r="E1434" i="1"/>
  <c r="T1434" i="1" s="1"/>
  <c r="F1434" i="1"/>
  <c r="E1435" i="1"/>
  <c r="T1435" i="1" s="1"/>
  <c r="F1435" i="1"/>
  <c r="E1436" i="1"/>
  <c r="T1436" i="1" s="1"/>
  <c r="F1436" i="1"/>
  <c r="E1437" i="1"/>
  <c r="T1437" i="1" s="1"/>
  <c r="F1437" i="1"/>
  <c r="E1438" i="1"/>
  <c r="T1438" i="1" s="1"/>
  <c r="F1438" i="1"/>
  <c r="E1439" i="1"/>
  <c r="T1439" i="1" s="1"/>
  <c r="F1439" i="1"/>
  <c r="E1440" i="1"/>
  <c r="T1440" i="1" s="1"/>
  <c r="F1440" i="1"/>
  <c r="E1441" i="1"/>
  <c r="T1441" i="1" s="1"/>
  <c r="F1441" i="1"/>
  <c r="E1442" i="1"/>
  <c r="T1442" i="1" s="1"/>
  <c r="F1442" i="1"/>
  <c r="E1443" i="1"/>
  <c r="T1443" i="1" s="1"/>
  <c r="F1443" i="1"/>
  <c r="E1444" i="1"/>
  <c r="T1444" i="1" s="1"/>
  <c r="F1444" i="1"/>
  <c r="E1445" i="1"/>
  <c r="T1445" i="1" s="1"/>
  <c r="F1445" i="1"/>
  <c r="E1446" i="1"/>
  <c r="T1446" i="1" s="1"/>
  <c r="F1446" i="1"/>
  <c r="E1447" i="1"/>
  <c r="T1447" i="1" s="1"/>
  <c r="F1447" i="1"/>
  <c r="E1448" i="1"/>
  <c r="T1448" i="1" s="1"/>
  <c r="F1448" i="1"/>
  <c r="E1449" i="1"/>
  <c r="T1449" i="1" s="1"/>
  <c r="F1449" i="1"/>
  <c r="E1450" i="1"/>
  <c r="T1450" i="1" s="1"/>
  <c r="F1450" i="1"/>
  <c r="E1451" i="1"/>
  <c r="T1451" i="1" s="1"/>
  <c r="F1451" i="1"/>
  <c r="E1452" i="1"/>
  <c r="T1452" i="1" s="1"/>
  <c r="F1452" i="1"/>
  <c r="E1453" i="1"/>
  <c r="T1453" i="1" s="1"/>
  <c r="F1453" i="1"/>
  <c r="E1454" i="1"/>
  <c r="T1454" i="1" s="1"/>
  <c r="F1454" i="1"/>
  <c r="E1455" i="1"/>
  <c r="T1455" i="1" s="1"/>
  <c r="F1455" i="1"/>
  <c r="E1456" i="1"/>
  <c r="T1456" i="1" s="1"/>
  <c r="F1456" i="1"/>
  <c r="E1457" i="1"/>
  <c r="T1457" i="1" s="1"/>
  <c r="F1457" i="1"/>
  <c r="E1458" i="1"/>
  <c r="T1458" i="1" s="1"/>
  <c r="F1458" i="1"/>
  <c r="E1459" i="1"/>
  <c r="T1459" i="1" s="1"/>
  <c r="F1459" i="1"/>
  <c r="E1460" i="1"/>
  <c r="T1460" i="1" s="1"/>
  <c r="F1460" i="1"/>
  <c r="E1461" i="1"/>
  <c r="T1461" i="1" s="1"/>
  <c r="F1461" i="1"/>
  <c r="E1462" i="1"/>
  <c r="T1462" i="1" s="1"/>
  <c r="F1462" i="1"/>
  <c r="E1463" i="1"/>
  <c r="T1463" i="1" s="1"/>
  <c r="F1463" i="1"/>
  <c r="E1464" i="1"/>
  <c r="T1464" i="1" s="1"/>
  <c r="F1464" i="1"/>
  <c r="E1465" i="1"/>
  <c r="T1465" i="1" s="1"/>
  <c r="F1465" i="1"/>
  <c r="E1466" i="1"/>
  <c r="T1466" i="1" s="1"/>
  <c r="F1466" i="1"/>
  <c r="E1467" i="1"/>
  <c r="T1467" i="1" s="1"/>
  <c r="F1467" i="1"/>
  <c r="E1468" i="1"/>
  <c r="T1468" i="1" s="1"/>
  <c r="F1468" i="1"/>
  <c r="E1469" i="1"/>
  <c r="T1469" i="1" s="1"/>
  <c r="F1469" i="1"/>
  <c r="E1470" i="1"/>
  <c r="T1470" i="1" s="1"/>
  <c r="F1470" i="1"/>
  <c r="E1471" i="1"/>
  <c r="T1471" i="1" s="1"/>
  <c r="F1471" i="1"/>
  <c r="E1472" i="1"/>
  <c r="T1472" i="1" s="1"/>
  <c r="F1472" i="1"/>
  <c r="E1473" i="1"/>
  <c r="T1473" i="1" s="1"/>
  <c r="F1473" i="1"/>
  <c r="E1474" i="1"/>
  <c r="T1474" i="1" s="1"/>
  <c r="F1474" i="1"/>
  <c r="E1475" i="1"/>
  <c r="T1475" i="1" s="1"/>
  <c r="F1475" i="1"/>
  <c r="E1476" i="1"/>
  <c r="T1476" i="1" s="1"/>
  <c r="F1476" i="1"/>
  <c r="E1477" i="1"/>
  <c r="T1477" i="1" s="1"/>
  <c r="F1477" i="1"/>
  <c r="E1478" i="1"/>
  <c r="T1478" i="1" s="1"/>
  <c r="F1478" i="1"/>
  <c r="E1479" i="1"/>
  <c r="T1479" i="1" s="1"/>
  <c r="F1479" i="1"/>
  <c r="E1480" i="1"/>
  <c r="T1480" i="1" s="1"/>
  <c r="F1480" i="1"/>
  <c r="E1481" i="1"/>
  <c r="T1481" i="1" s="1"/>
  <c r="F1481" i="1"/>
  <c r="E1482" i="1"/>
  <c r="T1482" i="1" s="1"/>
  <c r="F1482" i="1"/>
  <c r="E1483" i="1"/>
  <c r="T1483" i="1" s="1"/>
  <c r="F1483" i="1"/>
  <c r="E1484" i="1"/>
  <c r="T1484" i="1" s="1"/>
  <c r="F1484" i="1"/>
  <c r="E1485" i="1"/>
  <c r="T1485" i="1" s="1"/>
  <c r="F1485" i="1"/>
  <c r="E1486" i="1"/>
  <c r="T1486" i="1" s="1"/>
  <c r="F1486" i="1"/>
  <c r="E1487" i="1"/>
  <c r="T1487" i="1" s="1"/>
  <c r="F1487" i="1"/>
  <c r="E1488" i="1"/>
  <c r="T1488" i="1" s="1"/>
  <c r="F1488" i="1"/>
  <c r="E1489" i="1"/>
  <c r="T1489" i="1" s="1"/>
  <c r="F1489" i="1"/>
  <c r="E1490" i="1"/>
  <c r="T1490" i="1" s="1"/>
  <c r="F1490" i="1"/>
  <c r="E1491" i="1"/>
  <c r="T1491" i="1" s="1"/>
  <c r="F1491" i="1"/>
  <c r="E1492" i="1"/>
  <c r="T1492" i="1" s="1"/>
  <c r="F1492" i="1"/>
  <c r="E1493" i="1"/>
  <c r="T1493" i="1" s="1"/>
  <c r="F1493" i="1"/>
  <c r="E1494" i="1"/>
  <c r="T1494" i="1" s="1"/>
  <c r="F1494" i="1"/>
  <c r="E1495" i="1"/>
  <c r="T1495" i="1" s="1"/>
  <c r="F1495" i="1"/>
  <c r="E1496" i="1"/>
  <c r="T1496" i="1" s="1"/>
  <c r="F1496" i="1"/>
  <c r="E1497" i="1"/>
  <c r="T1497" i="1" s="1"/>
  <c r="F1497" i="1"/>
  <c r="E1498" i="1"/>
  <c r="T1498" i="1" s="1"/>
  <c r="F1498" i="1"/>
  <c r="E1499" i="1"/>
  <c r="T1499" i="1" s="1"/>
  <c r="F1499" i="1"/>
  <c r="E1500" i="1"/>
  <c r="T1500" i="1" s="1"/>
  <c r="F1500" i="1"/>
  <c r="E1501" i="1"/>
  <c r="T1501" i="1" s="1"/>
  <c r="F1501" i="1"/>
  <c r="E1502" i="1"/>
  <c r="T1502" i="1" s="1"/>
  <c r="F1502" i="1"/>
  <c r="E1503" i="1"/>
  <c r="T1503" i="1" s="1"/>
  <c r="F1503" i="1"/>
  <c r="E1504" i="1"/>
  <c r="T1504" i="1" s="1"/>
  <c r="F1504" i="1"/>
  <c r="E1505" i="1"/>
  <c r="T1505" i="1" s="1"/>
  <c r="F1505" i="1"/>
  <c r="E1506" i="1"/>
  <c r="T1506" i="1" s="1"/>
  <c r="F1506" i="1"/>
  <c r="E1507" i="1"/>
  <c r="T1507" i="1" s="1"/>
  <c r="F1507" i="1"/>
  <c r="E1508" i="1"/>
  <c r="T1508" i="1" s="1"/>
  <c r="F1508" i="1"/>
  <c r="E1509" i="1"/>
  <c r="T1509" i="1" s="1"/>
  <c r="F1509" i="1"/>
  <c r="E1510" i="1"/>
  <c r="T1510" i="1" s="1"/>
  <c r="F1510" i="1"/>
  <c r="E1511" i="1"/>
  <c r="T1511" i="1" s="1"/>
  <c r="F1511" i="1"/>
  <c r="E1512" i="1"/>
  <c r="T1512" i="1" s="1"/>
  <c r="F1512" i="1"/>
  <c r="E1513" i="1"/>
  <c r="T1513" i="1" s="1"/>
  <c r="F1513" i="1"/>
  <c r="E1514" i="1"/>
  <c r="T1514" i="1" s="1"/>
  <c r="F1514" i="1"/>
  <c r="E1515" i="1"/>
  <c r="T1515" i="1" s="1"/>
  <c r="F1515" i="1"/>
  <c r="E1516" i="1"/>
  <c r="T1516" i="1" s="1"/>
  <c r="F1516" i="1"/>
  <c r="E1517" i="1"/>
  <c r="T1517" i="1" s="1"/>
  <c r="F1517" i="1"/>
  <c r="E1518" i="1"/>
  <c r="T1518" i="1" s="1"/>
  <c r="F1518" i="1"/>
  <c r="E1519" i="1"/>
  <c r="T1519" i="1" s="1"/>
  <c r="F1519" i="1"/>
  <c r="E1520" i="1"/>
  <c r="T1520" i="1" s="1"/>
  <c r="F1520" i="1"/>
  <c r="E1521" i="1"/>
  <c r="T1521" i="1" s="1"/>
  <c r="F1521" i="1"/>
  <c r="E1522" i="1"/>
  <c r="T1522" i="1" s="1"/>
  <c r="F1522" i="1"/>
  <c r="E1523" i="1"/>
  <c r="T1523" i="1" s="1"/>
  <c r="F1523" i="1"/>
  <c r="E1524" i="1"/>
  <c r="T1524" i="1" s="1"/>
  <c r="F1524" i="1"/>
  <c r="E1525" i="1"/>
  <c r="T1525" i="1" s="1"/>
  <c r="F1525" i="1"/>
  <c r="E1526" i="1"/>
  <c r="T1526" i="1" s="1"/>
  <c r="F1526" i="1"/>
  <c r="E1527" i="1"/>
  <c r="T1527" i="1" s="1"/>
  <c r="F1527" i="1"/>
  <c r="E1528" i="1"/>
  <c r="T1528" i="1" s="1"/>
  <c r="F1528" i="1"/>
  <c r="E1529" i="1"/>
  <c r="T1529" i="1" s="1"/>
  <c r="F1529" i="1"/>
  <c r="E1530" i="1"/>
  <c r="T1530" i="1" s="1"/>
  <c r="F1530" i="1"/>
  <c r="E1531" i="1"/>
  <c r="T1531" i="1" s="1"/>
  <c r="F1531" i="1"/>
  <c r="E1532" i="1"/>
  <c r="T1532" i="1" s="1"/>
  <c r="F1532" i="1"/>
  <c r="E1533" i="1"/>
  <c r="T1533" i="1" s="1"/>
  <c r="F1533" i="1"/>
  <c r="E1534" i="1"/>
  <c r="T1534" i="1" s="1"/>
  <c r="F1534" i="1"/>
  <c r="E1535" i="1"/>
  <c r="T1535" i="1" s="1"/>
  <c r="F1535" i="1"/>
  <c r="E1536" i="1"/>
  <c r="T1536" i="1" s="1"/>
  <c r="F1536" i="1"/>
  <c r="E1537" i="1"/>
  <c r="T1537" i="1" s="1"/>
  <c r="F1537" i="1"/>
  <c r="E1538" i="1"/>
  <c r="T1538" i="1" s="1"/>
  <c r="F1538" i="1"/>
  <c r="E1539" i="1"/>
  <c r="T1539" i="1" s="1"/>
  <c r="F1539" i="1"/>
  <c r="E1540" i="1"/>
  <c r="T1540" i="1" s="1"/>
  <c r="F1540" i="1"/>
  <c r="E1541" i="1"/>
  <c r="T1541" i="1" s="1"/>
  <c r="F1541" i="1"/>
  <c r="E1542" i="1"/>
  <c r="T1542" i="1" s="1"/>
  <c r="F1542" i="1"/>
  <c r="E1543" i="1"/>
  <c r="T1543" i="1" s="1"/>
  <c r="F1543" i="1"/>
  <c r="E1544" i="1"/>
  <c r="T1544" i="1" s="1"/>
  <c r="F1544" i="1"/>
  <c r="E1545" i="1"/>
  <c r="T1545" i="1" s="1"/>
  <c r="F1545" i="1"/>
  <c r="E1546" i="1"/>
  <c r="T1546" i="1" s="1"/>
  <c r="F1546" i="1"/>
  <c r="E1547" i="1"/>
  <c r="T1547" i="1" s="1"/>
  <c r="F1547" i="1"/>
  <c r="E1548" i="1"/>
  <c r="T1548" i="1" s="1"/>
  <c r="F1548" i="1"/>
  <c r="E1549" i="1"/>
  <c r="T1549" i="1" s="1"/>
  <c r="F1549" i="1"/>
  <c r="E1550" i="1"/>
  <c r="T1550" i="1" s="1"/>
  <c r="F1550" i="1"/>
  <c r="E1551" i="1"/>
  <c r="T1551" i="1" s="1"/>
  <c r="F1551" i="1"/>
  <c r="E1552" i="1"/>
  <c r="T1552" i="1" s="1"/>
  <c r="F1552" i="1"/>
  <c r="E1553" i="1"/>
  <c r="T1553" i="1" s="1"/>
  <c r="F1553" i="1"/>
  <c r="E1554" i="1"/>
  <c r="T1554" i="1" s="1"/>
  <c r="F1554" i="1"/>
  <c r="E1555" i="1"/>
  <c r="T1555" i="1" s="1"/>
  <c r="F1555" i="1"/>
  <c r="E1556" i="1"/>
  <c r="T1556" i="1" s="1"/>
  <c r="F1556" i="1"/>
  <c r="E1557" i="1"/>
  <c r="T1557" i="1" s="1"/>
  <c r="F1557" i="1"/>
  <c r="E1558" i="1"/>
  <c r="T1558" i="1" s="1"/>
  <c r="F1558" i="1"/>
  <c r="E1559" i="1"/>
  <c r="T1559" i="1" s="1"/>
  <c r="F1559" i="1"/>
  <c r="E1560" i="1"/>
  <c r="T1560" i="1" s="1"/>
  <c r="F1560" i="1"/>
  <c r="E1561" i="1"/>
  <c r="T1561" i="1" s="1"/>
  <c r="F1561" i="1"/>
  <c r="E1562" i="1"/>
  <c r="T1562" i="1" s="1"/>
  <c r="F1562" i="1"/>
  <c r="E1563" i="1"/>
  <c r="T1563" i="1" s="1"/>
  <c r="F1563" i="1"/>
  <c r="E1564" i="1"/>
  <c r="T1564" i="1" s="1"/>
  <c r="F1564" i="1"/>
  <c r="E1565" i="1"/>
  <c r="T1565" i="1" s="1"/>
  <c r="F1565" i="1"/>
  <c r="E1566" i="1"/>
  <c r="T1566" i="1" s="1"/>
  <c r="F1566" i="1"/>
  <c r="E1567" i="1"/>
  <c r="T1567" i="1" s="1"/>
  <c r="F1567" i="1"/>
  <c r="E1568" i="1"/>
  <c r="T1568" i="1" s="1"/>
  <c r="F1568" i="1"/>
  <c r="E1569" i="1"/>
  <c r="T1569" i="1" s="1"/>
  <c r="F1569" i="1"/>
  <c r="E1570" i="1"/>
  <c r="T1570" i="1" s="1"/>
  <c r="F1570" i="1"/>
  <c r="E1571" i="1"/>
  <c r="T1571" i="1" s="1"/>
  <c r="F1571" i="1"/>
  <c r="E1572" i="1"/>
  <c r="T1572" i="1" s="1"/>
  <c r="F1572" i="1"/>
  <c r="E1573" i="1"/>
  <c r="T1573" i="1" s="1"/>
  <c r="F1573" i="1"/>
  <c r="E1574" i="1"/>
  <c r="T1574" i="1" s="1"/>
  <c r="F1574" i="1"/>
  <c r="E1575" i="1"/>
  <c r="T1575" i="1" s="1"/>
  <c r="F1575" i="1"/>
  <c r="E1576" i="1"/>
  <c r="T1576" i="1" s="1"/>
  <c r="F1576" i="1"/>
  <c r="E1577" i="1"/>
  <c r="T1577" i="1" s="1"/>
  <c r="F1577" i="1"/>
  <c r="E1578" i="1"/>
  <c r="T1578" i="1" s="1"/>
  <c r="F1578" i="1"/>
  <c r="E1579" i="1"/>
  <c r="T1579" i="1" s="1"/>
  <c r="F1579" i="1"/>
  <c r="E1580" i="1"/>
  <c r="T1580" i="1" s="1"/>
  <c r="F1580" i="1"/>
  <c r="E1581" i="1"/>
  <c r="T1581" i="1" s="1"/>
  <c r="F1581" i="1"/>
  <c r="E1582" i="1"/>
  <c r="T1582" i="1" s="1"/>
  <c r="F1582" i="1"/>
  <c r="E1583" i="1"/>
  <c r="T1583" i="1" s="1"/>
  <c r="F1583" i="1"/>
  <c r="E1584" i="1"/>
  <c r="T1584" i="1" s="1"/>
  <c r="F1584" i="1"/>
  <c r="E1585" i="1"/>
  <c r="T1585" i="1" s="1"/>
  <c r="F1585" i="1"/>
  <c r="E1586" i="1"/>
  <c r="T1586" i="1" s="1"/>
  <c r="F1586" i="1"/>
  <c r="E1587" i="1"/>
  <c r="T1587" i="1" s="1"/>
  <c r="F1587" i="1"/>
  <c r="E1588" i="1"/>
  <c r="T1588" i="1" s="1"/>
  <c r="F1588" i="1"/>
  <c r="E1589" i="1"/>
  <c r="T1589" i="1" s="1"/>
  <c r="F1589" i="1"/>
  <c r="E1590" i="1"/>
  <c r="T1590" i="1" s="1"/>
  <c r="F1590" i="1"/>
  <c r="E1591" i="1"/>
  <c r="T1591" i="1" s="1"/>
  <c r="F1591" i="1"/>
  <c r="E1592" i="1"/>
  <c r="T1592" i="1" s="1"/>
  <c r="F1592" i="1"/>
  <c r="E1593" i="1"/>
  <c r="T1593" i="1" s="1"/>
  <c r="F1593" i="1"/>
  <c r="E1594" i="1"/>
  <c r="T1594" i="1" s="1"/>
  <c r="F1594" i="1"/>
  <c r="E1595" i="1"/>
  <c r="T1595" i="1" s="1"/>
  <c r="F1595" i="1"/>
  <c r="E1596" i="1"/>
  <c r="T1596" i="1" s="1"/>
  <c r="F1596" i="1"/>
  <c r="E1597" i="1"/>
  <c r="T1597" i="1" s="1"/>
  <c r="F1597" i="1"/>
  <c r="E1598" i="1"/>
  <c r="T1598" i="1" s="1"/>
  <c r="F1598" i="1"/>
  <c r="E1599" i="1"/>
  <c r="T1599" i="1" s="1"/>
  <c r="F1599" i="1"/>
  <c r="E1600" i="1"/>
  <c r="T1600" i="1" s="1"/>
  <c r="F1600" i="1"/>
  <c r="E1601" i="1"/>
  <c r="T1601" i="1" s="1"/>
  <c r="F1601" i="1"/>
  <c r="E1602" i="1"/>
  <c r="T1602" i="1" s="1"/>
  <c r="F1602" i="1"/>
  <c r="E1603" i="1"/>
  <c r="T1603" i="1" s="1"/>
  <c r="F1603" i="1"/>
  <c r="E1604" i="1"/>
  <c r="T1604" i="1" s="1"/>
  <c r="F1604" i="1"/>
  <c r="E1605" i="1"/>
  <c r="T1605" i="1" s="1"/>
  <c r="F1605" i="1"/>
  <c r="E1606" i="1"/>
  <c r="T1606" i="1" s="1"/>
  <c r="F1606" i="1"/>
  <c r="E1607" i="1"/>
  <c r="T1607" i="1" s="1"/>
  <c r="F1607" i="1"/>
  <c r="E1608" i="1"/>
  <c r="T1608" i="1" s="1"/>
  <c r="F1608" i="1"/>
  <c r="E1609" i="1"/>
  <c r="T1609" i="1" s="1"/>
  <c r="F1609" i="1"/>
  <c r="E1610" i="1"/>
  <c r="T1610" i="1" s="1"/>
  <c r="F1610" i="1"/>
  <c r="E1611" i="1"/>
  <c r="T1611" i="1" s="1"/>
  <c r="F1611" i="1"/>
  <c r="E1612" i="1"/>
  <c r="T1612" i="1" s="1"/>
  <c r="F1612" i="1"/>
  <c r="E1613" i="1"/>
  <c r="T1613" i="1" s="1"/>
  <c r="F1613" i="1"/>
  <c r="E1614" i="1"/>
  <c r="T1614" i="1" s="1"/>
  <c r="F1614" i="1"/>
  <c r="E1615" i="1"/>
  <c r="T1615" i="1" s="1"/>
  <c r="F1615" i="1"/>
  <c r="E1616" i="1"/>
  <c r="T1616" i="1" s="1"/>
  <c r="F1616" i="1"/>
  <c r="E1617" i="1"/>
  <c r="T1617" i="1" s="1"/>
  <c r="F1617" i="1"/>
  <c r="E1618" i="1"/>
  <c r="T1618" i="1" s="1"/>
  <c r="F1618" i="1"/>
  <c r="E1619" i="1"/>
  <c r="T1619" i="1" s="1"/>
  <c r="F1619" i="1"/>
  <c r="E1620" i="1"/>
  <c r="T1620" i="1" s="1"/>
  <c r="F1620" i="1"/>
  <c r="E1621" i="1"/>
  <c r="T1621" i="1" s="1"/>
  <c r="F1621" i="1"/>
  <c r="E1622" i="1"/>
  <c r="T1622" i="1" s="1"/>
  <c r="F1622" i="1"/>
  <c r="E1623" i="1"/>
  <c r="T1623" i="1" s="1"/>
  <c r="F1623" i="1"/>
  <c r="E1624" i="1"/>
  <c r="T1624" i="1" s="1"/>
  <c r="F1624" i="1"/>
  <c r="E1625" i="1"/>
  <c r="T1625" i="1" s="1"/>
  <c r="F1625" i="1"/>
  <c r="E1626" i="1"/>
  <c r="T1626" i="1" s="1"/>
  <c r="F1626" i="1"/>
  <c r="E1627" i="1"/>
  <c r="T1627" i="1" s="1"/>
  <c r="F1627" i="1"/>
  <c r="E1628" i="1"/>
  <c r="T1628" i="1" s="1"/>
  <c r="F1628" i="1"/>
  <c r="E1629" i="1"/>
  <c r="T1629" i="1" s="1"/>
  <c r="F1629" i="1"/>
  <c r="E1630" i="1"/>
  <c r="T1630" i="1" s="1"/>
  <c r="F1630" i="1"/>
  <c r="E1631" i="1"/>
  <c r="T1631" i="1" s="1"/>
  <c r="F1631" i="1"/>
  <c r="E1632" i="1"/>
  <c r="T1632" i="1" s="1"/>
  <c r="F1632" i="1"/>
  <c r="E1633" i="1"/>
  <c r="T1633" i="1" s="1"/>
  <c r="F1633" i="1"/>
  <c r="E1634" i="1"/>
  <c r="T1634" i="1" s="1"/>
  <c r="F1634" i="1"/>
  <c r="E1635" i="1"/>
  <c r="T1635" i="1" s="1"/>
  <c r="F1635" i="1"/>
  <c r="E1636" i="1"/>
  <c r="T1636" i="1" s="1"/>
  <c r="F1636" i="1"/>
  <c r="E1637" i="1"/>
  <c r="T1637" i="1" s="1"/>
  <c r="F1637" i="1"/>
  <c r="E1638" i="1"/>
  <c r="T1638" i="1" s="1"/>
  <c r="F1638" i="1"/>
  <c r="E1639" i="1"/>
  <c r="T1639" i="1" s="1"/>
  <c r="F1639" i="1"/>
  <c r="E1640" i="1"/>
  <c r="T1640" i="1" s="1"/>
  <c r="F1640" i="1"/>
  <c r="E1641" i="1"/>
  <c r="T1641" i="1" s="1"/>
  <c r="F1641" i="1"/>
  <c r="E1642" i="1"/>
  <c r="T1642" i="1" s="1"/>
  <c r="F1642" i="1"/>
  <c r="E1643" i="1"/>
  <c r="T1643" i="1" s="1"/>
  <c r="F1643" i="1"/>
  <c r="E1644" i="1"/>
  <c r="T1644" i="1" s="1"/>
  <c r="F1644" i="1"/>
  <c r="E1645" i="1"/>
  <c r="T1645" i="1" s="1"/>
  <c r="F1645" i="1"/>
  <c r="E1646" i="1"/>
  <c r="T1646" i="1" s="1"/>
  <c r="F1646" i="1"/>
  <c r="E1647" i="1"/>
  <c r="T1647" i="1" s="1"/>
  <c r="F1647" i="1"/>
  <c r="E1648" i="1"/>
  <c r="T1648" i="1" s="1"/>
  <c r="F1648" i="1"/>
  <c r="E1649" i="1"/>
  <c r="T1649" i="1" s="1"/>
  <c r="F1649" i="1"/>
  <c r="E1650" i="1"/>
  <c r="T1650" i="1" s="1"/>
  <c r="F1650" i="1"/>
  <c r="E1651" i="1"/>
  <c r="T1651" i="1" s="1"/>
  <c r="F1651" i="1"/>
  <c r="E1652" i="1"/>
  <c r="T1652" i="1" s="1"/>
  <c r="F1652" i="1"/>
  <c r="E1653" i="1"/>
  <c r="T1653" i="1" s="1"/>
  <c r="F1653" i="1"/>
  <c r="E1654" i="1"/>
  <c r="T1654" i="1" s="1"/>
  <c r="F1654" i="1"/>
  <c r="E1655" i="1"/>
  <c r="T1655" i="1" s="1"/>
  <c r="F1655" i="1"/>
  <c r="E1656" i="1"/>
  <c r="T1656" i="1" s="1"/>
  <c r="F1656" i="1"/>
  <c r="E1657" i="1"/>
  <c r="T1657" i="1" s="1"/>
  <c r="F1657" i="1"/>
  <c r="E1658" i="1"/>
  <c r="T1658" i="1" s="1"/>
  <c r="F1658" i="1"/>
  <c r="E1659" i="1"/>
  <c r="T1659" i="1" s="1"/>
  <c r="F1659" i="1"/>
  <c r="E1660" i="1"/>
  <c r="T1660" i="1" s="1"/>
  <c r="F1660" i="1"/>
  <c r="E1661" i="1"/>
  <c r="T1661" i="1" s="1"/>
  <c r="F1661" i="1"/>
  <c r="E1662" i="1"/>
  <c r="T1662" i="1" s="1"/>
  <c r="F1662" i="1"/>
  <c r="E1663" i="1"/>
  <c r="T1663" i="1" s="1"/>
  <c r="F1663" i="1"/>
  <c r="E1664" i="1"/>
  <c r="T1664" i="1" s="1"/>
  <c r="F1664" i="1"/>
  <c r="E1665" i="1"/>
  <c r="T1665" i="1" s="1"/>
  <c r="F1665" i="1"/>
  <c r="E1666" i="1"/>
  <c r="T1666" i="1" s="1"/>
  <c r="F1666" i="1"/>
  <c r="E1667" i="1"/>
  <c r="T1667" i="1" s="1"/>
  <c r="F1667" i="1"/>
  <c r="E1668" i="1"/>
  <c r="T1668" i="1" s="1"/>
  <c r="F1668" i="1"/>
  <c r="E1669" i="1"/>
  <c r="T1669" i="1" s="1"/>
  <c r="F1669" i="1"/>
  <c r="E1670" i="1"/>
  <c r="T1670" i="1" s="1"/>
  <c r="F1670" i="1"/>
  <c r="E1671" i="1"/>
  <c r="T1671" i="1" s="1"/>
  <c r="F1671" i="1"/>
  <c r="E1672" i="1"/>
  <c r="T1672" i="1" s="1"/>
  <c r="F1672" i="1"/>
  <c r="E1673" i="1"/>
  <c r="T1673" i="1" s="1"/>
  <c r="F1673" i="1"/>
  <c r="E1674" i="1"/>
  <c r="T1674" i="1" s="1"/>
  <c r="F1674" i="1"/>
  <c r="E1675" i="1"/>
  <c r="T1675" i="1" s="1"/>
  <c r="F1675" i="1"/>
  <c r="E1676" i="1"/>
  <c r="T1676" i="1" s="1"/>
  <c r="F1676" i="1"/>
  <c r="E1677" i="1"/>
  <c r="T1677" i="1" s="1"/>
  <c r="F1677" i="1"/>
  <c r="E1678" i="1"/>
  <c r="T1678" i="1" s="1"/>
  <c r="F1678" i="1"/>
  <c r="E1679" i="1"/>
  <c r="T1679" i="1" s="1"/>
  <c r="F1679" i="1"/>
  <c r="E1680" i="1"/>
  <c r="T1680" i="1" s="1"/>
  <c r="F1680" i="1"/>
  <c r="E1681" i="1"/>
  <c r="T1681" i="1" s="1"/>
  <c r="F1681" i="1"/>
  <c r="E1682" i="1"/>
  <c r="T1682" i="1" s="1"/>
  <c r="F1682" i="1"/>
  <c r="E1683" i="1"/>
  <c r="T1683" i="1" s="1"/>
  <c r="F1683" i="1"/>
  <c r="E1684" i="1"/>
  <c r="T1684" i="1" s="1"/>
  <c r="F1684" i="1"/>
  <c r="E1685" i="1"/>
  <c r="T1685" i="1" s="1"/>
  <c r="F1685" i="1"/>
  <c r="E1686" i="1"/>
  <c r="T1686" i="1" s="1"/>
  <c r="F1686" i="1"/>
  <c r="E1687" i="1"/>
  <c r="T1687" i="1" s="1"/>
  <c r="F1687" i="1"/>
  <c r="E1688" i="1"/>
  <c r="T1688" i="1" s="1"/>
  <c r="F1688" i="1"/>
  <c r="E1689" i="1"/>
  <c r="T1689" i="1" s="1"/>
  <c r="F1689" i="1"/>
  <c r="E1690" i="1"/>
  <c r="T1690" i="1" s="1"/>
  <c r="F1690" i="1"/>
  <c r="E1691" i="1"/>
  <c r="T1691" i="1" s="1"/>
  <c r="F1691" i="1"/>
  <c r="E1692" i="1"/>
  <c r="T1692" i="1" s="1"/>
  <c r="F1692" i="1"/>
  <c r="E1693" i="1"/>
  <c r="T1693" i="1" s="1"/>
  <c r="F1693" i="1"/>
  <c r="E1694" i="1"/>
  <c r="T1694" i="1" s="1"/>
  <c r="F1694" i="1"/>
  <c r="E1695" i="1"/>
  <c r="T1695" i="1" s="1"/>
  <c r="F1695" i="1"/>
  <c r="E1696" i="1"/>
  <c r="T1696" i="1" s="1"/>
  <c r="F1696" i="1"/>
  <c r="E1697" i="1"/>
  <c r="T1697" i="1" s="1"/>
  <c r="F1697" i="1"/>
  <c r="E1698" i="1"/>
  <c r="T1698" i="1" s="1"/>
  <c r="F1698" i="1"/>
  <c r="E1699" i="1"/>
  <c r="T1699" i="1" s="1"/>
  <c r="F1699" i="1"/>
  <c r="E1700" i="1"/>
  <c r="T1700" i="1" s="1"/>
  <c r="F1700" i="1"/>
  <c r="E1701" i="1"/>
  <c r="T1701" i="1" s="1"/>
  <c r="F1701" i="1"/>
  <c r="E1702" i="1"/>
  <c r="T1702" i="1" s="1"/>
  <c r="F1702" i="1"/>
  <c r="E1703" i="1"/>
  <c r="T1703" i="1" s="1"/>
  <c r="F1703" i="1"/>
  <c r="E1704" i="1"/>
  <c r="T1704" i="1" s="1"/>
  <c r="F1704" i="1"/>
  <c r="E1705" i="1"/>
  <c r="T1705" i="1" s="1"/>
  <c r="F1705" i="1"/>
  <c r="E1706" i="1"/>
  <c r="T1706" i="1" s="1"/>
  <c r="F1706" i="1"/>
  <c r="E1707" i="1"/>
  <c r="T1707" i="1" s="1"/>
  <c r="F1707" i="1"/>
  <c r="E1708" i="1"/>
  <c r="T1708" i="1" s="1"/>
  <c r="F1708" i="1"/>
  <c r="E1709" i="1"/>
  <c r="T1709" i="1" s="1"/>
  <c r="F1709" i="1"/>
  <c r="E1710" i="1"/>
  <c r="T1710" i="1" s="1"/>
  <c r="F1710" i="1"/>
  <c r="E1711" i="1"/>
  <c r="T1711" i="1" s="1"/>
  <c r="F1711" i="1"/>
  <c r="E1712" i="1"/>
  <c r="T1712" i="1" s="1"/>
  <c r="F1712" i="1"/>
  <c r="E1713" i="1"/>
  <c r="T1713" i="1" s="1"/>
  <c r="F1713" i="1"/>
  <c r="E1714" i="1"/>
  <c r="T1714" i="1" s="1"/>
  <c r="F1714" i="1"/>
  <c r="E1715" i="1"/>
  <c r="T1715" i="1" s="1"/>
  <c r="F1715" i="1"/>
  <c r="E1716" i="1"/>
  <c r="T1716" i="1" s="1"/>
  <c r="F1716" i="1"/>
  <c r="E1717" i="1"/>
  <c r="T1717" i="1" s="1"/>
  <c r="F1717" i="1"/>
  <c r="E1718" i="1"/>
  <c r="T1718" i="1" s="1"/>
  <c r="F1718" i="1"/>
  <c r="E1719" i="1"/>
  <c r="T1719" i="1" s="1"/>
  <c r="F1719" i="1"/>
  <c r="E1720" i="1"/>
  <c r="T1720" i="1" s="1"/>
  <c r="F1720" i="1"/>
  <c r="E1721" i="1"/>
  <c r="T1721" i="1" s="1"/>
  <c r="F1721" i="1"/>
  <c r="E1722" i="1"/>
  <c r="T1722" i="1" s="1"/>
  <c r="F1722" i="1"/>
  <c r="E1723" i="1"/>
  <c r="T1723" i="1" s="1"/>
  <c r="F1723" i="1"/>
  <c r="E1724" i="1"/>
  <c r="T1724" i="1" s="1"/>
  <c r="F1724" i="1"/>
  <c r="E1725" i="1"/>
  <c r="T1725" i="1" s="1"/>
  <c r="F1725" i="1"/>
  <c r="E1726" i="1"/>
  <c r="T1726" i="1" s="1"/>
  <c r="F1726" i="1"/>
  <c r="E1727" i="1"/>
  <c r="T1727" i="1" s="1"/>
  <c r="F1727" i="1"/>
  <c r="E1728" i="1"/>
  <c r="T1728" i="1" s="1"/>
  <c r="F1728" i="1"/>
  <c r="E1729" i="1"/>
  <c r="T1729" i="1" s="1"/>
  <c r="F1729" i="1"/>
  <c r="E1730" i="1"/>
  <c r="T1730" i="1" s="1"/>
  <c r="F1730" i="1"/>
  <c r="E1731" i="1"/>
  <c r="T1731" i="1" s="1"/>
  <c r="F1731" i="1"/>
  <c r="E1732" i="1"/>
  <c r="T1732" i="1" s="1"/>
  <c r="F1732" i="1"/>
  <c r="E1733" i="1"/>
  <c r="T1733" i="1" s="1"/>
  <c r="F1733" i="1"/>
  <c r="E1734" i="1"/>
  <c r="T1734" i="1" s="1"/>
  <c r="F1734" i="1"/>
  <c r="E1735" i="1"/>
  <c r="T1735" i="1" s="1"/>
  <c r="F1735" i="1"/>
  <c r="E1736" i="1"/>
  <c r="T1736" i="1" s="1"/>
  <c r="F1736" i="1"/>
  <c r="E1737" i="1"/>
  <c r="T1737" i="1" s="1"/>
  <c r="F1737" i="1"/>
  <c r="E1738" i="1"/>
  <c r="T1738" i="1" s="1"/>
  <c r="F1738" i="1"/>
  <c r="E1739" i="1"/>
  <c r="T1739" i="1" s="1"/>
  <c r="F1739" i="1"/>
  <c r="E1740" i="1"/>
  <c r="T1740" i="1" s="1"/>
  <c r="F1740" i="1"/>
  <c r="E1741" i="1"/>
  <c r="T1741" i="1" s="1"/>
  <c r="F1741" i="1"/>
  <c r="E1742" i="1"/>
  <c r="T1742" i="1" s="1"/>
  <c r="F1742" i="1"/>
  <c r="E1743" i="1"/>
  <c r="T1743" i="1" s="1"/>
  <c r="F1743" i="1"/>
  <c r="E1744" i="1"/>
  <c r="T1744" i="1" s="1"/>
  <c r="F1744" i="1"/>
  <c r="E1745" i="1"/>
  <c r="T1745" i="1" s="1"/>
  <c r="F1745" i="1"/>
  <c r="E1746" i="1"/>
  <c r="T1746" i="1" s="1"/>
  <c r="F1746" i="1"/>
  <c r="E1747" i="1"/>
  <c r="T1747" i="1" s="1"/>
  <c r="F1747" i="1"/>
  <c r="E1748" i="1"/>
  <c r="T1748" i="1" s="1"/>
  <c r="F1748" i="1"/>
  <c r="E1749" i="1"/>
  <c r="T1749" i="1" s="1"/>
  <c r="F1749" i="1"/>
  <c r="E1750" i="1"/>
  <c r="T1750" i="1" s="1"/>
  <c r="F1750" i="1"/>
  <c r="E1751" i="1"/>
  <c r="T1751" i="1" s="1"/>
  <c r="F1751" i="1"/>
  <c r="E1752" i="1"/>
  <c r="T1752" i="1" s="1"/>
  <c r="F1752" i="1"/>
  <c r="E1753" i="1"/>
  <c r="T1753" i="1" s="1"/>
  <c r="F1753" i="1"/>
  <c r="E1754" i="1"/>
  <c r="T1754" i="1" s="1"/>
  <c r="F1754" i="1"/>
  <c r="E1755" i="1"/>
  <c r="T1755" i="1" s="1"/>
  <c r="F1755" i="1"/>
  <c r="E1756" i="1"/>
  <c r="T1756" i="1" s="1"/>
  <c r="F1756" i="1"/>
  <c r="E1757" i="1"/>
  <c r="T1757" i="1" s="1"/>
  <c r="F1757" i="1"/>
  <c r="E1758" i="1"/>
  <c r="T1758" i="1" s="1"/>
  <c r="F1758" i="1"/>
  <c r="E1759" i="1"/>
  <c r="T1759" i="1" s="1"/>
  <c r="F1759" i="1"/>
  <c r="E1760" i="1"/>
  <c r="T1760" i="1" s="1"/>
  <c r="F1760" i="1"/>
  <c r="E1761" i="1"/>
  <c r="T1761" i="1" s="1"/>
  <c r="F1761" i="1"/>
  <c r="E1762" i="1"/>
  <c r="T1762" i="1" s="1"/>
  <c r="F1762" i="1"/>
  <c r="E1763" i="1"/>
  <c r="T1763" i="1" s="1"/>
  <c r="F1763" i="1"/>
  <c r="E1764" i="1"/>
  <c r="T1764" i="1" s="1"/>
  <c r="F1764" i="1"/>
  <c r="E1765" i="1"/>
  <c r="T1765" i="1" s="1"/>
  <c r="F1765" i="1"/>
  <c r="E1766" i="1"/>
  <c r="T1766" i="1" s="1"/>
  <c r="F1766" i="1"/>
  <c r="E1767" i="1"/>
  <c r="T1767" i="1" s="1"/>
  <c r="F1767" i="1"/>
  <c r="E1768" i="1"/>
  <c r="T1768" i="1" s="1"/>
  <c r="F1768" i="1"/>
  <c r="E1769" i="1"/>
  <c r="T1769" i="1" s="1"/>
  <c r="F1769" i="1"/>
  <c r="E1770" i="1"/>
  <c r="T1770" i="1" s="1"/>
  <c r="F1770" i="1"/>
  <c r="E1771" i="1"/>
  <c r="T1771" i="1" s="1"/>
  <c r="F1771" i="1"/>
  <c r="E1772" i="1"/>
  <c r="T1772" i="1" s="1"/>
  <c r="F1772" i="1"/>
  <c r="E1773" i="1"/>
  <c r="T1773" i="1" s="1"/>
  <c r="F1773" i="1"/>
  <c r="E1774" i="1"/>
  <c r="T1774" i="1" s="1"/>
  <c r="F1774" i="1"/>
  <c r="E1775" i="1"/>
  <c r="T1775" i="1" s="1"/>
  <c r="F1775" i="1"/>
  <c r="E1776" i="1"/>
  <c r="T1776" i="1" s="1"/>
  <c r="F1776" i="1"/>
  <c r="E1777" i="1"/>
  <c r="T1777" i="1" s="1"/>
  <c r="F1777" i="1"/>
  <c r="E1778" i="1"/>
  <c r="T1778" i="1" s="1"/>
  <c r="F1778" i="1"/>
  <c r="E1779" i="1"/>
  <c r="T1779" i="1" s="1"/>
  <c r="F1779" i="1"/>
  <c r="E1780" i="1"/>
  <c r="T1780" i="1" s="1"/>
  <c r="F1780" i="1"/>
  <c r="E1781" i="1"/>
  <c r="T1781" i="1" s="1"/>
  <c r="F1781" i="1"/>
  <c r="E1782" i="1"/>
  <c r="T1782" i="1" s="1"/>
  <c r="F1782" i="1"/>
  <c r="E1783" i="1"/>
  <c r="T1783" i="1" s="1"/>
  <c r="F1783" i="1"/>
  <c r="E1784" i="1"/>
  <c r="T1784" i="1" s="1"/>
  <c r="F1784" i="1"/>
  <c r="E1785" i="1"/>
  <c r="T1785" i="1" s="1"/>
  <c r="F1785" i="1"/>
  <c r="E1786" i="1"/>
  <c r="T1786" i="1" s="1"/>
  <c r="F1786" i="1"/>
  <c r="E1787" i="1"/>
  <c r="T1787" i="1" s="1"/>
  <c r="F1787" i="1"/>
  <c r="E1788" i="1"/>
  <c r="T1788" i="1" s="1"/>
  <c r="F1788" i="1"/>
  <c r="E1789" i="1"/>
  <c r="T1789" i="1" s="1"/>
  <c r="F1789" i="1"/>
  <c r="E1790" i="1"/>
  <c r="T1790" i="1" s="1"/>
  <c r="F1790" i="1"/>
  <c r="E1791" i="1"/>
  <c r="T1791" i="1" s="1"/>
  <c r="F1791" i="1"/>
  <c r="E1792" i="1"/>
  <c r="T1792" i="1" s="1"/>
  <c r="F1792" i="1"/>
  <c r="E1793" i="1"/>
  <c r="T1793" i="1" s="1"/>
  <c r="F1793" i="1"/>
  <c r="E1794" i="1"/>
  <c r="T1794" i="1" s="1"/>
  <c r="F1794" i="1"/>
  <c r="E1795" i="1"/>
  <c r="T1795" i="1" s="1"/>
  <c r="F1795" i="1"/>
  <c r="E1796" i="1"/>
  <c r="T1796" i="1" s="1"/>
  <c r="F1796" i="1"/>
  <c r="E1797" i="1"/>
  <c r="T1797" i="1" s="1"/>
  <c r="F1797" i="1"/>
  <c r="E1798" i="1"/>
  <c r="T1798" i="1" s="1"/>
  <c r="F1798" i="1"/>
  <c r="E1799" i="1"/>
  <c r="T1799" i="1" s="1"/>
  <c r="F1799" i="1"/>
  <c r="E1800" i="1"/>
  <c r="T1800" i="1" s="1"/>
  <c r="F1800" i="1"/>
  <c r="E1801" i="1"/>
  <c r="T1801" i="1" s="1"/>
  <c r="F1801" i="1"/>
  <c r="E1802" i="1"/>
  <c r="T1802" i="1" s="1"/>
  <c r="F1802" i="1"/>
  <c r="E1803" i="1"/>
  <c r="T1803" i="1" s="1"/>
  <c r="F1803" i="1"/>
  <c r="E1804" i="1"/>
  <c r="T1804" i="1" s="1"/>
  <c r="F1804" i="1"/>
  <c r="E1805" i="1"/>
  <c r="T1805" i="1" s="1"/>
  <c r="F1805" i="1"/>
  <c r="E1806" i="1"/>
  <c r="T1806" i="1" s="1"/>
  <c r="F1806" i="1"/>
  <c r="E1807" i="1"/>
  <c r="T1807" i="1" s="1"/>
  <c r="F1807" i="1"/>
  <c r="E1808" i="1"/>
  <c r="T1808" i="1" s="1"/>
  <c r="F1808" i="1"/>
  <c r="E1809" i="1"/>
  <c r="T1809" i="1" s="1"/>
  <c r="F1809" i="1"/>
  <c r="E1810" i="1"/>
  <c r="T1810" i="1" s="1"/>
  <c r="F1810" i="1"/>
  <c r="E1811" i="1"/>
  <c r="T1811" i="1" s="1"/>
  <c r="F1811" i="1"/>
  <c r="E1812" i="1"/>
  <c r="T1812" i="1" s="1"/>
  <c r="F1812" i="1"/>
  <c r="E1813" i="1"/>
  <c r="T1813" i="1" s="1"/>
  <c r="F1813" i="1"/>
  <c r="E1814" i="1"/>
  <c r="T1814" i="1" s="1"/>
  <c r="F1814" i="1"/>
  <c r="E1815" i="1"/>
  <c r="T1815" i="1" s="1"/>
  <c r="F1815" i="1"/>
  <c r="E1816" i="1"/>
  <c r="T1816" i="1" s="1"/>
  <c r="F1816" i="1"/>
  <c r="E1817" i="1"/>
  <c r="T1817" i="1" s="1"/>
  <c r="F1817" i="1"/>
  <c r="E1818" i="1"/>
  <c r="T1818" i="1" s="1"/>
  <c r="F1818" i="1"/>
  <c r="E1819" i="1"/>
  <c r="T1819" i="1" s="1"/>
  <c r="F1819" i="1"/>
  <c r="E1820" i="1"/>
  <c r="T1820" i="1" s="1"/>
  <c r="F1820" i="1"/>
  <c r="E1821" i="1"/>
  <c r="T1821" i="1" s="1"/>
  <c r="F1821" i="1"/>
  <c r="E1822" i="1"/>
  <c r="T1822" i="1" s="1"/>
  <c r="F1822" i="1"/>
  <c r="E1823" i="1"/>
  <c r="T1823" i="1" s="1"/>
  <c r="F1823" i="1"/>
  <c r="E1824" i="1"/>
  <c r="T1824" i="1" s="1"/>
  <c r="F1824" i="1"/>
  <c r="E1825" i="1"/>
  <c r="T1825" i="1" s="1"/>
  <c r="F1825" i="1"/>
  <c r="E1826" i="1"/>
  <c r="T1826" i="1" s="1"/>
  <c r="F1826" i="1"/>
  <c r="E1827" i="1"/>
  <c r="T1827" i="1" s="1"/>
  <c r="F1827" i="1"/>
  <c r="E1828" i="1"/>
  <c r="T1828" i="1" s="1"/>
  <c r="F1828" i="1"/>
  <c r="E1829" i="1"/>
  <c r="T1829" i="1" s="1"/>
  <c r="F1829" i="1"/>
  <c r="E1830" i="1"/>
  <c r="T1830" i="1" s="1"/>
  <c r="F1830" i="1"/>
  <c r="E1831" i="1"/>
  <c r="T1831" i="1" s="1"/>
  <c r="F1831" i="1"/>
  <c r="E1832" i="1"/>
  <c r="T1832" i="1" s="1"/>
  <c r="F1832" i="1"/>
  <c r="E1833" i="1"/>
  <c r="T1833" i="1" s="1"/>
  <c r="F1833" i="1"/>
  <c r="E1834" i="1"/>
  <c r="T1834" i="1" s="1"/>
  <c r="F1834" i="1"/>
  <c r="E1835" i="1"/>
  <c r="T1835" i="1" s="1"/>
  <c r="F1835" i="1"/>
  <c r="E1836" i="1"/>
  <c r="T1836" i="1" s="1"/>
  <c r="F1836" i="1"/>
  <c r="E1837" i="1"/>
  <c r="T1837" i="1" s="1"/>
  <c r="F1837" i="1"/>
  <c r="E1838" i="1"/>
  <c r="T1838" i="1" s="1"/>
  <c r="F1838" i="1"/>
  <c r="E1839" i="1"/>
  <c r="T1839" i="1" s="1"/>
  <c r="F1839" i="1"/>
  <c r="E1840" i="1"/>
  <c r="T1840" i="1" s="1"/>
  <c r="F1840" i="1"/>
  <c r="E1841" i="1"/>
  <c r="T1841" i="1" s="1"/>
  <c r="F1841" i="1"/>
  <c r="E1842" i="1"/>
  <c r="T1842" i="1" s="1"/>
  <c r="F1842" i="1"/>
  <c r="E1843" i="1"/>
  <c r="T1843" i="1" s="1"/>
  <c r="F1843" i="1"/>
  <c r="E1844" i="1"/>
  <c r="T1844" i="1" s="1"/>
  <c r="F1844" i="1"/>
  <c r="E1845" i="1"/>
  <c r="T1845" i="1" s="1"/>
  <c r="F1845" i="1"/>
  <c r="E1846" i="1"/>
  <c r="T1846" i="1" s="1"/>
  <c r="F1846" i="1"/>
  <c r="E1847" i="1"/>
  <c r="T1847" i="1" s="1"/>
  <c r="F1847" i="1"/>
  <c r="E1848" i="1"/>
  <c r="T1848" i="1" s="1"/>
  <c r="F1848" i="1"/>
  <c r="E1849" i="1"/>
  <c r="T1849" i="1" s="1"/>
  <c r="F1849" i="1"/>
  <c r="E1850" i="1"/>
  <c r="T1850" i="1" s="1"/>
  <c r="F1850" i="1"/>
  <c r="E1851" i="1"/>
  <c r="T1851" i="1" s="1"/>
  <c r="F1851" i="1"/>
  <c r="E1852" i="1"/>
  <c r="T1852" i="1" s="1"/>
  <c r="F1852" i="1"/>
  <c r="E1853" i="1"/>
  <c r="T1853" i="1" s="1"/>
  <c r="F1853" i="1"/>
  <c r="E1854" i="1"/>
  <c r="T1854" i="1" s="1"/>
  <c r="F1854" i="1"/>
  <c r="E1855" i="1"/>
  <c r="T1855" i="1" s="1"/>
  <c r="F1855" i="1"/>
  <c r="E1856" i="1"/>
  <c r="T1856" i="1" s="1"/>
  <c r="F1856" i="1"/>
  <c r="E1857" i="1"/>
  <c r="T1857" i="1" s="1"/>
  <c r="F1857" i="1"/>
  <c r="E1858" i="1"/>
  <c r="T1858" i="1" s="1"/>
  <c r="F1858" i="1"/>
  <c r="E1859" i="1"/>
  <c r="T1859" i="1" s="1"/>
  <c r="F1859" i="1"/>
  <c r="E1860" i="1"/>
  <c r="T1860" i="1" s="1"/>
  <c r="F1860" i="1"/>
  <c r="E1861" i="1"/>
  <c r="T1861" i="1" s="1"/>
  <c r="F1861" i="1"/>
  <c r="E1862" i="1"/>
  <c r="T1862" i="1" s="1"/>
  <c r="F1862" i="1"/>
  <c r="E1863" i="1"/>
  <c r="T1863" i="1" s="1"/>
  <c r="F1863" i="1"/>
  <c r="E1864" i="1"/>
  <c r="T1864" i="1" s="1"/>
  <c r="F1864" i="1"/>
  <c r="E1865" i="1"/>
  <c r="T1865" i="1" s="1"/>
  <c r="F1865" i="1"/>
  <c r="E1866" i="1"/>
  <c r="T1866" i="1" s="1"/>
  <c r="F1866" i="1"/>
  <c r="E1867" i="1"/>
  <c r="T1867" i="1" s="1"/>
  <c r="F1867" i="1"/>
  <c r="E1868" i="1"/>
  <c r="T1868" i="1" s="1"/>
  <c r="F1868" i="1"/>
  <c r="E1869" i="1"/>
  <c r="T1869" i="1" s="1"/>
  <c r="F1869" i="1"/>
  <c r="E1870" i="1"/>
  <c r="T1870" i="1" s="1"/>
  <c r="F1870" i="1"/>
  <c r="E1871" i="1"/>
  <c r="T1871" i="1" s="1"/>
  <c r="F1871" i="1"/>
  <c r="E1872" i="1"/>
  <c r="T1872" i="1" s="1"/>
  <c r="F1872" i="1"/>
  <c r="E1873" i="1"/>
  <c r="T1873" i="1" s="1"/>
  <c r="F1873" i="1"/>
  <c r="E1874" i="1"/>
  <c r="T1874" i="1" s="1"/>
  <c r="F1874" i="1"/>
  <c r="E1875" i="1"/>
  <c r="T1875" i="1" s="1"/>
  <c r="F1875" i="1"/>
  <c r="E1876" i="1"/>
  <c r="T1876" i="1" s="1"/>
  <c r="F1876" i="1"/>
  <c r="E1877" i="1"/>
  <c r="T1877" i="1" s="1"/>
  <c r="F1877" i="1"/>
  <c r="E1878" i="1"/>
  <c r="T1878" i="1" s="1"/>
  <c r="F1878" i="1"/>
  <c r="E1879" i="1"/>
  <c r="T1879" i="1" s="1"/>
  <c r="F1879" i="1"/>
  <c r="E1880" i="1"/>
  <c r="T1880" i="1" s="1"/>
  <c r="F1880" i="1"/>
  <c r="E1881" i="1"/>
  <c r="T1881" i="1" s="1"/>
  <c r="F1881" i="1"/>
  <c r="E1882" i="1"/>
  <c r="T1882" i="1" s="1"/>
  <c r="F1882" i="1"/>
  <c r="E1883" i="1"/>
  <c r="T1883" i="1" s="1"/>
  <c r="F1883" i="1"/>
  <c r="E1884" i="1"/>
  <c r="T1884" i="1" s="1"/>
  <c r="F1884" i="1"/>
  <c r="E1885" i="1"/>
  <c r="T1885" i="1" s="1"/>
  <c r="F1885" i="1"/>
  <c r="E1886" i="1"/>
  <c r="T1886" i="1" s="1"/>
  <c r="F1886" i="1"/>
  <c r="E1887" i="1"/>
  <c r="T1887" i="1" s="1"/>
  <c r="F1887" i="1"/>
  <c r="E1888" i="1"/>
  <c r="T1888" i="1" s="1"/>
  <c r="F1888" i="1"/>
  <c r="E1889" i="1"/>
  <c r="T1889" i="1" s="1"/>
  <c r="F1889" i="1"/>
  <c r="E1890" i="1"/>
  <c r="T1890" i="1" s="1"/>
  <c r="F1890" i="1"/>
  <c r="E1891" i="1"/>
  <c r="T1891" i="1" s="1"/>
  <c r="F1891" i="1"/>
  <c r="E1892" i="1"/>
  <c r="T1892" i="1" s="1"/>
  <c r="F1892" i="1"/>
  <c r="E1893" i="1"/>
  <c r="T1893" i="1" s="1"/>
  <c r="F1893" i="1"/>
  <c r="E1894" i="1"/>
  <c r="T1894" i="1" s="1"/>
  <c r="F1894" i="1"/>
  <c r="E1895" i="1"/>
  <c r="T1895" i="1" s="1"/>
  <c r="F1895" i="1"/>
  <c r="E1896" i="1"/>
  <c r="T1896" i="1" s="1"/>
  <c r="F1896" i="1"/>
  <c r="E1897" i="1"/>
  <c r="T1897" i="1" s="1"/>
  <c r="F1897" i="1"/>
  <c r="E1898" i="1"/>
  <c r="T1898" i="1" s="1"/>
  <c r="F1898" i="1"/>
  <c r="E1899" i="1"/>
  <c r="T1899" i="1" s="1"/>
  <c r="F1899" i="1"/>
  <c r="E1900" i="1"/>
  <c r="T1900" i="1" s="1"/>
  <c r="F1900" i="1"/>
  <c r="E1901" i="1"/>
  <c r="T1901" i="1" s="1"/>
  <c r="F1901" i="1"/>
  <c r="E1902" i="1"/>
  <c r="T1902" i="1" s="1"/>
  <c r="F1902" i="1"/>
  <c r="E1903" i="1"/>
  <c r="T1903" i="1" s="1"/>
  <c r="F1903" i="1"/>
  <c r="E1904" i="1"/>
  <c r="T1904" i="1" s="1"/>
  <c r="F1904" i="1"/>
  <c r="E1905" i="1"/>
  <c r="T1905" i="1" s="1"/>
  <c r="F1905" i="1"/>
  <c r="E1906" i="1"/>
  <c r="T1906" i="1" s="1"/>
  <c r="F1906" i="1"/>
  <c r="E1907" i="1"/>
  <c r="T1907" i="1" s="1"/>
  <c r="F1907" i="1"/>
  <c r="E1908" i="1"/>
  <c r="T1908" i="1" s="1"/>
  <c r="F1908" i="1"/>
  <c r="E1909" i="1"/>
  <c r="T1909" i="1" s="1"/>
  <c r="F1909" i="1"/>
  <c r="E1910" i="1"/>
  <c r="T1910" i="1" s="1"/>
  <c r="F1910" i="1"/>
  <c r="E1911" i="1"/>
  <c r="T1911" i="1" s="1"/>
  <c r="F1911" i="1"/>
  <c r="E1912" i="1"/>
  <c r="T1912" i="1" s="1"/>
  <c r="F1912" i="1"/>
  <c r="E1913" i="1"/>
  <c r="T1913" i="1" s="1"/>
  <c r="F1913" i="1"/>
  <c r="E1914" i="1"/>
  <c r="T1914" i="1" s="1"/>
  <c r="F1914" i="1"/>
  <c r="E1915" i="1"/>
  <c r="T1915" i="1" s="1"/>
  <c r="F1915" i="1"/>
  <c r="E1916" i="1"/>
  <c r="T1916" i="1" s="1"/>
  <c r="F1916" i="1"/>
  <c r="E1917" i="1"/>
  <c r="T1917" i="1" s="1"/>
  <c r="F1917" i="1"/>
  <c r="E1918" i="1"/>
  <c r="T1918" i="1" s="1"/>
  <c r="F1918" i="1"/>
  <c r="E1919" i="1"/>
  <c r="T1919" i="1" s="1"/>
  <c r="F1919" i="1"/>
  <c r="E1920" i="1"/>
  <c r="T1920" i="1" s="1"/>
  <c r="F1920" i="1"/>
  <c r="E1921" i="1"/>
  <c r="T1921" i="1" s="1"/>
  <c r="F1921" i="1"/>
  <c r="E1922" i="1"/>
  <c r="T1922" i="1" s="1"/>
  <c r="F1922" i="1"/>
  <c r="E1923" i="1"/>
  <c r="T1923" i="1" s="1"/>
  <c r="F1923" i="1"/>
  <c r="E1924" i="1"/>
  <c r="T1924" i="1" s="1"/>
  <c r="F1924" i="1"/>
  <c r="E1925" i="1"/>
  <c r="T1925" i="1" s="1"/>
  <c r="F1925" i="1"/>
  <c r="E1926" i="1"/>
  <c r="T1926" i="1" s="1"/>
  <c r="F1926" i="1"/>
  <c r="E1927" i="1"/>
  <c r="T1927" i="1" s="1"/>
  <c r="F1927" i="1"/>
  <c r="E1928" i="1"/>
  <c r="T1928" i="1" s="1"/>
  <c r="F1928" i="1"/>
  <c r="E1929" i="1"/>
  <c r="T1929" i="1" s="1"/>
  <c r="F1929" i="1"/>
  <c r="E1930" i="1"/>
  <c r="T1930" i="1" s="1"/>
  <c r="F1930" i="1"/>
  <c r="E1931" i="1"/>
  <c r="T1931" i="1" s="1"/>
  <c r="F1931" i="1"/>
  <c r="E1932" i="1"/>
  <c r="T1932" i="1" s="1"/>
  <c r="F1932" i="1"/>
  <c r="E1933" i="1"/>
  <c r="T1933" i="1" s="1"/>
  <c r="F1933" i="1"/>
  <c r="E1934" i="1"/>
  <c r="T1934" i="1" s="1"/>
  <c r="F1934" i="1"/>
  <c r="E1935" i="1"/>
  <c r="T1935" i="1" s="1"/>
  <c r="F1935" i="1"/>
  <c r="E1936" i="1"/>
  <c r="T1936" i="1" s="1"/>
  <c r="F1936" i="1"/>
  <c r="E1937" i="1"/>
  <c r="T1937" i="1" s="1"/>
  <c r="F1937" i="1"/>
  <c r="E1938" i="1"/>
  <c r="T1938" i="1" s="1"/>
  <c r="F1938" i="1"/>
  <c r="E1939" i="1"/>
  <c r="T1939" i="1" s="1"/>
  <c r="F1939" i="1"/>
  <c r="E1940" i="1"/>
  <c r="T1940" i="1" s="1"/>
  <c r="F1940" i="1"/>
  <c r="E1941" i="1"/>
  <c r="T1941" i="1" s="1"/>
  <c r="F1941" i="1"/>
  <c r="E1942" i="1"/>
  <c r="T1942" i="1" s="1"/>
  <c r="F1942" i="1"/>
  <c r="E1943" i="1"/>
  <c r="T1943" i="1" s="1"/>
  <c r="F1943" i="1"/>
  <c r="E1944" i="1"/>
  <c r="T1944" i="1" s="1"/>
  <c r="F1944" i="1"/>
  <c r="E1945" i="1"/>
  <c r="T1945" i="1" s="1"/>
  <c r="F1945" i="1"/>
  <c r="E1946" i="1"/>
  <c r="T1946" i="1" s="1"/>
  <c r="F1946" i="1"/>
  <c r="E1947" i="1"/>
  <c r="T1947" i="1" s="1"/>
  <c r="F1947" i="1"/>
  <c r="E1948" i="1"/>
  <c r="T1948" i="1" s="1"/>
  <c r="F1948" i="1"/>
  <c r="E1949" i="1"/>
  <c r="T1949" i="1" s="1"/>
  <c r="F1949" i="1"/>
  <c r="E1950" i="1"/>
  <c r="T1950" i="1" s="1"/>
  <c r="F1950" i="1"/>
  <c r="E1951" i="1"/>
  <c r="T1951" i="1" s="1"/>
  <c r="F1951" i="1"/>
  <c r="E1952" i="1"/>
  <c r="T1952" i="1" s="1"/>
  <c r="F1952" i="1"/>
  <c r="E1953" i="1"/>
  <c r="T1953" i="1" s="1"/>
  <c r="F1953" i="1"/>
  <c r="E1954" i="1"/>
  <c r="T1954" i="1" s="1"/>
  <c r="F1954" i="1"/>
  <c r="E1955" i="1"/>
  <c r="T1955" i="1" s="1"/>
  <c r="F1955" i="1"/>
  <c r="E1956" i="1"/>
  <c r="T1956" i="1" s="1"/>
  <c r="F1956" i="1"/>
  <c r="E1957" i="1"/>
  <c r="T1957" i="1" s="1"/>
  <c r="F1957" i="1"/>
  <c r="E1958" i="1"/>
  <c r="T1958" i="1" s="1"/>
  <c r="F1958" i="1"/>
  <c r="E1959" i="1"/>
  <c r="T1959" i="1" s="1"/>
  <c r="F1959" i="1"/>
  <c r="E1960" i="1"/>
  <c r="T1960" i="1" s="1"/>
  <c r="F1960" i="1"/>
  <c r="E1961" i="1"/>
  <c r="T1961" i="1" s="1"/>
  <c r="F1961" i="1"/>
  <c r="E1962" i="1"/>
  <c r="T1962" i="1" s="1"/>
  <c r="F1962" i="1"/>
  <c r="E1963" i="1"/>
  <c r="T1963" i="1" s="1"/>
  <c r="F1963" i="1"/>
  <c r="E1964" i="1"/>
  <c r="T1964" i="1" s="1"/>
  <c r="F1964" i="1"/>
  <c r="E1965" i="1"/>
  <c r="T1965" i="1" s="1"/>
  <c r="F1965" i="1"/>
  <c r="E1966" i="1"/>
  <c r="T1966" i="1" s="1"/>
  <c r="F1966" i="1"/>
  <c r="E1967" i="1"/>
  <c r="T1967" i="1" s="1"/>
  <c r="F1967" i="1"/>
  <c r="E1968" i="1"/>
  <c r="T1968" i="1" s="1"/>
  <c r="F1968" i="1"/>
  <c r="E1969" i="1"/>
  <c r="T1969" i="1" s="1"/>
  <c r="F1969" i="1"/>
  <c r="E1970" i="1"/>
  <c r="T1970" i="1" s="1"/>
  <c r="F1970" i="1"/>
  <c r="E1971" i="1"/>
  <c r="T1971" i="1" s="1"/>
  <c r="F1971" i="1"/>
  <c r="E1972" i="1"/>
  <c r="T1972" i="1" s="1"/>
  <c r="F1972" i="1"/>
  <c r="E1973" i="1"/>
  <c r="T1973" i="1" s="1"/>
  <c r="F1973" i="1"/>
  <c r="E1974" i="1"/>
  <c r="T1974" i="1" s="1"/>
  <c r="F1974" i="1"/>
  <c r="E1975" i="1"/>
  <c r="T1975" i="1" s="1"/>
  <c r="F1975" i="1"/>
  <c r="E1976" i="1"/>
  <c r="T1976" i="1" s="1"/>
  <c r="F1976" i="1"/>
  <c r="E1977" i="1"/>
  <c r="T1977" i="1" s="1"/>
  <c r="F1977" i="1"/>
  <c r="E1978" i="1"/>
  <c r="T1978" i="1" s="1"/>
  <c r="F1978" i="1"/>
  <c r="E1979" i="1"/>
  <c r="T1979" i="1" s="1"/>
  <c r="F1979" i="1"/>
  <c r="E1980" i="1"/>
  <c r="T1980" i="1" s="1"/>
  <c r="F1980" i="1"/>
  <c r="E1981" i="1"/>
  <c r="T1981" i="1" s="1"/>
  <c r="F1981" i="1"/>
  <c r="E1982" i="1"/>
  <c r="T1982" i="1" s="1"/>
  <c r="F1982" i="1"/>
  <c r="E1983" i="1"/>
  <c r="T1983" i="1" s="1"/>
  <c r="F1983" i="1"/>
  <c r="E1984" i="1"/>
  <c r="T1984" i="1" s="1"/>
  <c r="F1984" i="1"/>
  <c r="E1985" i="1"/>
  <c r="T1985" i="1" s="1"/>
  <c r="F1985" i="1"/>
  <c r="E1986" i="1"/>
  <c r="T1986" i="1" s="1"/>
  <c r="F1986" i="1"/>
  <c r="E1987" i="1"/>
  <c r="T1987" i="1" s="1"/>
  <c r="F1987" i="1"/>
  <c r="E1988" i="1"/>
  <c r="T1988" i="1" s="1"/>
  <c r="F1988" i="1"/>
  <c r="E1989" i="1"/>
  <c r="T1989" i="1" s="1"/>
  <c r="F1989" i="1"/>
  <c r="E1990" i="1"/>
  <c r="T1990" i="1" s="1"/>
  <c r="F1990" i="1"/>
  <c r="E1991" i="1"/>
  <c r="T1991" i="1" s="1"/>
  <c r="F1991" i="1"/>
  <c r="E1992" i="1"/>
  <c r="T1992" i="1" s="1"/>
  <c r="F1992" i="1"/>
  <c r="E1993" i="1"/>
  <c r="T1993" i="1" s="1"/>
  <c r="F1993" i="1"/>
  <c r="E1994" i="1"/>
  <c r="T1994" i="1" s="1"/>
  <c r="F1994" i="1"/>
  <c r="E1995" i="1"/>
  <c r="T1995" i="1" s="1"/>
  <c r="F1995" i="1"/>
  <c r="E1996" i="1"/>
  <c r="T1996" i="1" s="1"/>
  <c r="F1996" i="1"/>
  <c r="E1997" i="1"/>
  <c r="T1997" i="1" s="1"/>
  <c r="F1997" i="1"/>
  <c r="E1998" i="1"/>
  <c r="T1998" i="1" s="1"/>
  <c r="F1998" i="1"/>
  <c r="E1999" i="1"/>
  <c r="T1999" i="1" s="1"/>
  <c r="F1999" i="1"/>
  <c r="E2000" i="1"/>
  <c r="T2000" i="1" s="1"/>
  <c r="F2000" i="1"/>
  <c r="E2001" i="1"/>
  <c r="T2001" i="1" s="1"/>
  <c r="F2001" i="1"/>
  <c r="E2002" i="1"/>
  <c r="T2002" i="1" s="1"/>
  <c r="F2002" i="1"/>
  <c r="E2003" i="1"/>
  <c r="T2003" i="1" s="1"/>
  <c r="F2003" i="1"/>
  <c r="E2004" i="1"/>
  <c r="T2004" i="1" s="1"/>
  <c r="F2004" i="1"/>
  <c r="E2005" i="1"/>
  <c r="T2005" i="1" s="1"/>
  <c r="F2005" i="1"/>
  <c r="E2006" i="1"/>
  <c r="T2006" i="1" s="1"/>
  <c r="F2006" i="1"/>
  <c r="E2007" i="1"/>
  <c r="T2007" i="1" s="1"/>
  <c r="F2007" i="1"/>
  <c r="E2008" i="1"/>
  <c r="T2008" i="1" s="1"/>
  <c r="F2008" i="1"/>
  <c r="E2009" i="1"/>
  <c r="T2009" i="1" s="1"/>
  <c r="F2009" i="1"/>
  <c r="E2010" i="1"/>
  <c r="T2010" i="1" s="1"/>
  <c r="F2010" i="1"/>
  <c r="E2011" i="1"/>
  <c r="T2011" i="1" s="1"/>
  <c r="F2011" i="1"/>
  <c r="E2012" i="1"/>
  <c r="T2012" i="1" s="1"/>
  <c r="F2012" i="1"/>
  <c r="E2013" i="1"/>
  <c r="T2013" i="1" s="1"/>
  <c r="F2013" i="1"/>
  <c r="E2014" i="1"/>
  <c r="T2014" i="1" s="1"/>
  <c r="F2014" i="1"/>
  <c r="E2015" i="1"/>
  <c r="T2015" i="1" s="1"/>
  <c r="F2015" i="1"/>
  <c r="E2016" i="1"/>
  <c r="T2016" i="1" s="1"/>
  <c r="F2016" i="1"/>
  <c r="E2017" i="1"/>
  <c r="T2017" i="1" s="1"/>
  <c r="F2017" i="1"/>
  <c r="E2018" i="1"/>
  <c r="T2018" i="1" s="1"/>
  <c r="F2018" i="1"/>
  <c r="E2019" i="1"/>
  <c r="T2019" i="1" s="1"/>
  <c r="F2019" i="1"/>
  <c r="E2020" i="1"/>
  <c r="T2020" i="1" s="1"/>
  <c r="F2020" i="1"/>
  <c r="E2021" i="1"/>
  <c r="T2021" i="1" s="1"/>
  <c r="F2021" i="1"/>
  <c r="E2022" i="1"/>
  <c r="T2022" i="1" s="1"/>
  <c r="F2022" i="1"/>
  <c r="E2023" i="1"/>
  <c r="T2023" i="1" s="1"/>
  <c r="F2023" i="1"/>
  <c r="E2024" i="1"/>
  <c r="T2024" i="1" s="1"/>
  <c r="F2024" i="1"/>
  <c r="E2025" i="1"/>
  <c r="T2025" i="1" s="1"/>
  <c r="F2025" i="1"/>
  <c r="E2026" i="1"/>
  <c r="T2026" i="1" s="1"/>
  <c r="F2026" i="1"/>
  <c r="E2027" i="1"/>
  <c r="T2027" i="1" s="1"/>
  <c r="F2027" i="1"/>
  <c r="E2028" i="1"/>
  <c r="T2028" i="1" s="1"/>
  <c r="F2028" i="1"/>
  <c r="E2029" i="1"/>
  <c r="T2029" i="1" s="1"/>
  <c r="F2029" i="1"/>
  <c r="E2030" i="1"/>
  <c r="T2030" i="1" s="1"/>
  <c r="F2030" i="1"/>
  <c r="E2031" i="1"/>
  <c r="T2031" i="1" s="1"/>
  <c r="F2031" i="1"/>
  <c r="E2032" i="1"/>
  <c r="T2032" i="1" s="1"/>
  <c r="F2032" i="1"/>
  <c r="E2033" i="1"/>
  <c r="T2033" i="1" s="1"/>
  <c r="F2033" i="1"/>
  <c r="E2034" i="1"/>
  <c r="T2034" i="1" s="1"/>
  <c r="F2034" i="1"/>
  <c r="E2035" i="1"/>
  <c r="T2035" i="1" s="1"/>
  <c r="F2035" i="1"/>
  <c r="E2036" i="1"/>
  <c r="T2036" i="1" s="1"/>
  <c r="F2036" i="1"/>
  <c r="E2037" i="1"/>
  <c r="T2037" i="1" s="1"/>
  <c r="F2037" i="1"/>
  <c r="E2038" i="1"/>
  <c r="T2038" i="1" s="1"/>
  <c r="F2038" i="1"/>
  <c r="E2039" i="1"/>
  <c r="T2039" i="1" s="1"/>
  <c r="F2039" i="1"/>
  <c r="E2040" i="1"/>
  <c r="T2040" i="1" s="1"/>
  <c r="F2040" i="1"/>
  <c r="E2041" i="1"/>
  <c r="T2041" i="1" s="1"/>
  <c r="F2041" i="1"/>
  <c r="E2042" i="1"/>
  <c r="T2042" i="1" s="1"/>
  <c r="F2042" i="1"/>
  <c r="E2043" i="1"/>
  <c r="T2043" i="1" s="1"/>
  <c r="F2043" i="1"/>
  <c r="E2044" i="1"/>
  <c r="T2044" i="1" s="1"/>
  <c r="F2044" i="1"/>
  <c r="E2045" i="1"/>
  <c r="T2045" i="1" s="1"/>
  <c r="F2045" i="1"/>
  <c r="E2046" i="1"/>
  <c r="T2046" i="1" s="1"/>
  <c r="F2046" i="1"/>
  <c r="E2047" i="1"/>
  <c r="T2047" i="1" s="1"/>
  <c r="F2047" i="1"/>
  <c r="E2048" i="1"/>
  <c r="T2048" i="1" s="1"/>
  <c r="F2048" i="1"/>
  <c r="E2049" i="1"/>
  <c r="T2049" i="1" s="1"/>
  <c r="F2049" i="1"/>
  <c r="E2050" i="1"/>
  <c r="T2050" i="1" s="1"/>
  <c r="F2050" i="1"/>
  <c r="E2051" i="1"/>
  <c r="T2051" i="1" s="1"/>
  <c r="F2051" i="1"/>
  <c r="E2052" i="1"/>
  <c r="T2052" i="1" s="1"/>
  <c r="F2052" i="1"/>
  <c r="E2053" i="1"/>
  <c r="T2053" i="1" s="1"/>
  <c r="F2053" i="1"/>
  <c r="E2054" i="1"/>
  <c r="T2054" i="1" s="1"/>
  <c r="F2054" i="1"/>
  <c r="E2055" i="1"/>
  <c r="T2055" i="1" s="1"/>
  <c r="F2055" i="1"/>
  <c r="E2056" i="1"/>
  <c r="T2056" i="1" s="1"/>
  <c r="F2056" i="1"/>
  <c r="E2057" i="1"/>
  <c r="T2057" i="1" s="1"/>
  <c r="F2057" i="1"/>
  <c r="E2058" i="1"/>
  <c r="T2058" i="1" s="1"/>
  <c r="F2058" i="1"/>
  <c r="E2059" i="1"/>
  <c r="T2059" i="1" s="1"/>
  <c r="F2059" i="1"/>
  <c r="E2060" i="1"/>
  <c r="T2060" i="1" s="1"/>
  <c r="F2060" i="1"/>
  <c r="E2061" i="1"/>
  <c r="T2061" i="1" s="1"/>
  <c r="F2061" i="1"/>
  <c r="E2062" i="1"/>
  <c r="T2062" i="1" s="1"/>
  <c r="F2062" i="1"/>
  <c r="E2063" i="1"/>
  <c r="T2063" i="1" s="1"/>
  <c r="F2063" i="1"/>
  <c r="E2064" i="1"/>
  <c r="T2064" i="1" s="1"/>
  <c r="F2064" i="1"/>
  <c r="E2065" i="1"/>
  <c r="T2065" i="1" s="1"/>
  <c r="F2065" i="1"/>
  <c r="E2066" i="1"/>
  <c r="T2066" i="1" s="1"/>
  <c r="F2066" i="1"/>
  <c r="E2067" i="1"/>
  <c r="T2067" i="1" s="1"/>
  <c r="F2067" i="1"/>
  <c r="E2068" i="1"/>
  <c r="T2068" i="1" s="1"/>
  <c r="F2068" i="1"/>
  <c r="E2069" i="1"/>
  <c r="T2069" i="1" s="1"/>
  <c r="F2069" i="1"/>
  <c r="E2070" i="1"/>
  <c r="T2070" i="1" s="1"/>
  <c r="F2070" i="1"/>
  <c r="E2071" i="1"/>
  <c r="T2071" i="1" s="1"/>
  <c r="F2071" i="1"/>
  <c r="E2072" i="1"/>
  <c r="T2072" i="1" s="1"/>
  <c r="F2072" i="1"/>
  <c r="E2073" i="1"/>
  <c r="T2073" i="1" s="1"/>
  <c r="F2073" i="1"/>
  <c r="E2074" i="1"/>
  <c r="T2074" i="1" s="1"/>
  <c r="F2074" i="1"/>
  <c r="E2075" i="1"/>
  <c r="T2075" i="1" s="1"/>
  <c r="F2075" i="1"/>
  <c r="E2076" i="1"/>
  <c r="T2076" i="1" s="1"/>
  <c r="F2076" i="1"/>
  <c r="E2077" i="1"/>
  <c r="T2077" i="1" s="1"/>
  <c r="F2077" i="1"/>
  <c r="E2078" i="1"/>
  <c r="T2078" i="1" s="1"/>
  <c r="F2078" i="1"/>
  <c r="E2079" i="1"/>
  <c r="T2079" i="1" s="1"/>
  <c r="F2079" i="1"/>
  <c r="E2080" i="1"/>
  <c r="T2080" i="1" s="1"/>
  <c r="F2080" i="1"/>
  <c r="E2081" i="1"/>
  <c r="T2081" i="1" s="1"/>
  <c r="F2081" i="1"/>
  <c r="E2082" i="1"/>
  <c r="T2082" i="1" s="1"/>
  <c r="F2082" i="1"/>
  <c r="E2083" i="1"/>
  <c r="T2083" i="1" s="1"/>
  <c r="F2083" i="1"/>
  <c r="E2084" i="1"/>
  <c r="T2084" i="1" s="1"/>
  <c r="F2084" i="1"/>
  <c r="E2085" i="1"/>
  <c r="T2085" i="1" s="1"/>
  <c r="F2085" i="1"/>
  <c r="E2086" i="1"/>
  <c r="T2086" i="1" s="1"/>
  <c r="F2086" i="1"/>
  <c r="E2087" i="1"/>
  <c r="T2087" i="1" s="1"/>
  <c r="F2087" i="1"/>
  <c r="E2088" i="1"/>
  <c r="T2088" i="1" s="1"/>
  <c r="F2088" i="1"/>
  <c r="E2089" i="1"/>
  <c r="T2089" i="1" s="1"/>
  <c r="F2089" i="1"/>
  <c r="E2090" i="1"/>
  <c r="T2090" i="1" s="1"/>
  <c r="F2090" i="1"/>
  <c r="E2091" i="1"/>
  <c r="T2091" i="1" s="1"/>
  <c r="F2091" i="1"/>
  <c r="E2092" i="1"/>
  <c r="T2092" i="1" s="1"/>
  <c r="F2092" i="1"/>
  <c r="E2093" i="1"/>
  <c r="T2093" i="1" s="1"/>
  <c r="F2093" i="1"/>
  <c r="E2094" i="1"/>
  <c r="T2094" i="1" s="1"/>
  <c r="F2094" i="1"/>
  <c r="E2095" i="1"/>
  <c r="T2095" i="1" s="1"/>
  <c r="F2095" i="1"/>
  <c r="E2096" i="1"/>
  <c r="T2096" i="1" s="1"/>
  <c r="F2096" i="1"/>
  <c r="E2097" i="1"/>
  <c r="T2097" i="1" s="1"/>
  <c r="F2097" i="1"/>
  <c r="E2098" i="1"/>
  <c r="T2098" i="1" s="1"/>
  <c r="F2098" i="1"/>
  <c r="E2099" i="1"/>
  <c r="T2099" i="1" s="1"/>
  <c r="F2099" i="1"/>
  <c r="E2100" i="1"/>
  <c r="T2100" i="1" s="1"/>
  <c r="F2100" i="1"/>
  <c r="E2101" i="1"/>
  <c r="T2101" i="1" s="1"/>
  <c r="F2101" i="1"/>
  <c r="E2102" i="1"/>
  <c r="T2102" i="1" s="1"/>
  <c r="F2102" i="1"/>
  <c r="E2103" i="1"/>
  <c r="T2103" i="1" s="1"/>
  <c r="F2103" i="1"/>
  <c r="E2104" i="1"/>
  <c r="T2104" i="1" s="1"/>
  <c r="F2104" i="1"/>
  <c r="E2105" i="1"/>
  <c r="T2105" i="1" s="1"/>
  <c r="F2105" i="1"/>
  <c r="E2106" i="1"/>
  <c r="T2106" i="1" s="1"/>
  <c r="F2106" i="1"/>
  <c r="E2107" i="1"/>
  <c r="T2107" i="1" s="1"/>
  <c r="F2107" i="1"/>
  <c r="E2108" i="1"/>
  <c r="T2108" i="1" s="1"/>
  <c r="F2108" i="1"/>
  <c r="E2109" i="1"/>
  <c r="T2109" i="1" s="1"/>
  <c r="F2109" i="1"/>
  <c r="E2110" i="1"/>
  <c r="T2110" i="1" s="1"/>
  <c r="F2110" i="1"/>
  <c r="E2111" i="1"/>
  <c r="T2111" i="1" s="1"/>
  <c r="F2111" i="1"/>
  <c r="E2112" i="1"/>
  <c r="T2112" i="1" s="1"/>
  <c r="F2112" i="1"/>
  <c r="E2113" i="1"/>
  <c r="T2113" i="1" s="1"/>
  <c r="F2113" i="1"/>
  <c r="E2114" i="1"/>
  <c r="T2114" i="1" s="1"/>
  <c r="F2114" i="1"/>
  <c r="E2115" i="1"/>
  <c r="T2115" i="1" s="1"/>
  <c r="F2115" i="1"/>
  <c r="E2116" i="1"/>
  <c r="T2116" i="1" s="1"/>
  <c r="F2116" i="1"/>
  <c r="E2117" i="1"/>
  <c r="T2117" i="1" s="1"/>
  <c r="F2117" i="1"/>
  <c r="E2118" i="1"/>
  <c r="T2118" i="1" s="1"/>
  <c r="F2118" i="1"/>
  <c r="E2119" i="1"/>
  <c r="T2119" i="1" s="1"/>
  <c r="F2119" i="1"/>
  <c r="E2120" i="1"/>
  <c r="T2120" i="1" s="1"/>
  <c r="F2120" i="1"/>
  <c r="E2121" i="1"/>
  <c r="T2121" i="1" s="1"/>
  <c r="F2121" i="1"/>
  <c r="E2122" i="1"/>
  <c r="T2122" i="1" s="1"/>
  <c r="F2122" i="1"/>
  <c r="E2123" i="1"/>
  <c r="T2123" i="1" s="1"/>
  <c r="F2123" i="1"/>
  <c r="E2124" i="1"/>
  <c r="T2124" i="1" s="1"/>
  <c r="F2124" i="1"/>
  <c r="E2125" i="1"/>
  <c r="T2125" i="1" s="1"/>
  <c r="F2125" i="1"/>
  <c r="E2126" i="1"/>
  <c r="T2126" i="1" s="1"/>
  <c r="F2126" i="1"/>
  <c r="E2127" i="1"/>
  <c r="T2127" i="1" s="1"/>
  <c r="F2127" i="1"/>
  <c r="E2128" i="1"/>
  <c r="T2128" i="1" s="1"/>
  <c r="F2128" i="1"/>
  <c r="E2129" i="1"/>
  <c r="T2129" i="1" s="1"/>
  <c r="F2129" i="1"/>
  <c r="E2130" i="1"/>
  <c r="T2130" i="1" s="1"/>
  <c r="F2130" i="1"/>
  <c r="E2131" i="1"/>
  <c r="T2131" i="1" s="1"/>
  <c r="F2131" i="1"/>
  <c r="E2132" i="1"/>
  <c r="T2132" i="1" s="1"/>
  <c r="F2132" i="1"/>
  <c r="E2133" i="1"/>
  <c r="T2133" i="1" s="1"/>
  <c r="F2133" i="1"/>
  <c r="E2134" i="1"/>
  <c r="T2134" i="1" s="1"/>
  <c r="F2134" i="1"/>
  <c r="E2135" i="1"/>
  <c r="T2135" i="1" s="1"/>
  <c r="F2135" i="1"/>
  <c r="E2136" i="1"/>
  <c r="T2136" i="1" s="1"/>
  <c r="F2136" i="1"/>
  <c r="E2137" i="1"/>
  <c r="T2137" i="1" s="1"/>
  <c r="F2137" i="1"/>
  <c r="E2138" i="1"/>
  <c r="T2138" i="1" s="1"/>
  <c r="F2138" i="1"/>
  <c r="E2139" i="1"/>
  <c r="T2139" i="1" s="1"/>
  <c r="F2139" i="1"/>
  <c r="E2140" i="1"/>
  <c r="T2140" i="1" s="1"/>
  <c r="F2140" i="1"/>
  <c r="E2141" i="1"/>
  <c r="T2141" i="1" s="1"/>
  <c r="F2141" i="1"/>
  <c r="E2142" i="1"/>
  <c r="T2142" i="1" s="1"/>
  <c r="F2142" i="1"/>
  <c r="E2143" i="1"/>
  <c r="T2143" i="1" s="1"/>
  <c r="F2143" i="1"/>
  <c r="E2144" i="1"/>
  <c r="T2144" i="1" s="1"/>
  <c r="F2144" i="1"/>
  <c r="E2145" i="1"/>
  <c r="T2145" i="1" s="1"/>
  <c r="F2145" i="1"/>
  <c r="E2146" i="1"/>
  <c r="T2146" i="1" s="1"/>
  <c r="F2146" i="1"/>
  <c r="E2147" i="1"/>
  <c r="T2147" i="1" s="1"/>
  <c r="F2147" i="1"/>
  <c r="E2148" i="1"/>
  <c r="T2148" i="1" s="1"/>
  <c r="F2148" i="1"/>
  <c r="E2149" i="1"/>
  <c r="T2149" i="1" s="1"/>
  <c r="F2149" i="1"/>
  <c r="E2150" i="1"/>
  <c r="T2150" i="1" s="1"/>
  <c r="F2150" i="1"/>
  <c r="E2151" i="1"/>
  <c r="T2151" i="1" s="1"/>
  <c r="F2151" i="1"/>
  <c r="E2152" i="1"/>
  <c r="T2152" i="1" s="1"/>
  <c r="F2152" i="1"/>
  <c r="E2153" i="1"/>
  <c r="T2153" i="1" s="1"/>
  <c r="F2153" i="1"/>
  <c r="E2154" i="1"/>
  <c r="T2154" i="1" s="1"/>
  <c r="F2154" i="1"/>
  <c r="E2155" i="1"/>
  <c r="T2155" i="1" s="1"/>
  <c r="F2155" i="1"/>
  <c r="E2156" i="1"/>
  <c r="T2156" i="1" s="1"/>
  <c r="F2156" i="1"/>
  <c r="E2157" i="1"/>
  <c r="T2157" i="1" s="1"/>
  <c r="F2157" i="1"/>
  <c r="E2158" i="1"/>
  <c r="T2158" i="1" s="1"/>
  <c r="F2158" i="1"/>
  <c r="E2159" i="1"/>
  <c r="T2159" i="1" s="1"/>
  <c r="F2159" i="1"/>
  <c r="E2160" i="1"/>
  <c r="T2160" i="1" s="1"/>
  <c r="F2160" i="1"/>
  <c r="E2161" i="1"/>
  <c r="T2161" i="1" s="1"/>
  <c r="F2161" i="1"/>
  <c r="E2162" i="1"/>
  <c r="T2162" i="1" s="1"/>
  <c r="F2162" i="1"/>
  <c r="E2163" i="1"/>
  <c r="T2163" i="1" s="1"/>
  <c r="F2163" i="1"/>
  <c r="E2164" i="1"/>
  <c r="T2164" i="1" s="1"/>
  <c r="F2164" i="1"/>
  <c r="E2165" i="1"/>
  <c r="T2165" i="1" s="1"/>
  <c r="F2165" i="1"/>
  <c r="E2166" i="1"/>
  <c r="T2166" i="1" s="1"/>
  <c r="F2166" i="1"/>
  <c r="E2167" i="1"/>
  <c r="T2167" i="1" s="1"/>
  <c r="F2167" i="1"/>
  <c r="E2168" i="1"/>
  <c r="T2168" i="1" s="1"/>
  <c r="F2168" i="1"/>
  <c r="E2169" i="1"/>
  <c r="T2169" i="1" s="1"/>
  <c r="F2169" i="1"/>
  <c r="E2170" i="1"/>
  <c r="T2170" i="1" s="1"/>
  <c r="F2170" i="1"/>
  <c r="E2171" i="1"/>
  <c r="T2171" i="1" s="1"/>
  <c r="F2171" i="1"/>
  <c r="E2172" i="1"/>
  <c r="T2172" i="1" s="1"/>
  <c r="F2172" i="1"/>
  <c r="E2173" i="1"/>
  <c r="T2173" i="1" s="1"/>
  <c r="F2173" i="1"/>
  <c r="E2174" i="1"/>
  <c r="T2174" i="1" s="1"/>
  <c r="F2174" i="1"/>
  <c r="E2175" i="1"/>
  <c r="T2175" i="1" s="1"/>
  <c r="F2175" i="1"/>
  <c r="E2176" i="1"/>
  <c r="T2176" i="1" s="1"/>
  <c r="F2176" i="1"/>
  <c r="E2177" i="1"/>
  <c r="T2177" i="1" s="1"/>
  <c r="F2177" i="1"/>
  <c r="E2178" i="1"/>
  <c r="T2178" i="1" s="1"/>
  <c r="F2178" i="1"/>
  <c r="E2179" i="1"/>
  <c r="T2179" i="1" s="1"/>
  <c r="F2179" i="1"/>
  <c r="E2180" i="1"/>
  <c r="T2180" i="1" s="1"/>
  <c r="F2180" i="1"/>
  <c r="E2181" i="1"/>
  <c r="T2181" i="1" s="1"/>
  <c r="F2181" i="1"/>
  <c r="E2182" i="1"/>
  <c r="T2182" i="1" s="1"/>
  <c r="F2182" i="1"/>
  <c r="E2183" i="1"/>
  <c r="T2183" i="1" s="1"/>
  <c r="F2183" i="1"/>
  <c r="E2184" i="1"/>
  <c r="T2184" i="1" s="1"/>
  <c r="F2184" i="1"/>
  <c r="E2185" i="1"/>
  <c r="T2185" i="1" s="1"/>
  <c r="F2185" i="1"/>
  <c r="E2186" i="1"/>
  <c r="T2186" i="1" s="1"/>
  <c r="F2186" i="1"/>
  <c r="E2187" i="1"/>
  <c r="T2187" i="1" s="1"/>
  <c r="F2187" i="1"/>
  <c r="E2188" i="1"/>
  <c r="T2188" i="1" s="1"/>
  <c r="F2188" i="1"/>
  <c r="E2189" i="1"/>
  <c r="T2189" i="1" s="1"/>
  <c r="F2189" i="1"/>
  <c r="E2190" i="1"/>
  <c r="T2190" i="1" s="1"/>
  <c r="F2190" i="1"/>
  <c r="E2191" i="1"/>
  <c r="T2191" i="1" s="1"/>
  <c r="F2191" i="1"/>
  <c r="E2192" i="1"/>
  <c r="T2192" i="1" s="1"/>
  <c r="F2192" i="1"/>
  <c r="E2193" i="1"/>
  <c r="T2193" i="1" s="1"/>
  <c r="F2193" i="1"/>
  <c r="E2194" i="1"/>
  <c r="T2194" i="1" s="1"/>
  <c r="F2194" i="1"/>
  <c r="E2195" i="1"/>
  <c r="T2195" i="1" s="1"/>
  <c r="F2195" i="1"/>
  <c r="E2196" i="1"/>
  <c r="T2196" i="1" s="1"/>
  <c r="F2196" i="1"/>
  <c r="E2197" i="1"/>
  <c r="T2197" i="1" s="1"/>
  <c r="F2197" i="1"/>
  <c r="E2198" i="1"/>
  <c r="T2198" i="1" s="1"/>
  <c r="F2198" i="1"/>
  <c r="E2199" i="1"/>
  <c r="T2199" i="1" s="1"/>
  <c r="F2199" i="1"/>
  <c r="E2200" i="1"/>
  <c r="T2200" i="1" s="1"/>
  <c r="F2200" i="1"/>
  <c r="E2201" i="1"/>
  <c r="T2201" i="1" s="1"/>
  <c r="F2201" i="1"/>
  <c r="E2202" i="1"/>
  <c r="T2202" i="1" s="1"/>
  <c r="F2202" i="1"/>
  <c r="E2203" i="1"/>
  <c r="T2203" i="1" s="1"/>
  <c r="F2203" i="1"/>
  <c r="E2204" i="1"/>
  <c r="T2204" i="1" s="1"/>
  <c r="F2204" i="1"/>
  <c r="E2205" i="1"/>
  <c r="T2205" i="1" s="1"/>
  <c r="F2205" i="1"/>
  <c r="E2206" i="1"/>
  <c r="T2206" i="1" s="1"/>
  <c r="F2206" i="1"/>
  <c r="E2207" i="1"/>
  <c r="T2207" i="1" s="1"/>
  <c r="F2207" i="1"/>
  <c r="E2208" i="1"/>
  <c r="T2208" i="1" s="1"/>
  <c r="F2208" i="1"/>
  <c r="E2209" i="1"/>
  <c r="T2209" i="1" s="1"/>
  <c r="F2209" i="1"/>
  <c r="E2210" i="1"/>
  <c r="T2210" i="1" s="1"/>
  <c r="F2210" i="1"/>
  <c r="E2211" i="1"/>
  <c r="T2211" i="1" s="1"/>
  <c r="F2211" i="1"/>
  <c r="E2212" i="1"/>
  <c r="T2212" i="1" s="1"/>
  <c r="F2212" i="1"/>
  <c r="E2213" i="1"/>
  <c r="T2213" i="1" s="1"/>
  <c r="F2213" i="1"/>
  <c r="E2214" i="1"/>
  <c r="T2214" i="1" s="1"/>
  <c r="F2214" i="1"/>
  <c r="E2215" i="1"/>
  <c r="T2215" i="1" s="1"/>
  <c r="F2215" i="1"/>
  <c r="E2216" i="1"/>
  <c r="T2216" i="1" s="1"/>
  <c r="F2216" i="1"/>
  <c r="E2217" i="1"/>
  <c r="T2217" i="1" s="1"/>
  <c r="F2217" i="1"/>
  <c r="E2218" i="1"/>
  <c r="T2218" i="1" s="1"/>
  <c r="F2218" i="1"/>
  <c r="E2219" i="1"/>
  <c r="T2219" i="1" s="1"/>
  <c r="F2219" i="1"/>
  <c r="E2220" i="1"/>
  <c r="T2220" i="1" s="1"/>
  <c r="F2220" i="1"/>
  <c r="E2221" i="1"/>
  <c r="T2221" i="1" s="1"/>
  <c r="F2221" i="1"/>
  <c r="E2222" i="1"/>
  <c r="T2222" i="1" s="1"/>
  <c r="F2222" i="1"/>
  <c r="E2223" i="1"/>
  <c r="T2223" i="1" s="1"/>
  <c r="F2223" i="1"/>
  <c r="E2224" i="1"/>
  <c r="T2224" i="1" s="1"/>
  <c r="F2224" i="1"/>
  <c r="E2225" i="1"/>
  <c r="T2225" i="1" s="1"/>
  <c r="F2225" i="1"/>
  <c r="E2226" i="1"/>
  <c r="T2226" i="1" s="1"/>
  <c r="F2226" i="1"/>
  <c r="E2227" i="1"/>
  <c r="T2227" i="1" s="1"/>
  <c r="F2227" i="1"/>
  <c r="E2228" i="1"/>
  <c r="T2228" i="1" s="1"/>
  <c r="F2228" i="1"/>
  <c r="E2229" i="1"/>
  <c r="T2229" i="1" s="1"/>
  <c r="F2229" i="1"/>
  <c r="E2230" i="1"/>
  <c r="T2230" i="1" s="1"/>
  <c r="F2230" i="1"/>
  <c r="E2231" i="1"/>
  <c r="T2231" i="1" s="1"/>
  <c r="F2231" i="1"/>
  <c r="E2232" i="1"/>
  <c r="T2232" i="1" s="1"/>
  <c r="F2232" i="1"/>
  <c r="E2233" i="1"/>
  <c r="T2233" i="1" s="1"/>
  <c r="F2233" i="1"/>
  <c r="E2234" i="1"/>
  <c r="T2234" i="1" s="1"/>
  <c r="F2234" i="1"/>
  <c r="E2235" i="1"/>
  <c r="T2235" i="1" s="1"/>
  <c r="F2235" i="1"/>
  <c r="E2236" i="1"/>
  <c r="T2236" i="1" s="1"/>
  <c r="F2236" i="1"/>
  <c r="E2237" i="1"/>
  <c r="T2237" i="1" s="1"/>
  <c r="F2237" i="1"/>
  <c r="E2238" i="1"/>
  <c r="T2238" i="1" s="1"/>
  <c r="F2238" i="1"/>
  <c r="E2239" i="1"/>
  <c r="T2239" i="1" s="1"/>
  <c r="F2239" i="1"/>
  <c r="E2240" i="1"/>
  <c r="T2240" i="1" s="1"/>
  <c r="F2240" i="1"/>
  <c r="E2241" i="1"/>
  <c r="T2241" i="1" s="1"/>
  <c r="F2241" i="1"/>
  <c r="E2242" i="1"/>
  <c r="T2242" i="1" s="1"/>
  <c r="F2242" i="1"/>
  <c r="E2243" i="1"/>
  <c r="T2243" i="1" s="1"/>
  <c r="F2243" i="1"/>
  <c r="E2244" i="1"/>
  <c r="T2244" i="1" s="1"/>
  <c r="F2244" i="1"/>
  <c r="E2245" i="1"/>
  <c r="T2245" i="1" s="1"/>
  <c r="F2245" i="1"/>
  <c r="E2246" i="1"/>
  <c r="T2246" i="1" s="1"/>
  <c r="F2246" i="1"/>
  <c r="E2247" i="1"/>
  <c r="T2247" i="1" s="1"/>
  <c r="F2247" i="1"/>
  <c r="E2248" i="1"/>
  <c r="T2248" i="1" s="1"/>
  <c r="F2248" i="1"/>
  <c r="E2249" i="1"/>
  <c r="T2249" i="1" s="1"/>
  <c r="F2249" i="1"/>
  <c r="E2250" i="1"/>
  <c r="T2250" i="1" s="1"/>
  <c r="F2250" i="1"/>
  <c r="E2251" i="1"/>
  <c r="T2251" i="1" s="1"/>
  <c r="F2251" i="1"/>
  <c r="E2252" i="1"/>
  <c r="T2252" i="1" s="1"/>
  <c r="F2252" i="1"/>
  <c r="E2253" i="1"/>
  <c r="T2253" i="1" s="1"/>
  <c r="F2253" i="1"/>
  <c r="E2254" i="1"/>
  <c r="T2254" i="1" s="1"/>
  <c r="F2254" i="1"/>
  <c r="E2255" i="1"/>
  <c r="T2255" i="1" s="1"/>
  <c r="F2255" i="1"/>
  <c r="E2256" i="1"/>
  <c r="T2256" i="1" s="1"/>
  <c r="F2256" i="1"/>
  <c r="E2257" i="1"/>
  <c r="T2257" i="1" s="1"/>
  <c r="F2257" i="1"/>
  <c r="E2258" i="1"/>
  <c r="T2258" i="1" s="1"/>
  <c r="F2258" i="1"/>
  <c r="E2259" i="1"/>
  <c r="T2259" i="1" s="1"/>
  <c r="F2259" i="1"/>
  <c r="E2260" i="1"/>
  <c r="T2260" i="1" s="1"/>
  <c r="F2260" i="1"/>
  <c r="E2261" i="1"/>
  <c r="T2261" i="1" s="1"/>
  <c r="F2261" i="1"/>
  <c r="E2262" i="1"/>
  <c r="T2262" i="1" s="1"/>
  <c r="F2262" i="1"/>
  <c r="E2263" i="1"/>
  <c r="T2263" i="1" s="1"/>
  <c r="F2263" i="1"/>
  <c r="E2264" i="1"/>
  <c r="T2264" i="1" s="1"/>
  <c r="F2264" i="1"/>
  <c r="E2265" i="1"/>
  <c r="T2265" i="1" s="1"/>
  <c r="F2265" i="1"/>
  <c r="E2266" i="1"/>
  <c r="T2266" i="1" s="1"/>
  <c r="F2266" i="1"/>
  <c r="E2267" i="1"/>
  <c r="T2267" i="1" s="1"/>
  <c r="F2267" i="1"/>
  <c r="E2268" i="1"/>
  <c r="T2268" i="1" s="1"/>
  <c r="F2268" i="1"/>
  <c r="E2269" i="1"/>
  <c r="T2269" i="1" s="1"/>
  <c r="F2269" i="1"/>
  <c r="E2270" i="1"/>
  <c r="T2270" i="1" s="1"/>
  <c r="F2270" i="1"/>
  <c r="E2271" i="1"/>
  <c r="T2271" i="1" s="1"/>
  <c r="F2271" i="1"/>
  <c r="E2272" i="1"/>
  <c r="T2272" i="1" s="1"/>
  <c r="F2272" i="1"/>
  <c r="E2273" i="1"/>
  <c r="T2273" i="1" s="1"/>
  <c r="F2273" i="1"/>
  <c r="E2274" i="1"/>
  <c r="T2274" i="1" s="1"/>
  <c r="F2274" i="1"/>
  <c r="E2275" i="1"/>
  <c r="T2275" i="1" s="1"/>
  <c r="F2275" i="1"/>
  <c r="E2276" i="1"/>
  <c r="T2276" i="1" s="1"/>
  <c r="F2276" i="1"/>
  <c r="E2277" i="1"/>
  <c r="T2277" i="1" s="1"/>
  <c r="F2277" i="1"/>
  <c r="E2278" i="1"/>
  <c r="T2278" i="1" s="1"/>
  <c r="F2278" i="1"/>
  <c r="E2279" i="1"/>
  <c r="T2279" i="1" s="1"/>
  <c r="F2279" i="1"/>
  <c r="E2280" i="1"/>
  <c r="T2280" i="1" s="1"/>
  <c r="F2280" i="1"/>
  <c r="E2281" i="1"/>
  <c r="T2281" i="1" s="1"/>
  <c r="F2281" i="1"/>
  <c r="E2282" i="1"/>
  <c r="T2282" i="1" s="1"/>
  <c r="F2282" i="1"/>
  <c r="E2283" i="1"/>
  <c r="T2283" i="1" s="1"/>
  <c r="F2283" i="1"/>
  <c r="E2284" i="1"/>
  <c r="T2284" i="1" s="1"/>
  <c r="F2284" i="1"/>
  <c r="E2285" i="1"/>
  <c r="T2285" i="1" s="1"/>
  <c r="F2285" i="1"/>
  <c r="E2286" i="1"/>
  <c r="T2286" i="1" s="1"/>
  <c r="F2286" i="1"/>
  <c r="E2287" i="1"/>
  <c r="T2287" i="1" s="1"/>
  <c r="F2287" i="1"/>
  <c r="E2288" i="1"/>
  <c r="T2288" i="1" s="1"/>
  <c r="F2288" i="1"/>
  <c r="E2289" i="1"/>
  <c r="T2289" i="1" s="1"/>
  <c r="F2289" i="1"/>
  <c r="E2290" i="1"/>
  <c r="T2290" i="1" s="1"/>
  <c r="F2290" i="1"/>
  <c r="E2291" i="1"/>
  <c r="T2291" i="1" s="1"/>
  <c r="F2291" i="1"/>
  <c r="E2292" i="1"/>
  <c r="T2292" i="1" s="1"/>
  <c r="F2292" i="1"/>
  <c r="E2293" i="1"/>
  <c r="T2293" i="1" s="1"/>
  <c r="F2293" i="1"/>
  <c r="E2294" i="1"/>
  <c r="T2294" i="1" s="1"/>
  <c r="F2294" i="1"/>
  <c r="E2295" i="1"/>
  <c r="T2295" i="1" s="1"/>
  <c r="F2295" i="1"/>
  <c r="E2296" i="1"/>
  <c r="T2296" i="1" s="1"/>
  <c r="F2296" i="1"/>
  <c r="E2297" i="1"/>
  <c r="T2297" i="1" s="1"/>
  <c r="F2297" i="1"/>
  <c r="E2298" i="1"/>
  <c r="T2298" i="1" s="1"/>
  <c r="F2298" i="1"/>
  <c r="E2299" i="1"/>
  <c r="T2299" i="1" s="1"/>
  <c r="F2299" i="1"/>
  <c r="E2300" i="1"/>
  <c r="T2300" i="1" s="1"/>
  <c r="F2300" i="1"/>
  <c r="E2301" i="1"/>
  <c r="T2301" i="1" s="1"/>
  <c r="F2301" i="1"/>
  <c r="E2302" i="1"/>
  <c r="T2302" i="1" s="1"/>
  <c r="F2302" i="1"/>
  <c r="E2303" i="1"/>
  <c r="T2303" i="1" s="1"/>
  <c r="F2303" i="1"/>
  <c r="E2304" i="1"/>
  <c r="T2304" i="1" s="1"/>
  <c r="F2304" i="1"/>
  <c r="E2305" i="1"/>
  <c r="T2305" i="1" s="1"/>
  <c r="F2305" i="1"/>
  <c r="E2306" i="1"/>
  <c r="T2306" i="1" s="1"/>
  <c r="F2306" i="1"/>
  <c r="E2307" i="1"/>
  <c r="T2307" i="1" s="1"/>
  <c r="F2307" i="1"/>
  <c r="E2308" i="1"/>
  <c r="T2308" i="1" s="1"/>
  <c r="F2308" i="1"/>
  <c r="E2309" i="1"/>
  <c r="T2309" i="1" s="1"/>
  <c r="F2309" i="1"/>
  <c r="E2310" i="1"/>
  <c r="T2310" i="1" s="1"/>
  <c r="F2310" i="1"/>
  <c r="E2311" i="1"/>
  <c r="T2311" i="1" s="1"/>
  <c r="F2311" i="1"/>
  <c r="E2312" i="1"/>
  <c r="T2312" i="1" s="1"/>
  <c r="F2312" i="1"/>
  <c r="E2313" i="1"/>
  <c r="T2313" i="1" s="1"/>
  <c r="F2313" i="1"/>
  <c r="E2314" i="1"/>
  <c r="T2314" i="1" s="1"/>
  <c r="F2314" i="1"/>
  <c r="E2315" i="1"/>
  <c r="T2315" i="1" s="1"/>
  <c r="F2315" i="1"/>
  <c r="E2316" i="1"/>
  <c r="T2316" i="1" s="1"/>
  <c r="F2316" i="1"/>
  <c r="E2317" i="1"/>
  <c r="T2317" i="1" s="1"/>
  <c r="F2317" i="1"/>
  <c r="E2318" i="1"/>
  <c r="T2318" i="1" s="1"/>
  <c r="F2318" i="1"/>
  <c r="E2319" i="1"/>
  <c r="T2319" i="1" s="1"/>
  <c r="F2319" i="1"/>
  <c r="E2320" i="1"/>
  <c r="T2320" i="1" s="1"/>
  <c r="F2320" i="1"/>
  <c r="E2321" i="1"/>
  <c r="T2321" i="1" s="1"/>
  <c r="F2321" i="1"/>
  <c r="E2322" i="1"/>
  <c r="T2322" i="1" s="1"/>
  <c r="F2322" i="1"/>
  <c r="E2323" i="1"/>
  <c r="T2323" i="1" s="1"/>
  <c r="F2323" i="1"/>
  <c r="E2324" i="1"/>
  <c r="T2324" i="1" s="1"/>
  <c r="F2324" i="1"/>
  <c r="E2325" i="1"/>
  <c r="T2325" i="1" s="1"/>
  <c r="F2325" i="1"/>
  <c r="E2326" i="1"/>
  <c r="T2326" i="1" s="1"/>
  <c r="F2326" i="1"/>
  <c r="E2327" i="1"/>
  <c r="T2327" i="1" s="1"/>
  <c r="F2327" i="1"/>
  <c r="E2328" i="1"/>
  <c r="T2328" i="1" s="1"/>
  <c r="F2328" i="1"/>
  <c r="E2329" i="1"/>
  <c r="T2329" i="1" s="1"/>
  <c r="F2329" i="1"/>
  <c r="E2330" i="1"/>
  <c r="T2330" i="1" s="1"/>
  <c r="F2330" i="1"/>
  <c r="E2331" i="1"/>
  <c r="T2331" i="1" s="1"/>
  <c r="F2331" i="1"/>
  <c r="E2332" i="1"/>
  <c r="T2332" i="1" s="1"/>
  <c r="F2332" i="1"/>
  <c r="E2333" i="1"/>
  <c r="T2333" i="1" s="1"/>
  <c r="F2333" i="1"/>
  <c r="E2334" i="1"/>
  <c r="T2334" i="1" s="1"/>
  <c r="F2334" i="1"/>
  <c r="E2335" i="1"/>
  <c r="T2335" i="1" s="1"/>
  <c r="F2335" i="1"/>
  <c r="E2336" i="1"/>
  <c r="T2336" i="1" s="1"/>
  <c r="F2336" i="1"/>
  <c r="E2337" i="1"/>
  <c r="T2337" i="1" s="1"/>
  <c r="F2337" i="1"/>
  <c r="E2338" i="1"/>
  <c r="T2338" i="1" s="1"/>
  <c r="F2338" i="1"/>
  <c r="E2339" i="1"/>
  <c r="T2339" i="1" s="1"/>
  <c r="F2339" i="1"/>
  <c r="E2340" i="1"/>
  <c r="T2340" i="1" s="1"/>
  <c r="F2340" i="1"/>
  <c r="E2341" i="1"/>
  <c r="T2341" i="1" s="1"/>
  <c r="F2341" i="1"/>
  <c r="E2342" i="1"/>
  <c r="T2342" i="1" s="1"/>
  <c r="F2342" i="1"/>
  <c r="E2343" i="1"/>
  <c r="T2343" i="1" s="1"/>
  <c r="F2343" i="1"/>
  <c r="E2344" i="1"/>
  <c r="T2344" i="1" s="1"/>
  <c r="F2344" i="1"/>
  <c r="E2345" i="1"/>
  <c r="T2345" i="1" s="1"/>
  <c r="F2345" i="1"/>
  <c r="E2346" i="1"/>
  <c r="T2346" i="1" s="1"/>
  <c r="F2346" i="1"/>
  <c r="E2347" i="1"/>
  <c r="T2347" i="1" s="1"/>
  <c r="F2347" i="1"/>
  <c r="E2348" i="1"/>
  <c r="T2348" i="1" s="1"/>
  <c r="F2348" i="1"/>
  <c r="E2349" i="1"/>
  <c r="T2349" i="1" s="1"/>
  <c r="F2349" i="1"/>
  <c r="E2350" i="1"/>
  <c r="T2350" i="1" s="1"/>
  <c r="F2350" i="1"/>
  <c r="E2351" i="1"/>
  <c r="T2351" i="1" s="1"/>
  <c r="F2351" i="1"/>
  <c r="E2352" i="1"/>
  <c r="T2352" i="1" s="1"/>
  <c r="F2352" i="1"/>
  <c r="E2353" i="1"/>
  <c r="T2353" i="1" s="1"/>
  <c r="F2353" i="1"/>
  <c r="E2354" i="1"/>
  <c r="T2354" i="1" s="1"/>
  <c r="F2354" i="1"/>
  <c r="E2355" i="1"/>
  <c r="T2355" i="1" s="1"/>
  <c r="F2355" i="1"/>
  <c r="E2356" i="1"/>
  <c r="T2356" i="1" s="1"/>
  <c r="F2356" i="1"/>
  <c r="E2357" i="1"/>
  <c r="T2357" i="1" s="1"/>
  <c r="F2357" i="1"/>
  <c r="E2358" i="1"/>
  <c r="T2358" i="1" s="1"/>
  <c r="F2358" i="1"/>
  <c r="E2359" i="1"/>
  <c r="T2359" i="1" s="1"/>
  <c r="F2359" i="1"/>
  <c r="E2360" i="1"/>
  <c r="T2360" i="1" s="1"/>
  <c r="F2360" i="1"/>
  <c r="E2361" i="1"/>
  <c r="T2361" i="1" s="1"/>
  <c r="F2361" i="1"/>
  <c r="E2362" i="1"/>
  <c r="T2362" i="1" s="1"/>
  <c r="F2362" i="1"/>
  <c r="E2363" i="1"/>
  <c r="T2363" i="1" s="1"/>
  <c r="F2363" i="1"/>
  <c r="E2364" i="1"/>
  <c r="T2364" i="1" s="1"/>
  <c r="F2364" i="1"/>
  <c r="E2365" i="1"/>
  <c r="T2365" i="1" s="1"/>
  <c r="F2365" i="1"/>
  <c r="E2366" i="1"/>
  <c r="T2366" i="1" s="1"/>
  <c r="F2366" i="1"/>
  <c r="E2367" i="1"/>
  <c r="T2367" i="1" s="1"/>
  <c r="F2367" i="1"/>
  <c r="E2368" i="1"/>
  <c r="T2368" i="1" s="1"/>
  <c r="F2368" i="1"/>
  <c r="E2369" i="1"/>
  <c r="T2369" i="1" s="1"/>
  <c r="F2369" i="1"/>
  <c r="E2370" i="1"/>
  <c r="T2370" i="1" s="1"/>
  <c r="F2370" i="1"/>
  <c r="E2371" i="1"/>
  <c r="T2371" i="1" s="1"/>
  <c r="F2371" i="1"/>
  <c r="E2372" i="1"/>
  <c r="T2372" i="1" s="1"/>
  <c r="F2372" i="1"/>
  <c r="E2373" i="1"/>
  <c r="T2373" i="1" s="1"/>
  <c r="F2373" i="1"/>
  <c r="E2374" i="1"/>
  <c r="T2374" i="1" s="1"/>
  <c r="F2374" i="1"/>
  <c r="E2375" i="1"/>
  <c r="T2375" i="1" s="1"/>
  <c r="F2375" i="1"/>
  <c r="E2376" i="1"/>
  <c r="T2376" i="1" s="1"/>
  <c r="F2376" i="1"/>
  <c r="E2377" i="1"/>
  <c r="T2377" i="1" s="1"/>
  <c r="F2377" i="1"/>
  <c r="E2378" i="1"/>
  <c r="T2378" i="1" s="1"/>
  <c r="F2378" i="1"/>
  <c r="E2379" i="1"/>
  <c r="T2379" i="1" s="1"/>
  <c r="F2379" i="1"/>
  <c r="E2380" i="1"/>
  <c r="T2380" i="1" s="1"/>
  <c r="F2380" i="1"/>
  <c r="E2381" i="1"/>
  <c r="T2381" i="1" s="1"/>
  <c r="F2381" i="1"/>
  <c r="E2382" i="1"/>
  <c r="T2382" i="1" s="1"/>
  <c r="F2382" i="1"/>
  <c r="E2383" i="1"/>
  <c r="T2383" i="1" s="1"/>
  <c r="F2383" i="1"/>
  <c r="E2384" i="1"/>
  <c r="T2384" i="1" s="1"/>
  <c r="F2384" i="1"/>
  <c r="E2385" i="1"/>
  <c r="T2385" i="1" s="1"/>
  <c r="F2385" i="1"/>
  <c r="E2386" i="1"/>
  <c r="T2386" i="1" s="1"/>
  <c r="F2386" i="1"/>
  <c r="E2387" i="1"/>
  <c r="T2387" i="1" s="1"/>
  <c r="F2387" i="1"/>
  <c r="E2388" i="1"/>
  <c r="T2388" i="1" s="1"/>
  <c r="F2388" i="1"/>
  <c r="E2389" i="1"/>
  <c r="T2389" i="1" s="1"/>
  <c r="F2389" i="1"/>
  <c r="E2390" i="1"/>
  <c r="T2390" i="1" s="1"/>
  <c r="F2390" i="1"/>
  <c r="E2391" i="1"/>
  <c r="T2391" i="1" s="1"/>
  <c r="F2391" i="1"/>
  <c r="E2392" i="1"/>
  <c r="T2392" i="1" s="1"/>
  <c r="F2392" i="1"/>
  <c r="E2393" i="1"/>
  <c r="T2393" i="1" s="1"/>
  <c r="F2393" i="1"/>
  <c r="E2394" i="1"/>
  <c r="T2394" i="1" s="1"/>
  <c r="F2394" i="1"/>
  <c r="E2395" i="1"/>
  <c r="T2395" i="1" s="1"/>
  <c r="F2395" i="1"/>
  <c r="E2396" i="1"/>
  <c r="T2396" i="1" s="1"/>
  <c r="F2396" i="1"/>
  <c r="E2397" i="1"/>
  <c r="T2397" i="1" s="1"/>
  <c r="F2397" i="1"/>
  <c r="E2398" i="1"/>
  <c r="T2398" i="1" s="1"/>
  <c r="F2398" i="1"/>
  <c r="E2399" i="1"/>
  <c r="T2399" i="1" s="1"/>
  <c r="F2399" i="1"/>
  <c r="E2400" i="1"/>
  <c r="T2400" i="1" s="1"/>
  <c r="F2400" i="1"/>
  <c r="E2401" i="1"/>
  <c r="T2401" i="1" s="1"/>
  <c r="F2401" i="1"/>
  <c r="E2402" i="1"/>
  <c r="T2402" i="1" s="1"/>
  <c r="F2402" i="1"/>
  <c r="E2403" i="1"/>
  <c r="T2403" i="1" s="1"/>
  <c r="F2403" i="1"/>
  <c r="E2404" i="1"/>
  <c r="T2404" i="1" s="1"/>
  <c r="F2404" i="1"/>
  <c r="E2405" i="1"/>
  <c r="T2405" i="1" s="1"/>
  <c r="F2405" i="1"/>
  <c r="E2406" i="1"/>
  <c r="T2406" i="1" s="1"/>
  <c r="F2406" i="1"/>
  <c r="E2407" i="1"/>
  <c r="T2407" i="1" s="1"/>
  <c r="F2407" i="1"/>
  <c r="E2408" i="1"/>
  <c r="T2408" i="1" s="1"/>
  <c r="F2408" i="1"/>
  <c r="E2409" i="1"/>
  <c r="T2409" i="1" s="1"/>
  <c r="F2409" i="1"/>
  <c r="E2410" i="1"/>
  <c r="T2410" i="1" s="1"/>
  <c r="F2410" i="1"/>
  <c r="E2411" i="1"/>
  <c r="T2411" i="1" s="1"/>
  <c r="F2411" i="1"/>
  <c r="E2412" i="1"/>
  <c r="T2412" i="1" s="1"/>
  <c r="F2412" i="1"/>
  <c r="E2413" i="1"/>
  <c r="T2413" i="1" s="1"/>
  <c r="F2413" i="1"/>
  <c r="E2414" i="1"/>
  <c r="T2414" i="1" s="1"/>
  <c r="F2414" i="1"/>
  <c r="E2415" i="1"/>
  <c r="T2415" i="1" s="1"/>
  <c r="F2415" i="1"/>
  <c r="E2416" i="1"/>
  <c r="T2416" i="1" s="1"/>
  <c r="F2416" i="1"/>
  <c r="E2417" i="1"/>
  <c r="T2417" i="1" s="1"/>
  <c r="F2417" i="1"/>
  <c r="E2418" i="1"/>
  <c r="T2418" i="1" s="1"/>
  <c r="F2418" i="1"/>
  <c r="E2419" i="1"/>
  <c r="T2419" i="1" s="1"/>
  <c r="F2419" i="1"/>
  <c r="E2420" i="1"/>
  <c r="T2420" i="1" s="1"/>
  <c r="F2420" i="1"/>
  <c r="E2421" i="1"/>
  <c r="T2421" i="1" s="1"/>
  <c r="F2421" i="1"/>
  <c r="E2422" i="1"/>
  <c r="T2422" i="1" s="1"/>
  <c r="F2422" i="1"/>
  <c r="E2423" i="1"/>
  <c r="T2423" i="1" s="1"/>
  <c r="F2423" i="1"/>
  <c r="E2424" i="1"/>
  <c r="T2424" i="1" s="1"/>
  <c r="F2424" i="1"/>
  <c r="E2425" i="1"/>
  <c r="T2425" i="1" s="1"/>
  <c r="F2425" i="1"/>
  <c r="E2426" i="1"/>
  <c r="T2426" i="1" s="1"/>
  <c r="F2426" i="1"/>
  <c r="E2427" i="1"/>
  <c r="T2427" i="1" s="1"/>
  <c r="F2427" i="1"/>
  <c r="E2428" i="1"/>
  <c r="T2428" i="1" s="1"/>
  <c r="F2428" i="1"/>
  <c r="E2429" i="1"/>
  <c r="T2429" i="1" s="1"/>
  <c r="F2429" i="1"/>
  <c r="E2430" i="1"/>
  <c r="T2430" i="1" s="1"/>
  <c r="F2430" i="1"/>
  <c r="E2431" i="1"/>
  <c r="T2431" i="1" s="1"/>
  <c r="F2431" i="1"/>
  <c r="E2432" i="1"/>
  <c r="T2432" i="1" s="1"/>
  <c r="F2432" i="1"/>
  <c r="E2433" i="1"/>
  <c r="T2433" i="1" s="1"/>
  <c r="F2433" i="1"/>
  <c r="E2434" i="1"/>
  <c r="T2434" i="1" s="1"/>
  <c r="F2434" i="1"/>
  <c r="E2435" i="1"/>
  <c r="T2435" i="1" s="1"/>
  <c r="F2435" i="1"/>
  <c r="E2436" i="1"/>
  <c r="T2436" i="1" s="1"/>
  <c r="F2436" i="1"/>
  <c r="E2437" i="1"/>
  <c r="T2437" i="1" s="1"/>
  <c r="F2437" i="1"/>
  <c r="E2438" i="1"/>
  <c r="T2438" i="1" s="1"/>
  <c r="F2438" i="1"/>
  <c r="E2439" i="1"/>
  <c r="T2439" i="1" s="1"/>
  <c r="F2439" i="1"/>
  <c r="E2440" i="1"/>
  <c r="T2440" i="1" s="1"/>
  <c r="F2440" i="1"/>
  <c r="E2441" i="1"/>
  <c r="T2441" i="1" s="1"/>
  <c r="F2441" i="1"/>
  <c r="E2442" i="1"/>
  <c r="T2442" i="1" s="1"/>
  <c r="F2442" i="1"/>
  <c r="E2443" i="1"/>
  <c r="T2443" i="1" s="1"/>
  <c r="F2443" i="1"/>
  <c r="E2444" i="1"/>
  <c r="T2444" i="1" s="1"/>
  <c r="F2444" i="1"/>
  <c r="E2445" i="1"/>
  <c r="T2445" i="1" s="1"/>
  <c r="F2445" i="1"/>
  <c r="E2446" i="1"/>
  <c r="T2446" i="1" s="1"/>
  <c r="F2446" i="1"/>
  <c r="E2447" i="1"/>
  <c r="T2447" i="1" s="1"/>
  <c r="F2447" i="1"/>
  <c r="E2448" i="1"/>
  <c r="T2448" i="1" s="1"/>
  <c r="F2448" i="1"/>
  <c r="E2449" i="1"/>
  <c r="T2449" i="1" s="1"/>
  <c r="F2449" i="1"/>
  <c r="E2450" i="1"/>
  <c r="T2450" i="1" s="1"/>
  <c r="F2450" i="1"/>
  <c r="E2451" i="1"/>
  <c r="T2451" i="1" s="1"/>
  <c r="F2451" i="1"/>
  <c r="E2452" i="1"/>
  <c r="T2452" i="1" s="1"/>
  <c r="F2452" i="1"/>
  <c r="E2453" i="1"/>
  <c r="T2453" i="1" s="1"/>
  <c r="F2453" i="1"/>
  <c r="E2454" i="1"/>
  <c r="T2454" i="1" s="1"/>
  <c r="F2454" i="1"/>
  <c r="E2455" i="1"/>
  <c r="T2455" i="1" s="1"/>
  <c r="F2455" i="1"/>
  <c r="E2456" i="1"/>
  <c r="T2456" i="1" s="1"/>
  <c r="F2456" i="1"/>
  <c r="E2457" i="1"/>
  <c r="T2457" i="1" s="1"/>
  <c r="F2457" i="1"/>
  <c r="E2458" i="1"/>
  <c r="T2458" i="1" s="1"/>
  <c r="F2458" i="1"/>
  <c r="E2459" i="1"/>
  <c r="T2459" i="1" s="1"/>
  <c r="F2459" i="1"/>
  <c r="E2460" i="1"/>
  <c r="T2460" i="1" s="1"/>
  <c r="F2460" i="1"/>
  <c r="E2461" i="1"/>
  <c r="T2461" i="1" s="1"/>
  <c r="F2461" i="1"/>
  <c r="E2462" i="1"/>
  <c r="T2462" i="1" s="1"/>
  <c r="F2462" i="1"/>
  <c r="E2463" i="1"/>
  <c r="T2463" i="1" s="1"/>
  <c r="F2463" i="1"/>
  <c r="E2464" i="1"/>
  <c r="T2464" i="1" s="1"/>
  <c r="F2464" i="1"/>
  <c r="E2465" i="1"/>
  <c r="T2465" i="1" s="1"/>
  <c r="F2465" i="1"/>
  <c r="E2466" i="1"/>
  <c r="T2466" i="1" s="1"/>
  <c r="F2466" i="1"/>
  <c r="E2467" i="1"/>
  <c r="T2467" i="1" s="1"/>
  <c r="F2467" i="1"/>
  <c r="E2468" i="1"/>
  <c r="T2468" i="1" s="1"/>
  <c r="F2468" i="1"/>
  <c r="E2469" i="1"/>
  <c r="T2469" i="1" s="1"/>
  <c r="F2469" i="1"/>
  <c r="E2470" i="1"/>
  <c r="T2470" i="1" s="1"/>
  <c r="F2470" i="1"/>
  <c r="E2471" i="1"/>
  <c r="T2471" i="1" s="1"/>
  <c r="F2471" i="1"/>
  <c r="E2472" i="1"/>
  <c r="T2472" i="1" s="1"/>
  <c r="F2472" i="1"/>
  <c r="E2473" i="1"/>
  <c r="T2473" i="1" s="1"/>
  <c r="F2473" i="1"/>
  <c r="E2474" i="1"/>
  <c r="T2474" i="1" s="1"/>
  <c r="F2474" i="1"/>
  <c r="E2475" i="1"/>
  <c r="T2475" i="1" s="1"/>
  <c r="F2475" i="1"/>
  <c r="E2476" i="1"/>
  <c r="T2476" i="1" s="1"/>
  <c r="F2476" i="1"/>
  <c r="E2477" i="1"/>
  <c r="T2477" i="1" s="1"/>
  <c r="F2477" i="1"/>
  <c r="E2478" i="1"/>
  <c r="T2478" i="1" s="1"/>
  <c r="F2478" i="1"/>
  <c r="E2479" i="1"/>
  <c r="T2479" i="1" s="1"/>
  <c r="F2479" i="1"/>
  <c r="E2480" i="1"/>
  <c r="T2480" i="1" s="1"/>
  <c r="F2480" i="1"/>
  <c r="E2481" i="1"/>
  <c r="T2481" i="1" s="1"/>
  <c r="F2481" i="1"/>
  <c r="E2482" i="1"/>
  <c r="T2482" i="1" s="1"/>
  <c r="F2482" i="1"/>
  <c r="E2483" i="1"/>
  <c r="T2483" i="1" s="1"/>
  <c r="F2483" i="1"/>
  <c r="E2484" i="1"/>
  <c r="T2484" i="1" s="1"/>
  <c r="F2484" i="1"/>
  <c r="E2485" i="1"/>
  <c r="T2485" i="1" s="1"/>
  <c r="F2485" i="1"/>
  <c r="E2486" i="1"/>
  <c r="T2486" i="1" s="1"/>
  <c r="F2486" i="1"/>
  <c r="E2487" i="1"/>
  <c r="T2487" i="1" s="1"/>
  <c r="F2487" i="1"/>
  <c r="E2488" i="1"/>
  <c r="T2488" i="1" s="1"/>
  <c r="F2488" i="1"/>
  <c r="E2489" i="1"/>
  <c r="T2489" i="1" s="1"/>
  <c r="F2489" i="1"/>
  <c r="E2490" i="1"/>
  <c r="T2490" i="1" s="1"/>
  <c r="F2490" i="1"/>
  <c r="E2491" i="1"/>
  <c r="T2491" i="1" s="1"/>
  <c r="F2491" i="1"/>
  <c r="E2492" i="1"/>
  <c r="T2492" i="1" s="1"/>
  <c r="F2492" i="1"/>
  <c r="E2493" i="1"/>
  <c r="T2493" i="1" s="1"/>
  <c r="F2493" i="1"/>
  <c r="E2494" i="1"/>
  <c r="T2494" i="1" s="1"/>
  <c r="F2494" i="1"/>
  <c r="E2495" i="1"/>
  <c r="T2495" i="1" s="1"/>
  <c r="F2495" i="1"/>
  <c r="E2496" i="1"/>
  <c r="T2496" i="1" s="1"/>
  <c r="F2496" i="1"/>
  <c r="E2497" i="1"/>
  <c r="T2497" i="1" s="1"/>
  <c r="F2497" i="1"/>
  <c r="E2498" i="1"/>
  <c r="T2498" i="1" s="1"/>
  <c r="F2498" i="1"/>
  <c r="E2499" i="1"/>
  <c r="T2499" i="1" s="1"/>
  <c r="F2499" i="1"/>
  <c r="E2500" i="1"/>
  <c r="T2500" i="1" s="1"/>
  <c r="F2500" i="1"/>
  <c r="E2501" i="1"/>
  <c r="T2501" i="1" s="1"/>
  <c r="F2501" i="1"/>
  <c r="E2502" i="1"/>
  <c r="T2502" i="1" s="1"/>
  <c r="F2502" i="1"/>
  <c r="E2503" i="1"/>
  <c r="T2503" i="1" s="1"/>
  <c r="F2503" i="1"/>
  <c r="E2504" i="1"/>
  <c r="T2504" i="1" s="1"/>
  <c r="F2504" i="1"/>
  <c r="E2505" i="1"/>
  <c r="T2505" i="1" s="1"/>
  <c r="F2505" i="1"/>
  <c r="E2506" i="1"/>
  <c r="T2506" i="1" s="1"/>
  <c r="F2506" i="1"/>
  <c r="E2507" i="1"/>
  <c r="T2507" i="1" s="1"/>
  <c r="F2507" i="1"/>
  <c r="E2508" i="1"/>
  <c r="T2508" i="1" s="1"/>
  <c r="F2508" i="1"/>
  <c r="E2509" i="1"/>
  <c r="T2509" i="1" s="1"/>
  <c r="F2509" i="1"/>
  <c r="E2510" i="1"/>
  <c r="T2510" i="1" s="1"/>
  <c r="F2510" i="1"/>
  <c r="E2511" i="1"/>
  <c r="T2511" i="1" s="1"/>
  <c r="F2511" i="1"/>
  <c r="E2512" i="1"/>
  <c r="T2512" i="1" s="1"/>
  <c r="F2512" i="1"/>
  <c r="E2513" i="1"/>
  <c r="T2513" i="1" s="1"/>
  <c r="F25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<sst xmlns="http://schemas.openxmlformats.org/spreadsheetml/2006/main" count="50284" uniqueCount="4460">
  <si>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</si>
  <si>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</si>
  <si>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</si>
  <si>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</si>
  <si>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</si>
  <si>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</si>
  <si>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</si>
  <si>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</si>
  <si>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</si>
  <si>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</si>
  <si>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</si>
  <si>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</si>
  <si>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</si>
  <si>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</si>
  <si>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</si>
  <si>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</si>
  <si>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</si>
  <si>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</si>
  <si>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</si>
  <si>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</si>
  <si>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</si>
  <si>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</si>
  <si>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</si>
  <si>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</si>
  <si>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</si>
  <si>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</si>
  <si>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</si>
  <si>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</si>
  <si>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</si>
  <si>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</si>
  <si>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</si>
  <si>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</si>
  <si>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</si>
  <si>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</si>
  <si>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</si>
  <si>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</si>
  <si>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</si>
  <si>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</si>
  <si>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</si>
  <si>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</si>
  <si>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</si>
  <si>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</si>
  <si>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</si>
  <si>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</si>
  <si>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</si>
  <si>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</si>
  <si>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</si>
  <si>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</si>
  <si>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</si>
  <si>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</si>
  <si>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</si>
  <si>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</si>
  <si>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</si>
  <si>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</si>
  <si>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</si>
  <si>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</si>
  <si>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</si>
  <si>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</si>
  <si>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</si>
  <si>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</si>
  <si>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</si>
  <si>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</si>
  <si>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</si>
  <si>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</si>
  <si>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</si>
  <si>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</si>
  <si>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</si>
  <si>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</si>
  <si>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</si>
  <si>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</si>
  <si>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</si>
  <si>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</si>
  <si>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</si>
  <si>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</si>
  <si>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</si>
  <si>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</si>
  <si>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</si>
  <si>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</si>
  <si>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</si>
  <si>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</si>
  <si>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</si>
  <si>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</si>
  <si>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</si>
  <si>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</si>
  <si>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</si>
  <si>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</si>
  <si>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</si>
  <si>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</si>
  <si>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</si>
  <si>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</si>
  <si>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</si>
  <si>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</si>
  <si>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</si>
  <si>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</si>
  <si>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</si>
  <si>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</si>
  <si>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</si>
  <si>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</si>
  <si>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</si>
  <si>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</si>
  <si>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</si>
  <si>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</si>
  <si>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</si>
  <si>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</si>
  <si>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</si>
  <si>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</si>
  <si>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</si>
  <si>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</si>
  <si>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</si>
  <si>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</si>
  <si>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</si>
  <si>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</si>
  <si>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</si>
  <si>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</si>
  <si>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</si>
  <si>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</si>
  <si>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</si>
  <si>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</si>
  <si>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</si>
  <si>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</si>
  <si>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</si>
  <si>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</si>
  <si>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</si>
  <si>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</si>
  <si>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</si>
  <si>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</si>
  <si>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</si>
  <si>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</si>
  <si>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</si>
  <si>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</si>
  <si>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</si>
  <si>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</si>
  <si>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</si>
  <si>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</si>
  <si>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</si>
  <si>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</si>
  <si>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</si>
  <si>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</si>
  <si>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</si>
  <si>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</si>
  <si>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</si>
  <si>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</si>
  <si>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</si>
  <si>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</si>
  <si>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</si>
  <si>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</si>
  <si>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</si>
  <si>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</si>
  <si>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</si>
  <si>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</si>
  <si>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</si>
  <si>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</si>
  <si>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D000142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</si>
  <si>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</si>
  <si>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</si>
  <si>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</si>
  <si>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</si>
  <si>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</si>
  <si>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</si>
  <si>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</si>
  <si>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</si>
  <si>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</si>
  <si>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</si>
  <si>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</si>
  <si>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</si>
  <si>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</si>
  <si>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</si>
  <si>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</si>
  <si>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</si>
  <si>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</si>
  <si>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</si>
  <si>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</si>
  <si>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</si>
  <si>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</si>
  <si>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</si>
  <si>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</si>
  <si>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</si>
  <si>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</si>
  <si>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</si>
  <si>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</si>
  <si>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</si>
  <si>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</si>
  <si>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</si>
  <si>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</si>
  <si>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</si>
  <si>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</si>
  <si>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</si>
  <si>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</si>
  <si>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</si>
  <si>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</si>
  <si>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</si>
  <si>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</si>
  <si>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</si>
  <si>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</si>
  <si>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</si>
  <si>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</si>
  <si>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</si>
  <si>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</si>
  <si>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</si>
  <si>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</si>
  <si>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</si>
  <si>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</si>
  <si>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</si>
  <si>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</si>
  <si>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</si>
  <si>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</si>
  <si>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</si>
  <si>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</si>
  <si>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</si>
  <si>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</si>
  <si>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</si>
  <si>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</si>
  <si>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</si>
  <si>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</si>
  <si>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</si>
  <si>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</si>
  <si>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</si>
  <si>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</si>
  <si>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</si>
  <si>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</si>
  <si>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</si>
  <si>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</si>
  <si>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</si>
  <si>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</si>
  <si>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</si>
  <si>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</si>
  <si>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</si>
  <si>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</si>
  <si>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</si>
  <si>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</si>
  <si>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</si>
  <si>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</si>
  <si>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</si>
  <si>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</si>
  <si>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</si>
  <si>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</si>
  <si>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</si>
  <si>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</si>
  <si>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</si>
  <si>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</si>
  <si>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</si>
  <si>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</si>
  <si>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</si>
  <si>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</si>
  <si>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</si>
  <si>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</si>
  <si>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</si>
  <si>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</si>
  <si>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</si>
  <si>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</si>
  <si>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</si>
  <si>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</si>
  <si>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</si>
  <si>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</si>
  <si>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</si>
  <si>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</si>
  <si>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</si>
  <si>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</si>
  <si>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</si>
  <si>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</si>
  <si>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</si>
  <si>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</si>
  <si>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</si>
  <si>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TX000046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</si>
  <si>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</si>
  <si>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</si>
  <si>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</si>
  <si>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</si>
  <si>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</si>
  <si>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</si>
  <si>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</si>
  <si>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</si>
  <si>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</si>
  <si>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</si>
  <si>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</si>
  <si>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</si>
  <si>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</si>
  <si>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</si>
  <si>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</si>
  <si>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</si>
  <si>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</si>
  <si>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</si>
  <si>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</si>
  <si>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</si>
  <si>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</si>
  <si>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</si>
  <si>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D000304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</si>
  <si>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</si>
  <si>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</si>
  <si>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</si>
  <si>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</si>
  <si>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</si>
  <si>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</si>
  <si>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</si>
  <si>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</si>
  <si>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</si>
  <si>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</si>
  <si>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</si>
  <si>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</si>
  <si>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</si>
  <si>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</si>
  <si>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</si>
  <si>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</si>
  <si>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</si>
  <si>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</si>
  <si>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</si>
  <si>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</si>
  <si>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</si>
  <si>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</si>
  <si>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</si>
  <si>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</si>
  <si>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</si>
  <si>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</si>
  <si>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</si>
  <si>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</si>
  <si>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</si>
  <si>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</si>
  <si>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</si>
  <si>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</si>
  <si>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</si>
  <si>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</si>
  <si>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</si>
  <si>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</si>
  <si>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</si>
  <si>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</si>
  <si>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</si>
  <si>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</si>
  <si>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</si>
  <si>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</si>
  <si>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</si>
  <si>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</si>
  <si>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</si>
  <si>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</si>
  <si>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</si>
  <si>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</si>
  <si>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</si>
  <si>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</si>
  <si>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</si>
  <si>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</si>
  <si>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</si>
  <si>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</si>
  <si>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</si>
  <si>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</si>
  <si>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</si>
  <si>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</si>
  <si>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</si>
  <si>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</si>
  <si>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</si>
  <si>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</si>
  <si>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</si>
  <si>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</si>
  <si>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</si>
  <si>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</si>
  <si>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</si>
  <si>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</si>
  <si>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</si>
  <si>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</si>
  <si>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</si>
  <si>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</si>
  <si>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</si>
  <si>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</si>
  <si>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</si>
  <si>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</si>
  <si>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</si>
  <si>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</si>
  <si>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</si>
  <si>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</si>
  <si>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</si>
  <si>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</si>
  <si>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</si>
  <si>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</si>
  <si>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</si>
  <si>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</si>
  <si>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</si>
  <si>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</si>
  <si>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</si>
  <si>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</si>
  <si>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</si>
  <si>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</si>
  <si>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</si>
  <si>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</si>
  <si>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</si>
  <si>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</si>
  <si>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</si>
  <si>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</si>
  <si>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</si>
  <si>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</si>
  <si>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</si>
  <si>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</si>
  <si>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</si>
  <si>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</si>
  <si>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</si>
  <si>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</si>
  <si>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</si>
  <si>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</si>
  <si>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</si>
  <si>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</si>
  <si>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</si>
  <si>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</si>
  <si>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</si>
  <si>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</si>
  <si>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</si>
  <si>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</si>
  <si>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</si>
  <si>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</si>
  <si>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</si>
  <si>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</si>
  <si>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</si>
  <si>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</si>
  <si>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</si>
  <si>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</si>
  <si>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</si>
  <si>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</si>
  <si>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</si>
  <si>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</si>
  <si>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</si>
  <si>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</si>
  <si>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</si>
  <si>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</si>
  <si>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</si>
  <si>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</si>
  <si>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</si>
  <si>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</si>
  <si>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</si>
  <si>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</si>
  <si>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</si>
  <si>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</si>
  <si>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</si>
  <si>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</si>
  <si>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</si>
  <si>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</si>
  <si>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</si>
  <si>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</si>
  <si>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</si>
  <si>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</si>
  <si>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</si>
  <si>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</si>
  <si>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</si>
  <si>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</si>
  <si>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</si>
  <si>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</si>
  <si>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</si>
  <si>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</si>
  <si>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</si>
  <si>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</si>
  <si>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</si>
  <si>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</si>
  <si>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</si>
  <si>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</si>
  <si>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</si>
  <si>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</si>
  <si>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</si>
  <si>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</si>
  <si>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</si>
  <si>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</si>
  <si>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</si>
  <si>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</si>
  <si>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</si>
  <si>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</si>
  <si>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</si>
  <si>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</si>
  <si>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</si>
  <si>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</si>
  <si>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</si>
  <si>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</si>
  <si>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</si>
  <si>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</si>
  <si>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</si>
  <si>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</si>
  <si>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</si>
  <si>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</si>
  <si>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</si>
  <si>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</si>
  <si>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</si>
  <si>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</si>
  <si>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</si>
  <si>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</si>
  <si>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</si>
  <si>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</si>
  <si>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</si>
  <si>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</si>
  <si>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</si>
  <si>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</si>
  <si>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</si>
  <si>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</si>
  <si>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</si>
  <si>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</si>
  <si>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</si>
  <si>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</si>
  <si>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</si>
  <si>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</si>
  <si>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</si>
  <si>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</si>
  <si>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</si>
  <si>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</si>
  <si>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</si>
  <si>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</si>
  <si>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</si>
  <si>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</si>
  <si>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</si>
  <si>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</si>
  <si>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</si>
  <si>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</si>
  <si>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</si>
  <si>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TX000102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</si>
  <si>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</si>
  <si>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</si>
  <si>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</si>
  <si>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</si>
  <si>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</si>
  <si>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</si>
  <si>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</si>
  <si>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</si>
  <si>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</si>
  <si>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</si>
  <si>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</si>
  <si>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</si>
  <si>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</si>
  <si>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</si>
  <si>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</si>
  <si>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</si>
  <si>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</si>
  <si>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</si>
  <si>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</si>
  <si>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</si>
  <si>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</si>
  <si>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</si>
  <si>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</si>
  <si>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</si>
  <si>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</si>
  <si>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</si>
  <si>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</si>
  <si>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</si>
  <si>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</si>
  <si>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</si>
  <si>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</si>
  <si>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</si>
  <si>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</si>
  <si>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</si>
  <si>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TX000111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</si>
  <si>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</si>
  <si>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</si>
  <si>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</si>
  <si>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</si>
  <si>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</si>
  <si>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</si>
  <si>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</si>
  <si>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</si>
  <si>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</si>
  <si>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</si>
  <si>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</si>
  <si>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</si>
  <si>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</si>
  <si>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</si>
  <si>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</si>
  <si>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</si>
  <si>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</si>
  <si>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</si>
  <si>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</si>
  <si>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</si>
  <si>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</si>
  <si>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</si>
  <si>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</si>
  <si>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</si>
  <si>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</si>
  <si>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</si>
  <si>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</si>
  <si>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</si>
  <si>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</si>
  <si>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</si>
  <si>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</si>
  <si>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</si>
  <si>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</si>
  <si>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</si>
  <si>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</si>
  <si>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</si>
  <si>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</si>
  <si>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</si>
  <si>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</si>
  <si>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</si>
  <si>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</si>
  <si>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</si>
  <si>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</si>
  <si>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</si>
  <si>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</si>
  <si>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</si>
  <si>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</si>
  <si>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</si>
  <si>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</si>
  <si>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</si>
  <si>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</si>
  <si>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</si>
  <si>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</si>
  <si>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</si>
  <si>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</si>
  <si>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</si>
  <si>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</si>
  <si>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</si>
  <si>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</si>
  <si>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</si>
  <si>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</si>
  <si>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</si>
  <si>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</si>
  <si>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</si>
  <si>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</si>
  <si>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</si>
  <si>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</si>
  <si>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</si>
  <si>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</si>
  <si>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</si>
  <si>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</si>
  <si>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</si>
  <si>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</si>
  <si>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</si>
  <si>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</si>
  <si>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</si>
  <si>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</si>
  <si>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</si>
  <si>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</si>
  <si>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</si>
  <si>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</si>
  <si>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</si>
  <si>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</si>
  <si>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</si>
  <si>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</si>
  <si>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</si>
  <si>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</si>
  <si>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</si>
  <si>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</si>
  <si>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</si>
  <si>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</si>
  <si>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</si>
  <si>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</si>
  <si>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</si>
  <si>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</si>
  <si>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</si>
  <si>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</si>
  <si>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</si>
  <si>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</si>
  <si>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</si>
  <si>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</si>
  <si>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</si>
  <si>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</si>
  <si>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</si>
  <si>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</si>
  <si>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</si>
  <si>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</si>
  <si>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</si>
  <si>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</si>
  <si>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</si>
  <si>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</si>
  <si>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</si>
  <si>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</si>
  <si>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</si>
  <si>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</si>
  <si>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</si>
  <si>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</si>
  <si>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</si>
  <si>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</si>
  <si>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</si>
  <si>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</si>
  <si>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</si>
  <si>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</si>
  <si>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</si>
  <si>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</si>
  <si>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</si>
  <si>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</si>
  <si>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</si>
  <si>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</si>
  <si>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</si>
  <si>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</si>
  <si>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</si>
  <si>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</si>
  <si>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</si>
  <si>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</si>
  <si>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</si>
  <si>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</si>
  <si>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</si>
  <si>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</si>
  <si>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</si>
  <si>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</si>
  <si>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</si>
  <si>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</si>
  <si>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</si>
  <si>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</si>
  <si>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</si>
  <si>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</si>
  <si>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</si>
  <si>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</si>
  <si>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</si>
  <si>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</si>
  <si>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</si>
  <si>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</si>
  <si>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</si>
  <si>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</si>
  <si>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</si>
  <si>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</si>
  <si>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</si>
  <si>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</si>
  <si>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</si>
  <si>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</si>
  <si>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</si>
  <si>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</si>
  <si>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</si>
  <si>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</si>
  <si>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</si>
  <si>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</si>
  <si>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</si>
  <si>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</si>
  <si>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</si>
  <si>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</si>
  <si>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</si>
  <si>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</si>
  <si>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</si>
  <si>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</si>
  <si>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</si>
  <si>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</si>
  <si>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</si>
  <si>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</si>
  <si>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</si>
  <si>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</si>
  <si>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</si>
  <si>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</si>
  <si>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</si>
  <si>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</si>
  <si>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</si>
  <si>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</si>
  <si>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</si>
  <si>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</si>
  <si>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</si>
  <si>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</si>
  <si>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</si>
  <si>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</si>
  <si>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</si>
  <si>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</si>
  <si>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</si>
  <si>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</si>
  <si>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</si>
  <si>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</si>
  <si>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</si>
  <si>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</si>
  <si>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</si>
  <si>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</si>
  <si>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</si>
  <si>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</si>
  <si>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</si>
  <si>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</si>
  <si>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</si>
  <si>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</si>
  <si>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</si>
  <si>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</si>
  <si>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</si>
  <si>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</si>
  <si>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</si>
  <si>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</si>
  <si>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</si>
  <si>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</si>
  <si>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</si>
  <si>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</si>
  <si>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</si>
  <si>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</si>
  <si>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</si>
  <si>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</si>
  <si>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</si>
  <si>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</si>
  <si>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</si>
  <si>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</si>
  <si>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</si>
  <si>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</si>
  <si>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</si>
  <si>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</si>
  <si>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</si>
  <si>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</si>
  <si>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</si>
  <si>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</si>
  <si>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</si>
  <si>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</si>
  <si>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</si>
  <si>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</si>
  <si>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</si>
  <si>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</si>
  <si>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</si>
  <si>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D000213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</si>
  <si>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</si>
  <si>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</si>
  <si>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</si>
  <si>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</si>
  <si>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</si>
  <si>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</si>
  <si>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</si>
  <si>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</si>
  <si>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</si>
  <si>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</si>
  <si>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</si>
  <si>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</si>
  <si>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</si>
  <si>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</si>
  <si>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</si>
  <si>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</si>
  <si>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</si>
  <si>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</si>
  <si>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</si>
  <si>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</si>
  <si>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</si>
  <si>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</si>
  <si>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</si>
  <si>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</si>
  <si>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</si>
  <si>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</si>
  <si>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</si>
  <si>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</si>
  <si>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</si>
  <si>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</si>
  <si>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</si>
  <si>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</si>
  <si>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</si>
  <si>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</si>
  <si>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</si>
  <si>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</si>
  <si>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</si>
  <si>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</si>
  <si>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</si>
  <si>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</si>
  <si>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</si>
  <si>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</si>
  <si>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</si>
  <si>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</si>
  <si>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</si>
  <si>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</si>
  <si>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</si>
  <si>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</si>
  <si>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</si>
  <si>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</si>
  <si>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</si>
  <si>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</si>
  <si>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</si>
  <si>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</si>
  <si>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</si>
  <si>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</si>
  <si>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</si>
  <si>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</si>
  <si>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</si>
  <si>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</si>
  <si>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</si>
  <si>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198.24.183.157</t>
  </si>
  <si>
    <t>TX000196</t>
  </si>
  <si>
    <t>D000215</t>
  </si>
  <si>
    <t>TX000197</t>
  </si>
  <si>
    <t>AC00426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</si>
  <si>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</si>
  <si>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</si>
  <si>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</si>
  <si>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</si>
  <si>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</si>
  <si>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</si>
  <si>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</si>
  <si>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</si>
  <si>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</si>
  <si>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</si>
  <si>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</si>
  <si>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</si>
  <si>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</si>
  <si>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</si>
  <si>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</si>
  <si>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</si>
  <si>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</si>
  <si>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</si>
  <si>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</si>
  <si>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</si>
  <si>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</si>
  <si>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</si>
  <si>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</si>
  <si>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AC00452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</si>
  <si>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</si>
  <si>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</si>
  <si>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</si>
  <si>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</si>
  <si>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</si>
  <si>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</si>
  <si>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</si>
  <si>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</si>
  <si>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</si>
  <si>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</si>
  <si>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</si>
  <si>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</si>
  <si>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</si>
  <si>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</si>
  <si>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</si>
  <si>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</si>
  <si>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</si>
  <si>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</si>
  <si>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</si>
  <si>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</si>
  <si>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</si>
  <si>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</si>
  <si>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</si>
  <si>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</si>
  <si>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</si>
  <si>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</si>
  <si>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</si>
  <si>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</si>
  <si>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</si>
  <si>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</si>
  <si>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</si>
  <si>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</si>
  <si>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</si>
  <si>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</si>
  <si>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</si>
  <si>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</si>
  <si>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</si>
  <si>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</si>
  <si>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</si>
  <si>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</si>
  <si>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</si>
  <si>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</si>
  <si>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</si>
  <si>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</si>
  <si>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</si>
  <si>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</si>
  <si>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</si>
  <si>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</si>
  <si>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</si>
  <si>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</si>
  <si>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</si>
  <si>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</si>
  <si>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</si>
  <si>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</si>
  <si>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</si>
  <si>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</si>
  <si>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</si>
  <si>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</si>
  <si>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</si>
  <si>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</si>
  <si>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</si>
  <si>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</si>
  <si>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</si>
  <si>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</si>
  <si>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</si>
  <si>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</si>
  <si>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</si>
  <si>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</si>
  <si>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</si>
  <si>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</si>
  <si>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</si>
  <si>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</si>
  <si>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</si>
  <si>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</si>
  <si>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</si>
  <si>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</si>
  <si>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</si>
  <si>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</si>
  <si>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</si>
  <si>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</si>
  <si>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</si>
  <si>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</si>
  <si>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D000652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</si>
  <si>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</si>
  <si>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</si>
  <si>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</si>
  <si>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</si>
  <si>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</si>
  <si>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</si>
  <si>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</si>
  <si>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</si>
  <si>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</si>
  <si>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</si>
  <si>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D000485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</si>
  <si>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</si>
  <si>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</si>
  <si>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</si>
  <si>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</si>
  <si>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</si>
  <si>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</si>
  <si>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</si>
  <si>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</si>
  <si>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</si>
  <si>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</si>
  <si>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</si>
  <si>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</si>
  <si>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</si>
  <si>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</si>
  <si>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</si>
  <si>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</si>
  <si>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</si>
  <si>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</si>
  <si>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</si>
  <si>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</si>
  <si>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</si>
  <si>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</si>
  <si>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</si>
  <si>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</si>
  <si>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</si>
  <si>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</si>
  <si>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</si>
  <si>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</si>
  <si>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</si>
  <si>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</si>
  <si>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</si>
  <si>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</si>
  <si>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</si>
  <si>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</si>
  <si>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</si>
  <si>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</si>
  <si>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</si>
  <si>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</si>
  <si>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</si>
  <si>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</si>
  <si>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</si>
  <si>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</si>
  <si>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</si>
  <si>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</si>
  <si>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</si>
  <si>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</si>
  <si>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</si>
  <si>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</si>
  <si>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</si>
  <si>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</si>
  <si>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</si>
  <si>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</si>
  <si>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</si>
  <si>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</si>
  <si>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</si>
  <si>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</si>
  <si>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</si>
  <si>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</si>
  <si>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</si>
  <si>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</si>
  <si>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</si>
  <si>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</si>
  <si>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</si>
  <si>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</si>
  <si>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</si>
  <si>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</si>
  <si>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</si>
  <si>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</si>
  <si>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</si>
  <si>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</si>
  <si>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</si>
  <si>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</si>
  <si>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</si>
  <si>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</si>
  <si>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</si>
  <si>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</si>
  <si>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</si>
  <si>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</si>
  <si>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</si>
  <si>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</si>
  <si>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</si>
  <si>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</si>
  <si>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</si>
  <si>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</si>
  <si>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</si>
  <si>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</si>
  <si>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</si>
  <si>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</si>
  <si>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</si>
  <si>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</si>
  <si>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</si>
  <si>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</si>
  <si>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</si>
  <si>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</si>
  <si>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</si>
  <si>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</si>
  <si>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D000611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</si>
  <si>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</si>
  <si>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</si>
  <si>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</si>
  <si>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</si>
  <si>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</si>
  <si>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</si>
  <si>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</si>
  <si>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</si>
  <si>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</si>
  <si>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</si>
  <si>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</si>
  <si>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</si>
  <si>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</si>
  <si>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</si>
  <si>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</si>
  <si>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</si>
  <si>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</si>
  <si>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</si>
  <si>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</si>
  <si>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</si>
  <si>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</si>
  <si>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</si>
  <si>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</si>
  <si>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</si>
  <si>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</si>
  <si>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</si>
  <si>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</si>
  <si>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</si>
  <si>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</si>
  <si>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</si>
  <si>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</si>
  <si>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</si>
  <si>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</si>
  <si>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</si>
  <si>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</si>
  <si>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</si>
  <si>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</si>
  <si>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</si>
  <si>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</si>
  <si>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</si>
  <si>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</si>
  <si>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</si>
  <si>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</si>
  <si>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</si>
  <si>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</si>
  <si>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</si>
  <si>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</si>
  <si>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</si>
  <si>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</si>
  <si>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</si>
  <si>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</si>
  <si>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</si>
  <si>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</si>
  <si>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</si>
  <si>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</si>
  <si>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</si>
  <si>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</si>
  <si>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</si>
  <si>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</si>
  <si>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</si>
  <si>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</si>
  <si>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</si>
  <si>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</si>
  <si>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</si>
  <si>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</si>
  <si>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</si>
  <si>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</si>
  <si>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</si>
  <si>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</si>
  <si>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</si>
  <si>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</si>
  <si>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</si>
  <si>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</si>
  <si>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</si>
  <si>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</si>
  <si>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</si>
  <si>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</si>
  <si>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</si>
  <si>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</si>
  <si>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</si>
  <si>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</si>
  <si>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</si>
  <si>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</si>
  <si>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</si>
  <si>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</si>
  <si>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</si>
  <si>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</si>
  <si>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</si>
  <si>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</si>
  <si>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</si>
  <si>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</si>
  <si>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</si>
  <si>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</si>
  <si>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</si>
  <si>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</si>
  <si>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</si>
  <si>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</si>
  <si>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TX000299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</si>
  <si>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</si>
  <si>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</si>
  <si>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</si>
  <si>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</si>
  <si>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</si>
  <si>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</si>
  <si>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</si>
  <si>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</si>
  <si>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</si>
  <si>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</si>
  <si>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</si>
  <si>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</si>
  <si>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</si>
  <si>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</si>
  <si>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</si>
  <si>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</si>
  <si>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</si>
  <si>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</si>
  <si>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</si>
  <si>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</si>
  <si>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</si>
  <si>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</si>
  <si>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</si>
  <si>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</si>
  <si>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</si>
  <si>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</si>
  <si>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</si>
  <si>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</si>
  <si>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</si>
  <si>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</si>
  <si>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</si>
  <si>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AC00067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</si>
  <si>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</si>
  <si>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</si>
  <si>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</si>
  <si>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</si>
  <si>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</si>
  <si>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</si>
  <si>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</si>
  <si>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</si>
  <si>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</si>
  <si>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</si>
  <si>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</si>
  <si>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</si>
  <si>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</si>
  <si>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</si>
  <si>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</si>
  <si>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</si>
  <si>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</si>
  <si>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</si>
  <si>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</si>
  <si>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</si>
  <si>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</si>
  <si>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</si>
  <si>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</si>
  <si>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</si>
  <si>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</si>
  <si>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</si>
  <si>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</si>
  <si>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</si>
  <si>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</si>
  <si>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</si>
  <si>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</si>
  <si>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</si>
  <si>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</si>
  <si>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</si>
  <si>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</si>
  <si>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</si>
  <si>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</si>
  <si>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</si>
  <si>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</si>
  <si>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</si>
  <si>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</si>
  <si>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</si>
  <si>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</si>
  <si>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</si>
  <si>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</si>
  <si>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</si>
  <si>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</si>
  <si>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</si>
  <si>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</si>
  <si>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</si>
  <si>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</si>
  <si>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D000224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</si>
  <si>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</si>
  <si>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</si>
  <si>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</si>
  <si>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</si>
  <si>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</si>
  <si>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</si>
  <si>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</si>
  <si>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</si>
  <si>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</si>
  <si>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</si>
  <si>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</si>
  <si>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</si>
  <si>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</si>
  <si>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</si>
  <si>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</si>
  <si>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</si>
  <si>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</si>
  <si>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</si>
  <si>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</si>
  <si>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</si>
  <si>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</si>
  <si>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</si>
  <si>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</si>
  <si>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</si>
  <si>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</si>
  <si>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</si>
  <si>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</si>
  <si>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</si>
  <si>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</si>
  <si>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</si>
  <si>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</si>
  <si>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</si>
  <si>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</si>
  <si>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</si>
  <si>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</si>
  <si>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</si>
  <si>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</si>
  <si>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</si>
  <si>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</si>
  <si>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</si>
  <si>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</si>
  <si>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</si>
  <si>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</si>
  <si>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</si>
  <si>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</si>
  <si>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</si>
  <si>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</si>
  <si>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</si>
  <si>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</si>
  <si>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</si>
  <si>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</si>
  <si>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</si>
  <si>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</si>
  <si>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</si>
  <si>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</si>
  <si>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</si>
  <si>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</si>
  <si>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</si>
  <si>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</si>
  <si>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</si>
  <si>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</si>
  <si>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</si>
  <si>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</si>
  <si>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</si>
  <si>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</si>
  <si>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</si>
  <si>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</si>
  <si>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</si>
  <si>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</si>
  <si>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</si>
  <si>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</si>
  <si>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</si>
  <si>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</si>
  <si>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</si>
  <si>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</si>
  <si>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</si>
  <si>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</si>
  <si>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</si>
  <si>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</si>
  <si>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</si>
  <si>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</si>
  <si>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AC00261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</si>
  <si>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</si>
  <si>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</si>
  <si>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</si>
  <si>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</si>
  <si>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</si>
  <si>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</si>
  <si>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</si>
  <si>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</si>
  <si>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</si>
  <si>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</si>
  <si>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</si>
  <si>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</si>
  <si>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</si>
  <si>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</si>
  <si>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</si>
  <si>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</si>
  <si>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</si>
  <si>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</si>
  <si>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</si>
  <si>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</si>
  <si>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</si>
  <si>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</si>
  <si>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</si>
  <si>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</si>
  <si>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</si>
  <si>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</si>
  <si>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</si>
  <si>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</si>
  <si>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</si>
  <si>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</si>
  <si>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</si>
  <si>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</si>
  <si>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</si>
  <si>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</si>
  <si>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</si>
  <si>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</si>
  <si>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</si>
  <si>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</si>
  <si>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</si>
  <si>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</si>
  <si>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</si>
  <si>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</si>
  <si>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</si>
  <si>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</si>
  <si>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</si>
  <si>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</si>
  <si>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</si>
  <si>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</si>
  <si>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</si>
  <si>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</si>
  <si>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</si>
  <si>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</si>
  <si>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</si>
  <si>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</si>
  <si>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</si>
  <si>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</si>
  <si>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</si>
  <si>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</si>
  <si>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</si>
  <si>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</si>
  <si>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</si>
  <si>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</si>
  <si>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</si>
  <si>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</si>
  <si>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</si>
  <si>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</si>
  <si>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</si>
  <si>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</si>
  <si>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</si>
  <si>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</si>
  <si>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</si>
  <si>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</si>
  <si>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</si>
  <si>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</si>
  <si>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</si>
  <si>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</si>
  <si>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</si>
  <si>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</si>
  <si>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</si>
  <si>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</si>
  <si>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</si>
  <si>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</si>
  <si>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</si>
  <si>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</si>
  <si>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</si>
  <si>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</si>
  <si>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</si>
  <si>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</si>
  <si>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</si>
  <si>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</si>
  <si>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</si>
  <si>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</si>
  <si>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</si>
  <si>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</si>
  <si>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</si>
  <si>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</si>
  <si>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</si>
  <si>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</si>
  <si>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</si>
  <si>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</si>
  <si>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</si>
  <si>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</si>
  <si>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</si>
  <si>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</si>
  <si>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</si>
  <si>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</si>
  <si>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</si>
  <si>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</si>
  <si>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</si>
  <si>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</si>
  <si>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</si>
  <si>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</si>
  <si>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</si>
  <si>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</si>
  <si>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</si>
  <si>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</si>
  <si>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</si>
  <si>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</si>
  <si>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</si>
  <si>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</si>
  <si>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</si>
  <si>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</si>
  <si>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</si>
  <si>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</si>
  <si>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</si>
  <si>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</si>
  <si>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</si>
  <si>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</si>
  <si>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</si>
  <si>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</si>
  <si>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</si>
  <si>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</si>
  <si>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</si>
  <si>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D000110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</si>
  <si>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</si>
  <si>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</si>
  <si>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</si>
  <si>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</si>
  <si>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</si>
  <si>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</si>
  <si>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</si>
  <si>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</si>
  <si>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</si>
  <si>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</si>
  <si>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</si>
  <si>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</si>
  <si>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</si>
  <si>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</si>
  <si>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</si>
  <si>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</si>
  <si>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</si>
  <si>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</si>
  <si>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</si>
  <si>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</si>
  <si>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</si>
  <si>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</si>
  <si>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</si>
  <si>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</si>
  <si>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</si>
  <si>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</si>
  <si>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</si>
  <si>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</si>
  <si>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</si>
  <si>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</si>
  <si>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</si>
  <si>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</si>
  <si>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</si>
  <si>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</si>
  <si>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</si>
  <si>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</si>
  <si>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</si>
  <si>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</si>
  <si>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</si>
  <si>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</si>
  <si>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</si>
  <si>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</si>
  <si>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</si>
  <si>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</si>
  <si>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</si>
  <si>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</si>
  <si>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</si>
  <si>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</si>
  <si>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</si>
  <si>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</si>
  <si>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</si>
  <si>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</si>
  <si>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</si>
  <si>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</si>
  <si>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</si>
  <si>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</si>
  <si>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</si>
  <si>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</si>
  <si>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</si>
  <si>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</si>
  <si>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</si>
  <si>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</si>
  <si>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</si>
  <si>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</si>
  <si>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</si>
  <si>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</si>
  <si>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</si>
  <si>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</si>
  <si>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</si>
  <si>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</si>
  <si>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D000102</t>
  </si>
  <si>
    <t>TX000437</t>
  </si>
  <si>
    <t>203.197.235.35</t>
  </si>
  <si>
    <t>TX000438</t>
  </si>
  <si>
    <t>AC00080</t>
  </si>
  <si>
    <t>D000124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</si>
  <si>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</si>
  <si>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</si>
  <si>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</si>
  <si>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</si>
  <si>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</si>
  <si>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</si>
  <si>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</si>
  <si>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</si>
  <si>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</si>
  <si>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</si>
  <si>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</si>
  <si>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</si>
  <si>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</si>
  <si>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</si>
  <si>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</si>
  <si>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</si>
  <si>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</si>
  <si>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</si>
  <si>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</si>
  <si>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</si>
  <si>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</si>
  <si>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</si>
  <si>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</si>
  <si>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</si>
  <si>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</si>
  <si>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</si>
  <si>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</si>
  <si>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</si>
  <si>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</si>
  <si>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</si>
  <si>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</si>
  <si>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</si>
  <si>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</si>
  <si>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</si>
  <si>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</si>
  <si>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</si>
  <si>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</si>
  <si>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</si>
  <si>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</si>
  <si>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</si>
  <si>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</si>
  <si>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</si>
  <si>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</si>
  <si>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</si>
  <si>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</si>
  <si>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</si>
  <si>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</si>
  <si>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</si>
  <si>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</si>
  <si>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</si>
  <si>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</si>
  <si>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</si>
  <si>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</si>
  <si>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</si>
  <si>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</si>
  <si>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</si>
  <si>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</si>
  <si>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</si>
  <si>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</si>
  <si>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</si>
  <si>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</si>
  <si>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</si>
  <si>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</si>
  <si>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</si>
  <si>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</si>
  <si>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</si>
  <si>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</si>
  <si>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</si>
  <si>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</si>
  <si>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</si>
  <si>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</si>
  <si>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</si>
  <si>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</si>
  <si>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</si>
  <si>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</si>
  <si>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</si>
  <si>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</si>
  <si>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</si>
  <si>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</si>
  <si>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</si>
  <si>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</si>
  <si>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</si>
  <si>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</si>
  <si>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</si>
  <si>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</si>
  <si>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</si>
  <si>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</si>
  <si>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</si>
  <si>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</si>
  <si>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</si>
  <si>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</si>
  <si>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</si>
  <si>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</si>
  <si>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</si>
  <si>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</si>
  <si>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</si>
  <si>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</si>
  <si>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</si>
  <si>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</si>
  <si>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</si>
  <si>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</si>
  <si>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</si>
  <si>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</si>
  <si>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</si>
  <si>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</si>
  <si>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</si>
  <si>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</si>
  <si>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</si>
  <si>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</si>
  <si>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</si>
  <si>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</si>
  <si>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</si>
  <si>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</si>
  <si>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</si>
  <si>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</si>
  <si>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</si>
  <si>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</si>
  <si>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</si>
  <si>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</si>
  <si>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</si>
  <si>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</si>
  <si>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</si>
  <si>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</si>
  <si>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</si>
  <si>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</si>
  <si>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</si>
  <si>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</si>
  <si>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</si>
  <si>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</si>
  <si>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</si>
  <si>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</si>
  <si>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</si>
  <si>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</si>
  <si>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</si>
  <si>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</si>
  <si>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</si>
  <si>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</si>
  <si>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</si>
  <si>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</si>
  <si>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</si>
  <si>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</si>
  <si>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</si>
  <si>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</si>
  <si>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</si>
  <si>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</si>
  <si>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</si>
  <si>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</si>
  <si>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</si>
  <si>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</si>
  <si>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</si>
  <si>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</si>
  <si>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</si>
  <si>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</si>
  <si>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</si>
  <si>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</si>
  <si>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</si>
  <si>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</si>
  <si>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</si>
  <si>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</si>
  <si>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</si>
  <si>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</si>
  <si>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</si>
  <si>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</si>
  <si>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</si>
  <si>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</si>
  <si>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</si>
  <si>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</si>
  <si>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</si>
  <si>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</si>
  <si>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</si>
  <si>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</si>
  <si>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</si>
  <si>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</si>
  <si>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</si>
  <si>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</si>
  <si>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</si>
  <si>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</si>
  <si>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</si>
  <si>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</si>
  <si>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</si>
  <si>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</si>
  <si>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</si>
  <si>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</si>
  <si>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</si>
  <si>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</si>
  <si>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</si>
  <si>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</si>
  <si>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</si>
  <si>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</si>
  <si>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</si>
  <si>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</si>
  <si>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</si>
  <si>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</si>
  <si>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</si>
  <si>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</si>
  <si>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</si>
  <si>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</si>
  <si>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</si>
  <si>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</si>
  <si>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</si>
  <si>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</si>
  <si>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</si>
  <si>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</si>
  <si>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</si>
  <si>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</si>
  <si>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</si>
  <si>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</si>
  <si>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</si>
  <si>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</si>
  <si>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</si>
  <si>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</si>
  <si>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</si>
  <si>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</si>
  <si>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</si>
  <si>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</si>
  <si>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</si>
  <si>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</si>
  <si>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</si>
  <si>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</si>
  <si>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</si>
  <si>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</si>
  <si>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</si>
  <si>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</si>
  <si>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</si>
  <si>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</si>
  <si>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</si>
  <si>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</si>
  <si>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</si>
  <si>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</si>
  <si>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</si>
  <si>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</si>
  <si>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</si>
  <si>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</si>
  <si>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</si>
  <si>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</si>
  <si>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</si>
  <si>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</si>
  <si>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</si>
  <si>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</si>
  <si>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</si>
  <si>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</si>
  <si>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</si>
  <si>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</si>
  <si>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</si>
  <si>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</si>
  <si>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</si>
  <si>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</si>
  <si>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</si>
  <si>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</si>
  <si>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</si>
  <si>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</si>
  <si>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</si>
  <si>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</si>
  <si>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</si>
  <si>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</si>
  <si>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</si>
  <si>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</si>
  <si>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</si>
  <si>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</si>
  <si>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</si>
  <si>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</si>
  <si>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</si>
  <si>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</si>
  <si>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</si>
  <si>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</si>
  <si>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</si>
  <si>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</si>
  <si>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</si>
  <si>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</si>
  <si>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</si>
  <si>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</si>
  <si>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</si>
  <si>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</si>
  <si>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</si>
  <si>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</si>
  <si>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</si>
  <si>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</si>
  <si>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</si>
  <si>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</si>
  <si>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</si>
  <si>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</si>
  <si>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</si>
  <si>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</si>
  <si>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</si>
  <si>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</si>
  <si>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</si>
  <si>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</si>
  <si>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</si>
  <si>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</si>
  <si>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</si>
  <si>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</si>
  <si>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</si>
  <si>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</si>
  <si>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</si>
  <si>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</si>
  <si>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</si>
  <si>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</si>
  <si>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</si>
  <si>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</si>
  <si>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</si>
  <si>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</si>
  <si>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</si>
  <si>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</si>
  <si>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</si>
  <si>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</si>
  <si>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</si>
  <si>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</si>
  <si>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</si>
  <si>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</si>
  <si>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</si>
  <si>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</si>
  <si>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</si>
  <si>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</si>
  <si>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</si>
  <si>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</si>
  <si>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</si>
  <si>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</si>
  <si>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</si>
  <si>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</si>
  <si>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</si>
  <si>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</si>
  <si>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</si>
  <si>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</si>
  <si>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</si>
  <si>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</si>
  <si>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</si>
  <si>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</si>
  <si>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</si>
  <si>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</si>
  <si>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</si>
  <si>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</si>
  <si>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</si>
  <si>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</si>
  <si>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</si>
  <si>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</si>
  <si>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</si>
  <si>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</si>
  <si>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</si>
  <si>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</si>
  <si>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</si>
  <si>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</si>
  <si>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</si>
  <si>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</si>
  <si>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</si>
  <si>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</si>
  <si>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</si>
  <si>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</si>
  <si>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</si>
  <si>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</si>
  <si>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</si>
  <si>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</si>
  <si>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</si>
  <si>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</si>
  <si>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</si>
  <si>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</si>
  <si>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</si>
  <si>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</si>
  <si>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</si>
  <si>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</si>
  <si>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</si>
  <si>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</si>
  <si>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</si>
  <si>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</si>
  <si>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</si>
  <si>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</si>
  <si>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</si>
  <si>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</si>
  <si>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</si>
  <si>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</si>
  <si>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</si>
  <si>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</si>
  <si>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</si>
  <si>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</si>
  <si>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</si>
  <si>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</si>
  <si>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</si>
  <si>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</si>
  <si>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</si>
  <si>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</si>
  <si>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</si>
  <si>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</si>
  <si>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</si>
  <si>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</si>
  <si>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</si>
  <si>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</si>
  <si>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</si>
  <si>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</si>
  <si>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</si>
  <si>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</si>
  <si>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</si>
  <si>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</si>
  <si>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</si>
  <si>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</si>
  <si>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</si>
  <si>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</si>
  <si>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</si>
  <si>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</si>
  <si>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</si>
  <si>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</si>
  <si>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</si>
  <si>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</si>
  <si>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</si>
  <si>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</si>
  <si>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</si>
  <si>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</si>
  <si>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</si>
  <si>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</si>
  <si>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</si>
  <si>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</si>
  <si>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</si>
  <si>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</si>
  <si>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</si>
  <si>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</si>
  <si>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</si>
  <si>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</si>
  <si>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</si>
  <si>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</si>
  <si>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</si>
  <si>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</si>
  <si>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</si>
  <si>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</si>
  <si>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</si>
  <si>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</si>
  <si>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</si>
  <si>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</si>
  <si>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</si>
  <si>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</si>
  <si>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</si>
  <si>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</si>
  <si>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</si>
  <si>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</si>
  <si>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</si>
  <si>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</si>
  <si>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</si>
  <si>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</si>
  <si>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</si>
  <si>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</si>
  <si>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</si>
  <si>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</si>
  <si>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</si>
  <si>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</si>
  <si>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</si>
  <si>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</si>
  <si>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</si>
  <si>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</si>
  <si>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</si>
  <si>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</si>
  <si>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</si>
  <si>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</si>
  <si>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</si>
  <si>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</si>
  <si>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</si>
  <si>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</si>
  <si>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</si>
  <si>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</si>
  <si>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</si>
  <si>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</si>
  <si>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</si>
  <si>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</si>
  <si>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</si>
  <si>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</si>
  <si>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</si>
  <si>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</si>
  <si>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</si>
  <si>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</si>
  <si>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</si>
  <si>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</si>
  <si>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</si>
  <si>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</si>
  <si>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</si>
  <si>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</si>
  <si>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</si>
  <si>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</si>
  <si>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</si>
  <si>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</si>
  <si>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</si>
  <si>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</si>
  <si>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</si>
  <si>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TX000654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</si>
  <si>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</si>
  <si>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</si>
  <si>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</si>
  <si>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</si>
  <si>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</si>
  <si>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</si>
  <si>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</si>
  <si>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</si>
  <si>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</si>
  <si>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</si>
  <si>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</si>
  <si>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</si>
  <si>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</si>
  <si>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</si>
  <si>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</si>
  <si>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</si>
  <si>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</si>
  <si>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</si>
  <si>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</si>
  <si>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</si>
  <si>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</si>
  <si>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</si>
  <si>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</si>
  <si>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</si>
  <si>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</si>
  <si>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</si>
  <si>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</si>
  <si>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</si>
  <si>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</si>
  <si>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</si>
  <si>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</si>
  <si>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</si>
  <si>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</si>
  <si>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</si>
  <si>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</si>
  <si>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</si>
  <si>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</si>
  <si>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</si>
  <si>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</si>
  <si>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</si>
  <si>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</si>
  <si>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</si>
  <si>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</si>
  <si>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</si>
  <si>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</si>
  <si>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</si>
  <si>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</si>
  <si>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</si>
  <si>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</si>
  <si>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</si>
  <si>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</si>
  <si>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</si>
  <si>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</si>
  <si>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</si>
  <si>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</si>
  <si>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</si>
  <si>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</si>
  <si>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</si>
  <si>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</si>
  <si>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</si>
  <si>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</si>
  <si>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</si>
  <si>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</si>
  <si>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</si>
  <si>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</si>
  <si>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</si>
  <si>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</si>
  <si>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</si>
  <si>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</si>
  <si>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</si>
  <si>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</si>
  <si>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</si>
  <si>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</si>
  <si>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</si>
  <si>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</si>
  <si>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</si>
  <si>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</si>
  <si>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</si>
  <si>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</si>
  <si>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</si>
  <si>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</si>
  <si>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</si>
  <si>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</si>
  <si>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</si>
  <si>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</si>
  <si>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</si>
  <si>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</si>
  <si>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</si>
  <si>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</si>
  <si>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</si>
  <si>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</si>
  <si>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</si>
  <si>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</si>
  <si>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</si>
  <si>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</si>
  <si>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</si>
  <si>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</si>
  <si>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</si>
  <si>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</si>
  <si>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</si>
  <si>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</si>
  <si>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</si>
  <si>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</si>
  <si>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</si>
  <si>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</si>
  <si>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TX000708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</si>
  <si>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</si>
  <si>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</si>
  <si>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</si>
  <si>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</si>
  <si>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</si>
  <si>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</si>
  <si>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</si>
  <si>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</si>
  <si>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</si>
  <si>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</si>
  <si>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</si>
  <si>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</si>
  <si>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</si>
  <si>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</si>
  <si>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</si>
  <si>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</si>
  <si>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</si>
  <si>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</si>
  <si>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</si>
  <si>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</si>
  <si>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</si>
  <si>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</si>
  <si>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</si>
  <si>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</si>
  <si>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</si>
  <si>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</si>
  <si>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</si>
  <si>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</si>
  <si>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</si>
  <si>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</si>
  <si>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</si>
  <si>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</si>
  <si>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</si>
  <si>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</si>
  <si>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</si>
  <si>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</si>
  <si>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</si>
  <si>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</si>
  <si>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</si>
  <si>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</si>
  <si>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</si>
  <si>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</si>
  <si>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</si>
  <si>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</si>
  <si>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</si>
  <si>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</si>
  <si>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</si>
  <si>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</si>
  <si>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</si>
  <si>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</si>
  <si>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</si>
  <si>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</si>
  <si>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</si>
  <si>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</si>
  <si>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</si>
  <si>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</si>
  <si>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</si>
  <si>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</si>
  <si>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</si>
  <si>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</si>
  <si>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</si>
  <si>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</si>
  <si>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</si>
  <si>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</si>
  <si>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</si>
  <si>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</si>
  <si>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</si>
  <si>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</si>
  <si>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</si>
  <si>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</si>
  <si>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</si>
  <si>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</si>
  <si>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</si>
  <si>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</si>
  <si>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</si>
  <si>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</si>
  <si>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</si>
  <si>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</si>
  <si>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</si>
  <si>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</si>
  <si>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</si>
  <si>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</si>
  <si>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</si>
  <si>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</si>
  <si>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</si>
  <si>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</si>
  <si>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</si>
  <si>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</si>
  <si>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</si>
  <si>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</si>
  <si>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</si>
  <si>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</si>
  <si>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</si>
  <si>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</si>
  <si>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</si>
  <si>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</si>
  <si>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</si>
  <si>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</si>
  <si>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</si>
  <si>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</si>
  <si>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</si>
  <si>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</si>
  <si>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</si>
  <si>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</si>
  <si>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</si>
  <si>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</si>
  <si>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</si>
  <si>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</si>
  <si>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</si>
  <si>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</si>
  <si>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</si>
  <si>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</si>
  <si>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</si>
  <si>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</si>
  <si>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</si>
  <si>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</si>
  <si>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</si>
  <si>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</si>
  <si>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</si>
  <si>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</si>
  <si>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</si>
  <si>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</si>
  <si>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</si>
  <si>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</si>
  <si>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</si>
  <si>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</si>
  <si>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</si>
  <si>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</si>
  <si>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</si>
  <si>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</si>
  <si>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</si>
  <si>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</si>
  <si>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</si>
  <si>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</si>
  <si>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</si>
  <si>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</si>
  <si>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</si>
  <si>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</si>
  <si>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</si>
  <si>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</si>
  <si>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</si>
  <si>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</si>
  <si>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</si>
  <si>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</si>
  <si>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</si>
  <si>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</si>
  <si>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</si>
  <si>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</si>
  <si>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</si>
  <si>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</si>
  <si>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</si>
  <si>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</si>
  <si>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</si>
  <si>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</si>
  <si>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</si>
  <si>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</si>
  <si>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</si>
  <si>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</si>
  <si>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</si>
  <si>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</si>
  <si>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</si>
  <si>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</si>
  <si>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</si>
  <si>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</si>
  <si>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</si>
  <si>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</si>
  <si>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</si>
  <si>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</si>
  <si>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</si>
  <si>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</si>
  <si>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</si>
  <si>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</si>
  <si>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</si>
  <si>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</si>
  <si>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</si>
  <si>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</si>
  <si>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</si>
  <si>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</si>
  <si>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</si>
  <si>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</si>
  <si>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</si>
  <si>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</si>
  <si>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</si>
  <si>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</si>
  <si>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</si>
  <si>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</si>
  <si>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</si>
  <si>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</si>
  <si>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</si>
  <si>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D000515</t>
  </si>
  <si>
    <t>TX000819</t>
  </si>
  <si>
    <t>214.125.131.88</t>
  </si>
  <si>
    <t>TX000820</t>
  </si>
  <si>
    <t>113.137.153.101</t>
  </si>
  <si>
    <t>TX000821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</si>
  <si>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</si>
  <si>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</si>
  <si>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</si>
  <si>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</si>
  <si>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</si>
  <si>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</si>
  <si>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</si>
  <si>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</si>
  <si>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</si>
  <si>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</si>
  <si>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</si>
  <si>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</si>
  <si>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</si>
  <si>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</si>
  <si>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</si>
  <si>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</si>
  <si>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TX000830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</si>
  <si>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</si>
  <si>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</si>
  <si>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</si>
  <si>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</si>
  <si>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</si>
  <si>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</si>
  <si>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</si>
  <si>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</si>
  <si>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</si>
  <si>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</si>
  <si>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</si>
  <si>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</si>
  <si>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</si>
  <si>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</si>
  <si>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</si>
  <si>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</si>
  <si>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</si>
  <si>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</si>
  <si>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</si>
  <si>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</si>
  <si>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</si>
  <si>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</si>
  <si>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</si>
  <si>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</si>
  <si>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</si>
  <si>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</si>
  <si>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</si>
  <si>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</si>
  <si>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</si>
  <si>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</si>
  <si>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</si>
  <si>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</si>
  <si>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</si>
  <si>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</si>
  <si>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</si>
  <si>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</si>
  <si>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</si>
  <si>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</si>
  <si>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</si>
  <si>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</si>
  <si>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</si>
  <si>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</si>
  <si>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</si>
  <si>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</si>
  <si>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</si>
  <si>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</si>
  <si>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</si>
  <si>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</si>
  <si>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</si>
  <si>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</si>
  <si>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</si>
  <si>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</si>
  <si>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</si>
  <si>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</si>
  <si>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</si>
  <si>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</si>
  <si>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</si>
  <si>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</si>
  <si>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</si>
  <si>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</si>
  <si>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</si>
  <si>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</si>
  <si>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</si>
  <si>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</si>
  <si>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</si>
  <si>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</si>
  <si>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</si>
  <si>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</si>
  <si>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</si>
  <si>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</si>
  <si>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</si>
  <si>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</si>
  <si>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</si>
  <si>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</si>
  <si>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</si>
  <si>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</si>
  <si>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</si>
  <si>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</si>
  <si>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</si>
  <si>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</si>
  <si>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</si>
  <si>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</si>
  <si>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</si>
  <si>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</si>
  <si>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</si>
  <si>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</si>
  <si>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</si>
  <si>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</si>
  <si>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</si>
  <si>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</si>
  <si>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</si>
  <si>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</si>
  <si>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</si>
  <si>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</si>
  <si>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</si>
  <si>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</si>
  <si>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</si>
  <si>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</si>
  <si>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</si>
  <si>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</si>
  <si>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</si>
  <si>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</si>
  <si>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</si>
  <si>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</si>
  <si>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</si>
  <si>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</si>
  <si>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</si>
  <si>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</si>
  <si>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</si>
  <si>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</si>
  <si>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</si>
  <si>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</si>
  <si>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</si>
  <si>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</si>
  <si>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</si>
  <si>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</si>
  <si>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</si>
  <si>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</si>
  <si>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</si>
  <si>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</si>
  <si>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</si>
  <si>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</si>
  <si>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</si>
  <si>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</si>
  <si>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</si>
  <si>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</si>
  <si>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</si>
  <si>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</si>
  <si>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</si>
  <si>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</si>
  <si>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</si>
  <si>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</si>
  <si>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</si>
  <si>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</si>
  <si>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</si>
  <si>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</si>
  <si>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</si>
  <si>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</si>
  <si>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</si>
  <si>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</si>
  <si>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</si>
  <si>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</si>
  <si>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</si>
  <si>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</si>
  <si>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</si>
  <si>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</si>
  <si>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</si>
  <si>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</si>
  <si>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TX000923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</si>
  <si>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</si>
  <si>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</si>
  <si>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</si>
  <si>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</si>
  <si>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</si>
  <si>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</si>
  <si>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</si>
  <si>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</si>
  <si>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</si>
  <si>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</si>
  <si>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</si>
  <si>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</si>
  <si>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</si>
  <si>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</si>
  <si>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</si>
  <si>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</si>
  <si>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</si>
  <si>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</si>
  <si>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</si>
  <si>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</si>
  <si>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</si>
  <si>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</si>
  <si>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</si>
  <si>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</si>
  <si>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</si>
  <si>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</si>
  <si>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</si>
  <si>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</si>
  <si>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</si>
  <si>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</si>
  <si>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</si>
  <si>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</si>
  <si>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</si>
  <si>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</si>
  <si>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</si>
  <si>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</si>
  <si>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</si>
  <si>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</si>
  <si>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</si>
  <si>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</si>
  <si>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</si>
  <si>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</si>
  <si>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</si>
  <si>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</si>
  <si>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</si>
  <si>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</si>
  <si>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</si>
  <si>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</si>
  <si>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</si>
  <si>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</si>
  <si>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</si>
  <si>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</si>
  <si>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</si>
  <si>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</si>
  <si>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</si>
  <si>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</si>
  <si>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</si>
  <si>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</si>
  <si>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</si>
  <si>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</si>
  <si>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</si>
  <si>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</si>
  <si>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</si>
  <si>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</si>
  <si>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</si>
  <si>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</si>
  <si>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</si>
  <si>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</si>
  <si>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</si>
  <si>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</si>
  <si>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</si>
  <si>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</si>
  <si>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</si>
  <si>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</si>
  <si>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</si>
  <si>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</si>
  <si>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</si>
  <si>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</si>
  <si>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</si>
  <si>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</si>
  <si>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</si>
  <si>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</si>
  <si>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</si>
  <si>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</si>
  <si>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</si>
  <si>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</si>
  <si>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</si>
  <si>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</si>
  <si>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</si>
  <si>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</si>
  <si>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</si>
  <si>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</si>
  <si>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</si>
  <si>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</si>
  <si>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</si>
  <si>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</si>
  <si>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</si>
  <si>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</si>
  <si>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</si>
  <si>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</si>
  <si>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</si>
  <si>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</si>
  <si>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</si>
  <si>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</si>
  <si>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</si>
  <si>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</si>
  <si>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</si>
  <si>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</si>
  <si>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</si>
  <si>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</si>
  <si>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</si>
  <si>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</si>
  <si>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</si>
  <si>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</si>
  <si>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</si>
  <si>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</si>
  <si>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</si>
  <si>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</si>
  <si>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</si>
  <si>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</si>
  <si>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</si>
  <si>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</si>
  <si>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</si>
  <si>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</si>
  <si>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</si>
  <si>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</si>
  <si>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</si>
  <si>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</si>
  <si>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</si>
  <si>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</si>
  <si>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</si>
  <si>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</si>
  <si>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</si>
  <si>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</si>
  <si>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</si>
  <si>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</si>
  <si>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</si>
  <si>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</si>
  <si>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</si>
  <si>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</si>
  <si>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</si>
  <si>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</si>
  <si>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</si>
  <si>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189.183.50.147</t>
  </si>
  <si>
    <t>TX001015</t>
  </si>
  <si>
    <t>TX001016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</si>
  <si>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</si>
  <si>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</si>
  <si>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</si>
  <si>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</si>
  <si>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</si>
  <si>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</si>
  <si>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</si>
  <si>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</si>
  <si>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</si>
  <si>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</si>
  <si>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</si>
  <si>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</si>
  <si>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</si>
  <si>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</si>
  <si>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</si>
  <si>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</si>
  <si>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</si>
  <si>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</si>
  <si>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</si>
  <si>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</si>
  <si>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</si>
  <si>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</si>
  <si>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</si>
  <si>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</si>
  <si>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</si>
  <si>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</si>
  <si>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</si>
  <si>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</si>
  <si>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</si>
  <si>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</si>
  <si>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</si>
  <si>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</si>
  <si>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</si>
  <si>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</si>
  <si>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</si>
  <si>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</si>
  <si>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</si>
  <si>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</si>
  <si>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</si>
  <si>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</si>
  <si>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</si>
  <si>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</si>
  <si>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</si>
  <si>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</si>
  <si>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</si>
  <si>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D000552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</si>
  <si>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</si>
  <si>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</si>
  <si>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</si>
  <si>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</si>
  <si>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</si>
  <si>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</si>
  <si>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</si>
  <si>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</si>
  <si>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</si>
  <si>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</si>
  <si>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</si>
  <si>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</si>
  <si>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</si>
  <si>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</si>
  <si>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</si>
  <si>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</si>
  <si>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</si>
  <si>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</si>
  <si>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</si>
  <si>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</si>
  <si>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</si>
  <si>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</si>
  <si>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</si>
  <si>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</si>
  <si>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</si>
  <si>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</si>
  <si>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</si>
  <si>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</si>
  <si>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</si>
  <si>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</si>
  <si>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</si>
  <si>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</si>
  <si>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</si>
  <si>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</si>
  <si>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</si>
  <si>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</si>
  <si>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</si>
  <si>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</si>
  <si>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</si>
  <si>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</si>
  <si>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</si>
  <si>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</si>
  <si>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</si>
  <si>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</si>
  <si>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</si>
  <si>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</si>
  <si>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</si>
  <si>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</si>
  <si>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</si>
  <si>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</si>
  <si>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</si>
  <si>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</si>
  <si>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</si>
  <si>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</si>
  <si>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</si>
  <si>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</si>
  <si>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</si>
  <si>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</si>
  <si>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TX001082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</si>
  <si>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</si>
  <si>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</si>
  <si>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</si>
  <si>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</si>
  <si>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</si>
  <si>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</si>
  <si>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</si>
  <si>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</si>
  <si>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</si>
  <si>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</si>
  <si>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</si>
  <si>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</si>
  <si>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</si>
  <si>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</si>
  <si>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TX001094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</si>
  <si>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</si>
  <si>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</si>
  <si>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</si>
  <si>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</si>
  <si>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</si>
  <si>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</si>
  <si>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</si>
  <si>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</si>
  <si>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</si>
  <si>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</si>
  <si>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</si>
  <si>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</si>
  <si>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</si>
  <si>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</si>
  <si>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</si>
  <si>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</si>
  <si>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</si>
  <si>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</si>
  <si>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</si>
  <si>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</si>
  <si>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</si>
  <si>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</si>
  <si>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</si>
  <si>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</si>
  <si>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</si>
  <si>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</si>
  <si>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</si>
  <si>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</si>
  <si>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</si>
  <si>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</si>
  <si>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</si>
  <si>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</si>
  <si>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</si>
  <si>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</si>
  <si>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</si>
  <si>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</si>
  <si>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</si>
  <si>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</si>
  <si>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</si>
  <si>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</si>
  <si>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</si>
  <si>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</si>
  <si>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</si>
  <si>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</si>
  <si>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</si>
  <si>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</si>
  <si>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</si>
  <si>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</si>
  <si>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</si>
  <si>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</si>
  <si>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</si>
  <si>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</si>
  <si>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</si>
  <si>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</si>
  <si>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</si>
  <si>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</si>
  <si>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</si>
  <si>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</si>
  <si>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</si>
  <si>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</si>
  <si>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</si>
  <si>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</si>
  <si>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</si>
  <si>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</si>
  <si>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</si>
  <si>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</si>
  <si>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</si>
  <si>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</si>
  <si>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</si>
  <si>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</si>
  <si>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</si>
  <si>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</si>
  <si>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</si>
  <si>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</si>
  <si>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</si>
  <si>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</si>
  <si>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</si>
  <si>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</si>
  <si>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</si>
  <si>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</si>
  <si>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</si>
  <si>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</si>
  <si>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</si>
  <si>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</si>
  <si>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</si>
  <si>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</si>
  <si>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</si>
  <si>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</si>
  <si>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</si>
  <si>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</si>
  <si>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</si>
  <si>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</si>
  <si>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</si>
  <si>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</si>
  <si>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</si>
  <si>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</si>
  <si>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</si>
  <si>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</si>
  <si>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</si>
  <si>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</si>
  <si>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</si>
  <si>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</si>
  <si>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</si>
  <si>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</si>
  <si>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</si>
  <si>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</si>
  <si>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</si>
  <si>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</si>
  <si>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</si>
  <si>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</si>
  <si>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</si>
  <si>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</si>
  <si>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</si>
  <si>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</si>
  <si>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</si>
  <si>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</si>
  <si>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</si>
  <si>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</si>
  <si>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</si>
  <si>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</si>
  <si>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</si>
  <si>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</si>
  <si>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</si>
  <si>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</si>
  <si>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</si>
  <si>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</si>
  <si>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</si>
  <si>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</si>
  <si>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</si>
  <si>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</si>
  <si>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</si>
  <si>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</si>
  <si>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</si>
  <si>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</si>
  <si>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</si>
  <si>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</si>
  <si>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</si>
  <si>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</si>
  <si>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</si>
  <si>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</si>
  <si>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</si>
  <si>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</si>
  <si>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</si>
  <si>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</si>
  <si>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</si>
  <si>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</si>
  <si>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</si>
  <si>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</si>
  <si>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</si>
  <si>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</si>
  <si>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</si>
  <si>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</si>
  <si>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</si>
  <si>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</si>
  <si>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</si>
  <si>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</si>
  <si>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</si>
  <si>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</si>
  <si>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</si>
  <si>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</si>
  <si>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</si>
  <si>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</si>
  <si>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</si>
  <si>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</si>
  <si>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</si>
  <si>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</si>
  <si>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</si>
  <si>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</si>
  <si>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</si>
  <si>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</si>
  <si>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TX001220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</si>
  <si>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</si>
  <si>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</si>
  <si>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</si>
  <si>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</si>
  <si>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</si>
  <si>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</si>
  <si>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</si>
  <si>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</si>
  <si>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</si>
  <si>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</si>
  <si>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</si>
  <si>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</si>
  <si>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</si>
  <si>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</si>
  <si>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</si>
  <si>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</si>
  <si>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</si>
  <si>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</si>
  <si>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</si>
  <si>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</si>
  <si>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</si>
  <si>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</si>
  <si>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</si>
  <si>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</si>
  <si>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</si>
  <si>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</si>
  <si>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</si>
  <si>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</si>
  <si>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</si>
  <si>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</si>
  <si>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</si>
  <si>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</si>
  <si>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</si>
  <si>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</si>
  <si>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</si>
  <si>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</si>
  <si>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</si>
  <si>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</si>
  <si>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</si>
  <si>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</si>
  <si>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</si>
  <si>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</si>
  <si>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</si>
  <si>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</si>
  <si>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</si>
  <si>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</si>
  <si>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</si>
  <si>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</si>
  <si>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</si>
  <si>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</si>
  <si>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</si>
  <si>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</si>
  <si>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</si>
  <si>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</si>
  <si>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</si>
  <si>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</si>
  <si>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</si>
  <si>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</si>
  <si>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</si>
  <si>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</si>
  <si>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</si>
  <si>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</si>
  <si>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</si>
  <si>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</si>
  <si>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</si>
  <si>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</si>
  <si>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</si>
  <si>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</si>
  <si>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</si>
  <si>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</si>
  <si>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</si>
  <si>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</si>
  <si>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</si>
  <si>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</si>
  <si>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</si>
  <si>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</si>
  <si>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</si>
  <si>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</si>
  <si>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</si>
  <si>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</si>
  <si>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</si>
  <si>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</si>
  <si>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</si>
  <si>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</si>
  <si>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</si>
  <si>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</si>
  <si>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</si>
  <si>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</si>
  <si>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TX001285</t>
  </si>
  <si>
    <t>TX001286</t>
  </si>
  <si>
    <t>D000639</t>
  </si>
  <si>
    <t>TX001287</t>
  </si>
  <si>
    <t>TX001288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</si>
  <si>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</si>
  <si>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</si>
  <si>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</si>
  <si>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</si>
  <si>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</si>
  <si>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</si>
  <si>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</si>
  <si>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</si>
  <si>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</si>
  <si>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</si>
  <si>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</si>
  <si>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</si>
  <si>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</si>
  <si>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</si>
  <si>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</si>
  <si>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</si>
  <si>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</si>
  <si>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</si>
  <si>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</si>
  <si>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</si>
  <si>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</si>
  <si>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</si>
  <si>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</si>
  <si>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</si>
  <si>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</si>
  <si>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</si>
  <si>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</si>
  <si>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</si>
  <si>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</si>
  <si>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</si>
  <si>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</si>
  <si>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</si>
  <si>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</si>
  <si>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</si>
  <si>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</si>
  <si>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</si>
  <si>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</si>
  <si>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</si>
  <si>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</si>
  <si>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</si>
  <si>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</si>
  <si>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</si>
  <si>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</si>
  <si>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</si>
  <si>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</si>
  <si>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</si>
  <si>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</si>
  <si>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</si>
  <si>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</si>
  <si>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</si>
  <si>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</si>
  <si>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</si>
  <si>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</si>
  <si>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</si>
  <si>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</si>
  <si>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</si>
  <si>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</si>
  <si>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</si>
  <si>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</si>
  <si>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</si>
  <si>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</si>
  <si>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</si>
  <si>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</si>
  <si>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</si>
  <si>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</si>
  <si>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</si>
  <si>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</si>
  <si>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</si>
  <si>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</si>
  <si>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</si>
  <si>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</si>
  <si>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</si>
  <si>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</si>
  <si>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</si>
  <si>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</si>
  <si>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</si>
  <si>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</si>
  <si>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</si>
  <si>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</si>
  <si>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</si>
  <si>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</si>
  <si>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</si>
  <si>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</si>
  <si>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</si>
  <si>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</si>
  <si>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</si>
  <si>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</si>
  <si>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</si>
  <si>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</si>
  <si>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</si>
  <si>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</si>
  <si>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</si>
  <si>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</si>
  <si>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</si>
  <si>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</si>
  <si>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</si>
  <si>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</si>
  <si>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</si>
  <si>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</si>
  <si>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</si>
  <si>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</si>
  <si>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</si>
  <si>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</si>
  <si>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</si>
  <si>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</si>
  <si>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</si>
  <si>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</si>
  <si>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</si>
  <si>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</si>
  <si>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</si>
  <si>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</si>
  <si>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</si>
  <si>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</si>
  <si>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</si>
  <si>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</si>
  <si>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</si>
  <si>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</si>
  <si>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</si>
  <si>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</si>
  <si>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</si>
  <si>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</si>
  <si>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</si>
  <si>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</si>
  <si>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</si>
  <si>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</si>
  <si>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</si>
  <si>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</si>
  <si>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</si>
  <si>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</si>
  <si>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</si>
  <si>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</si>
  <si>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</si>
  <si>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</si>
  <si>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</si>
  <si>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</si>
  <si>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</si>
  <si>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</si>
  <si>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</si>
  <si>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</si>
  <si>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</si>
  <si>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</si>
  <si>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</si>
  <si>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</si>
  <si>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</si>
  <si>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</si>
  <si>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</si>
  <si>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</si>
  <si>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</si>
  <si>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</si>
  <si>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</si>
  <si>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</si>
  <si>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</si>
  <si>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</si>
  <si>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</si>
  <si>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</si>
  <si>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</si>
  <si>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</si>
  <si>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</si>
  <si>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</si>
  <si>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</si>
  <si>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</si>
  <si>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</si>
  <si>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</si>
  <si>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</si>
  <si>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</si>
  <si>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</si>
  <si>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</si>
  <si>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</si>
  <si>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</si>
  <si>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</si>
  <si>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</si>
  <si>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</si>
  <si>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</si>
  <si>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</si>
  <si>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</si>
  <si>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</si>
  <si>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</si>
  <si>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</si>
  <si>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</si>
  <si>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</si>
  <si>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</si>
  <si>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</si>
  <si>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</si>
  <si>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</si>
  <si>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</si>
  <si>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</si>
  <si>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</si>
  <si>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</si>
  <si>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</si>
  <si>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</si>
  <si>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</si>
  <si>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</si>
  <si>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</si>
  <si>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</si>
  <si>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</si>
  <si>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</si>
  <si>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</si>
  <si>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</si>
  <si>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</si>
  <si>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</si>
  <si>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</si>
  <si>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</si>
  <si>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</si>
  <si>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</si>
  <si>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</si>
  <si>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</si>
  <si>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</si>
  <si>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</si>
  <si>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</si>
  <si>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</si>
  <si>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</si>
  <si>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</si>
  <si>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</si>
  <si>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</si>
  <si>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</si>
  <si>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</si>
  <si>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</si>
  <si>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</si>
  <si>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</si>
  <si>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</si>
  <si>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</si>
  <si>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</si>
  <si>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</si>
  <si>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</si>
  <si>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</si>
  <si>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</si>
  <si>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</si>
  <si>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</si>
  <si>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</si>
  <si>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</si>
  <si>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</si>
  <si>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</si>
  <si>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</si>
  <si>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</si>
  <si>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</si>
  <si>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</si>
  <si>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</si>
  <si>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</si>
  <si>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</si>
  <si>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</si>
  <si>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</si>
  <si>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</si>
  <si>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</si>
  <si>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</si>
  <si>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</si>
  <si>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</si>
  <si>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</si>
  <si>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</si>
  <si>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</si>
  <si>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</si>
  <si>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</si>
  <si>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</si>
  <si>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</si>
  <si>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</si>
  <si>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</si>
  <si>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</si>
  <si>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</si>
  <si>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</si>
  <si>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</si>
  <si>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</si>
  <si>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</si>
  <si>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</si>
  <si>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</si>
  <si>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</si>
  <si>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</si>
  <si>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</si>
  <si>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</si>
  <si>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</si>
  <si>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</si>
  <si>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</si>
  <si>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</si>
  <si>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</si>
  <si>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</si>
  <si>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</si>
  <si>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</si>
  <si>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</si>
  <si>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</si>
  <si>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</si>
  <si>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</si>
  <si>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</si>
  <si>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</si>
  <si>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</si>
  <si>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</si>
  <si>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</si>
  <si>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</si>
  <si>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</si>
  <si>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</si>
  <si>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</si>
  <si>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</si>
  <si>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</si>
  <si>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</si>
  <si>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</si>
  <si>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</si>
  <si>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</si>
  <si>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</si>
  <si>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</si>
  <si>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</si>
  <si>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</si>
  <si>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</si>
  <si>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</si>
  <si>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</si>
  <si>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</si>
  <si>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</si>
  <si>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</si>
  <si>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</si>
  <si>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</si>
  <si>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</si>
  <si>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</si>
  <si>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</si>
  <si>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</si>
  <si>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</si>
  <si>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</si>
  <si>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</si>
  <si>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</si>
  <si>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</si>
  <si>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</si>
  <si>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</si>
  <si>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</si>
  <si>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</si>
  <si>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</si>
  <si>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</si>
  <si>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</si>
  <si>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</si>
  <si>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</si>
  <si>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</si>
  <si>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</si>
  <si>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</si>
  <si>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</si>
  <si>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</si>
  <si>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</si>
  <si>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</si>
  <si>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</si>
  <si>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</si>
  <si>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</si>
  <si>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</si>
  <si>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</si>
  <si>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</si>
  <si>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</si>
  <si>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</si>
  <si>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</si>
  <si>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</si>
  <si>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</si>
  <si>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</si>
  <si>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</si>
  <si>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</si>
  <si>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</si>
  <si>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</si>
  <si>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</si>
  <si>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</si>
  <si>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</si>
  <si>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</si>
  <si>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</si>
  <si>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</si>
  <si>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</si>
  <si>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</si>
  <si>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</si>
  <si>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</si>
  <si>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</si>
  <si>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</si>
  <si>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</si>
  <si>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</si>
  <si>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</si>
  <si>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</si>
  <si>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</si>
  <si>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</si>
  <si>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</si>
  <si>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</si>
  <si>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</si>
  <si>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</si>
  <si>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</si>
  <si>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</si>
  <si>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</si>
  <si>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</si>
  <si>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</si>
  <si>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TX001574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</si>
  <si>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</si>
  <si>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</si>
  <si>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</si>
  <si>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</si>
  <si>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</si>
  <si>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</si>
  <si>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</si>
  <si>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</si>
  <si>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</si>
  <si>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</si>
  <si>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</si>
  <si>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</si>
  <si>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</si>
  <si>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</si>
  <si>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</si>
  <si>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</si>
  <si>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</si>
  <si>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</si>
  <si>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</si>
  <si>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</si>
  <si>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</si>
  <si>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</si>
  <si>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</si>
  <si>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</si>
  <si>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</si>
  <si>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</si>
  <si>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</si>
  <si>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</si>
  <si>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</si>
  <si>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</si>
  <si>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</si>
  <si>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</si>
  <si>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</si>
  <si>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</si>
  <si>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</si>
  <si>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</si>
  <si>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TX001605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</si>
  <si>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</si>
  <si>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</si>
  <si>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</si>
  <si>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</si>
  <si>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</si>
  <si>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</si>
  <si>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</si>
  <si>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</si>
  <si>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</si>
  <si>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</si>
  <si>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</si>
  <si>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</si>
  <si>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</si>
  <si>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</si>
  <si>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</si>
  <si>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</si>
  <si>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</si>
  <si>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</si>
  <si>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</si>
  <si>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</si>
  <si>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</si>
  <si>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</si>
  <si>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</si>
  <si>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</si>
  <si>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</si>
  <si>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</si>
  <si>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</si>
  <si>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</si>
  <si>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</si>
  <si>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</si>
  <si>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</si>
  <si>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</si>
  <si>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</si>
  <si>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</si>
  <si>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</si>
  <si>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</si>
  <si>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</si>
  <si>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</si>
  <si>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</si>
  <si>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</si>
  <si>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</si>
  <si>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</si>
  <si>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</si>
  <si>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</si>
  <si>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</si>
  <si>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</si>
  <si>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</si>
  <si>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</si>
  <si>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</si>
  <si>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</si>
  <si>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</si>
  <si>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</si>
  <si>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</si>
  <si>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</si>
  <si>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</si>
  <si>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</si>
  <si>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</si>
  <si>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</si>
  <si>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</si>
  <si>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</si>
  <si>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</si>
  <si>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</si>
  <si>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</si>
  <si>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</si>
  <si>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</si>
  <si>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</si>
  <si>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</si>
  <si>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</si>
  <si>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</si>
  <si>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</si>
  <si>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</si>
  <si>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</si>
  <si>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</si>
  <si>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</si>
  <si>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</si>
  <si>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</si>
  <si>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</si>
  <si>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</si>
  <si>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</si>
  <si>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</si>
  <si>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</si>
  <si>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</si>
  <si>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</si>
  <si>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212.220.106.248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</si>
  <si>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</si>
  <si>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</si>
  <si>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</si>
  <si>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</si>
  <si>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</si>
  <si>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</si>
  <si>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</si>
  <si>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</si>
  <si>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</si>
  <si>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</si>
  <si>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</si>
  <si>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</si>
  <si>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</si>
  <si>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</si>
  <si>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</si>
  <si>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</si>
  <si>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</si>
  <si>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</si>
  <si>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</si>
  <si>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</si>
  <si>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</si>
  <si>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</si>
  <si>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</si>
  <si>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</si>
  <si>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</si>
  <si>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</si>
  <si>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</si>
  <si>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</si>
  <si>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</si>
  <si>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</si>
  <si>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</si>
  <si>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</si>
  <si>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</si>
  <si>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</si>
  <si>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</si>
  <si>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</si>
  <si>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</si>
  <si>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</si>
  <si>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</si>
  <si>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</si>
  <si>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</si>
  <si>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</si>
  <si>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</si>
  <si>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</si>
  <si>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</si>
  <si>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</si>
  <si>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</si>
  <si>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</si>
  <si>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</si>
  <si>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</si>
  <si>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</si>
  <si>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</si>
  <si>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</si>
  <si>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</si>
  <si>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</si>
  <si>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</si>
  <si>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</si>
  <si>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</si>
  <si>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</si>
  <si>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</si>
  <si>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</si>
  <si>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</si>
  <si>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</si>
  <si>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</si>
  <si>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</si>
  <si>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</si>
  <si>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</si>
  <si>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</si>
  <si>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</si>
  <si>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</si>
  <si>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</si>
  <si>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</si>
  <si>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</si>
  <si>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</si>
  <si>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</si>
  <si>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</si>
  <si>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</si>
  <si>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</si>
  <si>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</si>
  <si>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</si>
  <si>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</si>
  <si>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</si>
  <si>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</si>
  <si>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</si>
  <si>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</si>
  <si>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</si>
  <si>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</si>
  <si>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</si>
  <si>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</si>
  <si>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</si>
  <si>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</si>
  <si>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</si>
  <si>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</si>
  <si>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</si>
  <si>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</si>
  <si>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</si>
  <si>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</si>
  <si>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</si>
  <si>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</si>
  <si>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</si>
  <si>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</si>
  <si>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</si>
  <si>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</si>
  <si>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</si>
  <si>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</si>
  <si>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</si>
  <si>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</si>
  <si>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</si>
  <si>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</si>
  <si>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</si>
  <si>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</si>
  <si>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</si>
  <si>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</si>
  <si>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</si>
  <si>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</si>
  <si>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</si>
  <si>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</si>
  <si>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</si>
  <si>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</si>
  <si>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</si>
  <si>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</si>
  <si>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</si>
  <si>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</si>
  <si>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</si>
  <si>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</si>
  <si>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</si>
  <si>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</si>
  <si>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</si>
  <si>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</si>
  <si>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</si>
  <si>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</si>
  <si>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</si>
  <si>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</si>
  <si>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</si>
  <si>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</si>
  <si>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</si>
  <si>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</si>
  <si>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</si>
  <si>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</si>
  <si>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</si>
  <si>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</si>
  <si>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</si>
  <si>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</si>
  <si>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</si>
  <si>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</si>
  <si>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</si>
  <si>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</si>
  <si>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</si>
  <si>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</si>
  <si>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</si>
  <si>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</si>
  <si>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</si>
  <si>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</si>
  <si>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</si>
  <si>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</si>
  <si>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</si>
  <si>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</si>
  <si>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</si>
  <si>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</si>
  <si>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</si>
  <si>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</si>
  <si>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</si>
  <si>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</si>
  <si>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</si>
  <si>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</si>
  <si>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</si>
  <si>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</si>
  <si>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</si>
  <si>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</si>
  <si>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</si>
  <si>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</si>
  <si>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</si>
  <si>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</si>
  <si>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</si>
  <si>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</si>
  <si>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</si>
  <si>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</si>
  <si>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</si>
  <si>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</si>
  <si>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</si>
  <si>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</si>
  <si>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</si>
  <si>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</si>
  <si>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</si>
  <si>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</si>
  <si>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</si>
  <si>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</si>
  <si>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</si>
  <si>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</si>
  <si>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</si>
  <si>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</si>
  <si>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</si>
  <si>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</si>
  <si>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</si>
  <si>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</si>
  <si>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</si>
  <si>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</si>
  <si>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</si>
  <si>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</si>
  <si>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</si>
  <si>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</si>
  <si>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</si>
  <si>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</si>
  <si>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</si>
  <si>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</si>
  <si>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</si>
  <si>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</si>
  <si>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</si>
  <si>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</si>
  <si>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</si>
  <si>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</si>
  <si>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</si>
  <si>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</si>
  <si>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</si>
  <si>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</si>
  <si>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</si>
  <si>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</si>
  <si>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</si>
  <si>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</si>
  <si>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</si>
  <si>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</si>
  <si>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</si>
  <si>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</si>
  <si>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</si>
  <si>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</si>
  <si>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</si>
  <si>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</si>
  <si>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</si>
  <si>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</si>
  <si>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</si>
  <si>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</si>
  <si>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</si>
  <si>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</si>
  <si>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</si>
  <si>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</si>
  <si>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</si>
  <si>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</si>
  <si>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</si>
  <si>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</si>
  <si>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</si>
  <si>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</si>
  <si>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</si>
  <si>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</si>
  <si>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</si>
  <si>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</si>
  <si>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</si>
  <si>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</si>
  <si>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</si>
  <si>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</si>
  <si>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</si>
  <si>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</si>
  <si>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</si>
  <si>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</si>
  <si>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</si>
  <si>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</si>
  <si>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</si>
  <si>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</si>
  <si>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</si>
  <si>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</si>
  <si>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</si>
  <si>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</si>
  <si>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</si>
  <si>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</si>
  <si>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</si>
  <si>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</si>
  <si>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</si>
  <si>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</si>
  <si>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</si>
  <si>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</si>
  <si>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</si>
  <si>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</si>
  <si>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</si>
  <si>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</si>
  <si>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</si>
  <si>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</si>
  <si>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</si>
  <si>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</si>
  <si>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</si>
  <si>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</si>
  <si>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</si>
  <si>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</si>
  <si>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</si>
  <si>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</si>
  <si>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</si>
  <si>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</si>
  <si>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</si>
  <si>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</si>
  <si>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</si>
  <si>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</si>
  <si>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</si>
  <si>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</si>
  <si>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</si>
  <si>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</si>
  <si>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</si>
  <si>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</si>
  <si>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</si>
  <si>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</si>
  <si>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</si>
  <si>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</si>
  <si>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</si>
  <si>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</si>
  <si>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</si>
  <si>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</si>
  <si>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</si>
  <si>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</si>
  <si>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</si>
  <si>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</si>
  <si>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</si>
  <si>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</si>
  <si>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</si>
  <si>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</si>
  <si>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</si>
  <si>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</si>
  <si>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</si>
  <si>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</si>
  <si>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</si>
  <si>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</si>
  <si>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</si>
  <si>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</si>
  <si>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</si>
  <si>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</si>
  <si>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</si>
  <si>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</si>
  <si>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</si>
  <si>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</si>
  <si>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</si>
  <si>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</si>
  <si>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</si>
  <si>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</si>
  <si>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</si>
  <si>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</si>
  <si>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</si>
  <si>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</si>
  <si>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</si>
  <si>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</si>
  <si>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</si>
  <si>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</si>
  <si>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</si>
  <si>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</si>
  <si>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</si>
  <si>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</si>
  <si>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</si>
  <si>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</si>
  <si>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</si>
  <si>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</si>
  <si>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</si>
  <si>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</si>
  <si>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</si>
  <si>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</si>
  <si>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</si>
  <si>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</si>
  <si>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</si>
  <si>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</si>
  <si>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</si>
  <si>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</si>
  <si>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</si>
  <si>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</si>
  <si>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</si>
  <si>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</si>
  <si>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</si>
  <si>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</si>
  <si>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</si>
  <si>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</si>
  <si>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</si>
  <si>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</si>
  <si>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</si>
  <si>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</si>
  <si>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</si>
  <si>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</si>
  <si>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</si>
  <si>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</si>
  <si>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</si>
  <si>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</si>
  <si>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</si>
  <si>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</si>
  <si>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</si>
  <si>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</si>
  <si>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</si>
  <si>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</si>
  <si>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</si>
  <si>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</si>
  <si>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</si>
  <si>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</si>
  <si>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</si>
  <si>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</si>
  <si>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</si>
  <si>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</si>
  <si>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</si>
  <si>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</si>
  <si>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</si>
  <si>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</si>
  <si>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</si>
  <si>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</si>
  <si>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</si>
  <si>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</si>
  <si>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</si>
  <si>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</si>
  <si>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</si>
  <si>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</si>
  <si>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</si>
  <si>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</si>
  <si>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</si>
  <si>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</si>
  <si>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</si>
  <si>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</si>
  <si>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</si>
  <si>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</si>
  <si>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</si>
  <si>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</si>
  <si>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</si>
  <si>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</si>
  <si>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</si>
  <si>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</si>
  <si>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</si>
  <si>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</si>
  <si>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</si>
  <si>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</si>
  <si>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</si>
  <si>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</si>
  <si>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</si>
  <si>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</si>
  <si>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</si>
  <si>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</si>
  <si>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</si>
  <si>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</si>
  <si>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</si>
  <si>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</si>
  <si>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</si>
  <si>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</si>
  <si>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</si>
  <si>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</si>
  <si>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</si>
  <si>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</si>
  <si>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</si>
  <si>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</si>
  <si>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</si>
  <si>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</si>
  <si>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</si>
  <si>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</si>
  <si>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</si>
  <si>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</si>
  <si>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</si>
  <si>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</si>
  <si>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</si>
  <si>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</si>
  <si>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</si>
  <si>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</si>
  <si>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</si>
  <si>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</si>
  <si>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</si>
  <si>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</si>
  <si>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</si>
  <si>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</si>
  <si>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</si>
  <si>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</si>
  <si>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</si>
  <si>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</si>
  <si>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</si>
  <si>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</si>
  <si>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</si>
  <si>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</si>
  <si>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</si>
  <si>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</si>
  <si>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</si>
  <si>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</si>
  <si>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</si>
  <si>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</si>
  <si>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</si>
  <si>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</si>
  <si>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</si>
  <si>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</si>
  <si>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</si>
  <si>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</si>
  <si>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</si>
  <si>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</si>
  <si>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</si>
  <si>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</si>
  <si>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</si>
  <si>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</si>
  <si>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</si>
  <si>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</si>
  <si>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</si>
  <si>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</si>
  <si>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</si>
  <si>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</si>
  <si>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</si>
  <si>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</si>
  <si>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</si>
  <si>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</si>
  <si>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</si>
  <si>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</si>
  <si>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</si>
  <si>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</si>
  <si>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</si>
  <si>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</si>
  <si>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</si>
  <si>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</si>
  <si>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</si>
  <si>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</si>
  <si>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</si>
  <si>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</si>
  <si>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</si>
  <si>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</si>
  <si>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</si>
  <si>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</si>
  <si>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</si>
  <si>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</si>
  <si>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</si>
  <si>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</si>
  <si>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</si>
  <si>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</si>
  <si>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</si>
  <si>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</si>
  <si>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</si>
  <si>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</si>
  <si>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</si>
  <si>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</si>
  <si>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</si>
  <si>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</si>
  <si>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</si>
  <si>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</si>
  <si>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</si>
  <si>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</si>
  <si>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</si>
  <si>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</si>
  <si>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</si>
  <si>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</si>
  <si>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</si>
  <si>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</si>
  <si>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</si>
  <si>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</si>
  <si>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</si>
  <si>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</si>
  <si>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</si>
  <si>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</si>
  <si>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</si>
  <si>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</si>
  <si>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</si>
  <si>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</si>
  <si>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</si>
  <si>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</si>
  <si>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</si>
  <si>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</si>
  <si>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</si>
  <si>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</si>
  <si>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</si>
  <si>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</si>
  <si>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</si>
  <si>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</si>
  <si>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</si>
  <si>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</si>
  <si>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</si>
  <si>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</si>
  <si>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</si>
  <si>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</si>
  <si>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</si>
  <si>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</si>
  <si>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</si>
  <si>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</si>
  <si>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</si>
  <si>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</si>
  <si>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</si>
  <si>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</si>
  <si>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</si>
  <si>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</si>
  <si>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</si>
  <si>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</si>
  <si>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</si>
  <si>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</si>
  <si>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</si>
  <si>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</si>
  <si>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</si>
  <si>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</si>
  <si>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</si>
  <si>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</si>
  <si>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</si>
  <si>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</si>
  <si>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</si>
  <si>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</si>
  <si>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</si>
  <si>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</si>
  <si>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</si>
  <si>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</si>
  <si>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</si>
  <si>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</si>
  <si>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</si>
  <si>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</si>
  <si>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</si>
  <si>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</si>
  <si>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</si>
  <si>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</si>
  <si>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</si>
  <si>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</si>
  <si>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</si>
  <si>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</si>
  <si>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</si>
  <si>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</si>
  <si>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</si>
  <si>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</si>
  <si>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</si>
  <si>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</si>
  <si>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</si>
  <si>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</si>
  <si>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</si>
  <si>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</si>
  <si>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</si>
  <si>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</si>
  <si>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</si>
  <si>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</si>
  <si>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</si>
  <si>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</si>
  <si>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</si>
  <si>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</si>
  <si>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</si>
  <si>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</si>
  <si>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</si>
  <si>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</si>
  <si>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</si>
  <si>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</si>
  <si>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</si>
  <si>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</si>
  <si>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</si>
  <si>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</si>
  <si>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</si>
  <si>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</si>
  <si>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</si>
  <si>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</si>
  <si>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</si>
  <si>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</si>
  <si>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</si>
  <si>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</si>
  <si>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</si>
  <si>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</si>
  <si>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</si>
  <si>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</si>
  <si>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</si>
  <si>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</si>
  <si>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</si>
  <si>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</si>
  <si>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</si>
  <si>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</si>
  <si>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</si>
  <si>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</si>
  <si>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</si>
  <si>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</si>
  <si>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</si>
  <si>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</si>
  <si>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</si>
  <si>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</si>
  <si>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</si>
  <si>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</si>
  <si>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</si>
  <si>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</si>
  <si>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</si>
  <si>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</si>
  <si>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</si>
  <si>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</si>
  <si>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</si>
  <si>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</si>
  <si>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</si>
  <si>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</si>
  <si>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</si>
  <si>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</si>
  <si>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</si>
  <si>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</si>
  <si>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</si>
  <si>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</si>
  <si>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</si>
  <si>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</si>
  <si>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</si>
  <si>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</si>
  <si>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</si>
  <si>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</si>
  <si>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</si>
  <si>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TX002268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</si>
  <si>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</si>
  <si>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</si>
  <si>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</si>
  <si>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</si>
  <si>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</si>
  <si>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</si>
  <si>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</si>
  <si>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</si>
  <si>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</si>
  <si>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</si>
  <si>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</si>
  <si>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</si>
  <si>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</si>
  <si>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</si>
  <si>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</si>
  <si>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</si>
  <si>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</si>
  <si>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</si>
  <si>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</si>
  <si>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</si>
  <si>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</si>
  <si>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</si>
  <si>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</si>
  <si>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</si>
  <si>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</si>
  <si>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</si>
  <si>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</si>
  <si>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</si>
  <si>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</si>
  <si>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</si>
  <si>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</si>
  <si>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</si>
  <si>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</si>
  <si>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</si>
  <si>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</si>
  <si>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</si>
  <si>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</si>
  <si>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</si>
  <si>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</si>
  <si>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</si>
  <si>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</si>
  <si>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</si>
  <si>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</si>
  <si>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</si>
  <si>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</si>
  <si>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</si>
  <si>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</si>
  <si>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</si>
  <si>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</si>
  <si>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</si>
  <si>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</si>
  <si>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</si>
  <si>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</si>
  <si>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</si>
  <si>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</si>
  <si>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</si>
  <si>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</si>
  <si>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</si>
  <si>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</si>
  <si>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</si>
  <si>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</si>
  <si>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</si>
  <si>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</si>
  <si>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</si>
  <si>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</si>
  <si>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</si>
  <si>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</si>
  <si>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</si>
  <si>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</si>
  <si>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</si>
  <si>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</si>
  <si>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</si>
  <si>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</si>
  <si>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</si>
  <si>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</si>
  <si>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</si>
  <si>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</si>
  <si>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</si>
  <si>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</si>
  <si>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</si>
  <si>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</si>
  <si>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</si>
  <si>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</si>
  <si>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</si>
  <si>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</si>
  <si>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TX002343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</si>
  <si>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</si>
  <si>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</si>
  <si>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</si>
  <si>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</si>
  <si>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</si>
  <si>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</si>
  <si>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</si>
  <si>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</si>
  <si>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</si>
  <si>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</si>
  <si>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</si>
  <si>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</si>
  <si>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</si>
  <si>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</si>
  <si>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</si>
  <si>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</si>
  <si>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</si>
  <si>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</si>
  <si>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</si>
  <si>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</si>
  <si>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</si>
  <si>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</si>
  <si>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</si>
  <si>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</si>
  <si>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</si>
  <si>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</si>
  <si>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</si>
  <si>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</si>
  <si>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</si>
  <si>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</si>
  <si>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</si>
  <si>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</si>
  <si>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</si>
  <si>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</si>
  <si>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</si>
  <si>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</si>
  <si>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</si>
  <si>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</si>
  <si>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</si>
  <si>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</si>
  <si>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</si>
  <si>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</si>
  <si>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</si>
  <si>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</si>
  <si>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</si>
  <si>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</si>
  <si>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</si>
  <si>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</si>
  <si>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</si>
  <si>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</si>
  <si>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</si>
  <si>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</si>
  <si>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</si>
  <si>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</si>
  <si>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</si>
  <si>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</si>
  <si>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</si>
  <si>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</si>
  <si>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</si>
  <si>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</si>
  <si>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</si>
  <si>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</si>
  <si>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</si>
  <si>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</si>
  <si>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</si>
  <si>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</si>
  <si>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</si>
  <si>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</si>
  <si>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</si>
  <si>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</si>
  <si>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</si>
  <si>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</si>
  <si>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</si>
  <si>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</si>
  <si>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</si>
  <si>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</si>
  <si>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</si>
  <si>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</si>
  <si>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</si>
  <si>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</si>
  <si>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</si>
  <si>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</si>
  <si>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</si>
  <si>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</si>
  <si>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</si>
  <si>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</si>
  <si>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</si>
  <si>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</si>
  <si>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</si>
  <si>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</si>
  <si>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</si>
  <si>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</si>
  <si>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</si>
  <si>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</si>
  <si>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</si>
  <si>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</si>
  <si>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</si>
  <si>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</si>
  <si>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</si>
  <si>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</si>
  <si>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</si>
  <si>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</si>
  <si>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</si>
  <si>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</si>
  <si>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</si>
  <si>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</si>
  <si>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</si>
  <si>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</si>
  <si>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</si>
  <si>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</si>
  <si>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</si>
  <si>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</si>
  <si>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</si>
  <si>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</si>
  <si>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</si>
  <si>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</si>
  <si>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</si>
  <si>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</si>
  <si>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</si>
  <si>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</si>
  <si>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</si>
  <si>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</si>
  <si>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</si>
  <si>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</si>
  <si>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</si>
  <si>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</si>
  <si>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</si>
  <si>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</si>
  <si>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</si>
  <si>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</si>
  <si>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</si>
  <si>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</si>
  <si>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</si>
  <si>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</si>
  <si>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</si>
  <si>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</si>
  <si>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</si>
  <si>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</si>
  <si>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</si>
  <si>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</si>
  <si>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</si>
  <si>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</si>
  <si>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</si>
  <si>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</si>
  <si>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</si>
  <si>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</si>
  <si>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</si>
  <si>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</si>
  <si>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</si>
  <si>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</si>
  <si>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</si>
  <si>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</si>
  <si>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</si>
  <si>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</si>
  <si>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</si>
  <si>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</si>
  <si>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</si>
  <si>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</si>
  <si>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</si>
  <si>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</si>
  <si>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</si>
  <si>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</si>
  <si>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</si>
  <si>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</si>
  <si>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</si>
  <si>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</si>
  <si>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</si>
  <si>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</si>
  <si>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</si>
  <si>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</si>
  <si>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</si>
  <si>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</si>
  <si>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</si>
  <si>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</si>
  <si>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</si>
  <si>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</si>
  <si>
    <t>Transaction Time</t>
  </si>
  <si>
    <t>Transaction Date</t>
  </si>
  <si>
    <t>PreviousTransaction Date</t>
  </si>
  <si>
    <t>PreviousTransaction Time</t>
  </si>
  <si>
    <t>Transaction Hour</t>
  </si>
  <si>
    <t>Age Group</t>
  </si>
  <si>
    <t>Attempted Login</t>
  </si>
  <si>
    <t>OLD</t>
  </si>
  <si>
    <t>NORMAL</t>
  </si>
  <si>
    <t>YOUNG</t>
  </si>
  <si>
    <t>MIDDLE AGE</t>
  </si>
  <si>
    <t>HIGH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</si>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</sst>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;@"/>
    <numFmt numFmtId="165" formatCode="dd/mm/yyyy;@"/>
    <numFmt numFmtId="166" formatCode="&quot;$&quot;#,##0.00"/>
    <numFmt numFmtId="167" formatCode="[$-409]h:mm:ss\ AM/PM;@"/>
    <numFmt numFmtId="168" formatCode="[$-409]hh:mm:ss\ AM/P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numFmt numFmtId="30" formatCode="@"/>
    </dxf>
    <dxf>
      <numFmt numFmtId="30" formatCode="@"/>
    </dxf>
    <dxf>
      <numFmt numFmtId="1" formatCode="0"/>
    </dxf>
    <dxf>
      <numFmt numFmtId="168" formatCode="[$-409]hh:mm:ss\ AM/PM;@"/>
    </dxf>
    <dxf>
      <numFmt numFmtId="165" formatCode="dd/mm/yyyy;@"/>
    </dxf>
    <dxf>
      <numFmt numFmtId="166" formatCode="&quot;$&quot;#,##0.0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dd/mm/yyyy;@"/>
    </dxf>
    <dxf>
      <numFmt numFmtId="164" formatCode="h:mm;@"/>
    </dxf>
    <dxf>
      <numFmt numFmtId="166" formatCode="&quot;$&quot;#,##0.0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5908F-8E8D-416A-8CAF-DB1AD26AE0D8}" name="Table1" displayName="Table1" ref="A1:V2513" totalsRowShown="0">
  <autoFilter ref="A1:V2513" xr:uid="{D1D5908F-8E8D-416A-8CAF-DB1AD26AE0D8}"/>
  <tableColumns count="22">
    <tableColumn id="1" xr3:uid="{DDDD7932-7D1C-4479-BA9F-E4F0216B5EC7}" name="TransactionID" dataDxfId="21"/>
    <tableColumn id="2" xr3:uid="{D862C3F0-27FA-49FF-8147-4C520D9CEFA5}" name="AccountID" dataDxfId="20"/>
    <tableColumn id="3" xr3:uid="{D4582C92-5C86-4206-BBB8-240B80983255}" name="TransactionAmount" dataDxfId="19"/>
    <tableColumn id="4" xr3:uid="{4D200EE7-7E97-4EC5-B551-2E16EE38784D}" name="Transaction Time" dataDxfId="18"/>
    <tableColumn id="5" xr3:uid="{2D82BC7B-B6B8-4E8A-BEB6-9ABDB4F8A524}" name="Transaction Date" dataDxfId="17"/>
    <tableColumn id="6" xr3:uid="{34835DB3-BF94-4CDC-B7ED-2D30460E00A6}" name="TransactionType" dataDxfId="16"/>
    <tableColumn id="7" xr3:uid="{F2D59F46-EC4F-46FC-9BBE-75A2EFE90135}" name="Location" dataDxfId="15"/>
    <tableColumn id="8" xr3:uid="{925787AD-B9B8-4E3D-9410-A171AF8B8AD1}" name="DeviceID" dataDxfId="14"/>
    <tableColumn id="9" xr3:uid="{098EB4C9-98CD-45BB-95FC-8609B924B3DC}" name="IP Address" dataDxfId="13"/>
    <tableColumn id="10" xr3:uid="{97D79443-09DF-4151-ADC4-70257A16780E}" name="MerchantID" dataDxfId="12"/>
    <tableColumn id="11" xr3:uid="{3329D984-9EAF-46AA-9EEB-400530C1FDFB}" name="Channel" dataDxfId="11"/>
    <tableColumn id="12" xr3:uid="{BBB18928-D5BF-40D6-AAD1-AFFB28558B3D}" name="CustomerAge" dataDxfId="10"/>
    <tableColumn id="13" xr3:uid="{E9D8D8D4-DCBF-4E45-9535-19A40FD5293F}" name="CustomerOccupation" dataDxfId="9"/>
    <tableColumn id="14" xr3:uid="{CB238C90-F098-4905-80E2-FBEA724C1045}" name="TransactionDuration" dataDxfId="8"/>
    <tableColumn id="15" xr3:uid="{5B38BCC8-B637-4797-8B5A-B6ED99363706}" name="LoginAttempts" dataDxfId="7"/>
    <tableColumn id="16" xr3:uid="{F9C39AC7-076B-4AC6-8C2A-2A6ABBA253B6}" name="AccountBalance" dataDxfId="6"/>
    <tableColumn id="17" xr3:uid="{EDB219DF-84D6-46A0-944A-3A998496006C}" name="PreviousTransaction Date" dataDxfId="5"/>
    <tableColumn id="18" xr3:uid="{BC37607F-8D65-4FC9-AC45-3F5A938DA9C4}" name="PreviousTransaction Time" dataDxfId="4"/>
    <tableColumn id="19" xr3:uid="{1BF020BE-BCE6-49B8-97EE-712B9BEECD44}" name="Transaction Hour" dataDxfId="3"/>
    <tableColumn id="20" xr3:uid="{9F192DD7-2B10-4BA1-9717-177BEB251D48}" name="Age Group" dataDxfId="2"/>
    <tableColumn id="21" xr3:uid="{17D5663D-82F0-4AC4-BD89-98482B358D8E}" name="Attempted Login" dataDxfId="1"/>
    <tableColumn id="22" xr3:uid="{714F241E-3010-4597-9933-47F20BD94A33}" name="Session" dataDxfId="0">
      <calculatedColumnFormula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0A11-0D1D-4BDD-8588-5649F16DD8C2}">
  <dimension ref="A1:V2513"/>
  <sheetViews>
    <sheetView topLeftCell="S1" workbookViewId="0">
      <selection activeCell="W2" sqref="W2"/>
    </sheetView>
  </sheetViews>
  <sheetFormatPr defaultRowHeight="14.5" x14ac:dyDescent="0.35"/>
  <cols>
    <col min="1" max="1" width="12.08984375" bestFit="1" customWidth="1"/>
    <col min="2" max="2" width="9.26953125" bestFit="1" customWidth="1"/>
    <col min="3" max="3" width="16.7265625" bestFit="1" customWidth="1"/>
    <col min="4" max="4" width="15.08984375" bestFit="1" customWidth="1"/>
    <col min="5" max="5" width="15.08984375" style="2" customWidth="1"/>
    <col min="6" max="6" width="15.08984375" style="3" customWidth="1"/>
    <col min="7" max="7" width="14.1796875" bestFit="1" customWidth="1"/>
    <col min="8" max="8" width="14.54296875" bestFit="1" customWidth="1"/>
    <col min="9" max="9" width="8.08984375" bestFit="1" customWidth="1"/>
    <col min="10" max="10" width="14.54296875" bestFit="1" customWidth="1"/>
    <col min="11" max="11" width="10.26953125" bestFit="1" customWidth="1"/>
    <col min="12" max="12" width="7.54296875" bestFit="1" customWidth="1"/>
    <col min="13" max="13" width="11.81640625" bestFit="1" customWidth="1"/>
    <col min="14" max="14" width="18.453125" bestFit="1" customWidth="1"/>
    <col min="15" max="15" width="17.54296875" bestFit="1" customWidth="1"/>
    <col min="16" max="16" width="12.54296875" bestFit="1" customWidth="1"/>
    <col min="17" max="17" width="14.1796875" bestFit="1" customWidth="1"/>
    <col min="18" max="18" width="21.453125" style="4" bestFit="1" customWidth="1"/>
    <col min="19" max="19" width="22.1796875" style="6" bestFit="1" customWidth="1"/>
    <col min="20" max="20" width="14.7265625" bestFit="1" customWidth="1"/>
    <col min="21" max="21" width="10.90625" bestFit="1" customWidth="1"/>
    <col min="22" max="22" width="14.089843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s="2" t="s">
        <v>4447</v>
      </c>
      <c r="F1" s="3" t="s">
        <v>4448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s="4" t="s">
        <v>4449</v>
      </c>
      <c r="S1" s="6" t="s">
        <v>4450</v>
      </c>
      <c r="T1" t="s">
        <v>4451</v>
      </c>
      <c r="U1" t="s">
        <v>4452</v>
      </c>
      <c r="V1" t="s">
        <v>4453</v>
      </c>
    </row>
    <row r="2" spans="1:22" x14ac:dyDescent="0.35">
      <c r="A2" t="s">
        <v>15</v>
      </c>
      <c r="B2" t="s">
        <v>16</v>
      </c>
      <c r="C2">
        <v>14.09</v>
      </c>
      <c r="D2" s="1">
        <v>45027.686967592592</v>
      </c>
      <c r="E2" s="2">
        <f t="shared" ref="E2:E65" si="0">D2-INT(D2)</f>
        <v>0.68696759259182727</v>
      </c>
      <c r="F2" s="3">
        <f t="shared" ref="F2:F65" si="1">INT(D2)</f>
        <v>45027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70</v>
      </c>
      <c r="N2" t="s">
        <v>23</v>
      </c>
      <c r="O2">
        <v>81</v>
      </c>
      <c r="P2">
        <v>1</v>
      </c>
      <c r="Q2">
        <v>5112.21</v>
      </c>
      <c r="R2" s="4">
        <v>45600</v>
      </c>
      <c r="S2" s="6">
        <v>0.33898148148148149</v>
      </c>
      <c r="T2">
        <f>HOUR(E2)</f>
        <v>16</v>
      </c>
      <c r="U2" t="str" cm="1">
        <f t="array" ref="U2">_xlfn.IFS(M2&lt;=34,"YOUNG",M2&lt;=54,"MIDDLE AGE",M2&gt;=55,"OLD")</f>
        <v>OLD</v>
      </c>
      <c r="V2" t="str">
        <f>IF(P2&gt;1,"HIGH","NORMAL")</f>
        <v>NORMAL</v>
      </c>
    </row>
    <row r="3" spans="1:22" x14ac:dyDescent="0.35">
      <c r="A3" t="s">
        <v>24</v>
      </c>
      <c r="B3" t="s">
        <v>25</v>
      </c>
      <c r="C3">
        <v>376.24</v>
      </c>
      <c r="D3" s="1">
        <v>45104.697442129633</v>
      </c>
      <c r="E3" s="2">
        <f t="shared" si="0"/>
        <v>0.69744212963269092</v>
      </c>
      <c r="F3" s="3">
        <f t="shared" si="1"/>
        <v>45104</v>
      </c>
      <c r="G3" t="s">
        <v>17</v>
      </c>
      <c r="H3" t="s">
        <v>26</v>
      </c>
      <c r="I3" t="s">
        <v>27</v>
      </c>
      <c r="J3" t="s">
        <v>28</v>
      </c>
      <c r="K3" t="s">
        <v>29</v>
      </c>
      <c r="L3" t="s">
        <v>22</v>
      </c>
      <c r="M3">
        <v>68</v>
      </c>
      <c r="N3" t="s">
        <v>23</v>
      </c>
      <c r="O3">
        <v>141</v>
      </c>
      <c r="P3">
        <v>1</v>
      </c>
      <c r="Q3">
        <v>13758.91</v>
      </c>
      <c r="R3" s="4">
        <v>45600</v>
      </c>
      <c r="S3" s="6">
        <v>0.33998842592592593</v>
      </c>
      <c r="T3">
        <f t="shared" ref="T3:T66" si="2">HOUR(E3)</f>
        <v>16</v>
      </c>
      <c r="U3" t="str" cm="1">
        <f t="array" ref="U3">_xlfn.IFS(M3&lt;=34,"YOUNG",M3&lt;=54,"MIDDLE AGE",M3&gt;=55,"OLD")</f>
        <v>OLD</v>
      </c>
      <c r="V3" t="str">
        <f t="shared" ref="V3:V66" si="3">IF(P3&gt;1,"HIGH","NORMAL")</f>
        <v>NORMAL</v>
      </c>
    </row>
    <row r="4" spans="1:22" x14ac:dyDescent="0.35">
      <c r="A4" t="s">
        <v>30</v>
      </c>
      <c r="B4" t="s">
        <v>31</v>
      </c>
      <c r="C4">
        <v>126.29</v>
      </c>
      <c r="D4" s="1">
        <v>45117.761203703703</v>
      </c>
      <c r="E4" s="2">
        <f t="shared" si="0"/>
        <v>0.76120370370335877</v>
      </c>
      <c r="F4" s="3">
        <f t="shared" si="1"/>
        <v>45117</v>
      </c>
      <c r="G4" t="s">
        <v>17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>
        <v>19</v>
      </c>
      <c r="N4" t="s">
        <v>37</v>
      </c>
      <c r="O4">
        <v>56</v>
      </c>
      <c r="P4">
        <v>1</v>
      </c>
      <c r="Q4">
        <v>1122.3499999999999</v>
      </c>
      <c r="R4" s="4">
        <v>45600</v>
      </c>
      <c r="S4" s="6">
        <v>0.33824074074074073</v>
      </c>
      <c r="T4">
        <f t="shared" si="2"/>
        <v>18</v>
      </c>
      <c r="U4" t="str" cm="1">
        <f t="array" ref="U4">_xlfn.IFS(M4&lt;=34,"YOUNG",M4&lt;=54,"MIDDLE AGE",M4&gt;=55,"OLD")</f>
        <v>YOUNG</v>
      </c>
      <c r="V4" t="str">
        <f t="shared" si="3"/>
        <v>NORMAL</v>
      </c>
    </row>
    <row r="5" spans="1:22" x14ac:dyDescent="0.35">
      <c r="A5" t="s">
        <v>38</v>
      </c>
      <c r="B5" t="s">
        <v>39</v>
      </c>
      <c r="C5">
        <v>184.5</v>
      </c>
      <c r="D5" s="1">
        <v>45051.689016203702</v>
      </c>
      <c r="E5" s="2">
        <f t="shared" si="0"/>
        <v>0.68901620370161254</v>
      </c>
      <c r="F5" s="3">
        <f t="shared" si="1"/>
        <v>45051</v>
      </c>
      <c r="G5" t="s">
        <v>17</v>
      </c>
      <c r="H5" t="s">
        <v>40</v>
      </c>
      <c r="I5" t="s">
        <v>41</v>
      </c>
      <c r="J5" t="s">
        <v>42</v>
      </c>
      <c r="K5" t="s">
        <v>43</v>
      </c>
      <c r="L5" t="s">
        <v>36</v>
      </c>
      <c r="M5">
        <v>26</v>
      </c>
      <c r="N5" t="s">
        <v>37</v>
      </c>
      <c r="O5">
        <v>25</v>
      </c>
      <c r="P5">
        <v>1</v>
      </c>
      <c r="Q5">
        <v>8569.06</v>
      </c>
      <c r="R5" s="4">
        <v>45600</v>
      </c>
      <c r="S5" s="6">
        <v>0.3396527777777778</v>
      </c>
      <c r="T5">
        <f t="shared" si="2"/>
        <v>16</v>
      </c>
      <c r="U5" t="str" cm="1">
        <f t="array" ref="U5">_xlfn.IFS(M5&lt;=34,"YOUNG",M5&lt;=54,"MIDDLE AGE",M5&gt;=55,"OLD")</f>
        <v>YOUNG</v>
      </c>
      <c r="V5" t="str">
        <f t="shared" si="3"/>
        <v>NORMAL</v>
      </c>
    </row>
    <row r="6" spans="1:22" x14ac:dyDescent="0.35">
      <c r="A6" t="s">
        <v>44</v>
      </c>
      <c r="B6" t="s">
        <v>45</v>
      </c>
      <c r="C6">
        <v>13.45</v>
      </c>
      <c r="D6" s="1">
        <v>45215.744027777779</v>
      </c>
      <c r="E6" s="2">
        <f t="shared" si="0"/>
        <v>0.74402777777868323</v>
      </c>
      <c r="F6" s="3">
        <f t="shared" si="1"/>
        <v>45215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36</v>
      </c>
      <c r="M6">
        <v>26</v>
      </c>
      <c r="N6" t="s">
        <v>37</v>
      </c>
      <c r="O6">
        <v>198</v>
      </c>
      <c r="P6">
        <v>1</v>
      </c>
      <c r="Q6">
        <v>7429.4</v>
      </c>
      <c r="R6" s="4">
        <v>45600</v>
      </c>
      <c r="S6" s="6">
        <v>0.33795138888888887</v>
      </c>
      <c r="T6">
        <f t="shared" si="2"/>
        <v>17</v>
      </c>
      <c r="U6" t="str" cm="1">
        <f t="array" ref="U6">_xlfn.IFS(M6&lt;=34,"YOUNG",M6&lt;=54,"MIDDLE AGE",M6&gt;=55,"OLD")</f>
        <v>YOUNG</v>
      </c>
      <c r="V6" t="str">
        <f t="shared" si="3"/>
        <v>NORMAL</v>
      </c>
    </row>
    <row r="7" spans="1:22" x14ac:dyDescent="0.35">
      <c r="A7" t="s">
        <v>51</v>
      </c>
      <c r="B7" t="s">
        <v>52</v>
      </c>
      <c r="C7">
        <v>92.15</v>
      </c>
      <c r="D7" s="1">
        <v>45019.718761574077</v>
      </c>
      <c r="E7" s="2">
        <f t="shared" si="0"/>
        <v>0.71876157407677965</v>
      </c>
      <c r="F7" s="3">
        <f t="shared" si="1"/>
        <v>45019</v>
      </c>
      <c r="G7" t="s">
        <v>17</v>
      </c>
      <c r="H7" t="s">
        <v>53</v>
      </c>
      <c r="I7" t="s">
        <v>54</v>
      </c>
      <c r="J7" t="s">
        <v>55</v>
      </c>
      <c r="K7" t="s">
        <v>56</v>
      </c>
      <c r="L7" t="s">
        <v>22</v>
      </c>
      <c r="M7">
        <v>18</v>
      </c>
      <c r="N7" t="s">
        <v>37</v>
      </c>
      <c r="O7">
        <v>172</v>
      </c>
      <c r="P7">
        <v>1</v>
      </c>
      <c r="Q7">
        <v>781.68</v>
      </c>
      <c r="R7" s="4">
        <v>45600</v>
      </c>
      <c r="S7" s="6">
        <v>0.33791666666666664</v>
      </c>
      <c r="T7">
        <f t="shared" si="2"/>
        <v>17</v>
      </c>
      <c r="U7" t="str" cm="1">
        <f t="array" ref="U7">_xlfn.IFS(M7&lt;=34,"YOUNG",M7&lt;=54,"MIDDLE AGE",M7&gt;=55,"OLD")</f>
        <v>YOUNG</v>
      </c>
      <c r="V7" t="str">
        <f t="shared" si="3"/>
        <v>NORMAL</v>
      </c>
    </row>
    <row r="8" spans="1:22" x14ac:dyDescent="0.35">
      <c r="A8" t="s">
        <v>57</v>
      </c>
      <c r="B8" t="s">
        <v>58</v>
      </c>
      <c r="C8">
        <v>7.08</v>
      </c>
      <c r="D8" s="1">
        <v>44972.69222222222</v>
      </c>
      <c r="E8" s="2">
        <f t="shared" si="0"/>
        <v>0.69222222222015262</v>
      </c>
      <c r="F8" s="3">
        <f t="shared" si="1"/>
        <v>44972</v>
      </c>
      <c r="G8" t="s">
        <v>46</v>
      </c>
      <c r="H8" t="s">
        <v>59</v>
      </c>
      <c r="I8" t="s">
        <v>60</v>
      </c>
      <c r="J8" t="s">
        <v>61</v>
      </c>
      <c r="K8" t="s">
        <v>62</v>
      </c>
      <c r="L8" t="s">
        <v>22</v>
      </c>
      <c r="M8">
        <v>37</v>
      </c>
      <c r="N8" t="s">
        <v>23</v>
      </c>
      <c r="O8">
        <v>139</v>
      </c>
      <c r="P8">
        <v>1</v>
      </c>
      <c r="Q8">
        <v>13316.71</v>
      </c>
      <c r="R8" s="4">
        <v>45600</v>
      </c>
      <c r="S8" s="6">
        <v>0.34038194444444442</v>
      </c>
      <c r="T8">
        <f t="shared" si="2"/>
        <v>16</v>
      </c>
      <c r="U8" t="str" cm="1">
        <f t="array" ref="U8">_xlfn.IFS(M8&lt;=34,"YOUNG",M8&lt;=54,"MIDDLE AGE",M8&gt;=55,"OLD")</f>
        <v>MIDDLE AGE</v>
      </c>
      <c r="V8" t="str">
        <f t="shared" si="3"/>
        <v>NORMAL</v>
      </c>
    </row>
    <row r="9" spans="1:22" x14ac:dyDescent="0.35">
      <c r="A9" t="s">
        <v>63</v>
      </c>
      <c r="B9" t="s">
        <v>64</v>
      </c>
      <c r="C9">
        <v>171.42</v>
      </c>
      <c r="D9" s="1">
        <v>45054.741655092592</v>
      </c>
      <c r="E9" s="2">
        <f t="shared" si="0"/>
        <v>0.74165509259182727</v>
      </c>
      <c r="F9" s="3">
        <f t="shared" si="1"/>
        <v>45054</v>
      </c>
      <c r="G9" t="s">
        <v>46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>
        <v>67</v>
      </c>
      <c r="N9" t="s">
        <v>70</v>
      </c>
      <c r="O9">
        <v>291</v>
      </c>
      <c r="P9">
        <v>1</v>
      </c>
      <c r="Q9">
        <v>2796.24</v>
      </c>
      <c r="R9" s="4">
        <v>45600</v>
      </c>
      <c r="S9" s="6">
        <v>0.34091435185185187</v>
      </c>
      <c r="T9">
        <f t="shared" si="2"/>
        <v>17</v>
      </c>
      <c r="U9" t="str" cm="1">
        <f t="array" ref="U9">_xlfn.IFS(M9&lt;=34,"YOUNG",M9&lt;=54,"MIDDLE AGE",M9&gt;=55,"OLD")</f>
        <v>OLD</v>
      </c>
      <c r="V9" t="str">
        <f t="shared" si="3"/>
        <v>NORMAL</v>
      </c>
    </row>
    <row r="10" spans="1:22" x14ac:dyDescent="0.35">
      <c r="A10" t="s">
        <v>71</v>
      </c>
      <c r="B10" t="s">
        <v>72</v>
      </c>
      <c r="C10">
        <v>106.23</v>
      </c>
      <c r="D10" s="1">
        <v>45006.708171296297</v>
      </c>
      <c r="E10" s="2">
        <f t="shared" si="0"/>
        <v>0.70817129629722331</v>
      </c>
      <c r="F10" s="3">
        <f t="shared" si="1"/>
        <v>45006</v>
      </c>
      <c r="G10" t="s">
        <v>46</v>
      </c>
      <c r="H10" t="s">
        <v>73</v>
      </c>
      <c r="I10" t="s">
        <v>74</v>
      </c>
      <c r="J10" t="s">
        <v>75</v>
      </c>
      <c r="K10" t="s">
        <v>76</v>
      </c>
      <c r="L10" t="s">
        <v>69</v>
      </c>
      <c r="M10">
        <v>51</v>
      </c>
      <c r="N10" t="s">
        <v>77</v>
      </c>
      <c r="O10">
        <v>86</v>
      </c>
      <c r="P10">
        <v>1</v>
      </c>
      <c r="Q10">
        <v>9095.14</v>
      </c>
      <c r="R10" s="4">
        <v>45600</v>
      </c>
      <c r="S10" s="6">
        <v>0.34113425925925928</v>
      </c>
      <c r="T10">
        <f t="shared" si="2"/>
        <v>16</v>
      </c>
      <c r="U10" t="str" cm="1">
        <f t="array" ref="U10">_xlfn.IFS(M10&lt;=34,"YOUNG",M10&lt;=54,"MIDDLE AGE",M10&gt;=55,"OLD")</f>
        <v>MIDDLE AGE</v>
      </c>
      <c r="V10" t="str">
        <f t="shared" si="3"/>
        <v>NORMAL</v>
      </c>
    </row>
    <row r="11" spans="1:22" x14ac:dyDescent="0.35">
      <c r="A11" t="s">
        <v>78</v>
      </c>
      <c r="B11" t="s">
        <v>79</v>
      </c>
      <c r="C11">
        <v>815.96</v>
      </c>
      <c r="D11" s="1">
        <v>45016.671493055554</v>
      </c>
      <c r="E11" s="2">
        <f t="shared" si="0"/>
        <v>0.67149305555358296</v>
      </c>
      <c r="F11" s="3">
        <f t="shared" si="1"/>
        <v>45016</v>
      </c>
      <c r="G11" t="s">
        <v>17</v>
      </c>
      <c r="H11" t="s">
        <v>80</v>
      </c>
      <c r="I11" t="s">
        <v>81</v>
      </c>
      <c r="J11" t="s">
        <v>82</v>
      </c>
      <c r="K11" t="s">
        <v>83</v>
      </c>
      <c r="L11" t="s">
        <v>22</v>
      </c>
      <c r="M11">
        <v>55</v>
      </c>
      <c r="N11" t="s">
        <v>23</v>
      </c>
      <c r="O11">
        <v>120</v>
      </c>
      <c r="P11">
        <v>1</v>
      </c>
      <c r="Q11">
        <v>1021.88</v>
      </c>
      <c r="R11" s="4">
        <v>45600</v>
      </c>
      <c r="S11" s="6">
        <v>0.33787037037037038</v>
      </c>
      <c r="T11">
        <f t="shared" si="2"/>
        <v>16</v>
      </c>
      <c r="U11" t="str" cm="1">
        <f t="array" ref="U11">_xlfn.IFS(M11&lt;=34,"YOUNG",M11&lt;=54,"MIDDLE AGE",M11&gt;=55,"OLD")</f>
        <v>OLD</v>
      </c>
      <c r="V11" t="str">
        <f t="shared" si="3"/>
        <v>NORMAL</v>
      </c>
    </row>
    <row r="12" spans="1:22" x14ac:dyDescent="0.35">
      <c r="A12" t="s">
        <v>84</v>
      </c>
      <c r="B12" t="s">
        <v>85</v>
      </c>
      <c r="C12">
        <v>17.78</v>
      </c>
      <c r="D12" s="1">
        <v>44999.69872685185</v>
      </c>
      <c r="E12" s="2">
        <f t="shared" si="0"/>
        <v>0.69872685184964212</v>
      </c>
      <c r="F12" s="3">
        <f t="shared" si="1"/>
        <v>44999</v>
      </c>
      <c r="G12" t="s">
        <v>46</v>
      </c>
      <c r="H12" t="s">
        <v>86</v>
      </c>
      <c r="I12" t="s">
        <v>87</v>
      </c>
      <c r="J12" t="s">
        <v>88</v>
      </c>
      <c r="K12" t="s">
        <v>89</v>
      </c>
      <c r="L12" t="s">
        <v>36</v>
      </c>
      <c r="M12">
        <v>52</v>
      </c>
      <c r="N12" t="s">
        <v>77</v>
      </c>
      <c r="O12">
        <v>59</v>
      </c>
      <c r="P12">
        <v>1</v>
      </c>
      <c r="Q12">
        <v>7599.52</v>
      </c>
      <c r="R12" s="4">
        <v>45600</v>
      </c>
      <c r="S12" s="6">
        <v>0.33802083333333333</v>
      </c>
      <c r="T12">
        <f t="shared" si="2"/>
        <v>16</v>
      </c>
      <c r="U12" t="str" cm="1">
        <f t="array" ref="U12">_xlfn.IFS(M12&lt;=34,"YOUNG",M12&lt;=54,"MIDDLE AGE",M12&gt;=55,"OLD")</f>
        <v>MIDDLE AGE</v>
      </c>
      <c r="V12" t="str">
        <f t="shared" si="3"/>
        <v>NORMAL</v>
      </c>
    </row>
    <row r="13" spans="1:22" x14ac:dyDescent="0.35">
      <c r="A13" t="s">
        <v>90</v>
      </c>
      <c r="B13" t="s">
        <v>91</v>
      </c>
      <c r="C13">
        <v>190.02</v>
      </c>
      <c r="D13" s="1">
        <v>44963.729166666664</v>
      </c>
      <c r="E13" s="2">
        <f t="shared" si="0"/>
        <v>0.72916666666424135</v>
      </c>
      <c r="F13" s="3">
        <f t="shared" si="1"/>
        <v>44963</v>
      </c>
      <c r="G13" t="s">
        <v>17</v>
      </c>
      <c r="H13" t="s">
        <v>92</v>
      </c>
      <c r="I13" t="s">
        <v>93</v>
      </c>
      <c r="J13" t="s">
        <v>94</v>
      </c>
      <c r="K13" t="s">
        <v>95</v>
      </c>
      <c r="L13" t="s">
        <v>36</v>
      </c>
      <c r="M13">
        <v>21</v>
      </c>
      <c r="N13" t="s">
        <v>37</v>
      </c>
      <c r="O13">
        <v>173</v>
      </c>
      <c r="P13">
        <v>1</v>
      </c>
      <c r="Q13">
        <v>1528.81</v>
      </c>
      <c r="R13" s="4">
        <v>45600</v>
      </c>
      <c r="S13" s="6">
        <v>0.33833333333333332</v>
      </c>
      <c r="T13">
        <f t="shared" si="2"/>
        <v>17</v>
      </c>
      <c r="U13" t="str" cm="1">
        <f t="array" ref="U13">_xlfn.IFS(M13&lt;=34,"YOUNG",M13&lt;=54,"MIDDLE AGE",M13&gt;=55,"OLD")</f>
        <v>YOUNG</v>
      </c>
      <c r="V13" t="str">
        <f t="shared" si="3"/>
        <v>NORMAL</v>
      </c>
    </row>
    <row r="14" spans="1:22" x14ac:dyDescent="0.35">
      <c r="A14" t="s">
        <v>96</v>
      </c>
      <c r="B14" t="s">
        <v>97</v>
      </c>
      <c r="C14">
        <v>494.52</v>
      </c>
      <c r="D14" s="1">
        <v>45084.723240740743</v>
      </c>
      <c r="E14" s="2">
        <f t="shared" si="0"/>
        <v>0.72324074074276723</v>
      </c>
      <c r="F14" s="3">
        <f t="shared" si="1"/>
        <v>45084</v>
      </c>
      <c r="G14" t="s">
        <v>46</v>
      </c>
      <c r="H14" t="s">
        <v>32</v>
      </c>
      <c r="I14" t="s">
        <v>98</v>
      </c>
      <c r="J14" t="s">
        <v>99</v>
      </c>
      <c r="K14" t="s">
        <v>100</v>
      </c>
      <c r="L14" t="s">
        <v>69</v>
      </c>
      <c r="M14">
        <v>24</v>
      </c>
      <c r="N14" t="s">
        <v>37</v>
      </c>
      <c r="O14">
        <v>111</v>
      </c>
      <c r="P14">
        <v>1</v>
      </c>
      <c r="Q14">
        <v>1620.02</v>
      </c>
      <c r="R14" s="4">
        <v>45600</v>
      </c>
      <c r="S14" s="6">
        <v>0.33932870370370372</v>
      </c>
      <c r="T14">
        <f t="shared" si="2"/>
        <v>17</v>
      </c>
      <c r="U14" t="str" cm="1">
        <f t="array" ref="U14">_xlfn.IFS(M14&lt;=34,"YOUNG",M14&lt;=54,"MIDDLE AGE",M14&gt;=55,"OLD")</f>
        <v>YOUNG</v>
      </c>
      <c r="V14" t="str">
        <f t="shared" si="3"/>
        <v>NORMAL</v>
      </c>
    </row>
    <row r="15" spans="1:22" x14ac:dyDescent="0.35">
      <c r="A15" t="s">
        <v>101</v>
      </c>
      <c r="B15" t="s">
        <v>102</v>
      </c>
      <c r="C15">
        <v>781.76</v>
      </c>
      <c r="D15" s="1">
        <v>45250.693923611114</v>
      </c>
      <c r="E15" s="2">
        <f t="shared" si="0"/>
        <v>0.69392361111385981</v>
      </c>
      <c r="F15" s="3">
        <f t="shared" si="1"/>
        <v>45250</v>
      </c>
      <c r="G15" t="s">
        <v>17</v>
      </c>
      <c r="H15" t="s">
        <v>92</v>
      </c>
      <c r="I15" t="s">
        <v>103</v>
      </c>
      <c r="J15" t="s">
        <v>104</v>
      </c>
      <c r="K15" t="s">
        <v>105</v>
      </c>
      <c r="L15" t="s">
        <v>22</v>
      </c>
      <c r="M15">
        <v>26</v>
      </c>
      <c r="N15" t="s">
        <v>37</v>
      </c>
      <c r="O15">
        <v>123</v>
      </c>
      <c r="P15">
        <v>1</v>
      </c>
      <c r="Q15">
        <v>189.69</v>
      </c>
      <c r="R15" s="4">
        <v>45600</v>
      </c>
      <c r="S15" s="6">
        <v>0.33826388888888886</v>
      </c>
      <c r="T15">
        <f t="shared" si="2"/>
        <v>16</v>
      </c>
      <c r="U15" t="str" cm="1">
        <f t="array" ref="U15">_xlfn.IFS(M15&lt;=34,"YOUNG",M15&lt;=54,"MIDDLE AGE",M15&gt;=55,"OLD")</f>
        <v>YOUNG</v>
      </c>
      <c r="V15" t="str">
        <f t="shared" si="3"/>
        <v>NORMAL</v>
      </c>
    </row>
    <row r="16" spans="1:22" x14ac:dyDescent="0.35">
      <c r="A16" t="s">
        <v>106</v>
      </c>
      <c r="B16" t="s">
        <v>107</v>
      </c>
      <c r="C16">
        <v>166.99</v>
      </c>
      <c r="D16" s="1">
        <v>44970.704131944447</v>
      </c>
      <c r="E16" s="2">
        <f t="shared" si="0"/>
        <v>0.70413194444699911</v>
      </c>
      <c r="F16" s="3">
        <f t="shared" si="1"/>
        <v>44970</v>
      </c>
      <c r="G16" t="s">
        <v>17</v>
      </c>
      <c r="H16" t="s">
        <v>108</v>
      </c>
      <c r="I16" t="s">
        <v>109</v>
      </c>
      <c r="J16" t="s">
        <v>110</v>
      </c>
      <c r="K16" t="s">
        <v>111</v>
      </c>
      <c r="L16" t="s">
        <v>36</v>
      </c>
      <c r="M16">
        <v>18</v>
      </c>
      <c r="N16" t="s">
        <v>37</v>
      </c>
      <c r="O16">
        <v>134</v>
      </c>
      <c r="P16">
        <v>1</v>
      </c>
      <c r="Q16">
        <v>299.93</v>
      </c>
      <c r="R16" s="4">
        <v>45600</v>
      </c>
      <c r="S16" s="6">
        <v>0.34038194444444442</v>
      </c>
      <c r="T16">
        <f t="shared" si="2"/>
        <v>16</v>
      </c>
      <c r="U16" t="str" cm="1">
        <f t="array" ref="U16">_xlfn.IFS(M16&lt;=34,"YOUNG",M16&lt;=54,"MIDDLE AGE",M16&gt;=55,"OLD")</f>
        <v>YOUNG</v>
      </c>
      <c r="V16" t="str">
        <f t="shared" si="3"/>
        <v>NORMAL</v>
      </c>
    </row>
    <row r="17" spans="1:22" x14ac:dyDescent="0.35">
      <c r="A17" t="s">
        <v>112</v>
      </c>
      <c r="B17" t="s">
        <v>113</v>
      </c>
      <c r="C17">
        <v>465.45</v>
      </c>
      <c r="D17" s="1">
        <v>45272.682997685188</v>
      </c>
      <c r="E17" s="2">
        <f t="shared" si="0"/>
        <v>0.68299768518772908</v>
      </c>
      <c r="F17" s="3">
        <f t="shared" si="1"/>
        <v>45272</v>
      </c>
      <c r="G17" t="s">
        <v>17</v>
      </c>
      <c r="H17" t="s">
        <v>114</v>
      </c>
      <c r="I17" t="s">
        <v>115</v>
      </c>
      <c r="J17" t="s">
        <v>116</v>
      </c>
      <c r="K17" t="s">
        <v>105</v>
      </c>
      <c r="L17" t="s">
        <v>22</v>
      </c>
      <c r="M17">
        <v>36</v>
      </c>
      <c r="N17" t="s">
        <v>77</v>
      </c>
      <c r="O17">
        <v>129</v>
      </c>
      <c r="P17">
        <v>1</v>
      </c>
      <c r="Q17">
        <v>3465.54</v>
      </c>
      <c r="R17" s="4">
        <v>45600</v>
      </c>
      <c r="S17" s="6">
        <v>0.34188657407407408</v>
      </c>
      <c r="T17">
        <f t="shared" si="2"/>
        <v>16</v>
      </c>
      <c r="U17" t="str" cm="1">
        <f t="array" ref="U17">_xlfn.IFS(M17&lt;=34,"YOUNG",M17&lt;=54,"MIDDLE AGE",M17&gt;=55,"OLD")</f>
        <v>MIDDLE AGE</v>
      </c>
      <c r="V17" t="str">
        <f t="shared" si="3"/>
        <v>NORMAL</v>
      </c>
    </row>
    <row r="18" spans="1:22" x14ac:dyDescent="0.35">
      <c r="A18" t="s">
        <v>117</v>
      </c>
      <c r="B18" t="s">
        <v>118</v>
      </c>
      <c r="C18">
        <v>555.79999999999995</v>
      </c>
      <c r="D18" s="1">
        <v>45229.703344907408</v>
      </c>
      <c r="E18" s="2">
        <f t="shared" si="0"/>
        <v>0.70334490740788169</v>
      </c>
      <c r="F18" s="3">
        <f t="shared" si="1"/>
        <v>45229</v>
      </c>
      <c r="G18" t="s">
        <v>46</v>
      </c>
      <c r="H18" t="s">
        <v>119</v>
      </c>
      <c r="I18" t="s">
        <v>120</v>
      </c>
      <c r="J18" t="s">
        <v>121</v>
      </c>
      <c r="K18" t="s">
        <v>122</v>
      </c>
      <c r="L18" t="s">
        <v>69</v>
      </c>
      <c r="M18">
        <v>19</v>
      </c>
      <c r="N18" t="s">
        <v>37</v>
      </c>
      <c r="O18">
        <v>158</v>
      </c>
      <c r="P18">
        <v>1</v>
      </c>
      <c r="Q18">
        <v>1131.26</v>
      </c>
      <c r="R18" s="4">
        <v>45600</v>
      </c>
      <c r="S18" s="6">
        <v>0.33859953703703705</v>
      </c>
      <c r="T18">
        <f t="shared" si="2"/>
        <v>16</v>
      </c>
      <c r="U18" t="str" cm="1">
        <f t="array" ref="U18">_xlfn.IFS(M18&lt;=34,"YOUNG",M18&lt;=54,"MIDDLE AGE",M18&gt;=55,"OLD")</f>
        <v>YOUNG</v>
      </c>
      <c r="V18" t="str">
        <f t="shared" si="3"/>
        <v>NORMAL</v>
      </c>
    </row>
    <row r="19" spans="1:22" x14ac:dyDescent="0.35">
      <c r="A19" t="s">
        <v>123</v>
      </c>
      <c r="B19" t="s">
        <v>124</v>
      </c>
      <c r="C19">
        <v>492.93</v>
      </c>
      <c r="D19" s="1">
        <v>45274.77238425926</v>
      </c>
      <c r="E19" s="2">
        <f t="shared" si="0"/>
        <v>0.77238425926043419</v>
      </c>
      <c r="F19" s="3">
        <f t="shared" si="1"/>
        <v>45274</v>
      </c>
      <c r="G19" t="s">
        <v>17</v>
      </c>
      <c r="H19" t="s">
        <v>125</v>
      </c>
      <c r="I19" t="s">
        <v>126</v>
      </c>
      <c r="J19" t="s">
        <v>127</v>
      </c>
      <c r="K19" t="s">
        <v>128</v>
      </c>
      <c r="L19" t="s">
        <v>36</v>
      </c>
      <c r="M19">
        <v>39</v>
      </c>
      <c r="N19" t="s">
        <v>77</v>
      </c>
      <c r="O19">
        <v>234</v>
      </c>
      <c r="P19">
        <v>1</v>
      </c>
      <c r="Q19">
        <v>5109.97</v>
      </c>
      <c r="R19" s="4">
        <v>45600</v>
      </c>
      <c r="S19" s="6">
        <v>0.34156249999999999</v>
      </c>
      <c r="T19">
        <f t="shared" si="2"/>
        <v>18</v>
      </c>
      <c r="U19" t="str" cm="1">
        <f t="array" ref="U19">_xlfn.IFS(M19&lt;=34,"YOUNG",M19&lt;=54,"MIDDLE AGE",M19&gt;=55,"OLD")</f>
        <v>MIDDLE AGE</v>
      </c>
      <c r="V19" t="str">
        <f t="shared" si="3"/>
        <v>NORMAL</v>
      </c>
    </row>
    <row r="20" spans="1:22" x14ac:dyDescent="0.35">
      <c r="A20" t="s">
        <v>129</v>
      </c>
      <c r="B20" t="s">
        <v>130</v>
      </c>
      <c r="C20">
        <v>18.68</v>
      </c>
      <c r="D20" s="1">
        <v>44978.706134259257</v>
      </c>
      <c r="E20" s="2">
        <f t="shared" si="0"/>
        <v>0.70613425925694173</v>
      </c>
      <c r="F20" s="3">
        <f t="shared" si="1"/>
        <v>44978</v>
      </c>
      <c r="G20" t="s">
        <v>46</v>
      </c>
      <c r="H20" t="s">
        <v>86</v>
      </c>
      <c r="I20" t="s">
        <v>131</v>
      </c>
      <c r="J20" t="s">
        <v>132</v>
      </c>
      <c r="K20" t="s">
        <v>56</v>
      </c>
      <c r="L20" t="s">
        <v>69</v>
      </c>
      <c r="M20">
        <v>59</v>
      </c>
      <c r="N20" t="s">
        <v>70</v>
      </c>
      <c r="O20">
        <v>106</v>
      </c>
      <c r="P20">
        <v>1</v>
      </c>
      <c r="Q20">
        <v>7948.37</v>
      </c>
      <c r="R20" s="4">
        <v>45600</v>
      </c>
      <c r="S20" s="6">
        <v>0.34167824074074077</v>
      </c>
      <c r="T20">
        <f t="shared" si="2"/>
        <v>16</v>
      </c>
      <c r="U20" t="str" cm="1">
        <f t="array" ref="U20">_xlfn.IFS(M20&lt;=34,"YOUNG",M20&lt;=54,"MIDDLE AGE",M20&gt;=55,"OLD")</f>
        <v>OLD</v>
      </c>
      <c r="V20" t="str">
        <f t="shared" si="3"/>
        <v>NORMAL</v>
      </c>
    </row>
    <row r="21" spans="1:22" x14ac:dyDescent="0.35">
      <c r="A21" t="s">
        <v>133</v>
      </c>
      <c r="B21" t="s">
        <v>134</v>
      </c>
      <c r="C21">
        <v>71.48</v>
      </c>
      <c r="D21" s="1">
        <v>45085.763078703705</v>
      </c>
      <c r="E21" s="2">
        <f t="shared" si="0"/>
        <v>0.763078703705105</v>
      </c>
      <c r="F21" s="3">
        <f t="shared" si="1"/>
        <v>45085</v>
      </c>
      <c r="G21" t="s">
        <v>46</v>
      </c>
      <c r="H21" t="s">
        <v>125</v>
      </c>
      <c r="I21" t="s">
        <v>135</v>
      </c>
      <c r="J21" t="s">
        <v>136</v>
      </c>
      <c r="K21" t="s">
        <v>137</v>
      </c>
      <c r="L21" t="s">
        <v>36</v>
      </c>
      <c r="M21">
        <v>18</v>
      </c>
      <c r="N21" t="s">
        <v>37</v>
      </c>
      <c r="O21">
        <v>169</v>
      </c>
      <c r="P21">
        <v>1</v>
      </c>
      <c r="Q21">
        <v>6568.59</v>
      </c>
      <c r="R21" s="4">
        <v>45600</v>
      </c>
      <c r="S21" s="6">
        <v>0.33981481481481479</v>
      </c>
      <c r="T21">
        <f t="shared" si="2"/>
        <v>18</v>
      </c>
      <c r="U21" t="str" cm="1">
        <f t="array" ref="U21">_xlfn.IFS(M21&lt;=34,"YOUNG",M21&lt;=54,"MIDDLE AGE",M21&gt;=55,"OLD")</f>
        <v>YOUNG</v>
      </c>
      <c r="V21" t="str">
        <f t="shared" si="3"/>
        <v>NORMAL</v>
      </c>
    </row>
    <row r="22" spans="1:22" x14ac:dyDescent="0.35">
      <c r="A22" t="s">
        <v>138</v>
      </c>
      <c r="B22" t="s">
        <v>139</v>
      </c>
      <c r="C22">
        <v>59.32</v>
      </c>
      <c r="D22" s="1">
        <v>44985.692337962966</v>
      </c>
      <c r="E22" s="2">
        <f t="shared" si="0"/>
        <v>0.69233796296612127</v>
      </c>
      <c r="F22" s="3">
        <f t="shared" si="1"/>
        <v>44985</v>
      </c>
      <c r="G22" t="s">
        <v>17</v>
      </c>
      <c r="H22" t="s">
        <v>140</v>
      </c>
      <c r="I22" t="s">
        <v>141</v>
      </c>
      <c r="J22" t="s">
        <v>142</v>
      </c>
      <c r="K22" t="s">
        <v>143</v>
      </c>
      <c r="L22" t="s">
        <v>69</v>
      </c>
      <c r="M22">
        <v>71</v>
      </c>
      <c r="N22" t="s">
        <v>70</v>
      </c>
      <c r="O22">
        <v>38</v>
      </c>
      <c r="P22">
        <v>1</v>
      </c>
      <c r="Q22">
        <v>5750.89</v>
      </c>
      <c r="R22" s="4">
        <v>45600</v>
      </c>
      <c r="S22" s="6">
        <v>0.33986111111111111</v>
      </c>
      <c r="T22">
        <f t="shared" si="2"/>
        <v>16</v>
      </c>
      <c r="U22" t="str" cm="1">
        <f t="array" ref="U22">_xlfn.IFS(M22&lt;=34,"YOUNG",M22&lt;=54,"MIDDLE AGE",M22&gt;=55,"OLD")</f>
        <v>OLD</v>
      </c>
      <c r="V22" t="str">
        <f t="shared" si="3"/>
        <v>NORMAL</v>
      </c>
    </row>
    <row r="23" spans="1:22" x14ac:dyDescent="0.35">
      <c r="A23" t="s">
        <v>144</v>
      </c>
      <c r="B23" t="s">
        <v>145</v>
      </c>
      <c r="C23">
        <v>85.77</v>
      </c>
      <c r="D23" s="1">
        <v>45149.771886574075</v>
      </c>
      <c r="E23" s="2">
        <f t="shared" si="0"/>
        <v>0.77188657407532446</v>
      </c>
      <c r="F23" s="3">
        <f t="shared" si="1"/>
        <v>45149</v>
      </c>
      <c r="G23" t="s">
        <v>17</v>
      </c>
      <c r="H23" t="s">
        <v>146</v>
      </c>
      <c r="I23" t="s">
        <v>147</v>
      </c>
      <c r="J23" t="s">
        <v>148</v>
      </c>
      <c r="K23" t="s">
        <v>149</v>
      </c>
      <c r="L23" t="s">
        <v>69</v>
      </c>
      <c r="M23">
        <v>38</v>
      </c>
      <c r="N23" t="s">
        <v>23</v>
      </c>
      <c r="O23">
        <v>93</v>
      </c>
      <c r="P23">
        <v>1</v>
      </c>
      <c r="Q23">
        <v>9146.19</v>
      </c>
      <c r="R23" s="4">
        <v>45600</v>
      </c>
      <c r="S23" s="6">
        <v>0.33903935185185186</v>
      </c>
      <c r="T23">
        <f t="shared" si="2"/>
        <v>18</v>
      </c>
      <c r="U23" t="str" cm="1">
        <f t="array" ref="U23">_xlfn.IFS(M23&lt;=34,"YOUNG",M23&lt;=54,"MIDDLE AGE",M23&gt;=55,"OLD")</f>
        <v>MIDDLE AGE</v>
      </c>
      <c r="V23" t="str">
        <f t="shared" si="3"/>
        <v>NORMAL</v>
      </c>
    </row>
    <row r="24" spans="1:22" x14ac:dyDescent="0.35">
      <c r="A24" t="s">
        <v>150</v>
      </c>
      <c r="B24" t="s">
        <v>151</v>
      </c>
      <c r="C24">
        <v>52.2</v>
      </c>
      <c r="D24" s="1">
        <v>45083.787673611114</v>
      </c>
      <c r="E24" s="2">
        <f t="shared" si="0"/>
        <v>0.78767361111385981</v>
      </c>
      <c r="F24" s="3">
        <f t="shared" si="1"/>
        <v>45083</v>
      </c>
      <c r="G24" t="s">
        <v>17</v>
      </c>
      <c r="H24" t="s">
        <v>47</v>
      </c>
      <c r="I24" t="s">
        <v>152</v>
      </c>
      <c r="J24" t="s">
        <v>153</v>
      </c>
      <c r="K24" t="s">
        <v>154</v>
      </c>
      <c r="L24" t="s">
        <v>36</v>
      </c>
      <c r="M24">
        <v>39</v>
      </c>
      <c r="N24" t="s">
        <v>77</v>
      </c>
      <c r="O24">
        <v>120</v>
      </c>
      <c r="P24">
        <v>1</v>
      </c>
      <c r="Q24">
        <v>8974.93</v>
      </c>
      <c r="R24" s="4">
        <v>45600</v>
      </c>
      <c r="S24" s="6">
        <v>0.3382060185185185</v>
      </c>
      <c r="T24">
        <f t="shared" si="2"/>
        <v>18</v>
      </c>
      <c r="U24" t="str" cm="1">
        <f t="array" ref="U24">_xlfn.IFS(M24&lt;=34,"YOUNG",M24&lt;=54,"MIDDLE AGE",M24&gt;=55,"OLD")</f>
        <v>MIDDLE AGE</v>
      </c>
      <c r="V24" t="str">
        <f t="shared" si="3"/>
        <v>NORMAL</v>
      </c>
    </row>
    <row r="25" spans="1:22" x14ac:dyDescent="0.35">
      <c r="A25" t="s">
        <v>155</v>
      </c>
      <c r="B25" t="s">
        <v>156</v>
      </c>
      <c r="C25">
        <v>345.84</v>
      </c>
      <c r="D25" s="1">
        <v>45048.767893518518</v>
      </c>
      <c r="E25" s="2">
        <f t="shared" si="0"/>
        <v>0.76789351851766696</v>
      </c>
      <c r="F25" s="3">
        <f t="shared" si="1"/>
        <v>45048</v>
      </c>
      <c r="G25" t="s">
        <v>17</v>
      </c>
      <c r="H25" t="s">
        <v>157</v>
      </c>
      <c r="I25" t="s">
        <v>158</v>
      </c>
      <c r="J25" t="s">
        <v>159</v>
      </c>
      <c r="K25" t="s">
        <v>160</v>
      </c>
      <c r="L25" t="s">
        <v>36</v>
      </c>
      <c r="M25">
        <v>22</v>
      </c>
      <c r="N25" t="s">
        <v>37</v>
      </c>
      <c r="O25">
        <v>142</v>
      </c>
      <c r="P25">
        <v>3</v>
      </c>
      <c r="Q25">
        <v>1402.5</v>
      </c>
      <c r="R25" s="4">
        <v>45600</v>
      </c>
      <c r="S25" s="6">
        <v>0.33824074074074073</v>
      </c>
      <c r="T25">
        <f t="shared" si="2"/>
        <v>18</v>
      </c>
      <c r="U25" t="str" cm="1">
        <f t="array" ref="U25">_xlfn.IFS(M25&lt;=34,"YOUNG",M25&lt;=54,"MIDDLE AGE",M25&gt;=55,"OLD")</f>
        <v>YOUNG</v>
      </c>
      <c r="V25" t="str">
        <f t="shared" si="3"/>
        <v>HIGH</v>
      </c>
    </row>
    <row r="26" spans="1:22" x14ac:dyDescent="0.35">
      <c r="A26" t="s">
        <v>161</v>
      </c>
      <c r="B26" t="s">
        <v>162</v>
      </c>
      <c r="C26">
        <v>145.54</v>
      </c>
      <c r="D26" s="1">
        <v>44987.697175925925</v>
      </c>
      <c r="E26" s="2">
        <f t="shared" si="0"/>
        <v>0.69717592592496658</v>
      </c>
      <c r="F26" s="3">
        <f t="shared" si="1"/>
        <v>44987</v>
      </c>
      <c r="G26" t="s">
        <v>17</v>
      </c>
      <c r="H26" t="s">
        <v>40</v>
      </c>
      <c r="I26" t="s">
        <v>163</v>
      </c>
      <c r="J26" t="s">
        <v>164</v>
      </c>
      <c r="K26" t="s">
        <v>165</v>
      </c>
      <c r="L26" t="s">
        <v>36</v>
      </c>
      <c r="M26">
        <v>21</v>
      </c>
      <c r="N26" t="s">
        <v>37</v>
      </c>
      <c r="O26">
        <v>96</v>
      </c>
      <c r="P26">
        <v>1</v>
      </c>
      <c r="Q26">
        <v>1930.96</v>
      </c>
      <c r="R26" s="4">
        <v>45600</v>
      </c>
      <c r="S26" s="6">
        <v>0.33829861111111109</v>
      </c>
      <c r="T26">
        <f t="shared" si="2"/>
        <v>16</v>
      </c>
      <c r="U26" t="str" cm="1">
        <f t="array" ref="U26">_xlfn.IFS(M26&lt;=34,"YOUNG",M26&lt;=54,"MIDDLE AGE",M26&gt;=55,"OLD")</f>
        <v>YOUNG</v>
      </c>
      <c r="V26" t="str">
        <f t="shared" si="3"/>
        <v>NORMAL</v>
      </c>
    </row>
    <row r="27" spans="1:22" x14ac:dyDescent="0.35">
      <c r="A27" t="s">
        <v>166</v>
      </c>
      <c r="B27" t="s">
        <v>167</v>
      </c>
      <c r="C27">
        <v>7.49</v>
      </c>
      <c r="D27" s="1">
        <v>45219.745289351849</v>
      </c>
      <c r="E27" s="2">
        <f t="shared" si="0"/>
        <v>0.74528935184935108</v>
      </c>
      <c r="F27" s="3">
        <f t="shared" si="1"/>
        <v>45219</v>
      </c>
      <c r="G27" t="s">
        <v>46</v>
      </c>
      <c r="H27" t="s">
        <v>26</v>
      </c>
      <c r="I27" t="s">
        <v>120</v>
      </c>
      <c r="J27" t="s">
        <v>168</v>
      </c>
      <c r="K27" t="s">
        <v>169</v>
      </c>
      <c r="L27" t="s">
        <v>36</v>
      </c>
      <c r="M27">
        <v>65</v>
      </c>
      <c r="N27" t="s">
        <v>70</v>
      </c>
      <c r="O27">
        <v>276</v>
      </c>
      <c r="P27">
        <v>1</v>
      </c>
      <c r="Q27">
        <v>3634.67</v>
      </c>
      <c r="R27" s="4">
        <v>45600</v>
      </c>
      <c r="S27" s="6">
        <v>0.34009259259259261</v>
      </c>
      <c r="T27">
        <f t="shared" si="2"/>
        <v>17</v>
      </c>
      <c r="U27" t="str" cm="1">
        <f t="array" ref="U27">_xlfn.IFS(M27&lt;=34,"YOUNG",M27&lt;=54,"MIDDLE AGE",M27&gt;=55,"OLD")</f>
        <v>OLD</v>
      </c>
      <c r="V27" t="str">
        <f t="shared" si="3"/>
        <v>NORMAL</v>
      </c>
    </row>
    <row r="28" spans="1:22" x14ac:dyDescent="0.35">
      <c r="A28" t="s">
        <v>170</v>
      </c>
      <c r="B28" t="s">
        <v>171</v>
      </c>
      <c r="C28">
        <v>246.93</v>
      </c>
      <c r="D28" s="1">
        <v>45033.692372685182</v>
      </c>
      <c r="E28" s="2">
        <f t="shared" si="0"/>
        <v>0.69237268518190831</v>
      </c>
      <c r="F28" s="3">
        <f t="shared" si="1"/>
        <v>45033</v>
      </c>
      <c r="G28" t="s">
        <v>17</v>
      </c>
      <c r="H28" t="s">
        <v>172</v>
      </c>
      <c r="I28" t="s">
        <v>173</v>
      </c>
      <c r="J28" t="s">
        <v>174</v>
      </c>
      <c r="K28" t="s">
        <v>175</v>
      </c>
      <c r="L28" t="s">
        <v>22</v>
      </c>
      <c r="M28">
        <v>23</v>
      </c>
      <c r="N28" t="s">
        <v>37</v>
      </c>
      <c r="O28">
        <v>158</v>
      </c>
      <c r="P28">
        <v>5</v>
      </c>
      <c r="Q28">
        <v>673.35</v>
      </c>
      <c r="R28" s="4">
        <v>45600</v>
      </c>
      <c r="S28" s="6">
        <v>0.34141203703703704</v>
      </c>
      <c r="T28">
        <f t="shared" si="2"/>
        <v>16</v>
      </c>
      <c r="U28" t="str" cm="1">
        <f t="array" ref="U28">_xlfn.IFS(M28&lt;=34,"YOUNG",M28&lt;=54,"MIDDLE AGE",M28&gt;=55,"OLD")</f>
        <v>YOUNG</v>
      </c>
      <c r="V28" t="str">
        <f t="shared" si="3"/>
        <v>HIGH</v>
      </c>
    </row>
    <row r="29" spans="1:22" x14ac:dyDescent="0.35">
      <c r="A29" t="s">
        <v>176</v>
      </c>
      <c r="B29" t="s">
        <v>177</v>
      </c>
      <c r="C29">
        <v>40.32</v>
      </c>
      <c r="D29" s="1">
        <v>45014.696273148147</v>
      </c>
      <c r="E29" s="2">
        <f t="shared" si="0"/>
        <v>0.69627314814715646</v>
      </c>
      <c r="F29" s="3">
        <f t="shared" si="1"/>
        <v>45014</v>
      </c>
      <c r="G29" t="s">
        <v>17</v>
      </c>
      <c r="H29" t="s">
        <v>178</v>
      </c>
      <c r="I29" t="s">
        <v>179</v>
      </c>
      <c r="J29" t="s">
        <v>180</v>
      </c>
      <c r="K29" t="s">
        <v>181</v>
      </c>
      <c r="L29" t="s">
        <v>69</v>
      </c>
      <c r="M29">
        <v>37</v>
      </c>
      <c r="N29" t="s">
        <v>77</v>
      </c>
      <c r="O29">
        <v>95</v>
      </c>
      <c r="P29">
        <v>1</v>
      </c>
      <c r="Q29">
        <v>2686.52</v>
      </c>
      <c r="R29" s="4">
        <v>45600</v>
      </c>
      <c r="S29" s="6">
        <v>0.34165509259259258</v>
      </c>
      <c r="T29">
        <f t="shared" si="2"/>
        <v>16</v>
      </c>
      <c r="U29" t="str" cm="1">
        <f t="array" ref="U29">_xlfn.IFS(M29&lt;=34,"YOUNG",M29&lt;=54,"MIDDLE AGE",M29&gt;=55,"OLD")</f>
        <v>MIDDLE AGE</v>
      </c>
      <c r="V29" t="str">
        <f t="shared" si="3"/>
        <v>NORMAL</v>
      </c>
    </row>
    <row r="30" spans="1:22" x14ac:dyDescent="0.35">
      <c r="A30" t="s">
        <v>182</v>
      </c>
      <c r="B30" t="s">
        <v>183</v>
      </c>
      <c r="C30">
        <v>127.45</v>
      </c>
      <c r="D30" s="1">
        <v>44950.679537037038</v>
      </c>
      <c r="E30" s="2">
        <f t="shared" si="0"/>
        <v>0.67953703703824431</v>
      </c>
      <c r="F30" s="3">
        <f t="shared" si="1"/>
        <v>44950</v>
      </c>
      <c r="G30" t="s">
        <v>17</v>
      </c>
      <c r="H30" t="s">
        <v>146</v>
      </c>
      <c r="I30" t="s">
        <v>184</v>
      </c>
      <c r="J30" t="s">
        <v>185</v>
      </c>
      <c r="K30" t="s">
        <v>186</v>
      </c>
      <c r="L30" t="s">
        <v>36</v>
      </c>
      <c r="M30">
        <v>44</v>
      </c>
      <c r="N30" t="s">
        <v>23</v>
      </c>
      <c r="O30">
        <v>197</v>
      </c>
      <c r="P30">
        <v>1</v>
      </c>
      <c r="Q30">
        <v>1772.06</v>
      </c>
      <c r="R30" s="4">
        <v>45600</v>
      </c>
      <c r="S30" s="6">
        <v>0.34122685185185186</v>
      </c>
      <c r="T30">
        <f t="shared" si="2"/>
        <v>16</v>
      </c>
      <c r="U30" t="str" cm="1">
        <f t="array" ref="U30">_xlfn.IFS(M30&lt;=34,"YOUNG",M30&lt;=54,"MIDDLE AGE",M30&gt;=55,"OLD")</f>
        <v>MIDDLE AGE</v>
      </c>
      <c r="V30" t="str">
        <f t="shared" si="3"/>
        <v>NORMAL</v>
      </c>
    </row>
    <row r="31" spans="1:22" x14ac:dyDescent="0.35">
      <c r="A31" t="s">
        <v>187</v>
      </c>
      <c r="B31" t="s">
        <v>188</v>
      </c>
      <c r="C31">
        <v>56.17</v>
      </c>
      <c r="D31" s="1">
        <v>45189.705347222225</v>
      </c>
      <c r="E31" s="2">
        <f t="shared" si="0"/>
        <v>0.70534722222510027</v>
      </c>
      <c r="F31" s="3">
        <f t="shared" si="1"/>
        <v>45189</v>
      </c>
      <c r="G31" t="s">
        <v>17</v>
      </c>
      <c r="H31" t="s">
        <v>73</v>
      </c>
      <c r="I31" t="s">
        <v>189</v>
      </c>
      <c r="J31" t="s">
        <v>190</v>
      </c>
      <c r="K31" t="s">
        <v>169</v>
      </c>
      <c r="L31" t="s">
        <v>69</v>
      </c>
      <c r="M31">
        <v>27</v>
      </c>
      <c r="N31" t="s">
        <v>37</v>
      </c>
      <c r="O31">
        <v>283</v>
      </c>
      <c r="P31">
        <v>1</v>
      </c>
      <c r="Q31">
        <v>1351.69</v>
      </c>
      <c r="R31" s="4">
        <v>45600</v>
      </c>
      <c r="S31" s="6">
        <v>0.33923611111111113</v>
      </c>
      <c r="T31">
        <f t="shared" si="2"/>
        <v>16</v>
      </c>
      <c r="U31" t="str" cm="1">
        <f t="array" ref="U31">_xlfn.IFS(M31&lt;=34,"YOUNG",M31&lt;=54,"MIDDLE AGE",M31&gt;=55,"OLD")</f>
        <v>YOUNG</v>
      </c>
      <c r="V31" t="str">
        <f t="shared" si="3"/>
        <v>NORMAL</v>
      </c>
    </row>
    <row r="32" spans="1:22" x14ac:dyDescent="0.35">
      <c r="A32" t="s">
        <v>191</v>
      </c>
      <c r="B32" t="s">
        <v>192</v>
      </c>
      <c r="C32">
        <v>28.31</v>
      </c>
      <c r="D32" s="1">
        <v>45124.742615740739</v>
      </c>
      <c r="E32" s="2">
        <f t="shared" si="0"/>
        <v>0.74261574073898373</v>
      </c>
      <c r="F32" s="3">
        <f t="shared" si="1"/>
        <v>45124</v>
      </c>
      <c r="G32" t="s">
        <v>46</v>
      </c>
      <c r="H32" t="s">
        <v>172</v>
      </c>
      <c r="I32" t="s">
        <v>193</v>
      </c>
      <c r="J32" t="s">
        <v>194</v>
      </c>
      <c r="K32" t="s">
        <v>50</v>
      </c>
      <c r="L32" t="s">
        <v>36</v>
      </c>
      <c r="M32">
        <v>59</v>
      </c>
      <c r="N32" t="s">
        <v>23</v>
      </c>
      <c r="O32">
        <v>20</v>
      </c>
      <c r="P32">
        <v>1</v>
      </c>
      <c r="Q32">
        <v>8334.4699999999993</v>
      </c>
      <c r="R32" s="4">
        <v>45600</v>
      </c>
      <c r="S32" s="6">
        <v>0.33978009259259262</v>
      </c>
      <c r="T32">
        <f t="shared" si="2"/>
        <v>17</v>
      </c>
      <c r="U32" t="str" cm="1">
        <f t="array" ref="U32">_xlfn.IFS(M32&lt;=34,"YOUNG",M32&lt;=54,"MIDDLE AGE",M32&gt;=55,"OLD")</f>
        <v>OLD</v>
      </c>
      <c r="V32" t="str">
        <f t="shared" si="3"/>
        <v>NORMAL</v>
      </c>
    </row>
    <row r="33" spans="1:22" x14ac:dyDescent="0.35">
      <c r="A33" t="s">
        <v>195</v>
      </c>
      <c r="B33" t="s">
        <v>196</v>
      </c>
      <c r="C33">
        <v>59.12</v>
      </c>
      <c r="D33" s="1">
        <v>44963.683611111112</v>
      </c>
      <c r="E33" s="2">
        <f t="shared" si="0"/>
        <v>0.6836111111115315</v>
      </c>
      <c r="F33" s="3">
        <f t="shared" si="1"/>
        <v>44963</v>
      </c>
      <c r="G33" t="s">
        <v>17</v>
      </c>
      <c r="H33" t="s">
        <v>197</v>
      </c>
      <c r="I33" t="s">
        <v>198</v>
      </c>
      <c r="J33" t="s">
        <v>199</v>
      </c>
      <c r="K33" t="s">
        <v>200</v>
      </c>
      <c r="L33" t="s">
        <v>22</v>
      </c>
      <c r="M33">
        <v>29</v>
      </c>
      <c r="N33" t="s">
        <v>23</v>
      </c>
      <c r="O33">
        <v>257</v>
      </c>
      <c r="P33">
        <v>1</v>
      </c>
      <c r="Q33">
        <v>9823.64</v>
      </c>
      <c r="R33" s="4">
        <v>45600</v>
      </c>
      <c r="S33" s="6">
        <v>0.33817129629629628</v>
      </c>
      <c r="T33">
        <f t="shared" si="2"/>
        <v>16</v>
      </c>
      <c r="U33" t="str" cm="1">
        <f t="array" ref="U33">_xlfn.IFS(M33&lt;=34,"YOUNG",M33&lt;=54,"MIDDLE AGE",M33&gt;=55,"OLD")</f>
        <v>YOUNG</v>
      </c>
      <c r="V33" t="str">
        <f t="shared" si="3"/>
        <v>NORMAL</v>
      </c>
    </row>
    <row r="34" spans="1:22" x14ac:dyDescent="0.35">
      <c r="A34" t="s">
        <v>201</v>
      </c>
      <c r="B34" t="s">
        <v>202</v>
      </c>
      <c r="C34">
        <v>396.45</v>
      </c>
      <c r="D34" s="1">
        <v>45194.68472222222</v>
      </c>
      <c r="E34" s="2">
        <f t="shared" si="0"/>
        <v>0.68472222222044365</v>
      </c>
      <c r="F34" s="3">
        <f t="shared" si="1"/>
        <v>45194</v>
      </c>
      <c r="G34" t="s">
        <v>17</v>
      </c>
      <c r="H34" t="s">
        <v>203</v>
      </c>
      <c r="I34" t="s">
        <v>204</v>
      </c>
      <c r="J34" t="s">
        <v>205</v>
      </c>
      <c r="K34" t="s">
        <v>83</v>
      </c>
      <c r="L34" t="s">
        <v>22</v>
      </c>
      <c r="M34">
        <v>49</v>
      </c>
      <c r="N34" t="s">
        <v>77</v>
      </c>
      <c r="O34">
        <v>168</v>
      </c>
      <c r="P34">
        <v>3</v>
      </c>
      <c r="Q34">
        <v>9690.15</v>
      </c>
      <c r="R34" s="4">
        <v>45600</v>
      </c>
      <c r="S34" s="6">
        <v>0.34112268518518518</v>
      </c>
      <c r="T34">
        <f t="shared" si="2"/>
        <v>16</v>
      </c>
      <c r="U34" t="str" cm="1">
        <f t="array" ref="U34">_xlfn.IFS(M34&lt;=34,"YOUNG",M34&lt;=54,"MIDDLE AGE",M34&gt;=55,"OLD")</f>
        <v>MIDDLE AGE</v>
      </c>
      <c r="V34" t="str">
        <f t="shared" si="3"/>
        <v>HIGH</v>
      </c>
    </row>
    <row r="35" spans="1:22" x14ac:dyDescent="0.35">
      <c r="A35" t="s">
        <v>206</v>
      </c>
      <c r="B35" t="s">
        <v>124</v>
      </c>
      <c r="C35">
        <v>877.81</v>
      </c>
      <c r="D35" s="1">
        <v>44998.724583333336</v>
      </c>
      <c r="E35" s="2">
        <f t="shared" si="0"/>
        <v>0.72458333333634073</v>
      </c>
      <c r="F35" s="3">
        <f t="shared" si="1"/>
        <v>44998</v>
      </c>
      <c r="G35" t="s">
        <v>17</v>
      </c>
      <c r="H35" t="s">
        <v>140</v>
      </c>
      <c r="I35" t="s">
        <v>207</v>
      </c>
      <c r="J35" t="s">
        <v>208</v>
      </c>
      <c r="K35" t="s">
        <v>209</v>
      </c>
      <c r="L35" t="s">
        <v>36</v>
      </c>
      <c r="M35">
        <v>22</v>
      </c>
      <c r="N35" t="s">
        <v>37</v>
      </c>
      <c r="O35">
        <v>150</v>
      </c>
      <c r="P35">
        <v>1</v>
      </c>
      <c r="Q35">
        <v>399</v>
      </c>
      <c r="R35" s="4">
        <v>45600</v>
      </c>
      <c r="S35" s="6">
        <v>0.33877314814814813</v>
      </c>
      <c r="T35">
        <f t="shared" si="2"/>
        <v>17</v>
      </c>
      <c r="U35" t="str" cm="1">
        <f t="array" ref="U35">_xlfn.IFS(M35&lt;=34,"YOUNG",M35&lt;=54,"MIDDLE AGE",M35&gt;=55,"OLD")</f>
        <v>YOUNG</v>
      </c>
      <c r="V35" t="str">
        <f t="shared" si="3"/>
        <v>NORMAL</v>
      </c>
    </row>
    <row r="36" spans="1:22" x14ac:dyDescent="0.35">
      <c r="A36" t="s">
        <v>210</v>
      </c>
      <c r="B36" t="s">
        <v>211</v>
      </c>
      <c r="C36">
        <v>255.26</v>
      </c>
      <c r="D36" s="1">
        <v>45226.696400462963</v>
      </c>
      <c r="E36" s="2">
        <f t="shared" si="0"/>
        <v>0.69640046296262881</v>
      </c>
      <c r="F36" s="3">
        <f t="shared" si="1"/>
        <v>45226</v>
      </c>
      <c r="G36" t="s">
        <v>46</v>
      </c>
      <c r="H36" t="s">
        <v>212</v>
      </c>
      <c r="I36" t="s">
        <v>213</v>
      </c>
      <c r="J36" t="s">
        <v>67</v>
      </c>
      <c r="K36" t="s">
        <v>43</v>
      </c>
      <c r="L36" t="s">
        <v>69</v>
      </c>
      <c r="M36">
        <v>45</v>
      </c>
      <c r="N36" t="s">
        <v>23</v>
      </c>
      <c r="O36">
        <v>50</v>
      </c>
      <c r="P36">
        <v>1</v>
      </c>
      <c r="Q36">
        <v>14815.87</v>
      </c>
      <c r="R36" s="4">
        <v>45600</v>
      </c>
      <c r="S36" s="6">
        <v>0.34086805555555555</v>
      </c>
      <c r="T36">
        <f t="shared" si="2"/>
        <v>16</v>
      </c>
      <c r="U36" t="str" cm="1">
        <f t="array" ref="U36">_xlfn.IFS(M36&lt;=34,"YOUNG",M36&lt;=54,"MIDDLE AGE",M36&gt;=55,"OLD")</f>
        <v>MIDDLE AGE</v>
      </c>
      <c r="V36" t="str">
        <f t="shared" si="3"/>
        <v>NORMAL</v>
      </c>
    </row>
    <row r="37" spans="1:22" x14ac:dyDescent="0.35">
      <c r="A37" t="s">
        <v>214</v>
      </c>
      <c r="B37" t="s">
        <v>215</v>
      </c>
      <c r="C37">
        <v>124.76</v>
      </c>
      <c r="D37" s="1">
        <v>45215.68953703704</v>
      </c>
      <c r="E37" s="2">
        <f t="shared" si="0"/>
        <v>0.68953703704028158</v>
      </c>
      <c r="F37" s="3">
        <f t="shared" si="1"/>
        <v>45215</v>
      </c>
      <c r="G37" t="s">
        <v>17</v>
      </c>
      <c r="H37" t="s">
        <v>59</v>
      </c>
      <c r="I37" t="s">
        <v>216</v>
      </c>
      <c r="J37" t="s">
        <v>217</v>
      </c>
      <c r="K37" t="s">
        <v>43</v>
      </c>
      <c r="L37" t="s">
        <v>69</v>
      </c>
      <c r="M37">
        <v>49</v>
      </c>
      <c r="N37" t="s">
        <v>77</v>
      </c>
      <c r="O37">
        <v>45</v>
      </c>
      <c r="P37">
        <v>1</v>
      </c>
      <c r="Q37">
        <v>5764.72</v>
      </c>
      <c r="R37" s="4">
        <v>45600</v>
      </c>
      <c r="S37" s="6">
        <v>0.33776620370370369</v>
      </c>
      <c r="T37">
        <f t="shared" si="2"/>
        <v>16</v>
      </c>
      <c r="U37" t="str" cm="1">
        <f t="array" ref="U37">_xlfn.IFS(M37&lt;=34,"YOUNG",M37&lt;=54,"MIDDLE AGE",M37&gt;=55,"OLD")</f>
        <v>MIDDLE AGE</v>
      </c>
      <c r="V37" t="str">
        <f t="shared" si="3"/>
        <v>NORMAL</v>
      </c>
    </row>
    <row r="38" spans="1:22" x14ac:dyDescent="0.35">
      <c r="A38" t="s">
        <v>218</v>
      </c>
      <c r="B38" t="s">
        <v>219</v>
      </c>
      <c r="C38">
        <v>78.13</v>
      </c>
      <c r="D38" s="1">
        <v>45251.707453703704</v>
      </c>
      <c r="E38" s="2">
        <f t="shared" si="0"/>
        <v>0.70745370370423188</v>
      </c>
      <c r="F38" s="3">
        <f t="shared" si="1"/>
        <v>45251</v>
      </c>
      <c r="G38" t="s">
        <v>17</v>
      </c>
      <c r="H38" t="s">
        <v>178</v>
      </c>
      <c r="I38" t="s">
        <v>220</v>
      </c>
      <c r="J38" t="s">
        <v>190</v>
      </c>
      <c r="K38" t="s">
        <v>165</v>
      </c>
      <c r="L38" t="s">
        <v>69</v>
      </c>
      <c r="M38">
        <v>26</v>
      </c>
      <c r="N38" t="s">
        <v>37</v>
      </c>
      <c r="O38">
        <v>145</v>
      </c>
      <c r="P38">
        <v>1</v>
      </c>
      <c r="Q38">
        <v>900.61</v>
      </c>
      <c r="R38" s="4">
        <v>45600</v>
      </c>
      <c r="S38" s="6">
        <v>0.34187499999999998</v>
      </c>
      <c r="T38">
        <f t="shared" si="2"/>
        <v>16</v>
      </c>
      <c r="U38" t="str" cm="1">
        <f t="array" ref="U38">_xlfn.IFS(M38&lt;=34,"YOUNG",M38&lt;=54,"MIDDLE AGE",M38&gt;=55,"OLD")</f>
        <v>YOUNG</v>
      </c>
      <c r="V38" t="str">
        <f t="shared" si="3"/>
        <v>NORMAL</v>
      </c>
    </row>
    <row r="39" spans="1:22" x14ac:dyDescent="0.35">
      <c r="A39" t="s">
        <v>221</v>
      </c>
      <c r="B39" t="s">
        <v>222</v>
      </c>
      <c r="C39">
        <v>649.28</v>
      </c>
      <c r="D39" s="1">
        <v>44987.745509259257</v>
      </c>
      <c r="E39" s="2">
        <f t="shared" si="0"/>
        <v>0.74550925925723277</v>
      </c>
      <c r="F39" s="3">
        <f t="shared" si="1"/>
        <v>44987</v>
      </c>
      <c r="G39" t="s">
        <v>17</v>
      </c>
      <c r="H39" t="s">
        <v>223</v>
      </c>
      <c r="I39" t="s">
        <v>224</v>
      </c>
      <c r="J39" t="s">
        <v>225</v>
      </c>
      <c r="K39" t="s">
        <v>226</v>
      </c>
      <c r="L39" t="s">
        <v>22</v>
      </c>
      <c r="M39">
        <v>75</v>
      </c>
      <c r="N39" t="s">
        <v>70</v>
      </c>
      <c r="O39">
        <v>137</v>
      </c>
      <c r="P39">
        <v>1</v>
      </c>
      <c r="Q39">
        <v>4875.8599999999997</v>
      </c>
      <c r="R39" s="4">
        <v>45600</v>
      </c>
      <c r="S39" s="6">
        <v>0.34114583333333331</v>
      </c>
      <c r="T39">
        <f t="shared" si="2"/>
        <v>17</v>
      </c>
      <c r="U39" t="str" cm="1">
        <f t="array" ref="U39">_xlfn.IFS(M39&lt;=34,"YOUNG",M39&lt;=54,"MIDDLE AGE",M39&gt;=55,"OLD")</f>
        <v>OLD</v>
      </c>
      <c r="V39" t="str">
        <f t="shared" si="3"/>
        <v>NORMAL</v>
      </c>
    </row>
    <row r="40" spans="1:22" x14ac:dyDescent="0.35">
      <c r="A40" t="s">
        <v>227</v>
      </c>
      <c r="B40" t="s">
        <v>228</v>
      </c>
      <c r="C40">
        <v>795.31</v>
      </c>
      <c r="D40" s="1">
        <v>45211.71365740741</v>
      </c>
      <c r="E40" s="2">
        <f t="shared" si="0"/>
        <v>0.71365740741021</v>
      </c>
      <c r="F40" s="3">
        <f t="shared" si="1"/>
        <v>45211</v>
      </c>
      <c r="G40" t="s">
        <v>17</v>
      </c>
      <c r="H40" t="s">
        <v>32</v>
      </c>
      <c r="I40" t="s">
        <v>229</v>
      </c>
      <c r="J40" t="s">
        <v>230</v>
      </c>
      <c r="K40" t="s">
        <v>122</v>
      </c>
      <c r="L40" t="s">
        <v>22</v>
      </c>
      <c r="M40">
        <v>66</v>
      </c>
      <c r="N40" t="s">
        <v>23</v>
      </c>
      <c r="O40">
        <v>90</v>
      </c>
      <c r="P40">
        <v>2</v>
      </c>
      <c r="Q40">
        <v>7914.88</v>
      </c>
      <c r="R40" s="4">
        <v>45600</v>
      </c>
      <c r="S40" s="6">
        <v>0.3411689814814815</v>
      </c>
      <c r="T40">
        <f t="shared" si="2"/>
        <v>17</v>
      </c>
      <c r="U40" t="str" cm="1">
        <f t="array" ref="U40">_xlfn.IFS(M40&lt;=34,"YOUNG",M40&lt;=54,"MIDDLE AGE",M40&gt;=55,"OLD")</f>
        <v>OLD</v>
      </c>
      <c r="V40" t="str">
        <f t="shared" si="3"/>
        <v>HIGH</v>
      </c>
    </row>
    <row r="41" spans="1:22" x14ac:dyDescent="0.35">
      <c r="A41" t="s">
        <v>231</v>
      </c>
      <c r="B41" t="s">
        <v>232</v>
      </c>
      <c r="C41">
        <v>335.63</v>
      </c>
      <c r="D41" s="1">
        <v>44950.720370370371</v>
      </c>
      <c r="E41" s="2">
        <f t="shared" si="0"/>
        <v>0.72037037037080154</v>
      </c>
      <c r="F41" s="3">
        <f t="shared" si="1"/>
        <v>44950</v>
      </c>
      <c r="G41" t="s">
        <v>17</v>
      </c>
      <c r="H41" t="s">
        <v>53</v>
      </c>
      <c r="I41" t="s">
        <v>233</v>
      </c>
      <c r="J41" t="s">
        <v>234</v>
      </c>
      <c r="K41" t="s">
        <v>143</v>
      </c>
      <c r="L41" t="s">
        <v>36</v>
      </c>
      <c r="M41">
        <v>55</v>
      </c>
      <c r="N41" t="s">
        <v>70</v>
      </c>
      <c r="O41">
        <v>216</v>
      </c>
      <c r="P41">
        <v>1</v>
      </c>
      <c r="Q41">
        <v>1019.39</v>
      </c>
      <c r="R41" s="4">
        <v>45600</v>
      </c>
      <c r="S41" s="6">
        <v>0.33856481481481482</v>
      </c>
      <c r="T41">
        <f t="shared" si="2"/>
        <v>17</v>
      </c>
      <c r="U41" t="str" cm="1">
        <f t="array" ref="U41">_xlfn.IFS(M41&lt;=34,"YOUNG",M41&lt;=54,"MIDDLE AGE",M41&gt;=55,"OLD")</f>
        <v>OLD</v>
      </c>
      <c r="V41" t="str">
        <f t="shared" si="3"/>
        <v>NORMAL</v>
      </c>
    </row>
    <row r="42" spans="1:22" x14ac:dyDescent="0.35">
      <c r="A42" t="s">
        <v>235</v>
      </c>
      <c r="B42" t="s">
        <v>236</v>
      </c>
      <c r="C42">
        <v>328.47</v>
      </c>
      <c r="D42" s="1">
        <v>45138.777662037035</v>
      </c>
      <c r="E42" s="2">
        <f t="shared" si="0"/>
        <v>0.77766203703504289</v>
      </c>
      <c r="F42" s="3">
        <f t="shared" si="1"/>
        <v>45138</v>
      </c>
      <c r="G42" t="s">
        <v>17</v>
      </c>
      <c r="H42" t="s">
        <v>237</v>
      </c>
      <c r="I42" t="s">
        <v>238</v>
      </c>
      <c r="J42" t="s">
        <v>239</v>
      </c>
      <c r="K42" t="s">
        <v>240</v>
      </c>
      <c r="L42" t="s">
        <v>22</v>
      </c>
      <c r="M42">
        <v>63</v>
      </c>
      <c r="N42" t="s">
        <v>70</v>
      </c>
      <c r="O42">
        <v>119</v>
      </c>
      <c r="P42">
        <v>1</v>
      </c>
      <c r="Q42">
        <v>4323.66</v>
      </c>
      <c r="R42" s="4">
        <v>45600</v>
      </c>
      <c r="S42" s="6">
        <v>0.33855324074074072</v>
      </c>
      <c r="T42">
        <f t="shared" si="2"/>
        <v>18</v>
      </c>
      <c r="U42" t="str" cm="1">
        <f t="array" ref="U42">_xlfn.IFS(M42&lt;=34,"YOUNG",M42&lt;=54,"MIDDLE AGE",M42&gt;=55,"OLD")</f>
        <v>OLD</v>
      </c>
      <c r="V42" t="str">
        <f t="shared" si="3"/>
        <v>NORMAL</v>
      </c>
    </row>
    <row r="43" spans="1:22" x14ac:dyDescent="0.35">
      <c r="A43" t="s">
        <v>241</v>
      </c>
      <c r="B43" t="s">
        <v>242</v>
      </c>
      <c r="C43">
        <v>34.020000000000003</v>
      </c>
      <c r="D43" s="1">
        <v>44935.675937499997</v>
      </c>
      <c r="E43" s="2">
        <f t="shared" si="0"/>
        <v>0.67593749999650754</v>
      </c>
      <c r="F43" s="3">
        <f t="shared" si="1"/>
        <v>44935</v>
      </c>
      <c r="G43" t="s">
        <v>17</v>
      </c>
      <c r="H43" t="s">
        <v>243</v>
      </c>
      <c r="I43" t="s">
        <v>244</v>
      </c>
      <c r="J43" t="s">
        <v>245</v>
      </c>
      <c r="K43" t="s">
        <v>246</v>
      </c>
      <c r="L43" t="s">
        <v>36</v>
      </c>
      <c r="M43">
        <v>38</v>
      </c>
      <c r="N43" t="s">
        <v>23</v>
      </c>
      <c r="O43">
        <v>19</v>
      </c>
      <c r="P43">
        <v>1</v>
      </c>
      <c r="Q43">
        <v>14214.48</v>
      </c>
      <c r="R43" s="4">
        <v>45600</v>
      </c>
      <c r="S43" s="6">
        <v>0.34149305555555554</v>
      </c>
      <c r="T43">
        <f t="shared" si="2"/>
        <v>16</v>
      </c>
      <c r="U43" t="str" cm="1">
        <f t="array" ref="U43">_xlfn.IFS(M43&lt;=34,"YOUNG",M43&lt;=54,"MIDDLE AGE",M43&gt;=55,"OLD")</f>
        <v>MIDDLE AGE</v>
      </c>
      <c r="V43" t="str">
        <f t="shared" si="3"/>
        <v>NORMAL</v>
      </c>
    </row>
    <row r="44" spans="1:22" x14ac:dyDescent="0.35">
      <c r="A44" t="s">
        <v>247</v>
      </c>
      <c r="B44" t="s">
        <v>248</v>
      </c>
      <c r="C44">
        <v>241.42</v>
      </c>
      <c r="D44" s="1">
        <v>45036.790081018517</v>
      </c>
      <c r="E44" s="2">
        <f t="shared" si="0"/>
        <v>0.79008101851650281</v>
      </c>
      <c r="F44" s="3">
        <f t="shared" si="1"/>
        <v>45036</v>
      </c>
      <c r="G44" t="s">
        <v>46</v>
      </c>
      <c r="H44" t="s">
        <v>249</v>
      </c>
      <c r="I44" t="s">
        <v>250</v>
      </c>
      <c r="J44" t="s">
        <v>251</v>
      </c>
      <c r="K44" t="s">
        <v>252</v>
      </c>
      <c r="L44" t="s">
        <v>36</v>
      </c>
      <c r="M44">
        <v>57</v>
      </c>
      <c r="N44" t="s">
        <v>23</v>
      </c>
      <c r="O44">
        <v>116</v>
      </c>
      <c r="P44">
        <v>1</v>
      </c>
      <c r="Q44">
        <v>13357.02</v>
      </c>
      <c r="R44" s="4">
        <v>45600</v>
      </c>
      <c r="S44" s="6">
        <v>0.33961805555555558</v>
      </c>
      <c r="T44">
        <f t="shared" si="2"/>
        <v>18</v>
      </c>
      <c r="U44" t="str" cm="1">
        <f t="array" ref="U44">_xlfn.IFS(M44&lt;=34,"YOUNG",M44&lt;=54,"MIDDLE AGE",M44&gt;=55,"OLD")</f>
        <v>OLD</v>
      </c>
      <c r="V44" t="str">
        <f t="shared" si="3"/>
        <v>NORMAL</v>
      </c>
    </row>
    <row r="45" spans="1:22" x14ac:dyDescent="0.35">
      <c r="A45" t="s">
        <v>253</v>
      </c>
      <c r="B45" t="s">
        <v>254</v>
      </c>
      <c r="C45">
        <v>55.32</v>
      </c>
      <c r="D45" s="1">
        <v>45028.669178240743</v>
      </c>
      <c r="E45" s="2">
        <f t="shared" si="0"/>
        <v>0.66917824074334931</v>
      </c>
      <c r="F45" s="3">
        <f t="shared" si="1"/>
        <v>45028</v>
      </c>
      <c r="G45" t="s">
        <v>17</v>
      </c>
      <c r="H45" t="s">
        <v>255</v>
      </c>
      <c r="I45" t="s">
        <v>256</v>
      </c>
      <c r="J45" t="s">
        <v>257</v>
      </c>
      <c r="K45" t="s">
        <v>35</v>
      </c>
      <c r="L45" t="s">
        <v>22</v>
      </c>
      <c r="M45">
        <v>19</v>
      </c>
      <c r="N45" t="s">
        <v>37</v>
      </c>
      <c r="O45">
        <v>117</v>
      </c>
      <c r="P45">
        <v>1</v>
      </c>
      <c r="Q45">
        <v>241.79</v>
      </c>
      <c r="R45" s="4">
        <v>45600</v>
      </c>
      <c r="S45" s="6">
        <v>0.33892361111111113</v>
      </c>
      <c r="T45">
        <f t="shared" si="2"/>
        <v>16</v>
      </c>
      <c r="U45" t="str" cm="1">
        <f t="array" ref="U45">_xlfn.IFS(M45&lt;=34,"YOUNG",M45&lt;=54,"MIDDLE AGE",M45&gt;=55,"OLD")</f>
        <v>YOUNG</v>
      </c>
      <c r="V45" t="str">
        <f t="shared" si="3"/>
        <v>NORMAL</v>
      </c>
    </row>
    <row r="46" spans="1:22" x14ac:dyDescent="0.35">
      <c r="A46" t="s">
        <v>258</v>
      </c>
      <c r="B46" t="s">
        <v>259</v>
      </c>
      <c r="C46">
        <v>304.31</v>
      </c>
      <c r="D46" s="1">
        <v>45133.703101851854</v>
      </c>
      <c r="E46" s="2">
        <f t="shared" si="0"/>
        <v>0.70310185185371665</v>
      </c>
      <c r="F46" s="3">
        <f t="shared" si="1"/>
        <v>45133</v>
      </c>
      <c r="G46" t="s">
        <v>17</v>
      </c>
      <c r="H46" t="s">
        <v>108</v>
      </c>
      <c r="I46" t="s">
        <v>260</v>
      </c>
      <c r="J46" t="s">
        <v>261</v>
      </c>
      <c r="K46" t="s">
        <v>262</v>
      </c>
      <c r="L46" t="s">
        <v>69</v>
      </c>
      <c r="M46">
        <v>27</v>
      </c>
      <c r="N46" t="s">
        <v>37</v>
      </c>
      <c r="O46">
        <v>33</v>
      </c>
      <c r="P46">
        <v>1</v>
      </c>
      <c r="Q46">
        <v>868.61</v>
      </c>
      <c r="R46" s="4">
        <v>45600</v>
      </c>
      <c r="S46" s="6">
        <v>0.34019675925925924</v>
      </c>
      <c r="T46">
        <f t="shared" si="2"/>
        <v>16</v>
      </c>
      <c r="U46" t="str" cm="1">
        <f t="array" ref="U46">_xlfn.IFS(M46&lt;=34,"YOUNG",M46&lt;=54,"MIDDLE AGE",M46&gt;=55,"OLD")</f>
        <v>YOUNG</v>
      </c>
      <c r="V46" t="str">
        <f t="shared" si="3"/>
        <v>NORMAL</v>
      </c>
    </row>
    <row r="47" spans="1:22" x14ac:dyDescent="0.35">
      <c r="A47" t="s">
        <v>263</v>
      </c>
      <c r="B47" t="s">
        <v>264</v>
      </c>
      <c r="C47">
        <v>435.27</v>
      </c>
      <c r="D47" s="1">
        <v>45203.742696759262</v>
      </c>
      <c r="E47" s="2">
        <f t="shared" si="0"/>
        <v>0.74269675926188938</v>
      </c>
      <c r="F47" s="3">
        <f t="shared" si="1"/>
        <v>45203</v>
      </c>
      <c r="G47" t="s">
        <v>17</v>
      </c>
      <c r="H47" t="s">
        <v>265</v>
      </c>
      <c r="I47" t="s">
        <v>189</v>
      </c>
      <c r="J47" t="s">
        <v>266</v>
      </c>
      <c r="K47" t="s">
        <v>267</v>
      </c>
      <c r="L47" t="s">
        <v>69</v>
      </c>
      <c r="M47">
        <v>74</v>
      </c>
      <c r="N47" t="s">
        <v>70</v>
      </c>
      <c r="O47">
        <v>90</v>
      </c>
      <c r="P47">
        <v>1</v>
      </c>
      <c r="Q47">
        <v>4673.28</v>
      </c>
      <c r="R47" s="4">
        <v>45600</v>
      </c>
      <c r="S47" s="6">
        <v>0.34111111111111109</v>
      </c>
      <c r="T47">
        <f t="shared" si="2"/>
        <v>17</v>
      </c>
      <c r="U47" t="str" cm="1">
        <f t="array" ref="U47">_xlfn.IFS(M47&lt;=34,"YOUNG",M47&lt;=54,"MIDDLE AGE",M47&gt;=55,"OLD")</f>
        <v>OLD</v>
      </c>
      <c r="V47" t="str">
        <f t="shared" si="3"/>
        <v>NORMAL</v>
      </c>
    </row>
    <row r="48" spans="1:22" x14ac:dyDescent="0.35">
      <c r="A48" t="s">
        <v>268</v>
      </c>
      <c r="B48" t="s">
        <v>269</v>
      </c>
      <c r="C48">
        <v>164.49</v>
      </c>
      <c r="D48" s="1">
        <v>45273.667800925927</v>
      </c>
      <c r="E48" s="2">
        <f t="shared" si="0"/>
        <v>0.66780092592671281</v>
      </c>
      <c r="F48" s="3">
        <f t="shared" si="1"/>
        <v>45273</v>
      </c>
      <c r="G48" t="s">
        <v>17</v>
      </c>
      <c r="H48" t="s">
        <v>197</v>
      </c>
      <c r="I48" t="s">
        <v>270</v>
      </c>
      <c r="J48" t="s">
        <v>271</v>
      </c>
      <c r="K48" t="s">
        <v>272</v>
      </c>
      <c r="L48" t="s">
        <v>69</v>
      </c>
      <c r="M48">
        <v>26</v>
      </c>
      <c r="N48" t="s">
        <v>37</v>
      </c>
      <c r="O48">
        <v>75</v>
      </c>
      <c r="P48">
        <v>1</v>
      </c>
      <c r="Q48">
        <v>1509.27</v>
      </c>
      <c r="R48" s="4">
        <v>45600</v>
      </c>
      <c r="S48" s="6">
        <v>0.34065972222222224</v>
      </c>
      <c r="T48">
        <f t="shared" si="2"/>
        <v>16</v>
      </c>
      <c r="U48" t="str" cm="1">
        <f t="array" ref="U48">_xlfn.IFS(M48&lt;=34,"YOUNG",M48&lt;=54,"MIDDLE AGE",M48&gt;=55,"OLD")</f>
        <v>YOUNG</v>
      </c>
      <c r="V48" t="str">
        <f t="shared" si="3"/>
        <v>NORMAL</v>
      </c>
    </row>
    <row r="49" spans="1:22" x14ac:dyDescent="0.35">
      <c r="A49" t="s">
        <v>273</v>
      </c>
      <c r="B49" t="s">
        <v>274</v>
      </c>
      <c r="C49">
        <v>510.24</v>
      </c>
      <c r="D49" s="1">
        <v>45208.687268518515</v>
      </c>
      <c r="E49" s="2">
        <f t="shared" si="0"/>
        <v>0.68726851851533866</v>
      </c>
      <c r="F49" s="3">
        <f t="shared" si="1"/>
        <v>45208</v>
      </c>
      <c r="G49" t="s">
        <v>17</v>
      </c>
      <c r="H49" t="s">
        <v>53</v>
      </c>
      <c r="I49" t="s">
        <v>275</v>
      </c>
      <c r="J49" t="s">
        <v>276</v>
      </c>
      <c r="K49" t="s">
        <v>277</v>
      </c>
      <c r="L49" t="s">
        <v>36</v>
      </c>
      <c r="M49">
        <v>19</v>
      </c>
      <c r="N49" t="s">
        <v>37</v>
      </c>
      <c r="O49">
        <v>105</v>
      </c>
      <c r="P49">
        <v>1</v>
      </c>
      <c r="Q49">
        <v>781.7</v>
      </c>
      <c r="R49" s="4">
        <v>45600</v>
      </c>
      <c r="S49" s="6">
        <v>0.34137731481481481</v>
      </c>
      <c r="T49">
        <f t="shared" si="2"/>
        <v>16</v>
      </c>
      <c r="U49" t="str" cm="1">
        <f t="array" ref="U49">_xlfn.IFS(M49&lt;=34,"YOUNG",M49&lt;=54,"MIDDLE AGE",M49&gt;=55,"OLD")</f>
        <v>YOUNG</v>
      </c>
      <c r="V49" t="str">
        <f t="shared" si="3"/>
        <v>NORMAL</v>
      </c>
    </row>
    <row r="50" spans="1:22" x14ac:dyDescent="0.35">
      <c r="A50" t="s">
        <v>278</v>
      </c>
      <c r="B50" t="s">
        <v>279</v>
      </c>
      <c r="C50">
        <v>626.9</v>
      </c>
      <c r="D50" s="1">
        <v>45257.698576388888</v>
      </c>
      <c r="E50" s="2">
        <f t="shared" si="0"/>
        <v>0.69857638888788642</v>
      </c>
      <c r="F50" s="3">
        <f t="shared" si="1"/>
        <v>45257</v>
      </c>
      <c r="G50" t="s">
        <v>17</v>
      </c>
      <c r="H50" t="s">
        <v>114</v>
      </c>
      <c r="I50" t="s">
        <v>280</v>
      </c>
      <c r="J50" t="s">
        <v>281</v>
      </c>
      <c r="K50" t="s">
        <v>282</v>
      </c>
      <c r="L50" t="s">
        <v>36</v>
      </c>
      <c r="M50">
        <v>26</v>
      </c>
      <c r="N50" t="s">
        <v>37</v>
      </c>
      <c r="O50">
        <v>138</v>
      </c>
      <c r="P50">
        <v>1</v>
      </c>
      <c r="Q50">
        <v>265.51</v>
      </c>
      <c r="R50" s="4">
        <v>45600</v>
      </c>
      <c r="S50" s="6">
        <v>0.33847222222222223</v>
      </c>
      <c r="T50">
        <f t="shared" si="2"/>
        <v>16</v>
      </c>
      <c r="U50" t="str" cm="1">
        <f t="array" ref="U50">_xlfn.IFS(M50&lt;=34,"YOUNG",M50&lt;=54,"MIDDLE AGE",M50&gt;=55,"OLD")</f>
        <v>YOUNG</v>
      </c>
      <c r="V50" t="str">
        <f t="shared" si="3"/>
        <v>NORMAL</v>
      </c>
    </row>
    <row r="51" spans="1:22" x14ac:dyDescent="0.35">
      <c r="A51" t="s">
        <v>283</v>
      </c>
      <c r="B51" t="s">
        <v>284</v>
      </c>
      <c r="C51">
        <v>22.01</v>
      </c>
      <c r="D51" s="1">
        <v>45012.698125000003</v>
      </c>
      <c r="E51" s="2">
        <f t="shared" si="0"/>
        <v>0.69812500000261934</v>
      </c>
      <c r="F51" s="3">
        <f t="shared" si="1"/>
        <v>45012</v>
      </c>
      <c r="G51" t="s">
        <v>46</v>
      </c>
      <c r="H51" t="s">
        <v>285</v>
      </c>
      <c r="I51" t="s">
        <v>286</v>
      </c>
      <c r="J51" t="s">
        <v>287</v>
      </c>
      <c r="K51" t="s">
        <v>288</v>
      </c>
      <c r="L51" t="s">
        <v>36</v>
      </c>
      <c r="M51">
        <v>41</v>
      </c>
      <c r="N51" t="s">
        <v>77</v>
      </c>
      <c r="O51">
        <v>175</v>
      </c>
      <c r="P51">
        <v>1</v>
      </c>
      <c r="Q51">
        <v>1335.09</v>
      </c>
      <c r="R51" s="4">
        <v>45600</v>
      </c>
      <c r="S51" s="6">
        <v>0.33785879629629628</v>
      </c>
      <c r="T51">
        <f t="shared" si="2"/>
        <v>16</v>
      </c>
      <c r="U51" t="str" cm="1">
        <f t="array" ref="U51">_xlfn.IFS(M51&lt;=34,"YOUNG",M51&lt;=54,"MIDDLE AGE",M51&gt;=55,"OLD")</f>
        <v>MIDDLE AGE</v>
      </c>
      <c r="V51" t="str">
        <f t="shared" si="3"/>
        <v>NORMAL</v>
      </c>
    </row>
    <row r="52" spans="1:22" x14ac:dyDescent="0.35">
      <c r="A52" t="s">
        <v>289</v>
      </c>
      <c r="B52" t="s">
        <v>290</v>
      </c>
      <c r="C52">
        <v>425.34</v>
      </c>
      <c r="D52" s="1">
        <v>44970.708090277774</v>
      </c>
      <c r="E52" s="2">
        <f t="shared" si="0"/>
        <v>0.70809027777431766</v>
      </c>
      <c r="F52" s="3">
        <f t="shared" si="1"/>
        <v>44970</v>
      </c>
      <c r="G52" t="s">
        <v>46</v>
      </c>
      <c r="H52" t="s">
        <v>291</v>
      </c>
      <c r="I52" t="s">
        <v>292</v>
      </c>
      <c r="J52" t="s">
        <v>293</v>
      </c>
      <c r="K52" t="s">
        <v>143</v>
      </c>
      <c r="L52" t="s">
        <v>36</v>
      </c>
      <c r="M52">
        <v>69</v>
      </c>
      <c r="N52" t="s">
        <v>70</v>
      </c>
      <c r="O52">
        <v>121</v>
      </c>
      <c r="P52">
        <v>1</v>
      </c>
      <c r="Q52">
        <v>3907.54</v>
      </c>
      <c r="R52" s="4">
        <v>45600</v>
      </c>
      <c r="S52" s="6">
        <v>0.33827546296296296</v>
      </c>
      <c r="T52">
        <f t="shared" si="2"/>
        <v>16</v>
      </c>
      <c r="U52" t="str" cm="1">
        <f t="array" ref="U52">_xlfn.IFS(M52&lt;=34,"YOUNG",M52&lt;=54,"MIDDLE AGE",M52&gt;=55,"OLD")</f>
        <v>OLD</v>
      </c>
      <c r="V52" t="str">
        <f t="shared" si="3"/>
        <v>NORMAL</v>
      </c>
    </row>
    <row r="53" spans="1:22" x14ac:dyDescent="0.35">
      <c r="A53" t="s">
        <v>294</v>
      </c>
      <c r="B53" t="s">
        <v>295</v>
      </c>
      <c r="C53">
        <v>424.56</v>
      </c>
      <c r="D53" s="1">
        <v>44978.740219907406</v>
      </c>
      <c r="E53" s="2">
        <f t="shared" si="0"/>
        <v>0.74021990740584442</v>
      </c>
      <c r="F53" s="3">
        <f t="shared" si="1"/>
        <v>44978</v>
      </c>
      <c r="G53" t="s">
        <v>17</v>
      </c>
      <c r="H53" t="s">
        <v>296</v>
      </c>
      <c r="I53" t="s">
        <v>297</v>
      </c>
      <c r="J53" t="s">
        <v>298</v>
      </c>
      <c r="K53" t="s">
        <v>21</v>
      </c>
      <c r="L53" t="s">
        <v>36</v>
      </c>
      <c r="M53">
        <v>51</v>
      </c>
      <c r="N53" t="s">
        <v>77</v>
      </c>
      <c r="O53">
        <v>264</v>
      </c>
      <c r="P53">
        <v>1</v>
      </c>
      <c r="Q53">
        <v>5183.8500000000004</v>
      </c>
      <c r="R53" s="4">
        <v>45600</v>
      </c>
      <c r="S53" s="6">
        <v>0.33960648148148148</v>
      </c>
      <c r="T53">
        <f t="shared" si="2"/>
        <v>17</v>
      </c>
      <c r="U53" t="str" cm="1">
        <f t="array" ref="U53">_xlfn.IFS(M53&lt;=34,"YOUNG",M53&lt;=54,"MIDDLE AGE",M53&gt;=55,"OLD")</f>
        <v>MIDDLE AGE</v>
      </c>
      <c r="V53" t="str">
        <f t="shared" si="3"/>
        <v>NORMAL</v>
      </c>
    </row>
    <row r="54" spans="1:22" x14ac:dyDescent="0.35">
      <c r="A54" t="s">
        <v>299</v>
      </c>
      <c r="B54" t="s">
        <v>300</v>
      </c>
      <c r="C54">
        <v>85.43</v>
      </c>
      <c r="D54" s="1">
        <v>45084.698310185187</v>
      </c>
      <c r="E54" s="2">
        <f t="shared" si="0"/>
        <v>0.69831018518743804</v>
      </c>
      <c r="F54" s="3">
        <f t="shared" si="1"/>
        <v>45084</v>
      </c>
      <c r="G54" t="s">
        <v>17</v>
      </c>
      <c r="H54" t="s">
        <v>301</v>
      </c>
      <c r="I54" t="s">
        <v>33</v>
      </c>
      <c r="J54" t="s">
        <v>302</v>
      </c>
      <c r="K54" t="s">
        <v>303</v>
      </c>
      <c r="L54" t="s">
        <v>69</v>
      </c>
      <c r="M54">
        <v>67</v>
      </c>
      <c r="N54" t="s">
        <v>23</v>
      </c>
      <c r="O54">
        <v>145</v>
      </c>
      <c r="P54">
        <v>1</v>
      </c>
      <c r="Q54">
        <v>14904.9</v>
      </c>
      <c r="R54" s="4">
        <v>45600</v>
      </c>
      <c r="S54" s="6">
        <v>0.33802083333333333</v>
      </c>
      <c r="T54">
        <f t="shared" si="2"/>
        <v>16</v>
      </c>
      <c r="U54" t="str" cm="1">
        <f t="array" ref="U54">_xlfn.IFS(M54&lt;=34,"YOUNG",M54&lt;=54,"MIDDLE AGE",M54&gt;=55,"OLD")</f>
        <v>OLD</v>
      </c>
      <c r="V54" t="str">
        <f t="shared" si="3"/>
        <v>NORMAL</v>
      </c>
    </row>
    <row r="55" spans="1:22" x14ac:dyDescent="0.35">
      <c r="A55" t="s">
        <v>304</v>
      </c>
      <c r="B55" t="s">
        <v>305</v>
      </c>
      <c r="C55">
        <v>169.5</v>
      </c>
      <c r="D55" s="1">
        <v>45176.70239583333</v>
      </c>
      <c r="E55" s="2">
        <f t="shared" si="0"/>
        <v>0.70239583333022892</v>
      </c>
      <c r="F55" s="3">
        <f t="shared" si="1"/>
        <v>45176</v>
      </c>
      <c r="G55" t="s">
        <v>17</v>
      </c>
      <c r="H55" t="s">
        <v>18</v>
      </c>
      <c r="I55" t="s">
        <v>306</v>
      </c>
      <c r="J55" t="s">
        <v>307</v>
      </c>
      <c r="K55" t="s">
        <v>308</v>
      </c>
      <c r="L55" t="s">
        <v>69</v>
      </c>
      <c r="M55">
        <v>28</v>
      </c>
      <c r="N55" t="s">
        <v>37</v>
      </c>
      <c r="O55">
        <v>142</v>
      </c>
      <c r="P55">
        <v>1</v>
      </c>
      <c r="Q55">
        <v>918.88</v>
      </c>
      <c r="R55" s="4">
        <v>45600</v>
      </c>
      <c r="S55" s="6">
        <v>0.33956018518518516</v>
      </c>
      <c r="T55">
        <f t="shared" si="2"/>
        <v>16</v>
      </c>
      <c r="U55" t="str" cm="1">
        <f t="array" ref="U55">_xlfn.IFS(M55&lt;=34,"YOUNG",M55&lt;=54,"MIDDLE AGE",M55&gt;=55,"OLD")</f>
        <v>YOUNG</v>
      </c>
      <c r="V55" t="str">
        <f t="shared" si="3"/>
        <v>NORMAL</v>
      </c>
    </row>
    <row r="56" spans="1:22" x14ac:dyDescent="0.35">
      <c r="A56" t="s">
        <v>309</v>
      </c>
      <c r="B56" t="s">
        <v>310</v>
      </c>
      <c r="C56">
        <v>104.63</v>
      </c>
      <c r="D56" s="1">
        <v>45014.741157407407</v>
      </c>
      <c r="E56" s="2">
        <f t="shared" si="0"/>
        <v>0.74115740740671754</v>
      </c>
      <c r="F56" s="3">
        <f t="shared" si="1"/>
        <v>45014</v>
      </c>
      <c r="G56" t="s">
        <v>17</v>
      </c>
      <c r="H56" t="s">
        <v>296</v>
      </c>
      <c r="I56" t="s">
        <v>311</v>
      </c>
      <c r="J56" t="s">
        <v>276</v>
      </c>
      <c r="K56" t="s">
        <v>312</v>
      </c>
      <c r="L56" t="s">
        <v>22</v>
      </c>
      <c r="M56">
        <v>62</v>
      </c>
      <c r="N56" t="s">
        <v>70</v>
      </c>
      <c r="O56">
        <v>90</v>
      </c>
      <c r="P56">
        <v>1</v>
      </c>
      <c r="Q56">
        <v>4477.78</v>
      </c>
      <c r="R56" s="4">
        <v>45600</v>
      </c>
      <c r="S56" s="6">
        <v>0.34076388888888887</v>
      </c>
      <c r="T56">
        <f t="shared" si="2"/>
        <v>17</v>
      </c>
      <c r="U56" t="str" cm="1">
        <f t="array" ref="U56">_xlfn.IFS(M56&lt;=34,"YOUNG",M56&lt;=54,"MIDDLE AGE",M56&gt;=55,"OLD")</f>
        <v>OLD</v>
      </c>
      <c r="V56" t="str">
        <f t="shared" si="3"/>
        <v>NORMAL</v>
      </c>
    </row>
    <row r="57" spans="1:22" x14ac:dyDescent="0.35">
      <c r="A57" t="s">
        <v>313</v>
      </c>
      <c r="B57" t="s">
        <v>314</v>
      </c>
      <c r="C57">
        <v>316.95</v>
      </c>
      <c r="D57" s="1">
        <v>45142.74560185185</v>
      </c>
      <c r="E57" s="2">
        <f t="shared" si="0"/>
        <v>0.74560185184964212</v>
      </c>
      <c r="F57" s="3">
        <f t="shared" si="1"/>
        <v>45142</v>
      </c>
      <c r="G57" t="s">
        <v>17</v>
      </c>
      <c r="H57" t="s">
        <v>32</v>
      </c>
      <c r="I57" t="s">
        <v>315</v>
      </c>
      <c r="J57" t="s">
        <v>316</v>
      </c>
      <c r="K57" t="s">
        <v>29</v>
      </c>
      <c r="L57" t="s">
        <v>69</v>
      </c>
      <c r="M57">
        <v>25</v>
      </c>
      <c r="N57" t="s">
        <v>37</v>
      </c>
      <c r="O57">
        <v>83</v>
      </c>
      <c r="P57">
        <v>1</v>
      </c>
      <c r="Q57">
        <v>1324.03</v>
      </c>
      <c r="R57" s="4">
        <v>45600</v>
      </c>
      <c r="S57" s="6">
        <v>0.33975694444444443</v>
      </c>
      <c r="T57">
        <f t="shared" si="2"/>
        <v>17</v>
      </c>
      <c r="U57" t="str" cm="1">
        <f t="array" ref="U57">_xlfn.IFS(M57&lt;=34,"YOUNG",M57&lt;=54,"MIDDLE AGE",M57&gt;=55,"OLD")</f>
        <v>YOUNG</v>
      </c>
      <c r="V57" t="str">
        <f t="shared" si="3"/>
        <v>NORMAL</v>
      </c>
    </row>
    <row r="58" spans="1:22" x14ac:dyDescent="0.35">
      <c r="A58" t="s">
        <v>317</v>
      </c>
      <c r="B58" t="s">
        <v>318</v>
      </c>
      <c r="C58">
        <v>60.54</v>
      </c>
      <c r="D58" s="1">
        <v>45274.744872685187</v>
      </c>
      <c r="E58" s="2">
        <f t="shared" si="0"/>
        <v>0.744872685187147</v>
      </c>
      <c r="F58" s="3">
        <f t="shared" si="1"/>
        <v>45274</v>
      </c>
      <c r="G58" t="s">
        <v>46</v>
      </c>
      <c r="H58" t="s">
        <v>125</v>
      </c>
      <c r="I58" t="s">
        <v>319</v>
      </c>
      <c r="J58" t="s">
        <v>320</v>
      </c>
      <c r="K58" t="s">
        <v>312</v>
      </c>
      <c r="L58" t="s">
        <v>69</v>
      </c>
      <c r="M58">
        <v>57</v>
      </c>
      <c r="N58" t="s">
        <v>70</v>
      </c>
      <c r="O58">
        <v>52</v>
      </c>
      <c r="P58">
        <v>1</v>
      </c>
      <c r="Q58">
        <v>3534.93</v>
      </c>
      <c r="R58" s="4">
        <v>45600</v>
      </c>
      <c r="S58" s="6">
        <v>0.34024305555555556</v>
      </c>
      <c r="T58">
        <f t="shared" si="2"/>
        <v>17</v>
      </c>
      <c r="U58" t="str" cm="1">
        <f t="array" ref="U58">_xlfn.IFS(M58&lt;=34,"YOUNG",M58&lt;=54,"MIDDLE AGE",M58&gt;=55,"OLD")</f>
        <v>OLD</v>
      </c>
      <c r="V58" t="str">
        <f t="shared" si="3"/>
        <v>NORMAL</v>
      </c>
    </row>
    <row r="59" spans="1:22" x14ac:dyDescent="0.35">
      <c r="A59" t="s">
        <v>321</v>
      </c>
      <c r="B59" t="s">
        <v>322</v>
      </c>
      <c r="C59">
        <v>292.56</v>
      </c>
      <c r="D59" s="1">
        <v>44988.734502314815</v>
      </c>
      <c r="E59" s="2">
        <f t="shared" si="0"/>
        <v>0.73450231481547235</v>
      </c>
      <c r="F59" s="3">
        <f t="shared" si="1"/>
        <v>44988</v>
      </c>
      <c r="G59" t="s">
        <v>46</v>
      </c>
      <c r="H59" t="s">
        <v>323</v>
      </c>
      <c r="I59" t="s">
        <v>324</v>
      </c>
      <c r="J59" t="s">
        <v>325</v>
      </c>
      <c r="K59" t="s">
        <v>326</v>
      </c>
      <c r="L59" t="s">
        <v>69</v>
      </c>
      <c r="M59">
        <v>68</v>
      </c>
      <c r="N59" t="s">
        <v>70</v>
      </c>
      <c r="O59">
        <v>61</v>
      </c>
      <c r="P59">
        <v>1</v>
      </c>
      <c r="Q59">
        <v>4638.37</v>
      </c>
      <c r="R59" s="4">
        <v>45600</v>
      </c>
      <c r="S59" s="6">
        <v>0.33876157407407409</v>
      </c>
      <c r="T59">
        <f t="shared" si="2"/>
        <v>17</v>
      </c>
      <c r="U59" t="str" cm="1">
        <f t="array" ref="U59">_xlfn.IFS(M59&lt;=34,"YOUNG",M59&lt;=54,"MIDDLE AGE",M59&gt;=55,"OLD")</f>
        <v>OLD</v>
      </c>
      <c r="V59" t="str">
        <f t="shared" si="3"/>
        <v>NORMAL</v>
      </c>
    </row>
    <row r="60" spans="1:22" x14ac:dyDescent="0.35">
      <c r="A60" t="s">
        <v>327</v>
      </c>
      <c r="B60" t="s">
        <v>328</v>
      </c>
      <c r="C60">
        <v>386.52</v>
      </c>
      <c r="D60" s="1">
        <v>45086.679340277777</v>
      </c>
      <c r="E60" s="2">
        <f t="shared" si="0"/>
        <v>0.67934027777664596</v>
      </c>
      <c r="F60" s="3">
        <f t="shared" si="1"/>
        <v>45086</v>
      </c>
      <c r="G60" t="s">
        <v>17</v>
      </c>
      <c r="H60" t="s">
        <v>65</v>
      </c>
      <c r="I60" t="s">
        <v>329</v>
      </c>
      <c r="J60" t="s">
        <v>330</v>
      </c>
      <c r="K60" t="s">
        <v>331</v>
      </c>
      <c r="L60" t="s">
        <v>69</v>
      </c>
      <c r="M60">
        <v>48</v>
      </c>
      <c r="N60" t="s">
        <v>77</v>
      </c>
      <c r="O60">
        <v>28</v>
      </c>
      <c r="P60">
        <v>1</v>
      </c>
      <c r="Q60">
        <v>5630.61</v>
      </c>
      <c r="R60" s="4">
        <v>45600</v>
      </c>
      <c r="S60" s="6">
        <v>0.33829861111111109</v>
      </c>
      <c r="T60">
        <f t="shared" si="2"/>
        <v>16</v>
      </c>
      <c r="U60" t="str" cm="1">
        <f t="array" ref="U60">_xlfn.IFS(M60&lt;=34,"YOUNG",M60&lt;=54,"MIDDLE AGE",M60&gt;=55,"OLD")</f>
        <v>MIDDLE AGE</v>
      </c>
      <c r="V60" t="str">
        <f t="shared" si="3"/>
        <v>NORMAL</v>
      </c>
    </row>
    <row r="61" spans="1:22" x14ac:dyDescent="0.35">
      <c r="A61" t="s">
        <v>332</v>
      </c>
      <c r="B61" t="s">
        <v>333</v>
      </c>
      <c r="C61">
        <v>112.07</v>
      </c>
      <c r="D61" s="1">
        <v>45201.69122685185</v>
      </c>
      <c r="E61" s="2">
        <f t="shared" si="0"/>
        <v>0.69122685184993315</v>
      </c>
      <c r="F61" s="3">
        <f t="shared" si="1"/>
        <v>45201</v>
      </c>
      <c r="G61" t="s">
        <v>17</v>
      </c>
      <c r="H61" t="s">
        <v>291</v>
      </c>
      <c r="I61" t="s">
        <v>334</v>
      </c>
      <c r="J61" t="s">
        <v>335</v>
      </c>
      <c r="K61" t="s">
        <v>331</v>
      </c>
      <c r="L61" t="s">
        <v>69</v>
      </c>
      <c r="M61">
        <v>23</v>
      </c>
      <c r="N61" t="s">
        <v>37</v>
      </c>
      <c r="O61">
        <v>51</v>
      </c>
      <c r="P61">
        <v>1</v>
      </c>
      <c r="Q61">
        <v>930.3</v>
      </c>
      <c r="R61" s="4">
        <v>45600</v>
      </c>
      <c r="S61" s="6">
        <v>0.34140046296296295</v>
      </c>
      <c r="T61">
        <f t="shared" si="2"/>
        <v>16</v>
      </c>
      <c r="U61" t="str" cm="1">
        <f t="array" ref="U61">_xlfn.IFS(M61&lt;=34,"YOUNG",M61&lt;=54,"MIDDLE AGE",M61&gt;=55,"OLD")</f>
        <v>YOUNG</v>
      </c>
      <c r="V61" t="str">
        <f t="shared" si="3"/>
        <v>NORMAL</v>
      </c>
    </row>
    <row r="62" spans="1:22" x14ac:dyDescent="0.35">
      <c r="A62" t="s">
        <v>336</v>
      </c>
      <c r="B62" t="s">
        <v>337</v>
      </c>
      <c r="C62">
        <v>568.52</v>
      </c>
      <c r="D62" s="1">
        <v>45205.7809837963</v>
      </c>
      <c r="E62" s="2">
        <f t="shared" si="0"/>
        <v>0.78098379629955161</v>
      </c>
      <c r="F62" s="3">
        <f t="shared" si="1"/>
        <v>45205</v>
      </c>
      <c r="G62" t="s">
        <v>17</v>
      </c>
      <c r="H62" t="s">
        <v>65</v>
      </c>
      <c r="I62" t="s">
        <v>338</v>
      </c>
      <c r="J62" t="s">
        <v>339</v>
      </c>
      <c r="K62" t="s">
        <v>209</v>
      </c>
      <c r="L62" t="s">
        <v>22</v>
      </c>
      <c r="M62">
        <v>46</v>
      </c>
      <c r="N62" t="s">
        <v>77</v>
      </c>
      <c r="O62">
        <v>152</v>
      </c>
      <c r="P62">
        <v>1</v>
      </c>
      <c r="Q62">
        <v>5499.91</v>
      </c>
      <c r="R62" s="4">
        <v>45600</v>
      </c>
      <c r="S62" s="6">
        <v>0.33778935185185183</v>
      </c>
      <c r="T62">
        <f t="shared" si="2"/>
        <v>18</v>
      </c>
      <c r="U62" t="str" cm="1">
        <f t="array" ref="U62">_xlfn.IFS(M62&lt;=34,"YOUNG",M62&lt;=54,"MIDDLE AGE",M62&gt;=55,"OLD")</f>
        <v>MIDDLE AGE</v>
      </c>
      <c r="V62" t="str">
        <f t="shared" si="3"/>
        <v>NORMAL</v>
      </c>
    </row>
    <row r="63" spans="1:22" x14ac:dyDescent="0.35">
      <c r="A63" t="s">
        <v>340</v>
      </c>
      <c r="B63" t="s">
        <v>139</v>
      </c>
      <c r="C63">
        <v>263.99</v>
      </c>
      <c r="D63" s="1">
        <v>45062.671875</v>
      </c>
      <c r="E63" s="2">
        <f t="shared" si="0"/>
        <v>0.671875</v>
      </c>
      <c r="F63" s="3">
        <f t="shared" si="1"/>
        <v>45062</v>
      </c>
      <c r="G63" t="s">
        <v>17</v>
      </c>
      <c r="H63" t="s">
        <v>323</v>
      </c>
      <c r="I63" t="s">
        <v>341</v>
      </c>
      <c r="J63" t="s">
        <v>342</v>
      </c>
      <c r="K63" t="s">
        <v>343</v>
      </c>
      <c r="L63" t="s">
        <v>69</v>
      </c>
      <c r="M63">
        <v>79</v>
      </c>
      <c r="N63" t="s">
        <v>70</v>
      </c>
      <c r="O63">
        <v>227</v>
      </c>
      <c r="P63">
        <v>2</v>
      </c>
      <c r="Q63">
        <v>4175.0200000000004</v>
      </c>
      <c r="R63" s="4">
        <v>45600</v>
      </c>
      <c r="S63" s="6">
        <v>0.34100694444444446</v>
      </c>
      <c r="T63">
        <f t="shared" si="2"/>
        <v>16</v>
      </c>
      <c r="U63" t="str" cm="1">
        <f t="array" ref="U63">_xlfn.IFS(M63&lt;=34,"YOUNG",M63&lt;=54,"MIDDLE AGE",M63&gt;=55,"OLD")</f>
        <v>OLD</v>
      </c>
      <c r="V63" t="str">
        <f t="shared" si="3"/>
        <v>HIGH</v>
      </c>
    </row>
    <row r="64" spans="1:22" x14ac:dyDescent="0.35">
      <c r="A64" t="s">
        <v>344</v>
      </c>
      <c r="B64" t="s">
        <v>345</v>
      </c>
      <c r="C64">
        <v>349.64</v>
      </c>
      <c r="D64" s="1">
        <v>45237.700266203705</v>
      </c>
      <c r="E64" s="2">
        <f t="shared" si="0"/>
        <v>0.70026620370481396</v>
      </c>
      <c r="F64" s="3">
        <f t="shared" si="1"/>
        <v>45237</v>
      </c>
      <c r="G64" t="s">
        <v>17</v>
      </c>
      <c r="H64" t="s">
        <v>146</v>
      </c>
      <c r="I64" t="s">
        <v>346</v>
      </c>
      <c r="J64" t="s">
        <v>347</v>
      </c>
      <c r="K64" t="s">
        <v>348</v>
      </c>
      <c r="L64" t="s">
        <v>36</v>
      </c>
      <c r="M64">
        <v>48</v>
      </c>
      <c r="N64" t="s">
        <v>77</v>
      </c>
      <c r="O64">
        <v>226</v>
      </c>
      <c r="P64">
        <v>1</v>
      </c>
      <c r="Q64">
        <v>6651.62</v>
      </c>
      <c r="R64" s="4">
        <v>45600</v>
      </c>
      <c r="S64" s="6">
        <v>0.33899305555555553</v>
      </c>
      <c r="T64">
        <f t="shared" si="2"/>
        <v>16</v>
      </c>
      <c r="U64" t="str" cm="1">
        <f t="array" ref="U64">_xlfn.IFS(M64&lt;=34,"YOUNG",M64&lt;=54,"MIDDLE AGE",M64&gt;=55,"OLD")</f>
        <v>MIDDLE AGE</v>
      </c>
      <c r="V64" t="str">
        <f t="shared" si="3"/>
        <v>NORMAL</v>
      </c>
    </row>
    <row r="65" spans="1:22" x14ac:dyDescent="0.35">
      <c r="A65" t="s">
        <v>349</v>
      </c>
      <c r="B65" t="s">
        <v>350</v>
      </c>
      <c r="C65">
        <v>601.4</v>
      </c>
      <c r="D65" s="1">
        <v>45076.738483796296</v>
      </c>
      <c r="E65" s="2">
        <f t="shared" si="0"/>
        <v>0.73848379629635019</v>
      </c>
      <c r="F65" s="3">
        <f t="shared" si="1"/>
        <v>45076</v>
      </c>
      <c r="G65" t="s">
        <v>46</v>
      </c>
      <c r="H65" t="s">
        <v>243</v>
      </c>
      <c r="I65" t="s">
        <v>351</v>
      </c>
      <c r="J65" t="s">
        <v>352</v>
      </c>
      <c r="K65" t="s">
        <v>353</v>
      </c>
      <c r="L65" t="s">
        <v>69</v>
      </c>
      <c r="M65">
        <v>56</v>
      </c>
      <c r="N65" t="s">
        <v>77</v>
      </c>
      <c r="O65">
        <v>104</v>
      </c>
      <c r="P65">
        <v>1</v>
      </c>
      <c r="Q65">
        <v>8458.2900000000009</v>
      </c>
      <c r="R65" s="4">
        <v>45600</v>
      </c>
      <c r="S65" s="6">
        <v>0.33890046296296295</v>
      </c>
      <c r="T65">
        <f t="shared" si="2"/>
        <v>17</v>
      </c>
      <c r="U65" t="str" cm="1">
        <f t="array" ref="U65">_xlfn.IFS(M65&lt;=34,"YOUNG",M65&lt;=54,"MIDDLE AGE",M65&gt;=55,"OLD")</f>
        <v>OLD</v>
      </c>
      <c r="V65" t="str">
        <f t="shared" si="3"/>
        <v>NORMAL</v>
      </c>
    </row>
    <row r="66" spans="1:22" x14ac:dyDescent="0.35">
      <c r="A66" t="s">
        <v>354</v>
      </c>
      <c r="B66" t="s">
        <v>355</v>
      </c>
      <c r="C66">
        <v>5.77</v>
      </c>
      <c r="D66" s="1">
        <v>45232.667824074073</v>
      </c>
      <c r="E66" s="2">
        <f t="shared" ref="E66:E129" si="4">D66-INT(D66)</f>
        <v>0.66782407407299615</v>
      </c>
      <c r="F66" s="3">
        <f t="shared" ref="F66:F129" si="5">INT(D66)</f>
        <v>45232</v>
      </c>
      <c r="G66" t="s">
        <v>17</v>
      </c>
      <c r="H66" t="s">
        <v>249</v>
      </c>
      <c r="I66" t="s">
        <v>356</v>
      </c>
      <c r="J66" t="s">
        <v>357</v>
      </c>
      <c r="K66" t="s">
        <v>358</v>
      </c>
      <c r="L66" t="s">
        <v>36</v>
      </c>
      <c r="M66">
        <v>50</v>
      </c>
      <c r="N66" t="s">
        <v>23</v>
      </c>
      <c r="O66">
        <v>124</v>
      </c>
      <c r="P66">
        <v>1</v>
      </c>
      <c r="Q66">
        <v>13988.12</v>
      </c>
      <c r="R66" s="4">
        <v>45600</v>
      </c>
      <c r="S66" s="6">
        <v>0.34134259259259259</v>
      </c>
      <c r="T66">
        <f t="shared" si="2"/>
        <v>16</v>
      </c>
      <c r="U66" t="str" cm="1">
        <f t="array" ref="U66">_xlfn.IFS(M66&lt;=34,"YOUNG",M66&lt;=54,"MIDDLE AGE",M66&gt;=55,"OLD")</f>
        <v>MIDDLE AGE</v>
      </c>
      <c r="V66" t="str">
        <f t="shared" si="3"/>
        <v>NORMAL</v>
      </c>
    </row>
    <row r="67" spans="1:22" x14ac:dyDescent="0.35">
      <c r="A67" t="s">
        <v>359</v>
      </c>
      <c r="B67" t="s">
        <v>130</v>
      </c>
      <c r="C67">
        <v>201.33</v>
      </c>
      <c r="D67" s="1">
        <v>45014.708692129629</v>
      </c>
      <c r="E67" s="2">
        <f t="shared" si="4"/>
        <v>0.70869212962861639</v>
      </c>
      <c r="F67" s="3">
        <f t="shared" si="5"/>
        <v>45014</v>
      </c>
      <c r="G67" t="s">
        <v>46</v>
      </c>
      <c r="H67" t="s">
        <v>80</v>
      </c>
      <c r="I67" t="s">
        <v>360</v>
      </c>
      <c r="J67" t="s">
        <v>361</v>
      </c>
      <c r="K67" t="s">
        <v>362</v>
      </c>
      <c r="L67" t="s">
        <v>69</v>
      </c>
      <c r="M67">
        <v>42</v>
      </c>
      <c r="N67" t="s">
        <v>77</v>
      </c>
      <c r="O67">
        <v>186</v>
      </c>
      <c r="P67">
        <v>1</v>
      </c>
      <c r="Q67">
        <v>2585.0700000000002</v>
      </c>
      <c r="R67" s="4">
        <v>45600</v>
      </c>
      <c r="S67" s="6">
        <v>0.34144675925925927</v>
      </c>
      <c r="T67">
        <f t="shared" ref="T67:T130" si="6">HOUR(E67)</f>
        <v>17</v>
      </c>
      <c r="U67" t="str" cm="1">
        <f t="array" ref="U67">_xlfn.IFS(M67&lt;=34,"YOUNG",M67&lt;=54,"MIDDLE AGE",M67&gt;=55,"OLD")</f>
        <v>MIDDLE AGE</v>
      </c>
      <c r="V67" t="str">
        <f t="shared" ref="V67:V130" si="7">IF(P67&gt;1,"HIGH","NORMAL")</f>
        <v>NORMAL</v>
      </c>
    </row>
    <row r="68" spans="1:22" x14ac:dyDescent="0.35">
      <c r="A68" t="s">
        <v>363</v>
      </c>
      <c r="B68" t="s">
        <v>364</v>
      </c>
      <c r="C68">
        <v>298.42</v>
      </c>
      <c r="D68" s="1">
        <v>45041.674583333333</v>
      </c>
      <c r="E68" s="2">
        <f t="shared" si="4"/>
        <v>0.67458333333343035</v>
      </c>
      <c r="F68" s="3">
        <f t="shared" si="5"/>
        <v>45041</v>
      </c>
      <c r="G68" t="s">
        <v>17</v>
      </c>
      <c r="H68" t="s">
        <v>65</v>
      </c>
      <c r="I68" t="s">
        <v>365</v>
      </c>
      <c r="J68" t="s">
        <v>67</v>
      </c>
      <c r="K68" t="s">
        <v>262</v>
      </c>
      <c r="L68" t="s">
        <v>69</v>
      </c>
      <c r="M68">
        <v>56</v>
      </c>
      <c r="N68" t="s">
        <v>70</v>
      </c>
      <c r="O68">
        <v>225</v>
      </c>
      <c r="P68">
        <v>1</v>
      </c>
      <c r="Q68">
        <v>3014.75</v>
      </c>
      <c r="R68" s="4">
        <v>45600</v>
      </c>
      <c r="S68" s="6">
        <v>0.34041666666666665</v>
      </c>
      <c r="T68">
        <f t="shared" si="6"/>
        <v>16</v>
      </c>
      <c r="U68" t="str" cm="1">
        <f t="array" ref="U68">_xlfn.IFS(M68&lt;=34,"YOUNG",M68&lt;=54,"MIDDLE AGE",M68&gt;=55,"OLD")</f>
        <v>OLD</v>
      </c>
      <c r="V68" t="str">
        <f t="shared" si="7"/>
        <v>NORMAL</v>
      </c>
    </row>
    <row r="69" spans="1:22" x14ac:dyDescent="0.35">
      <c r="A69" t="s">
        <v>366</v>
      </c>
      <c r="B69" t="s">
        <v>367</v>
      </c>
      <c r="C69">
        <v>521.05999999999995</v>
      </c>
      <c r="D69" s="1">
        <v>45034.778321759259</v>
      </c>
      <c r="E69" s="2">
        <f t="shared" si="4"/>
        <v>0.77832175925868796</v>
      </c>
      <c r="F69" s="3">
        <f t="shared" si="5"/>
        <v>45034</v>
      </c>
      <c r="G69" t="s">
        <v>17</v>
      </c>
      <c r="H69" t="s">
        <v>86</v>
      </c>
      <c r="I69" t="s">
        <v>368</v>
      </c>
      <c r="J69" t="s">
        <v>369</v>
      </c>
      <c r="K69" t="s">
        <v>370</v>
      </c>
      <c r="L69" t="s">
        <v>69</v>
      </c>
      <c r="M69">
        <v>25</v>
      </c>
      <c r="N69" t="s">
        <v>37</v>
      </c>
      <c r="O69">
        <v>128</v>
      </c>
      <c r="P69">
        <v>1</v>
      </c>
      <c r="Q69">
        <v>1951.42</v>
      </c>
      <c r="R69" s="4">
        <v>45600</v>
      </c>
      <c r="S69" s="6">
        <v>0.3417824074074074</v>
      </c>
      <c r="T69">
        <f t="shared" si="6"/>
        <v>18</v>
      </c>
      <c r="U69" t="str" cm="1">
        <f t="array" ref="U69">_xlfn.IFS(M69&lt;=34,"YOUNG",M69&lt;=54,"MIDDLE AGE",M69&gt;=55,"OLD")</f>
        <v>YOUNG</v>
      </c>
      <c r="V69" t="str">
        <f t="shared" si="7"/>
        <v>NORMAL</v>
      </c>
    </row>
    <row r="70" spans="1:22" x14ac:dyDescent="0.35">
      <c r="A70" t="s">
        <v>371</v>
      </c>
      <c r="B70" t="s">
        <v>372</v>
      </c>
      <c r="C70">
        <v>117.28</v>
      </c>
      <c r="D70" s="1">
        <v>44966.690891203703</v>
      </c>
      <c r="E70" s="2">
        <f t="shared" si="4"/>
        <v>0.69089120370335877</v>
      </c>
      <c r="F70" s="3">
        <f t="shared" si="5"/>
        <v>44966</v>
      </c>
      <c r="G70" t="s">
        <v>46</v>
      </c>
      <c r="H70" t="s">
        <v>119</v>
      </c>
      <c r="I70" t="s">
        <v>373</v>
      </c>
      <c r="J70" t="s">
        <v>374</v>
      </c>
      <c r="K70" t="s">
        <v>100</v>
      </c>
      <c r="L70" t="s">
        <v>36</v>
      </c>
      <c r="M70">
        <v>60</v>
      </c>
      <c r="N70" t="s">
        <v>77</v>
      </c>
      <c r="O70">
        <v>16</v>
      </c>
      <c r="P70">
        <v>1</v>
      </c>
      <c r="Q70">
        <v>3665.77</v>
      </c>
      <c r="R70" s="4">
        <v>45600</v>
      </c>
      <c r="S70" s="6">
        <v>0.33832175925925928</v>
      </c>
      <c r="T70">
        <f t="shared" si="6"/>
        <v>16</v>
      </c>
      <c r="U70" t="str" cm="1">
        <f t="array" ref="U70">_xlfn.IFS(M70&lt;=34,"YOUNG",M70&lt;=54,"MIDDLE AGE",M70&gt;=55,"OLD")</f>
        <v>OLD</v>
      </c>
      <c r="V70" t="str">
        <f t="shared" si="7"/>
        <v>NORMAL</v>
      </c>
    </row>
    <row r="71" spans="1:22" x14ac:dyDescent="0.35">
      <c r="A71" t="s">
        <v>375</v>
      </c>
      <c r="B71" t="s">
        <v>376</v>
      </c>
      <c r="C71">
        <v>189.12</v>
      </c>
      <c r="D71" s="1">
        <v>45243.696157407408</v>
      </c>
      <c r="E71" s="2">
        <f t="shared" si="4"/>
        <v>0.69615740740846377</v>
      </c>
      <c r="F71" s="3">
        <f t="shared" si="5"/>
        <v>45243</v>
      </c>
      <c r="G71" t="s">
        <v>46</v>
      </c>
      <c r="H71" t="s">
        <v>65</v>
      </c>
      <c r="I71" t="s">
        <v>377</v>
      </c>
      <c r="J71" t="s">
        <v>378</v>
      </c>
      <c r="K71" t="s">
        <v>143</v>
      </c>
      <c r="L71" t="s">
        <v>69</v>
      </c>
      <c r="M71">
        <v>32</v>
      </c>
      <c r="N71" t="s">
        <v>77</v>
      </c>
      <c r="O71">
        <v>103</v>
      </c>
      <c r="P71">
        <v>1</v>
      </c>
      <c r="Q71">
        <v>977.01</v>
      </c>
      <c r="R71" s="4">
        <v>45600</v>
      </c>
      <c r="S71" s="6">
        <v>0.33937499999999998</v>
      </c>
      <c r="T71">
        <f t="shared" si="6"/>
        <v>16</v>
      </c>
      <c r="U71" t="str" cm="1">
        <f t="array" ref="U71">_xlfn.IFS(M71&lt;=34,"YOUNG",M71&lt;=54,"MIDDLE AGE",M71&gt;=55,"OLD")</f>
        <v>YOUNG</v>
      </c>
      <c r="V71" t="str">
        <f t="shared" si="7"/>
        <v>NORMAL</v>
      </c>
    </row>
    <row r="72" spans="1:22" x14ac:dyDescent="0.35">
      <c r="A72" t="s">
        <v>379</v>
      </c>
      <c r="B72" t="s">
        <v>380</v>
      </c>
      <c r="C72">
        <v>133.55000000000001</v>
      </c>
      <c r="D72" s="1">
        <v>45125.675000000003</v>
      </c>
      <c r="E72" s="2">
        <f t="shared" si="4"/>
        <v>0.67500000000291038</v>
      </c>
      <c r="F72" s="3">
        <f t="shared" si="5"/>
        <v>45125</v>
      </c>
      <c r="G72" t="s">
        <v>17</v>
      </c>
      <c r="H72" t="s">
        <v>47</v>
      </c>
      <c r="I72" t="s">
        <v>381</v>
      </c>
      <c r="J72" t="s">
        <v>382</v>
      </c>
      <c r="K72" t="s">
        <v>50</v>
      </c>
      <c r="L72" t="s">
        <v>22</v>
      </c>
      <c r="M72">
        <v>44</v>
      </c>
      <c r="N72" t="s">
        <v>77</v>
      </c>
      <c r="O72">
        <v>220</v>
      </c>
      <c r="P72">
        <v>1</v>
      </c>
      <c r="Q72">
        <v>3846.28</v>
      </c>
      <c r="R72" s="4">
        <v>45600</v>
      </c>
      <c r="S72" s="6">
        <v>0.3404861111111111</v>
      </c>
      <c r="T72">
        <f t="shared" si="6"/>
        <v>16</v>
      </c>
      <c r="U72" t="str" cm="1">
        <f t="array" ref="U72">_xlfn.IFS(M72&lt;=34,"YOUNG",M72&lt;=54,"MIDDLE AGE",M72&gt;=55,"OLD")</f>
        <v>MIDDLE AGE</v>
      </c>
      <c r="V72" t="str">
        <f t="shared" si="7"/>
        <v>NORMAL</v>
      </c>
    </row>
    <row r="73" spans="1:22" x14ac:dyDescent="0.35">
      <c r="A73" t="s">
        <v>383</v>
      </c>
      <c r="B73" t="s">
        <v>384</v>
      </c>
      <c r="C73">
        <v>143.21</v>
      </c>
      <c r="D73" s="1">
        <v>44939.708518518521</v>
      </c>
      <c r="E73" s="2">
        <f t="shared" si="4"/>
        <v>0.70851851852057735</v>
      </c>
      <c r="F73" s="3">
        <f t="shared" si="5"/>
        <v>44939</v>
      </c>
      <c r="G73" t="s">
        <v>17</v>
      </c>
      <c r="H73" t="s">
        <v>323</v>
      </c>
      <c r="I73" t="s">
        <v>385</v>
      </c>
      <c r="J73" t="s">
        <v>49</v>
      </c>
      <c r="K73" t="s">
        <v>386</v>
      </c>
      <c r="L73" t="s">
        <v>36</v>
      </c>
      <c r="M73">
        <v>35</v>
      </c>
      <c r="N73" t="s">
        <v>77</v>
      </c>
      <c r="O73">
        <v>135</v>
      </c>
      <c r="P73">
        <v>1</v>
      </c>
      <c r="Q73">
        <v>6374.82</v>
      </c>
      <c r="R73" s="4">
        <v>45600</v>
      </c>
      <c r="S73" s="6">
        <v>0.33988425925925925</v>
      </c>
      <c r="T73">
        <f t="shared" si="6"/>
        <v>17</v>
      </c>
      <c r="U73" t="str" cm="1">
        <f t="array" ref="U73">_xlfn.IFS(M73&lt;=34,"YOUNG",M73&lt;=54,"MIDDLE AGE",M73&gt;=55,"OLD")</f>
        <v>MIDDLE AGE</v>
      </c>
      <c r="V73" t="str">
        <f t="shared" si="7"/>
        <v>NORMAL</v>
      </c>
    </row>
    <row r="74" spans="1:22" x14ac:dyDescent="0.35">
      <c r="A74" t="s">
        <v>387</v>
      </c>
      <c r="B74" t="s">
        <v>269</v>
      </c>
      <c r="C74">
        <v>24.77</v>
      </c>
      <c r="D74" s="1">
        <v>45111.764270833337</v>
      </c>
      <c r="E74" s="2">
        <f t="shared" si="4"/>
        <v>0.76427083333692281</v>
      </c>
      <c r="F74" s="3">
        <f t="shared" si="5"/>
        <v>45111</v>
      </c>
      <c r="G74" t="s">
        <v>17</v>
      </c>
      <c r="H74" t="s">
        <v>388</v>
      </c>
      <c r="I74" t="s">
        <v>389</v>
      </c>
      <c r="J74" t="s">
        <v>347</v>
      </c>
      <c r="K74" t="s">
        <v>272</v>
      </c>
      <c r="L74" t="s">
        <v>22</v>
      </c>
      <c r="M74">
        <v>62</v>
      </c>
      <c r="N74" t="s">
        <v>70</v>
      </c>
      <c r="O74">
        <v>55</v>
      </c>
      <c r="P74">
        <v>1</v>
      </c>
      <c r="Q74">
        <v>5866.01</v>
      </c>
      <c r="R74" s="4">
        <v>45600</v>
      </c>
      <c r="S74" s="6">
        <v>0.34184027777777776</v>
      </c>
      <c r="T74">
        <f t="shared" si="6"/>
        <v>18</v>
      </c>
      <c r="U74" t="str" cm="1">
        <f t="array" ref="U74">_xlfn.IFS(M74&lt;=34,"YOUNG",M74&lt;=54,"MIDDLE AGE",M74&gt;=55,"OLD")</f>
        <v>OLD</v>
      </c>
      <c r="V74" t="str">
        <f t="shared" si="7"/>
        <v>NORMAL</v>
      </c>
    </row>
    <row r="75" spans="1:22" x14ac:dyDescent="0.35">
      <c r="A75" t="s">
        <v>390</v>
      </c>
      <c r="B75" t="s">
        <v>391</v>
      </c>
      <c r="C75">
        <v>233.92</v>
      </c>
      <c r="D75" s="1">
        <v>45219.70449074074</v>
      </c>
      <c r="E75" s="2">
        <f t="shared" si="4"/>
        <v>0.70449074073985685</v>
      </c>
      <c r="F75" s="3">
        <f t="shared" si="5"/>
        <v>45219</v>
      </c>
      <c r="G75" t="s">
        <v>46</v>
      </c>
      <c r="H75" t="s">
        <v>392</v>
      </c>
      <c r="I75" t="s">
        <v>393</v>
      </c>
      <c r="J75" t="s">
        <v>394</v>
      </c>
      <c r="K75" t="s">
        <v>246</v>
      </c>
      <c r="L75" t="s">
        <v>36</v>
      </c>
      <c r="M75">
        <v>26</v>
      </c>
      <c r="N75" t="s">
        <v>37</v>
      </c>
      <c r="O75">
        <v>280</v>
      </c>
      <c r="P75">
        <v>1</v>
      </c>
      <c r="Q75">
        <v>6537.62</v>
      </c>
      <c r="R75" s="4">
        <v>45600</v>
      </c>
      <c r="S75" s="6">
        <v>0.33940972222222221</v>
      </c>
      <c r="T75">
        <f t="shared" si="6"/>
        <v>16</v>
      </c>
      <c r="U75" t="str" cm="1">
        <f t="array" ref="U75">_xlfn.IFS(M75&lt;=34,"YOUNG",M75&lt;=54,"MIDDLE AGE",M75&gt;=55,"OLD")</f>
        <v>YOUNG</v>
      </c>
      <c r="V75" t="str">
        <f t="shared" si="7"/>
        <v>NORMAL</v>
      </c>
    </row>
    <row r="76" spans="1:22" x14ac:dyDescent="0.35">
      <c r="A76" t="s">
        <v>395</v>
      </c>
      <c r="B76" t="s">
        <v>396</v>
      </c>
      <c r="C76">
        <v>1212.51</v>
      </c>
      <c r="D76" s="1">
        <v>45203.692002314812</v>
      </c>
      <c r="E76" s="2">
        <f t="shared" si="4"/>
        <v>0.69200231481227092</v>
      </c>
      <c r="F76" s="3">
        <f t="shared" si="5"/>
        <v>45203</v>
      </c>
      <c r="G76" t="s">
        <v>17</v>
      </c>
      <c r="H76" t="s">
        <v>65</v>
      </c>
      <c r="I76" t="s">
        <v>397</v>
      </c>
      <c r="J76" t="s">
        <v>104</v>
      </c>
      <c r="K76" t="s">
        <v>308</v>
      </c>
      <c r="L76" t="s">
        <v>69</v>
      </c>
      <c r="M76">
        <v>20</v>
      </c>
      <c r="N76" t="s">
        <v>37</v>
      </c>
      <c r="O76">
        <v>24</v>
      </c>
      <c r="P76">
        <v>1</v>
      </c>
      <c r="Q76">
        <v>605.95000000000005</v>
      </c>
      <c r="R76" s="4">
        <v>45600</v>
      </c>
      <c r="S76" s="6">
        <v>0.33809027777777778</v>
      </c>
      <c r="T76">
        <f t="shared" si="6"/>
        <v>16</v>
      </c>
      <c r="U76" t="str" cm="1">
        <f t="array" ref="U76">_xlfn.IFS(M76&lt;=34,"YOUNG",M76&lt;=54,"MIDDLE AGE",M76&gt;=55,"OLD")</f>
        <v>YOUNG</v>
      </c>
      <c r="V76" t="str">
        <f t="shared" si="7"/>
        <v>NORMAL</v>
      </c>
    </row>
    <row r="77" spans="1:22" x14ac:dyDescent="0.35">
      <c r="A77" t="s">
        <v>398</v>
      </c>
      <c r="B77" t="s">
        <v>399</v>
      </c>
      <c r="C77">
        <v>232.12</v>
      </c>
      <c r="D77" s="1">
        <v>45288.729895833334</v>
      </c>
      <c r="E77" s="2">
        <f t="shared" si="4"/>
        <v>0.72989583333401242</v>
      </c>
      <c r="F77" s="3">
        <f t="shared" si="5"/>
        <v>45288</v>
      </c>
      <c r="G77" t="s">
        <v>17</v>
      </c>
      <c r="H77" t="s">
        <v>296</v>
      </c>
      <c r="I77" t="s">
        <v>400</v>
      </c>
      <c r="J77" t="s">
        <v>401</v>
      </c>
      <c r="K77" t="s">
        <v>386</v>
      </c>
      <c r="L77" t="s">
        <v>22</v>
      </c>
      <c r="M77">
        <v>37</v>
      </c>
      <c r="N77" t="s">
        <v>77</v>
      </c>
      <c r="O77">
        <v>51</v>
      </c>
      <c r="P77">
        <v>1</v>
      </c>
      <c r="Q77">
        <v>6689.87</v>
      </c>
      <c r="R77" s="4">
        <v>45600</v>
      </c>
      <c r="S77" s="6">
        <v>0.33978009259259262</v>
      </c>
      <c r="T77">
        <f t="shared" si="6"/>
        <v>17</v>
      </c>
      <c r="U77" t="str" cm="1">
        <f t="array" ref="U77">_xlfn.IFS(M77&lt;=34,"YOUNG",M77&lt;=54,"MIDDLE AGE",M77&gt;=55,"OLD")</f>
        <v>MIDDLE AGE</v>
      </c>
      <c r="V77" t="str">
        <f t="shared" si="7"/>
        <v>NORMAL</v>
      </c>
    </row>
    <row r="78" spans="1:22" x14ac:dyDescent="0.35">
      <c r="A78" t="s">
        <v>402</v>
      </c>
      <c r="B78" t="s">
        <v>403</v>
      </c>
      <c r="C78">
        <v>162.63</v>
      </c>
      <c r="D78" s="1">
        <v>45089.745740740742</v>
      </c>
      <c r="E78" s="2">
        <f t="shared" si="4"/>
        <v>0.74574074074189411</v>
      </c>
      <c r="F78" s="3">
        <f t="shared" si="5"/>
        <v>45089</v>
      </c>
      <c r="G78" t="s">
        <v>17</v>
      </c>
      <c r="H78" t="s">
        <v>291</v>
      </c>
      <c r="I78" t="s">
        <v>404</v>
      </c>
      <c r="J78" t="s">
        <v>405</v>
      </c>
      <c r="K78" t="s">
        <v>406</v>
      </c>
      <c r="L78" t="s">
        <v>36</v>
      </c>
      <c r="M78">
        <v>22</v>
      </c>
      <c r="N78" t="s">
        <v>37</v>
      </c>
      <c r="O78">
        <v>113</v>
      </c>
      <c r="P78">
        <v>1</v>
      </c>
      <c r="Q78">
        <v>634.16999999999996</v>
      </c>
      <c r="R78" s="4">
        <v>45600</v>
      </c>
      <c r="S78" s="6">
        <v>0.33914351851851854</v>
      </c>
      <c r="T78">
        <f t="shared" si="6"/>
        <v>17</v>
      </c>
      <c r="U78" t="str" cm="1">
        <f t="array" ref="U78">_xlfn.IFS(M78&lt;=34,"YOUNG",M78&lt;=54,"MIDDLE AGE",M78&gt;=55,"OLD")</f>
        <v>YOUNG</v>
      </c>
      <c r="V78" t="str">
        <f t="shared" si="7"/>
        <v>NORMAL</v>
      </c>
    </row>
    <row r="79" spans="1:22" x14ac:dyDescent="0.35">
      <c r="A79" t="s">
        <v>407</v>
      </c>
      <c r="B79" t="s">
        <v>408</v>
      </c>
      <c r="C79">
        <v>91.53</v>
      </c>
      <c r="D79" s="1">
        <v>44998.689027777778</v>
      </c>
      <c r="E79" s="2">
        <f t="shared" si="4"/>
        <v>0.68902777777839219</v>
      </c>
      <c r="F79" s="3">
        <f t="shared" si="5"/>
        <v>44998</v>
      </c>
      <c r="G79" t="s">
        <v>17</v>
      </c>
      <c r="H79" t="s">
        <v>178</v>
      </c>
      <c r="I79" t="s">
        <v>409</v>
      </c>
      <c r="J79" t="s">
        <v>410</v>
      </c>
      <c r="K79" t="s">
        <v>312</v>
      </c>
      <c r="L79" t="s">
        <v>69</v>
      </c>
      <c r="M79">
        <v>44</v>
      </c>
      <c r="N79" t="s">
        <v>23</v>
      </c>
      <c r="O79">
        <v>69</v>
      </c>
      <c r="P79">
        <v>1</v>
      </c>
      <c r="Q79">
        <v>14676.05</v>
      </c>
      <c r="R79" s="4">
        <v>45600</v>
      </c>
      <c r="S79" s="6">
        <v>0.34138888888888891</v>
      </c>
      <c r="T79">
        <f t="shared" si="6"/>
        <v>16</v>
      </c>
      <c r="U79" t="str" cm="1">
        <f t="array" ref="U79">_xlfn.IFS(M79&lt;=34,"YOUNG",M79&lt;=54,"MIDDLE AGE",M79&gt;=55,"OLD")</f>
        <v>MIDDLE AGE</v>
      </c>
      <c r="V79" t="str">
        <f t="shared" si="7"/>
        <v>NORMAL</v>
      </c>
    </row>
    <row r="80" spans="1:22" x14ac:dyDescent="0.35">
      <c r="A80" t="s">
        <v>411</v>
      </c>
      <c r="B80" t="s">
        <v>412</v>
      </c>
      <c r="C80">
        <v>120.29</v>
      </c>
      <c r="D80" s="1">
        <v>45278.782256944447</v>
      </c>
      <c r="E80" s="2">
        <f t="shared" si="4"/>
        <v>0.78225694444699911</v>
      </c>
      <c r="F80" s="3">
        <f t="shared" si="5"/>
        <v>45278</v>
      </c>
      <c r="G80" t="s">
        <v>17</v>
      </c>
      <c r="H80" t="s">
        <v>172</v>
      </c>
      <c r="I80" t="s">
        <v>413</v>
      </c>
      <c r="J80" t="s">
        <v>20</v>
      </c>
      <c r="K80" t="s">
        <v>414</v>
      </c>
      <c r="L80" t="s">
        <v>69</v>
      </c>
      <c r="M80">
        <v>19</v>
      </c>
      <c r="N80" t="s">
        <v>37</v>
      </c>
      <c r="O80">
        <v>77</v>
      </c>
      <c r="P80">
        <v>1</v>
      </c>
      <c r="Q80">
        <v>1362.39</v>
      </c>
      <c r="R80" s="4">
        <v>45600</v>
      </c>
      <c r="S80" s="6">
        <v>0.33807870370370369</v>
      </c>
      <c r="T80">
        <f t="shared" si="6"/>
        <v>18</v>
      </c>
      <c r="U80" t="str" cm="1">
        <f t="array" ref="U80">_xlfn.IFS(M80&lt;=34,"YOUNG",M80&lt;=54,"MIDDLE AGE",M80&gt;=55,"OLD")</f>
        <v>YOUNG</v>
      </c>
      <c r="V80" t="str">
        <f t="shared" si="7"/>
        <v>NORMAL</v>
      </c>
    </row>
    <row r="81" spans="1:22" x14ac:dyDescent="0.35">
      <c r="A81" t="s">
        <v>415</v>
      </c>
      <c r="B81" t="s">
        <v>145</v>
      </c>
      <c r="C81">
        <v>174.25</v>
      </c>
      <c r="D81" s="1">
        <v>45124.787858796299</v>
      </c>
      <c r="E81" s="2">
        <f t="shared" si="4"/>
        <v>0.7878587962986785</v>
      </c>
      <c r="F81" s="3">
        <f t="shared" si="5"/>
        <v>45124</v>
      </c>
      <c r="G81" t="s">
        <v>17</v>
      </c>
      <c r="H81" t="s">
        <v>59</v>
      </c>
      <c r="I81" t="s">
        <v>416</v>
      </c>
      <c r="J81" t="s">
        <v>417</v>
      </c>
      <c r="K81" t="s">
        <v>418</v>
      </c>
      <c r="L81" t="s">
        <v>36</v>
      </c>
      <c r="M81">
        <v>50</v>
      </c>
      <c r="N81" t="s">
        <v>23</v>
      </c>
      <c r="O81">
        <v>67</v>
      </c>
      <c r="P81">
        <v>1</v>
      </c>
      <c r="Q81">
        <v>10528.34</v>
      </c>
      <c r="R81" s="4">
        <v>45600</v>
      </c>
      <c r="S81" s="6">
        <v>0.34061342592592592</v>
      </c>
      <c r="T81">
        <f t="shared" si="6"/>
        <v>18</v>
      </c>
      <c r="U81" t="str" cm="1">
        <f t="array" ref="U81">_xlfn.IFS(M81&lt;=34,"YOUNG",M81&lt;=54,"MIDDLE AGE",M81&gt;=55,"OLD")</f>
        <v>MIDDLE AGE</v>
      </c>
      <c r="V81" t="str">
        <f t="shared" si="7"/>
        <v>NORMAL</v>
      </c>
    </row>
    <row r="82" spans="1:22" x14ac:dyDescent="0.35">
      <c r="A82" t="s">
        <v>419</v>
      </c>
      <c r="B82" t="s">
        <v>420</v>
      </c>
      <c r="C82">
        <v>183.71</v>
      </c>
      <c r="D82" s="1">
        <v>45096.765393518515</v>
      </c>
      <c r="E82" s="2">
        <f t="shared" si="4"/>
        <v>0.76539351851533866</v>
      </c>
      <c r="F82" s="3">
        <f t="shared" si="5"/>
        <v>45096</v>
      </c>
      <c r="G82" t="s">
        <v>17</v>
      </c>
      <c r="H82" t="s">
        <v>114</v>
      </c>
      <c r="I82" t="s">
        <v>421</v>
      </c>
      <c r="J82" t="s">
        <v>422</v>
      </c>
      <c r="K82" t="s">
        <v>226</v>
      </c>
      <c r="L82" t="s">
        <v>22</v>
      </c>
      <c r="M82">
        <v>38</v>
      </c>
      <c r="N82" t="s">
        <v>77</v>
      </c>
      <c r="O82">
        <v>102</v>
      </c>
      <c r="P82">
        <v>1</v>
      </c>
      <c r="Q82">
        <v>552.52</v>
      </c>
      <c r="R82" s="4">
        <v>45600</v>
      </c>
      <c r="S82" s="6">
        <v>0.34017361111111111</v>
      </c>
      <c r="T82">
        <f t="shared" si="6"/>
        <v>18</v>
      </c>
      <c r="U82" t="str" cm="1">
        <f t="array" ref="U82">_xlfn.IFS(M82&lt;=34,"YOUNG",M82&lt;=54,"MIDDLE AGE",M82&gt;=55,"OLD")</f>
        <v>MIDDLE AGE</v>
      </c>
      <c r="V82" t="str">
        <f t="shared" si="7"/>
        <v>NORMAL</v>
      </c>
    </row>
    <row r="83" spans="1:22" x14ac:dyDescent="0.35">
      <c r="A83" t="s">
        <v>423</v>
      </c>
      <c r="B83" t="s">
        <v>424</v>
      </c>
      <c r="C83">
        <v>345.39</v>
      </c>
      <c r="D83" s="1">
        <v>45222.71802083333</v>
      </c>
      <c r="E83" s="2">
        <f t="shared" si="4"/>
        <v>0.71802083333022892</v>
      </c>
      <c r="F83" s="3">
        <f t="shared" si="5"/>
        <v>45222</v>
      </c>
      <c r="G83" t="s">
        <v>46</v>
      </c>
      <c r="H83" t="s">
        <v>425</v>
      </c>
      <c r="I83" t="s">
        <v>426</v>
      </c>
      <c r="J83" t="s">
        <v>369</v>
      </c>
      <c r="K83" t="s">
        <v>427</v>
      </c>
      <c r="L83" t="s">
        <v>36</v>
      </c>
      <c r="M83">
        <v>58</v>
      </c>
      <c r="N83" t="s">
        <v>77</v>
      </c>
      <c r="O83">
        <v>80</v>
      </c>
      <c r="P83">
        <v>1</v>
      </c>
      <c r="Q83">
        <v>6451.96</v>
      </c>
      <c r="R83" s="4">
        <v>45600</v>
      </c>
      <c r="S83" s="6">
        <v>0.33907407407407408</v>
      </c>
      <c r="T83">
        <f t="shared" si="6"/>
        <v>17</v>
      </c>
      <c r="U83" t="str" cm="1">
        <f t="array" ref="U83">_xlfn.IFS(M83&lt;=34,"YOUNG",M83&lt;=54,"MIDDLE AGE",M83&gt;=55,"OLD")</f>
        <v>OLD</v>
      </c>
      <c r="V83" t="str">
        <f t="shared" si="7"/>
        <v>NORMAL</v>
      </c>
    </row>
    <row r="84" spans="1:22" x14ac:dyDescent="0.35">
      <c r="A84" t="s">
        <v>428</v>
      </c>
      <c r="B84" t="s">
        <v>429</v>
      </c>
      <c r="C84">
        <v>922.55</v>
      </c>
      <c r="D84" s="1">
        <v>44949.689444444448</v>
      </c>
      <c r="E84" s="2">
        <f t="shared" si="4"/>
        <v>0.68944444444787223</v>
      </c>
      <c r="F84" s="3">
        <f t="shared" si="5"/>
        <v>44949</v>
      </c>
      <c r="G84" t="s">
        <v>17</v>
      </c>
      <c r="H84" t="s">
        <v>73</v>
      </c>
      <c r="I84" t="s">
        <v>430</v>
      </c>
      <c r="J84" t="s">
        <v>431</v>
      </c>
      <c r="K84" t="s">
        <v>432</v>
      </c>
      <c r="L84" t="s">
        <v>22</v>
      </c>
      <c r="M84">
        <v>63</v>
      </c>
      <c r="N84" t="s">
        <v>70</v>
      </c>
      <c r="O84">
        <v>87</v>
      </c>
      <c r="P84">
        <v>1</v>
      </c>
      <c r="Q84">
        <v>4715.84</v>
      </c>
      <c r="R84" s="4">
        <v>45600</v>
      </c>
      <c r="S84" s="6">
        <v>0.34105324074074073</v>
      </c>
      <c r="T84">
        <f t="shared" si="6"/>
        <v>16</v>
      </c>
      <c r="U84" t="str" cm="1">
        <f t="array" ref="U84">_xlfn.IFS(M84&lt;=34,"YOUNG",M84&lt;=54,"MIDDLE AGE",M84&gt;=55,"OLD")</f>
        <v>OLD</v>
      </c>
      <c r="V84" t="str">
        <f t="shared" si="7"/>
        <v>NORMAL</v>
      </c>
    </row>
    <row r="85" spans="1:22" x14ac:dyDescent="0.35">
      <c r="A85" t="s">
        <v>433</v>
      </c>
      <c r="B85" t="s">
        <v>434</v>
      </c>
      <c r="C85">
        <v>259.91000000000003</v>
      </c>
      <c r="D85" s="1">
        <v>45236.690393518518</v>
      </c>
      <c r="E85" s="2">
        <f t="shared" si="4"/>
        <v>0.69039351851824904</v>
      </c>
      <c r="F85" s="3">
        <f t="shared" si="5"/>
        <v>45236</v>
      </c>
      <c r="G85" t="s">
        <v>17</v>
      </c>
      <c r="H85" t="s">
        <v>114</v>
      </c>
      <c r="I85" t="s">
        <v>435</v>
      </c>
      <c r="J85" t="s">
        <v>436</v>
      </c>
      <c r="K85" t="s">
        <v>165</v>
      </c>
      <c r="L85" t="s">
        <v>36</v>
      </c>
      <c r="M85">
        <v>49</v>
      </c>
      <c r="N85" t="s">
        <v>23</v>
      </c>
      <c r="O85">
        <v>170</v>
      </c>
      <c r="P85">
        <v>1</v>
      </c>
      <c r="Q85">
        <v>7176.86</v>
      </c>
      <c r="R85" s="4">
        <v>45600</v>
      </c>
      <c r="S85" s="6">
        <v>0.34002314814814816</v>
      </c>
      <c r="T85">
        <f t="shared" si="6"/>
        <v>16</v>
      </c>
      <c r="U85" t="str" cm="1">
        <f t="array" ref="U85">_xlfn.IFS(M85&lt;=34,"YOUNG",M85&lt;=54,"MIDDLE AGE",M85&gt;=55,"OLD")</f>
        <v>MIDDLE AGE</v>
      </c>
      <c r="V85" t="str">
        <f t="shared" si="7"/>
        <v>NORMAL</v>
      </c>
    </row>
    <row r="86" spans="1:22" x14ac:dyDescent="0.35">
      <c r="A86" t="s">
        <v>437</v>
      </c>
      <c r="B86" t="s">
        <v>438</v>
      </c>
      <c r="C86">
        <v>154.71</v>
      </c>
      <c r="D86" s="1">
        <v>45110.694722222222</v>
      </c>
      <c r="E86" s="2">
        <f t="shared" si="4"/>
        <v>0.69472222222248092</v>
      </c>
      <c r="F86" s="3">
        <f t="shared" si="5"/>
        <v>45110</v>
      </c>
      <c r="G86" t="s">
        <v>17</v>
      </c>
      <c r="H86" t="s">
        <v>18</v>
      </c>
      <c r="I86" t="s">
        <v>439</v>
      </c>
      <c r="J86" t="s">
        <v>440</v>
      </c>
      <c r="K86" t="s">
        <v>95</v>
      </c>
      <c r="L86" t="s">
        <v>36</v>
      </c>
      <c r="M86">
        <v>34</v>
      </c>
      <c r="N86" t="s">
        <v>23</v>
      </c>
      <c r="O86">
        <v>157</v>
      </c>
      <c r="P86">
        <v>1</v>
      </c>
      <c r="Q86">
        <v>1523.72</v>
      </c>
      <c r="R86" s="4">
        <v>45600</v>
      </c>
      <c r="S86" s="6">
        <v>0.34006944444444442</v>
      </c>
      <c r="T86">
        <f t="shared" si="6"/>
        <v>16</v>
      </c>
      <c r="U86" t="str" cm="1">
        <f t="array" ref="U86">_xlfn.IFS(M86&lt;=34,"YOUNG",M86&lt;=54,"MIDDLE AGE",M86&gt;=55,"OLD")</f>
        <v>YOUNG</v>
      </c>
      <c r="V86" t="str">
        <f t="shared" si="7"/>
        <v>NORMAL</v>
      </c>
    </row>
    <row r="87" spans="1:22" x14ac:dyDescent="0.35">
      <c r="A87" t="s">
        <v>441</v>
      </c>
      <c r="B87" t="s">
        <v>442</v>
      </c>
      <c r="C87">
        <v>1340.19</v>
      </c>
      <c r="D87" s="1">
        <v>45198.723726851851</v>
      </c>
      <c r="E87" s="2">
        <f t="shared" si="4"/>
        <v>0.72372685185109731</v>
      </c>
      <c r="F87" s="3">
        <f t="shared" si="5"/>
        <v>45198</v>
      </c>
      <c r="G87" t="s">
        <v>46</v>
      </c>
      <c r="H87" t="s">
        <v>119</v>
      </c>
      <c r="I87" t="s">
        <v>443</v>
      </c>
      <c r="J87" t="s">
        <v>444</v>
      </c>
      <c r="K87" t="s">
        <v>445</v>
      </c>
      <c r="L87" t="s">
        <v>36</v>
      </c>
      <c r="M87">
        <v>54</v>
      </c>
      <c r="N87" t="s">
        <v>77</v>
      </c>
      <c r="O87">
        <v>30</v>
      </c>
      <c r="P87">
        <v>1</v>
      </c>
      <c r="Q87">
        <v>8654.2800000000007</v>
      </c>
      <c r="R87" s="4">
        <v>45600</v>
      </c>
      <c r="S87" s="6">
        <v>0.33811342592592591</v>
      </c>
      <c r="T87">
        <f t="shared" si="6"/>
        <v>17</v>
      </c>
      <c r="U87" t="str" cm="1">
        <f t="array" ref="U87">_xlfn.IFS(M87&lt;=34,"YOUNG",M87&lt;=54,"MIDDLE AGE",M87&gt;=55,"OLD")</f>
        <v>MIDDLE AGE</v>
      </c>
      <c r="V87" t="str">
        <f t="shared" si="7"/>
        <v>NORMAL</v>
      </c>
    </row>
    <row r="88" spans="1:22" x14ac:dyDescent="0.35">
      <c r="A88" t="s">
        <v>446</v>
      </c>
      <c r="B88" t="s">
        <v>447</v>
      </c>
      <c r="C88">
        <v>24.56</v>
      </c>
      <c r="D88" s="1">
        <v>45219.727488425924</v>
      </c>
      <c r="E88" s="2">
        <f t="shared" si="4"/>
        <v>0.72748842592409346</v>
      </c>
      <c r="F88" s="3">
        <f t="shared" si="5"/>
        <v>45219</v>
      </c>
      <c r="G88" t="s">
        <v>17</v>
      </c>
      <c r="H88" t="s">
        <v>32</v>
      </c>
      <c r="I88" t="s">
        <v>448</v>
      </c>
      <c r="J88" t="s">
        <v>449</v>
      </c>
      <c r="K88" t="s">
        <v>450</v>
      </c>
      <c r="L88" t="s">
        <v>69</v>
      </c>
      <c r="M88">
        <v>64</v>
      </c>
      <c r="N88" t="s">
        <v>23</v>
      </c>
      <c r="O88">
        <v>69</v>
      </c>
      <c r="P88">
        <v>1</v>
      </c>
      <c r="Q88">
        <v>9869.93</v>
      </c>
      <c r="R88" s="4">
        <v>45600</v>
      </c>
      <c r="S88" s="6">
        <v>0.34172453703703703</v>
      </c>
      <c r="T88">
        <f t="shared" si="6"/>
        <v>17</v>
      </c>
      <c r="U88" t="str" cm="1">
        <f t="array" ref="U88">_xlfn.IFS(M88&lt;=34,"YOUNG",M88&lt;=54,"MIDDLE AGE",M88&gt;=55,"OLD")</f>
        <v>OLD</v>
      </c>
      <c r="V88" t="str">
        <f t="shared" si="7"/>
        <v>NORMAL</v>
      </c>
    </row>
    <row r="89" spans="1:22" x14ac:dyDescent="0.35">
      <c r="A89" t="s">
        <v>451</v>
      </c>
      <c r="B89" t="s">
        <v>452</v>
      </c>
      <c r="C89">
        <v>568.07000000000005</v>
      </c>
      <c r="D89" s="1">
        <v>45166.711030092592</v>
      </c>
      <c r="E89" s="2">
        <f t="shared" si="4"/>
        <v>0.71103009259240935</v>
      </c>
      <c r="F89" s="3">
        <f t="shared" si="5"/>
        <v>45166</v>
      </c>
      <c r="G89" t="s">
        <v>17</v>
      </c>
      <c r="H89" t="s">
        <v>453</v>
      </c>
      <c r="I89" t="s">
        <v>454</v>
      </c>
      <c r="J89" t="s">
        <v>455</v>
      </c>
      <c r="K89" t="s">
        <v>56</v>
      </c>
      <c r="L89" t="s">
        <v>22</v>
      </c>
      <c r="M89">
        <v>48</v>
      </c>
      <c r="N89" t="s">
        <v>23</v>
      </c>
      <c r="O89">
        <v>115</v>
      </c>
      <c r="P89">
        <v>1</v>
      </c>
      <c r="Q89">
        <v>10556.81</v>
      </c>
      <c r="R89" s="4">
        <v>45600</v>
      </c>
      <c r="S89" s="6">
        <v>0.33856481481481482</v>
      </c>
      <c r="T89">
        <f t="shared" si="6"/>
        <v>17</v>
      </c>
      <c r="U89" t="str" cm="1">
        <f t="array" ref="U89">_xlfn.IFS(M89&lt;=34,"YOUNG",M89&lt;=54,"MIDDLE AGE",M89&gt;=55,"OLD")</f>
        <v>MIDDLE AGE</v>
      </c>
      <c r="V89" t="str">
        <f t="shared" si="7"/>
        <v>NORMAL</v>
      </c>
    </row>
    <row r="90" spans="1:22" x14ac:dyDescent="0.35">
      <c r="A90" t="s">
        <v>456</v>
      </c>
      <c r="B90" t="s">
        <v>337</v>
      </c>
      <c r="C90">
        <v>9.61</v>
      </c>
      <c r="D90" s="1">
        <v>45099.776030092595</v>
      </c>
      <c r="E90" s="2">
        <f t="shared" si="4"/>
        <v>0.77603009259473765</v>
      </c>
      <c r="F90" s="3">
        <f t="shared" si="5"/>
        <v>45099</v>
      </c>
      <c r="G90" t="s">
        <v>46</v>
      </c>
      <c r="H90" t="s">
        <v>18</v>
      </c>
      <c r="I90" t="s">
        <v>457</v>
      </c>
      <c r="J90" t="s">
        <v>458</v>
      </c>
      <c r="K90" t="s">
        <v>169</v>
      </c>
      <c r="L90" t="s">
        <v>36</v>
      </c>
      <c r="M90">
        <v>58</v>
      </c>
      <c r="N90" t="s">
        <v>23</v>
      </c>
      <c r="O90">
        <v>179</v>
      </c>
      <c r="P90">
        <v>1</v>
      </c>
      <c r="Q90">
        <v>12883.91</v>
      </c>
      <c r="R90" s="4">
        <v>45600</v>
      </c>
      <c r="S90" s="6">
        <v>0.33969907407407407</v>
      </c>
      <c r="T90">
        <f t="shared" si="6"/>
        <v>18</v>
      </c>
      <c r="U90" t="str" cm="1">
        <f t="array" ref="U90">_xlfn.IFS(M90&lt;=34,"YOUNG",M90&lt;=54,"MIDDLE AGE",M90&gt;=55,"OLD")</f>
        <v>OLD</v>
      </c>
      <c r="V90" t="str">
        <f t="shared" si="7"/>
        <v>NORMAL</v>
      </c>
    </row>
    <row r="91" spans="1:22" x14ac:dyDescent="0.35">
      <c r="A91" t="s">
        <v>459</v>
      </c>
      <c r="B91" t="s">
        <v>460</v>
      </c>
      <c r="C91">
        <v>392.96</v>
      </c>
      <c r="D91" s="1">
        <v>45250.686215277776</v>
      </c>
      <c r="E91" s="2">
        <f t="shared" si="4"/>
        <v>0.68621527777577285</v>
      </c>
      <c r="F91" s="3">
        <f t="shared" si="5"/>
        <v>45250</v>
      </c>
      <c r="G91" t="s">
        <v>17</v>
      </c>
      <c r="H91" t="s">
        <v>291</v>
      </c>
      <c r="I91" t="s">
        <v>461</v>
      </c>
      <c r="J91" t="s">
        <v>330</v>
      </c>
      <c r="K91" t="s">
        <v>154</v>
      </c>
      <c r="L91" t="s">
        <v>36</v>
      </c>
      <c r="M91">
        <v>24</v>
      </c>
      <c r="N91" t="s">
        <v>37</v>
      </c>
      <c r="O91">
        <v>100</v>
      </c>
      <c r="P91">
        <v>1</v>
      </c>
      <c r="Q91">
        <v>791.65</v>
      </c>
      <c r="R91" s="4">
        <v>45600</v>
      </c>
      <c r="S91" s="6">
        <v>0.33932870370370372</v>
      </c>
      <c r="T91">
        <f t="shared" si="6"/>
        <v>16</v>
      </c>
      <c r="U91" t="str" cm="1">
        <f t="array" ref="U91">_xlfn.IFS(M91&lt;=34,"YOUNG",M91&lt;=54,"MIDDLE AGE",M91&gt;=55,"OLD")</f>
        <v>YOUNG</v>
      </c>
      <c r="V91" t="str">
        <f t="shared" si="7"/>
        <v>NORMAL</v>
      </c>
    </row>
    <row r="92" spans="1:22" x14ac:dyDescent="0.35">
      <c r="A92" t="s">
        <v>462</v>
      </c>
      <c r="B92" t="s">
        <v>463</v>
      </c>
      <c r="C92">
        <v>716.93</v>
      </c>
      <c r="D92" s="1">
        <v>45183.70107638889</v>
      </c>
      <c r="E92" s="2">
        <f t="shared" si="4"/>
        <v>0.70107638889021473</v>
      </c>
      <c r="F92" s="3">
        <f t="shared" si="5"/>
        <v>45183</v>
      </c>
      <c r="G92" t="s">
        <v>46</v>
      </c>
      <c r="H92" t="s">
        <v>178</v>
      </c>
      <c r="I92" t="s">
        <v>464</v>
      </c>
      <c r="J92" t="s">
        <v>465</v>
      </c>
      <c r="K92" t="s">
        <v>29</v>
      </c>
      <c r="L92" t="s">
        <v>36</v>
      </c>
      <c r="M92">
        <v>60</v>
      </c>
      <c r="N92" t="s">
        <v>70</v>
      </c>
      <c r="O92">
        <v>34</v>
      </c>
      <c r="P92">
        <v>1</v>
      </c>
      <c r="Q92">
        <v>4064.02</v>
      </c>
      <c r="R92" s="4">
        <v>45600</v>
      </c>
      <c r="S92" s="6">
        <v>0.33902777777777776</v>
      </c>
      <c r="T92">
        <f t="shared" si="6"/>
        <v>16</v>
      </c>
      <c r="U92" t="str" cm="1">
        <f t="array" ref="U92">_xlfn.IFS(M92&lt;=34,"YOUNG",M92&lt;=54,"MIDDLE AGE",M92&gt;=55,"OLD")</f>
        <v>OLD</v>
      </c>
      <c r="V92" t="str">
        <f t="shared" si="7"/>
        <v>NORMAL</v>
      </c>
    </row>
    <row r="93" spans="1:22" x14ac:dyDescent="0.35">
      <c r="A93" t="s">
        <v>466</v>
      </c>
      <c r="B93" t="s">
        <v>467</v>
      </c>
      <c r="C93">
        <v>223.85</v>
      </c>
      <c r="D93" s="1">
        <v>45201.691782407404</v>
      </c>
      <c r="E93" s="2">
        <f t="shared" si="4"/>
        <v>0.69178240740438923</v>
      </c>
      <c r="F93" s="3">
        <f t="shared" si="5"/>
        <v>45201</v>
      </c>
      <c r="G93" t="s">
        <v>17</v>
      </c>
      <c r="H93" t="s">
        <v>291</v>
      </c>
      <c r="I93" t="s">
        <v>468</v>
      </c>
      <c r="J93" t="s">
        <v>469</v>
      </c>
      <c r="K93" t="s">
        <v>35</v>
      </c>
      <c r="L93" t="s">
        <v>22</v>
      </c>
      <c r="M93">
        <v>53</v>
      </c>
      <c r="N93" t="s">
        <v>77</v>
      </c>
      <c r="O93">
        <v>55</v>
      </c>
      <c r="P93">
        <v>4</v>
      </c>
      <c r="Q93">
        <v>2929.91</v>
      </c>
      <c r="R93" s="4">
        <v>45600</v>
      </c>
      <c r="S93" s="6">
        <v>0.33890046296296295</v>
      </c>
      <c r="T93">
        <f t="shared" si="6"/>
        <v>16</v>
      </c>
      <c r="U93" t="str" cm="1">
        <f t="array" ref="U93">_xlfn.IFS(M93&lt;=34,"YOUNG",M93&lt;=54,"MIDDLE AGE",M93&gt;=55,"OLD")</f>
        <v>MIDDLE AGE</v>
      </c>
      <c r="V93" t="str">
        <f t="shared" si="7"/>
        <v>HIGH</v>
      </c>
    </row>
    <row r="94" spans="1:22" x14ac:dyDescent="0.35">
      <c r="A94" t="s">
        <v>470</v>
      </c>
      <c r="B94" t="s">
        <v>471</v>
      </c>
      <c r="C94">
        <v>230.66</v>
      </c>
      <c r="D94" s="1">
        <v>45012.761157407411</v>
      </c>
      <c r="E94" s="2">
        <f t="shared" si="4"/>
        <v>0.76115740741079208</v>
      </c>
      <c r="F94" s="3">
        <f t="shared" si="5"/>
        <v>45012</v>
      </c>
      <c r="G94" t="s">
        <v>17</v>
      </c>
      <c r="H94" t="s">
        <v>26</v>
      </c>
      <c r="I94" t="s">
        <v>472</v>
      </c>
      <c r="J94" t="s">
        <v>473</v>
      </c>
      <c r="K94" t="s">
        <v>474</v>
      </c>
      <c r="L94" t="s">
        <v>69</v>
      </c>
      <c r="M94">
        <v>21</v>
      </c>
      <c r="N94" t="s">
        <v>37</v>
      </c>
      <c r="O94">
        <v>135</v>
      </c>
      <c r="P94">
        <v>1</v>
      </c>
      <c r="Q94">
        <v>618.04999999999995</v>
      </c>
      <c r="R94" s="4">
        <v>45600</v>
      </c>
      <c r="S94" s="6">
        <v>0.34078703703703705</v>
      </c>
      <c r="T94">
        <f t="shared" si="6"/>
        <v>18</v>
      </c>
      <c r="U94" t="str" cm="1">
        <f t="array" ref="U94">_xlfn.IFS(M94&lt;=34,"YOUNG",M94&lt;=54,"MIDDLE AGE",M94&gt;=55,"OLD")</f>
        <v>YOUNG</v>
      </c>
      <c r="V94" t="str">
        <f t="shared" si="7"/>
        <v>NORMAL</v>
      </c>
    </row>
    <row r="95" spans="1:22" x14ac:dyDescent="0.35">
      <c r="A95" t="s">
        <v>475</v>
      </c>
      <c r="B95" t="s">
        <v>452</v>
      </c>
      <c r="C95">
        <v>442.12</v>
      </c>
      <c r="D95" s="1">
        <v>45281.692395833335</v>
      </c>
      <c r="E95" s="2">
        <f t="shared" si="4"/>
        <v>0.69239583333546761</v>
      </c>
      <c r="F95" s="3">
        <f t="shared" si="5"/>
        <v>45281</v>
      </c>
      <c r="G95" t="s">
        <v>17</v>
      </c>
      <c r="H95" t="s">
        <v>140</v>
      </c>
      <c r="I95" t="s">
        <v>476</v>
      </c>
      <c r="J95" t="s">
        <v>477</v>
      </c>
      <c r="K95" t="s">
        <v>478</v>
      </c>
      <c r="L95" t="s">
        <v>36</v>
      </c>
      <c r="M95">
        <v>19</v>
      </c>
      <c r="N95" t="s">
        <v>37</v>
      </c>
      <c r="O95">
        <v>260</v>
      </c>
      <c r="P95">
        <v>1</v>
      </c>
      <c r="Q95">
        <v>1375.8</v>
      </c>
      <c r="R95" s="4">
        <v>45600</v>
      </c>
      <c r="S95" s="6">
        <v>0.33913194444444444</v>
      </c>
      <c r="T95">
        <f t="shared" si="6"/>
        <v>16</v>
      </c>
      <c r="U95" t="str" cm="1">
        <f t="array" ref="U95">_xlfn.IFS(M95&lt;=34,"YOUNG",M95&lt;=54,"MIDDLE AGE",M95&gt;=55,"OLD")</f>
        <v>YOUNG</v>
      </c>
      <c r="V95" t="str">
        <f t="shared" si="7"/>
        <v>NORMAL</v>
      </c>
    </row>
    <row r="96" spans="1:22" x14ac:dyDescent="0.35">
      <c r="A96" t="s">
        <v>479</v>
      </c>
      <c r="B96" t="s">
        <v>345</v>
      </c>
      <c r="C96">
        <v>644.16999999999996</v>
      </c>
      <c r="D96" s="1">
        <v>44987.670243055552</v>
      </c>
      <c r="E96" s="2">
        <f t="shared" si="4"/>
        <v>0.67024305555241881</v>
      </c>
      <c r="F96" s="3">
        <f t="shared" si="5"/>
        <v>44987</v>
      </c>
      <c r="G96" t="s">
        <v>17</v>
      </c>
      <c r="H96" t="s">
        <v>237</v>
      </c>
      <c r="I96" t="s">
        <v>480</v>
      </c>
      <c r="J96" t="s">
        <v>481</v>
      </c>
      <c r="K96" t="s">
        <v>482</v>
      </c>
      <c r="L96" t="s">
        <v>22</v>
      </c>
      <c r="M96">
        <v>29</v>
      </c>
      <c r="N96" t="s">
        <v>77</v>
      </c>
      <c r="O96">
        <v>72</v>
      </c>
      <c r="P96">
        <v>1</v>
      </c>
      <c r="Q96">
        <v>1143.52</v>
      </c>
      <c r="R96" s="4">
        <v>45600</v>
      </c>
      <c r="S96" s="6">
        <v>0.33893518518518517</v>
      </c>
      <c r="T96">
        <f t="shared" si="6"/>
        <v>16</v>
      </c>
      <c r="U96" t="str" cm="1">
        <f t="array" ref="U96">_xlfn.IFS(M96&lt;=34,"YOUNG",M96&lt;=54,"MIDDLE AGE",M96&gt;=55,"OLD")</f>
        <v>YOUNG</v>
      </c>
      <c r="V96" t="str">
        <f t="shared" si="7"/>
        <v>NORMAL</v>
      </c>
    </row>
    <row r="97" spans="1:22" x14ac:dyDescent="0.35">
      <c r="A97" t="s">
        <v>483</v>
      </c>
      <c r="B97" t="s">
        <v>484</v>
      </c>
      <c r="C97">
        <v>508.68</v>
      </c>
      <c r="D97" s="1">
        <v>45103.678356481483</v>
      </c>
      <c r="E97" s="2">
        <f t="shared" si="4"/>
        <v>0.67835648148320615</v>
      </c>
      <c r="F97" s="3">
        <f t="shared" si="5"/>
        <v>45103</v>
      </c>
      <c r="G97" t="s">
        <v>46</v>
      </c>
      <c r="H97" t="s">
        <v>32</v>
      </c>
      <c r="I97" t="s">
        <v>485</v>
      </c>
      <c r="J97" t="s">
        <v>486</v>
      </c>
      <c r="K97" t="s">
        <v>122</v>
      </c>
      <c r="L97" t="s">
        <v>69</v>
      </c>
      <c r="M97">
        <v>51</v>
      </c>
      <c r="N97" t="s">
        <v>77</v>
      </c>
      <c r="O97">
        <v>127</v>
      </c>
      <c r="P97">
        <v>1</v>
      </c>
      <c r="Q97">
        <v>7708.41</v>
      </c>
      <c r="R97" s="4">
        <v>45600</v>
      </c>
      <c r="S97" s="6">
        <v>0.3399537037037037</v>
      </c>
      <c r="T97">
        <f t="shared" si="6"/>
        <v>16</v>
      </c>
      <c r="U97" t="str" cm="1">
        <f t="array" ref="U97">_xlfn.IFS(M97&lt;=34,"YOUNG",M97&lt;=54,"MIDDLE AGE",M97&gt;=55,"OLD")</f>
        <v>MIDDLE AGE</v>
      </c>
      <c r="V97" t="str">
        <f t="shared" si="7"/>
        <v>NORMAL</v>
      </c>
    </row>
    <row r="98" spans="1:22" x14ac:dyDescent="0.35">
      <c r="A98" t="s">
        <v>487</v>
      </c>
      <c r="B98" t="s">
        <v>488</v>
      </c>
      <c r="C98">
        <v>858.63</v>
      </c>
      <c r="D98" s="1">
        <v>45034.727349537039</v>
      </c>
      <c r="E98" s="2">
        <f t="shared" si="4"/>
        <v>0.72734953703911742</v>
      </c>
      <c r="F98" s="3">
        <f t="shared" si="5"/>
        <v>45034</v>
      </c>
      <c r="G98" t="s">
        <v>46</v>
      </c>
      <c r="H98" t="s">
        <v>212</v>
      </c>
      <c r="I98" t="s">
        <v>489</v>
      </c>
      <c r="J98" t="s">
        <v>490</v>
      </c>
      <c r="K98" t="s">
        <v>43</v>
      </c>
      <c r="L98" t="s">
        <v>69</v>
      </c>
      <c r="M98">
        <v>27</v>
      </c>
      <c r="N98" t="s">
        <v>37</v>
      </c>
      <c r="O98">
        <v>185</v>
      </c>
      <c r="P98">
        <v>1</v>
      </c>
      <c r="Q98">
        <v>1872.96</v>
      </c>
      <c r="R98" s="4">
        <v>45600</v>
      </c>
      <c r="S98" s="6">
        <v>0.34082175925925928</v>
      </c>
      <c r="T98">
        <f t="shared" si="6"/>
        <v>17</v>
      </c>
      <c r="U98" t="str" cm="1">
        <f t="array" ref="U98">_xlfn.IFS(M98&lt;=34,"YOUNG",M98&lt;=54,"MIDDLE AGE",M98&gt;=55,"OLD")</f>
        <v>YOUNG</v>
      </c>
      <c r="V98" t="str">
        <f t="shared" si="7"/>
        <v>NORMAL</v>
      </c>
    </row>
    <row r="99" spans="1:22" x14ac:dyDescent="0.35">
      <c r="A99" t="s">
        <v>491</v>
      </c>
      <c r="B99" t="s">
        <v>259</v>
      </c>
      <c r="C99">
        <v>25.36</v>
      </c>
      <c r="D99" s="1">
        <v>45124.714166666665</v>
      </c>
      <c r="E99" s="2">
        <f t="shared" si="4"/>
        <v>0.71416666666482342</v>
      </c>
      <c r="F99" s="3">
        <f t="shared" si="5"/>
        <v>45124</v>
      </c>
      <c r="G99" t="s">
        <v>17</v>
      </c>
      <c r="H99" t="s">
        <v>108</v>
      </c>
      <c r="I99" t="s">
        <v>492</v>
      </c>
      <c r="J99" t="s">
        <v>493</v>
      </c>
      <c r="K99" t="s">
        <v>83</v>
      </c>
      <c r="L99" t="s">
        <v>22</v>
      </c>
      <c r="M99">
        <v>57</v>
      </c>
      <c r="N99" t="s">
        <v>77</v>
      </c>
      <c r="O99">
        <v>78</v>
      </c>
      <c r="P99">
        <v>1</v>
      </c>
      <c r="Q99">
        <v>201.04</v>
      </c>
      <c r="R99" s="4">
        <v>45600</v>
      </c>
      <c r="S99" s="6">
        <v>0.34103009259259259</v>
      </c>
      <c r="T99">
        <f t="shared" si="6"/>
        <v>17</v>
      </c>
      <c r="U99" t="str" cm="1">
        <f t="array" ref="U99">_xlfn.IFS(M99&lt;=34,"YOUNG",M99&lt;=54,"MIDDLE AGE",M99&gt;=55,"OLD")</f>
        <v>OLD</v>
      </c>
      <c r="V99" t="str">
        <f t="shared" si="7"/>
        <v>NORMAL</v>
      </c>
    </row>
    <row r="100" spans="1:22" x14ac:dyDescent="0.35">
      <c r="A100" t="s">
        <v>494</v>
      </c>
      <c r="B100" t="s">
        <v>156</v>
      </c>
      <c r="C100">
        <v>147.62</v>
      </c>
      <c r="D100" s="1">
        <v>45170.726412037038</v>
      </c>
      <c r="E100" s="2">
        <f t="shared" si="4"/>
        <v>0.72641203703824431</v>
      </c>
      <c r="F100" s="3">
        <f t="shared" si="5"/>
        <v>45170</v>
      </c>
      <c r="G100" t="s">
        <v>17</v>
      </c>
      <c r="H100" t="s">
        <v>249</v>
      </c>
      <c r="I100" t="s">
        <v>495</v>
      </c>
      <c r="J100" t="s">
        <v>496</v>
      </c>
      <c r="K100" t="s">
        <v>165</v>
      </c>
      <c r="L100" t="s">
        <v>69</v>
      </c>
      <c r="M100">
        <v>71</v>
      </c>
      <c r="N100" t="s">
        <v>70</v>
      </c>
      <c r="O100">
        <v>133</v>
      </c>
      <c r="P100">
        <v>1</v>
      </c>
      <c r="Q100">
        <v>2115.8000000000002</v>
      </c>
      <c r="R100" s="4">
        <v>45600</v>
      </c>
      <c r="S100" s="6">
        <v>0.3384490740740741</v>
      </c>
      <c r="T100">
        <f t="shared" si="6"/>
        <v>17</v>
      </c>
      <c r="U100" t="str" cm="1">
        <f t="array" ref="U100">_xlfn.IFS(M100&lt;=34,"YOUNG",M100&lt;=54,"MIDDLE AGE",M100&gt;=55,"OLD")</f>
        <v>OLD</v>
      </c>
      <c r="V100" t="str">
        <f t="shared" si="7"/>
        <v>NORMAL</v>
      </c>
    </row>
    <row r="101" spans="1:22" x14ac:dyDescent="0.35">
      <c r="A101" t="s">
        <v>497</v>
      </c>
      <c r="B101" t="s">
        <v>498</v>
      </c>
      <c r="C101">
        <v>115.02</v>
      </c>
      <c r="D101" s="1">
        <v>45180.679907407408</v>
      </c>
      <c r="E101" s="2">
        <f t="shared" si="4"/>
        <v>0.67990740740788169</v>
      </c>
      <c r="F101" s="3">
        <f t="shared" si="5"/>
        <v>45180</v>
      </c>
      <c r="G101" t="s">
        <v>17</v>
      </c>
      <c r="H101" t="s">
        <v>237</v>
      </c>
      <c r="I101" t="s">
        <v>499</v>
      </c>
      <c r="J101" t="s">
        <v>500</v>
      </c>
      <c r="K101" t="s">
        <v>432</v>
      </c>
      <c r="L101" t="s">
        <v>69</v>
      </c>
      <c r="M101">
        <v>37</v>
      </c>
      <c r="N101" t="s">
        <v>23</v>
      </c>
      <c r="O101">
        <v>175</v>
      </c>
      <c r="P101">
        <v>1</v>
      </c>
      <c r="Q101">
        <v>7643.66</v>
      </c>
      <c r="R101" s="4">
        <v>45600</v>
      </c>
      <c r="S101" s="6">
        <v>0.33932870370370372</v>
      </c>
      <c r="T101">
        <f t="shared" si="6"/>
        <v>16</v>
      </c>
      <c r="U101" t="str" cm="1">
        <f t="array" ref="U101">_xlfn.IFS(M101&lt;=34,"YOUNG",M101&lt;=54,"MIDDLE AGE",M101&gt;=55,"OLD")</f>
        <v>MIDDLE AGE</v>
      </c>
      <c r="V101" t="str">
        <f t="shared" si="7"/>
        <v>NORMAL</v>
      </c>
    </row>
    <row r="102" spans="1:22" x14ac:dyDescent="0.35">
      <c r="A102" t="s">
        <v>501</v>
      </c>
      <c r="B102" t="s">
        <v>396</v>
      </c>
      <c r="C102">
        <v>383.37</v>
      </c>
      <c r="D102" s="1">
        <v>44950.724953703706</v>
      </c>
      <c r="E102" s="2">
        <f t="shared" si="4"/>
        <v>0.72495370370597811</v>
      </c>
      <c r="F102" s="3">
        <f t="shared" si="5"/>
        <v>44950</v>
      </c>
      <c r="G102" t="s">
        <v>17</v>
      </c>
      <c r="H102" t="s">
        <v>157</v>
      </c>
      <c r="I102" t="s">
        <v>502</v>
      </c>
      <c r="J102" t="s">
        <v>503</v>
      </c>
      <c r="K102" t="s">
        <v>386</v>
      </c>
      <c r="L102" t="s">
        <v>69</v>
      </c>
      <c r="M102">
        <v>30</v>
      </c>
      <c r="N102" t="s">
        <v>77</v>
      </c>
      <c r="O102">
        <v>24</v>
      </c>
      <c r="P102">
        <v>1</v>
      </c>
      <c r="Q102">
        <v>8901.93</v>
      </c>
      <c r="R102" s="4">
        <v>45600</v>
      </c>
      <c r="S102" s="6">
        <v>0.34105324074074073</v>
      </c>
      <c r="T102">
        <f t="shared" si="6"/>
        <v>17</v>
      </c>
      <c r="U102" t="str" cm="1">
        <f t="array" ref="U102">_xlfn.IFS(M102&lt;=34,"YOUNG",M102&lt;=54,"MIDDLE AGE",M102&gt;=55,"OLD")</f>
        <v>YOUNG</v>
      </c>
      <c r="V102" t="str">
        <f t="shared" si="7"/>
        <v>NORMAL</v>
      </c>
    </row>
    <row r="103" spans="1:22" x14ac:dyDescent="0.35">
      <c r="A103" t="s">
        <v>504</v>
      </c>
      <c r="B103" t="s">
        <v>505</v>
      </c>
      <c r="C103">
        <v>98.54</v>
      </c>
      <c r="D103" s="1">
        <v>45149.679699074077</v>
      </c>
      <c r="E103" s="2">
        <f t="shared" si="4"/>
        <v>0.67969907407677965</v>
      </c>
      <c r="F103" s="3">
        <f t="shared" si="5"/>
        <v>45149</v>
      </c>
      <c r="G103" t="s">
        <v>46</v>
      </c>
      <c r="H103" t="s">
        <v>506</v>
      </c>
      <c r="I103" t="s">
        <v>499</v>
      </c>
      <c r="J103" t="s">
        <v>507</v>
      </c>
      <c r="K103" t="s">
        <v>312</v>
      </c>
      <c r="L103" t="s">
        <v>36</v>
      </c>
      <c r="M103">
        <v>20</v>
      </c>
      <c r="N103" t="s">
        <v>37</v>
      </c>
      <c r="O103">
        <v>167</v>
      </c>
      <c r="P103">
        <v>1</v>
      </c>
      <c r="Q103">
        <v>9383.43</v>
      </c>
      <c r="R103" s="4">
        <v>45600</v>
      </c>
      <c r="S103" s="6">
        <v>0.34030092592592592</v>
      </c>
      <c r="T103">
        <f t="shared" si="6"/>
        <v>16</v>
      </c>
      <c r="U103" t="str" cm="1">
        <f t="array" ref="U103">_xlfn.IFS(M103&lt;=34,"YOUNG",M103&lt;=54,"MIDDLE AGE",M103&gt;=55,"OLD")</f>
        <v>YOUNG</v>
      </c>
      <c r="V103" t="str">
        <f t="shared" si="7"/>
        <v>NORMAL</v>
      </c>
    </row>
    <row r="104" spans="1:22" x14ac:dyDescent="0.35">
      <c r="A104" t="s">
        <v>508</v>
      </c>
      <c r="B104" t="s">
        <v>509</v>
      </c>
      <c r="C104">
        <v>83.24</v>
      </c>
      <c r="D104" s="1">
        <v>45215.77443287037</v>
      </c>
      <c r="E104" s="2">
        <f t="shared" si="4"/>
        <v>0.77443287037021946</v>
      </c>
      <c r="F104" s="3">
        <f t="shared" si="5"/>
        <v>45215</v>
      </c>
      <c r="G104" t="s">
        <v>46</v>
      </c>
      <c r="H104" t="s">
        <v>157</v>
      </c>
      <c r="I104" t="s">
        <v>510</v>
      </c>
      <c r="J104" t="s">
        <v>180</v>
      </c>
      <c r="K104" t="s">
        <v>35</v>
      </c>
      <c r="L104" t="s">
        <v>69</v>
      </c>
      <c r="M104">
        <v>55</v>
      </c>
      <c r="N104" t="s">
        <v>23</v>
      </c>
      <c r="O104">
        <v>164</v>
      </c>
      <c r="P104">
        <v>1</v>
      </c>
      <c r="Q104">
        <v>1181.31</v>
      </c>
      <c r="R104" s="4">
        <v>45600</v>
      </c>
      <c r="S104" s="6">
        <v>0.34087962962962964</v>
      </c>
      <c r="T104">
        <f t="shared" si="6"/>
        <v>18</v>
      </c>
      <c r="U104" t="str" cm="1">
        <f t="array" ref="U104">_xlfn.IFS(M104&lt;=34,"YOUNG",M104&lt;=54,"MIDDLE AGE",M104&gt;=55,"OLD")</f>
        <v>OLD</v>
      </c>
      <c r="V104" t="str">
        <f t="shared" si="7"/>
        <v>NORMAL</v>
      </c>
    </row>
    <row r="105" spans="1:22" x14ac:dyDescent="0.35">
      <c r="A105" t="s">
        <v>511</v>
      </c>
      <c r="B105" t="s">
        <v>412</v>
      </c>
      <c r="C105">
        <v>196.16</v>
      </c>
      <c r="D105" s="1">
        <v>44981.687071759261</v>
      </c>
      <c r="E105" s="2">
        <f t="shared" si="4"/>
        <v>0.68707175926101627</v>
      </c>
      <c r="F105" s="3">
        <f t="shared" si="5"/>
        <v>44981</v>
      </c>
      <c r="G105" t="s">
        <v>17</v>
      </c>
      <c r="H105" t="s">
        <v>301</v>
      </c>
      <c r="I105" t="s">
        <v>512</v>
      </c>
      <c r="J105" t="s">
        <v>513</v>
      </c>
      <c r="K105" t="s">
        <v>514</v>
      </c>
      <c r="L105" t="s">
        <v>69</v>
      </c>
      <c r="M105">
        <v>27</v>
      </c>
      <c r="N105" t="s">
        <v>77</v>
      </c>
      <c r="O105">
        <v>146</v>
      </c>
      <c r="P105">
        <v>1</v>
      </c>
      <c r="Q105">
        <v>9418.86</v>
      </c>
      <c r="R105" s="4">
        <v>45600</v>
      </c>
      <c r="S105" s="6">
        <v>0.33925925925925926</v>
      </c>
      <c r="T105">
        <f t="shared" si="6"/>
        <v>16</v>
      </c>
      <c r="U105" t="str" cm="1">
        <f t="array" ref="U105">_xlfn.IFS(M105&lt;=34,"YOUNG",M105&lt;=54,"MIDDLE AGE",M105&gt;=55,"OLD")</f>
        <v>YOUNG</v>
      </c>
      <c r="V105" t="str">
        <f t="shared" si="7"/>
        <v>NORMAL</v>
      </c>
    </row>
    <row r="106" spans="1:22" x14ac:dyDescent="0.35">
      <c r="A106" t="s">
        <v>515</v>
      </c>
      <c r="B106" t="s">
        <v>516</v>
      </c>
      <c r="C106">
        <v>129.94</v>
      </c>
      <c r="D106" s="1">
        <v>44928.691689814812</v>
      </c>
      <c r="E106" s="2">
        <f t="shared" si="4"/>
        <v>0.69168981481197989</v>
      </c>
      <c r="F106" s="3">
        <f t="shared" si="5"/>
        <v>44928</v>
      </c>
      <c r="G106" t="s">
        <v>17</v>
      </c>
      <c r="H106" t="s">
        <v>146</v>
      </c>
      <c r="I106" t="s">
        <v>517</v>
      </c>
      <c r="J106" t="s">
        <v>518</v>
      </c>
      <c r="K106" t="s">
        <v>414</v>
      </c>
      <c r="L106" t="s">
        <v>22</v>
      </c>
      <c r="M106">
        <v>32</v>
      </c>
      <c r="N106" t="s">
        <v>77</v>
      </c>
      <c r="O106">
        <v>235</v>
      </c>
      <c r="P106">
        <v>1</v>
      </c>
      <c r="Q106">
        <v>7954.92</v>
      </c>
      <c r="R106" s="4">
        <v>45600</v>
      </c>
      <c r="S106" s="6">
        <v>0.3379050925925926</v>
      </c>
      <c r="T106">
        <f t="shared" si="6"/>
        <v>16</v>
      </c>
      <c r="U106" t="str" cm="1">
        <f t="array" ref="U106">_xlfn.IFS(M106&lt;=34,"YOUNG",M106&lt;=54,"MIDDLE AGE",M106&gt;=55,"OLD")</f>
        <v>YOUNG</v>
      </c>
      <c r="V106" t="str">
        <f t="shared" si="7"/>
        <v>NORMAL</v>
      </c>
    </row>
    <row r="107" spans="1:22" x14ac:dyDescent="0.35">
      <c r="A107" t="s">
        <v>519</v>
      </c>
      <c r="B107" t="s">
        <v>520</v>
      </c>
      <c r="C107">
        <v>306.89999999999998</v>
      </c>
      <c r="D107" s="1">
        <v>45260.68822916667</v>
      </c>
      <c r="E107" s="2">
        <f t="shared" si="4"/>
        <v>0.68822916666977108</v>
      </c>
      <c r="F107" s="3">
        <f t="shared" si="5"/>
        <v>45260</v>
      </c>
      <c r="G107" t="s">
        <v>17</v>
      </c>
      <c r="H107" t="s">
        <v>521</v>
      </c>
      <c r="I107" t="s">
        <v>522</v>
      </c>
      <c r="J107" t="s">
        <v>523</v>
      </c>
      <c r="K107" t="s">
        <v>478</v>
      </c>
      <c r="L107" t="s">
        <v>36</v>
      </c>
      <c r="M107">
        <v>46</v>
      </c>
      <c r="N107" t="s">
        <v>77</v>
      </c>
      <c r="O107">
        <v>51</v>
      </c>
      <c r="P107">
        <v>1</v>
      </c>
      <c r="Q107">
        <v>9418.08</v>
      </c>
      <c r="R107" s="4">
        <v>45600</v>
      </c>
      <c r="S107" s="6">
        <v>0.34083333333333332</v>
      </c>
      <c r="T107">
        <f t="shared" si="6"/>
        <v>16</v>
      </c>
      <c r="U107" t="str" cm="1">
        <f t="array" ref="U107">_xlfn.IFS(M107&lt;=34,"YOUNG",M107&lt;=54,"MIDDLE AGE",M107&gt;=55,"OLD")</f>
        <v>MIDDLE AGE</v>
      </c>
      <c r="V107" t="str">
        <f t="shared" si="7"/>
        <v>NORMAL</v>
      </c>
    </row>
    <row r="108" spans="1:22" x14ac:dyDescent="0.35">
      <c r="A108" t="s">
        <v>524</v>
      </c>
      <c r="B108" t="s">
        <v>525</v>
      </c>
      <c r="C108">
        <v>114.98</v>
      </c>
      <c r="D108" s="1">
        <v>45231.702789351853</v>
      </c>
      <c r="E108" s="2">
        <f t="shared" si="4"/>
        <v>0.70278935185342561</v>
      </c>
      <c r="F108" s="3">
        <f t="shared" si="5"/>
        <v>45231</v>
      </c>
      <c r="G108" t="s">
        <v>17</v>
      </c>
      <c r="H108" t="s">
        <v>59</v>
      </c>
      <c r="I108" t="s">
        <v>526</v>
      </c>
      <c r="J108" t="s">
        <v>527</v>
      </c>
      <c r="K108" t="s">
        <v>418</v>
      </c>
      <c r="L108" t="s">
        <v>36</v>
      </c>
      <c r="M108">
        <v>59</v>
      </c>
      <c r="N108" t="s">
        <v>70</v>
      </c>
      <c r="O108">
        <v>80</v>
      </c>
      <c r="P108">
        <v>1</v>
      </c>
      <c r="Q108">
        <v>6144.68</v>
      </c>
      <c r="R108" s="4">
        <v>45600</v>
      </c>
      <c r="S108" s="6">
        <v>0.33986111111111111</v>
      </c>
      <c r="T108">
        <f t="shared" si="6"/>
        <v>16</v>
      </c>
      <c r="U108" t="str" cm="1">
        <f t="array" ref="U108">_xlfn.IFS(M108&lt;=34,"YOUNG",M108&lt;=54,"MIDDLE AGE",M108&gt;=55,"OLD")</f>
        <v>OLD</v>
      </c>
      <c r="V108" t="str">
        <f t="shared" si="7"/>
        <v>NORMAL</v>
      </c>
    </row>
    <row r="109" spans="1:22" x14ac:dyDescent="0.35">
      <c r="A109" t="s">
        <v>528</v>
      </c>
      <c r="B109" t="s">
        <v>529</v>
      </c>
      <c r="C109">
        <v>756.59</v>
      </c>
      <c r="D109" s="1">
        <v>44991.699328703704</v>
      </c>
      <c r="E109" s="2">
        <f t="shared" si="4"/>
        <v>0.69932870370394085</v>
      </c>
      <c r="F109" s="3">
        <f t="shared" si="5"/>
        <v>44991</v>
      </c>
      <c r="G109" t="s">
        <v>17</v>
      </c>
      <c r="H109" t="s">
        <v>285</v>
      </c>
      <c r="I109" t="s">
        <v>530</v>
      </c>
      <c r="J109" t="s">
        <v>531</v>
      </c>
      <c r="K109" t="s">
        <v>445</v>
      </c>
      <c r="L109" t="s">
        <v>69</v>
      </c>
      <c r="M109">
        <v>27</v>
      </c>
      <c r="N109" t="s">
        <v>37</v>
      </c>
      <c r="O109">
        <v>17</v>
      </c>
      <c r="P109">
        <v>1</v>
      </c>
      <c r="Q109">
        <v>420.65</v>
      </c>
      <c r="R109" s="4">
        <v>45600</v>
      </c>
      <c r="S109" s="6">
        <v>0.34143518518518517</v>
      </c>
      <c r="T109">
        <f t="shared" si="6"/>
        <v>16</v>
      </c>
      <c r="U109" t="str" cm="1">
        <f t="array" ref="U109">_xlfn.IFS(M109&lt;=34,"YOUNG",M109&lt;=54,"MIDDLE AGE",M109&gt;=55,"OLD")</f>
        <v>YOUNG</v>
      </c>
      <c r="V109" t="str">
        <f t="shared" si="7"/>
        <v>NORMAL</v>
      </c>
    </row>
    <row r="110" spans="1:22" x14ac:dyDescent="0.35">
      <c r="A110" t="s">
        <v>532</v>
      </c>
      <c r="B110" t="s">
        <v>533</v>
      </c>
      <c r="C110">
        <v>503.76</v>
      </c>
      <c r="D110" s="1">
        <v>45257.772789351853</v>
      </c>
      <c r="E110" s="2">
        <f t="shared" si="4"/>
        <v>0.77278935185313458</v>
      </c>
      <c r="F110" s="3">
        <f t="shared" si="5"/>
        <v>45257</v>
      </c>
      <c r="G110" t="s">
        <v>17</v>
      </c>
      <c r="H110" t="s">
        <v>140</v>
      </c>
      <c r="I110" t="s">
        <v>534</v>
      </c>
      <c r="J110" t="s">
        <v>535</v>
      </c>
      <c r="K110" t="s">
        <v>160</v>
      </c>
      <c r="L110" t="s">
        <v>36</v>
      </c>
      <c r="M110">
        <v>22</v>
      </c>
      <c r="N110" t="s">
        <v>37</v>
      </c>
      <c r="O110">
        <v>35</v>
      </c>
      <c r="P110">
        <v>1</v>
      </c>
      <c r="Q110">
        <v>447.82</v>
      </c>
      <c r="R110" s="4">
        <v>45600</v>
      </c>
      <c r="S110" s="6">
        <v>0.33983796296296298</v>
      </c>
      <c r="T110">
        <f t="shared" si="6"/>
        <v>18</v>
      </c>
      <c r="U110" t="str" cm="1">
        <f t="array" ref="U110">_xlfn.IFS(M110&lt;=34,"YOUNG",M110&lt;=54,"MIDDLE AGE",M110&gt;=55,"OLD")</f>
        <v>YOUNG</v>
      </c>
      <c r="V110" t="str">
        <f t="shared" si="7"/>
        <v>NORMAL</v>
      </c>
    </row>
    <row r="111" spans="1:22" x14ac:dyDescent="0.35">
      <c r="A111" t="s">
        <v>536</v>
      </c>
      <c r="B111" t="s">
        <v>537</v>
      </c>
      <c r="C111">
        <v>143.03</v>
      </c>
      <c r="D111" s="1">
        <v>45138.692893518521</v>
      </c>
      <c r="E111" s="2">
        <f t="shared" si="4"/>
        <v>0.69289351852057735</v>
      </c>
      <c r="F111" s="3">
        <f t="shared" si="5"/>
        <v>45138</v>
      </c>
      <c r="G111" t="s">
        <v>17</v>
      </c>
      <c r="H111" t="s">
        <v>237</v>
      </c>
      <c r="I111" t="s">
        <v>538</v>
      </c>
      <c r="J111" t="s">
        <v>266</v>
      </c>
      <c r="K111" t="s">
        <v>288</v>
      </c>
      <c r="L111" t="s">
        <v>22</v>
      </c>
      <c r="M111">
        <v>63</v>
      </c>
      <c r="N111" t="s">
        <v>70</v>
      </c>
      <c r="O111">
        <v>147</v>
      </c>
      <c r="P111">
        <v>1</v>
      </c>
      <c r="Q111">
        <v>7981.45</v>
      </c>
      <c r="R111" s="4">
        <v>45600</v>
      </c>
      <c r="S111" s="6">
        <v>0.34076388888888887</v>
      </c>
      <c r="T111">
        <f t="shared" si="6"/>
        <v>16</v>
      </c>
      <c r="U111" t="str" cm="1">
        <f t="array" ref="U111">_xlfn.IFS(M111&lt;=34,"YOUNG",M111&lt;=54,"MIDDLE AGE",M111&gt;=55,"OLD")</f>
        <v>OLD</v>
      </c>
      <c r="V111" t="str">
        <f t="shared" si="7"/>
        <v>NORMAL</v>
      </c>
    </row>
    <row r="112" spans="1:22" x14ac:dyDescent="0.35">
      <c r="A112" t="s">
        <v>539</v>
      </c>
      <c r="B112" t="s">
        <v>540</v>
      </c>
      <c r="C112">
        <v>1045.22</v>
      </c>
      <c r="D112" s="1">
        <v>45252.676145833335</v>
      </c>
      <c r="E112" s="2">
        <f t="shared" si="4"/>
        <v>0.67614583333488554</v>
      </c>
      <c r="F112" s="3">
        <f t="shared" si="5"/>
        <v>45252</v>
      </c>
      <c r="G112" t="s">
        <v>17</v>
      </c>
      <c r="H112" t="s">
        <v>125</v>
      </c>
      <c r="I112" t="s">
        <v>541</v>
      </c>
      <c r="J112" t="s">
        <v>542</v>
      </c>
      <c r="K112" t="s">
        <v>543</v>
      </c>
      <c r="L112" t="s">
        <v>22</v>
      </c>
      <c r="M112">
        <v>53</v>
      </c>
      <c r="N112" t="s">
        <v>70</v>
      </c>
      <c r="O112">
        <v>73</v>
      </c>
      <c r="P112">
        <v>1</v>
      </c>
      <c r="Q112">
        <v>1829.9</v>
      </c>
      <c r="R112" s="4">
        <v>45600</v>
      </c>
      <c r="S112" s="6">
        <v>0.33859953703703705</v>
      </c>
      <c r="T112">
        <f t="shared" si="6"/>
        <v>16</v>
      </c>
      <c r="U112" t="str" cm="1">
        <f t="array" ref="U112">_xlfn.IFS(M112&lt;=34,"YOUNG",M112&lt;=54,"MIDDLE AGE",M112&gt;=55,"OLD")</f>
        <v>MIDDLE AGE</v>
      </c>
      <c r="V112" t="str">
        <f t="shared" si="7"/>
        <v>NORMAL</v>
      </c>
    </row>
    <row r="113" spans="1:22" x14ac:dyDescent="0.35">
      <c r="A113" t="s">
        <v>544</v>
      </c>
      <c r="B113" t="s">
        <v>545</v>
      </c>
      <c r="C113">
        <v>245.54</v>
      </c>
      <c r="D113" s="1">
        <v>45006.687164351853</v>
      </c>
      <c r="E113" s="2">
        <f t="shared" si="4"/>
        <v>0.68716435185342561</v>
      </c>
      <c r="F113" s="3">
        <f t="shared" si="5"/>
        <v>45006</v>
      </c>
      <c r="G113" t="s">
        <v>17</v>
      </c>
      <c r="H113" t="s">
        <v>203</v>
      </c>
      <c r="I113" t="s">
        <v>546</v>
      </c>
      <c r="J113" t="s">
        <v>547</v>
      </c>
      <c r="K113" t="s">
        <v>548</v>
      </c>
      <c r="L113" t="s">
        <v>22</v>
      </c>
      <c r="M113">
        <v>25</v>
      </c>
      <c r="N113" t="s">
        <v>37</v>
      </c>
      <c r="O113">
        <v>180</v>
      </c>
      <c r="P113">
        <v>1</v>
      </c>
      <c r="Q113">
        <v>985.06</v>
      </c>
      <c r="R113" s="4">
        <v>45600</v>
      </c>
      <c r="S113" s="6">
        <v>0.34057870370370369</v>
      </c>
      <c r="T113">
        <f t="shared" si="6"/>
        <v>16</v>
      </c>
      <c r="U113" t="str" cm="1">
        <f t="array" ref="U113">_xlfn.IFS(M113&lt;=34,"YOUNG",M113&lt;=54,"MIDDLE AGE",M113&gt;=55,"OLD")</f>
        <v>YOUNG</v>
      </c>
      <c r="V113" t="str">
        <f t="shared" si="7"/>
        <v>NORMAL</v>
      </c>
    </row>
    <row r="114" spans="1:22" x14ac:dyDescent="0.35">
      <c r="A114" t="s">
        <v>549</v>
      </c>
      <c r="B114" t="s">
        <v>550</v>
      </c>
      <c r="C114">
        <v>254.37</v>
      </c>
      <c r="D114" s="1">
        <v>45036.768634259257</v>
      </c>
      <c r="E114" s="2">
        <f t="shared" si="4"/>
        <v>0.76863425925694173</v>
      </c>
      <c r="F114" s="3">
        <f t="shared" si="5"/>
        <v>45036</v>
      </c>
      <c r="G114" t="s">
        <v>46</v>
      </c>
      <c r="H114" t="s">
        <v>323</v>
      </c>
      <c r="I114" t="s">
        <v>551</v>
      </c>
      <c r="J114" t="s">
        <v>552</v>
      </c>
      <c r="K114" t="s">
        <v>445</v>
      </c>
      <c r="L114" t="s">
        <v>36</v>
      </c>
      <c r="M114">
        <v>51</v>
      </c>
      <c r="N114" t="s">
        <v>77</v>
      </c>
      <c r="O114">
        <v>174</v>
      </c>
      <c r="P114">
        <v>1</v>
      </c>
      <c r="Q114">
        <v>8849.26</v>
      </c>
      <c r="R114" s="4">
        <v>45600</v>
      </c>
      <c r="S114" s="6">
        <v>0.33814814814814814</v>
      </c>
      <c r="T114">
        <f t="shared" si="6"/>
        <v>18</v>
      </c>
      <c r="U114" t="str" cm="1">
        <f t="array" ref="U114">_xlfn.IFS(M114&lt;=34,"YOUNG",M114&lt;=54,"MIDDLE AGE",M114&gt;=55,"OLD")</f>
        <v>MIDDLE AGE</v>
      </c>
      <c r="V114" t="str">
        <f t="shared" si="7"/>
        <v>NORMAL</v>
      </c>
    </row>
    <row r="115" spans="1:22" x14ac:dyDescent="0.35">
      <c r="A115" t="s">
        <v>553</v>
      </c>
      <c r="B115" t="s">
        <v>554</v>
      </c>
      <c r="C115">
        <v>213.76</v>
      </c>
      <c r="D115" s="1">
        <v>44986.744606481479</v>
      </c>
      <c r="E115" s="2">
        <f t="shared" si="4"/>
        <v>0.74460648147942265</v>
      </c>
      <c r="F115" s="3">
        <f t="shared" si="5"/>
        <v>44986</v>
      </c>
      <c r="G115" t="s">
        <v>46</v>
      </c>
      <c r="H115" t="s">
        <v>323</v>
      </c>
      <c r="I115" t="s">
        <v>443</v>
      </c>
      <c r="J115" t="s">
        <v>555</v>
      </c>
      <c r="K115" t="s">
        <v>35</v>
      </c>
      <c r="L115" t="s">
        <v>22</v>
      </c>
      <c r="M115">
        <v>78</v>
      </c>
      <c r="N115" t="s">
        <v>70</v>
      </c>
      <c r="O115">
        <v>282</v>
      </c>
      <c r="P115">
        <v>1</v>
      </c>
      <c r="Q115">
        <v>3528.72</v>
      </c>
      <c r="R115" s="4">
        <v>45600</v>
      </c>
      <c r="S115" s="6">
        <v>0.34</v>
      </c>
      <c r="T115">
        <f t="shared" si="6"/>
        <v>17</v>
      </c>
      <c r="U115" t="str" cm="1">
        <f t="array" ref="U115">_xlfn.IFS(M115&lt;=34,"YOUNG",M115&lt;=54,"MIDDLE AGE",M115&gt;=55,"OLD")</f>
        <v>OLD</v>
      </c>
      <c r="V115" t="str">
        <f t="shared" si="7"/>
        <v>NORMAL</v>
      </c>
    </row>
    <row r="116" spans="1:22" x14ac:dyDescent="0.35">
      <c r="A116" t="s">
        <v>556</v>
      </c>
      <c r="B116" t="s">
        <v>557</v>
      </c>
      <c r="C116">
        <v>327.86</v>
      </c>
      <c r="D116" s="1">
        <v>44967.703333333331</v>
      </c>
      <c r="E116" s="2">
        <f t="shared" si="4"/>
        <v>0.70333333333110204</v>
      </c>
      <c r="F116" s="3">
        <f t="shared" si="5"/>
        <v>44967</v>
      </c>
      <c r="G116" t="s">
        <v>17</v>
      </c>
      <c r="H116" t="s">
        <v>558</v>
      </c>
      <c r="I116" t="s">
        <v>559</v>
      </c>
      <c r="J116" t="s">
        <v>110</v>
      </c>
      <c r="K116" t="s">
        <v>267</v>
      </c>
      <c r="L116" t="s">
        <v>36</v>
      </c>
      <c r="M116">
        <v>40</v>
      </c>
      <c r="N116" t="s">
        <v>77</v>
      </c>
      <c r="O116">
        <v>104</v>
      </c>
      <c r="P116">
        <v>1</v>
      </c>
      <c r="Q116">
        <v>480.16</v>
      </c>
      <c r="R116" s="4">
        <v>45600</v>
      </c>
      <c r="S116" s="6">
        <v>0.33784722222222224</v>
      </c>
      <c r="T116">
        <f t="shared" si="6"/>
        <v>16</v>
      </c>
      <c r="U116" t="str" cm="1">
        <f t="array" ref="U116">_xlfn.IFS(M116&lt;=34,"YOUNG",M116&lt;=54,"MIDDLE AGE",M116&gt;=55,"OLD")</f>
        <v>MIDDLE AGE</v>
      </c>
      <c r="V116" t="str">
        <f t="shared" si="7"/>
        <v>NORMAL</v>
      </c>
    </row>
    <row r="117" spans="1:22" x14ac:dyDescent="0.35">
      <c r="A117" t="s">
        <v>560</v>
      </c>
      <c r="B117" t="s">
        <v>561</v>
      </c>
      <c r="C117">
        <v>2.5</v>
      </c>
      <c r="D117" s="1">
        <v>45128.696655092594</v>
      </c>
      <c r="E117" s="2">
        <f t="shared" si="4"/>
        <v>0.6966550925935735</v>
      </c>
      <c r="F117" s="3">
        <f t="shared" si="5"/>
        <v>45128</v>
      </c>
      <c r="G117" t="s">
        <v>17</v>
      </c>
      <c r="H117" t="s">
        <v>18</v>
      </c>
      <c r="I117" t="s">
        <v>562</v>
      </c>
      <c r="J117" t="s">
        <v>563</v>
      </c>
      <c r="K117" t="s">
        <v>564</v>
      </c>
      <c r="L117" t="s">
        <v>36</v>
      </c>
      <c r="M117">
        <v>47</v>
      </c>
      <c r="N117" t="s">
        <v>23</v>
      </c>
      <c r="O117">
        <v>107</v>
      </c>
      <c r="P117">
        <v>1</v>
      </c>
      <c r="Q117">
        <v>12145.27</v>
      </c>
      <c r="R117" s="4">
        <v>45600</v>
      </c>
      <c r="S117" s="6">
        <v>0.34019675925925924</v>
      </c>
      <c r="T117">
        <f t="shared" si="6"/>
        <v>16</v>
      </c>
      <c r="U117" t="str" cm="1">
        <f t="array" ref="U117">_xlfn.IFS(M117&lt;=34,"YOUNG",M117&lt;=54,"MIDDLE AGE",M117&gt;=55,"OLD")</f>
        <v>MIDDLE AGE</v>
      </c>
      <c r="V117" t="str">
        <f t="shared" si="7"/>
        <v>NORMAL</v>
      </c>
    </row>
    <row r="118" spans="1:22" x14ac:dyDescent="0.35">
      <c r="A118" t="s">
        <v>565</v>
      </c>
      <c r="B118" t="s">
        <v>269</v>
      </c>
      <c r="C118">
        <v>300.08</v>
      </c>
      <c r="D118" s="1">
        <v>45208.710219907407</v>
      </c>
      <c r="E118" s="2">
        <f t="shared" si="4"/>
        <v>0.71021990740700858</v>
      </c>
      <c r="F118" s="3">
        <f t="shared" si="5"/>
        <v>45208</v>
      </c>
      <c r="G118" t="s">
        <v>46</v>
      </c>
      <c r="H118" t="s">
        <v>119</v>
      </c>
      <c r="I118" t="s">
        <v>566</v>
      </c>
      <c r="J118" t="s">
        <v>567</v>
      </c>
      <c r="K118" t="s">
        <v>143</v>
      </c>
      <c r="L118" t="s">
        <v>36</v>
      </c>
      <c r="M118">
        <v>68</v>
      </c>
      <c r="N118" t="s">
        <v>23</v>
      </c>
      <c r="O118">
        <v>47</v>
      </c>
      <c r="P118">
        <v>1</v>
      </c>
      <c r="Q118">
        <v>13546.75</v>
      </c>
      <c r="R118" s="4">
        <v>45600</v>
      </c>
      <c r="S118" s="6">
        <v>0.34187499999999998</v>
      </c>
      <c r="T118">
        <f t="shared" si="6"/>
        <v>17</v>
      </c>
      <c r="U118" t="str" cm="1">
        <f t="array" ref="U118">_xlfn.IFS(M118&lt;=34,"YOUNG",M118&lt;=54,"MIDDLE AGE",M118&gt;=55,"OLD")</f>
        <v>OLD</v>
      </c>
      <c r="V118" t="str">
        <f t="shared" si="7"/>
        <v>NORMAL</v>
      </c>
    </row>
    <row r="119" spans="1:22" x14ac:dyDescent="0.35">
      <c r="A119" t="s">
        <v>568</v>
      </c>
      <c r="B119" t="s">
        <v>569</v>
      </c>
      <c r="C119">
        <v>56.98</v>
      </c>
      <c r="D119" s="1">
        <v>45292.690393518518</v>
      </c>
      <c r="E119" s="2">
        <f t="shared" si="4"/>
        <v>0.69039351851824904</v>
      </c>
      <c r="F119" s="3">
        <f t="shared" si="5"/>
        <v>45292</v>
      </c>
      <c r="G119" t="s">
        <v>46</v>
      </c>
      <c r="H119" t="s">
        <v>53</v>
      </c>
      <c r="I119" t="s">
        <v>570</v>
      </c>
      <c r="J119" t="s">
        <v>571</v>
      </c>
      <c r="K119" t="s">
        <v>572</v>
      </c>
      <c r="L119" t="s">
        <v>22</v>
      </c>
      <c r="M119">
        <v>43</v>
      </c>
      <c r="N119" t="s">
        <v>77</v>
      </c>
      <c r="O119">
        <v>122</v>
      </c>
      <c r="P119">
        <v>2</v>
      </c>
      <c r="Q119">
        <v>5688.37</v>
      </c>
      <c r="R119" s="4">
        <v>45600</v>
      </c>
      <c r="S119" s="6">
        <v>0.33868055555555554</v>
      </c>
      <c r="T119">
        <f t="shared" si="6"/>
        <v>16</v>
      </c>
      <c r="U119" t="str" cm="1">
        <f t="array" ref="U119">_xlfn.IFS(M119&lt;=34,"YOUNG",M119&lt;=54,"MIDDLE AGE",M119&gt;=55,"OLD")</f>
        <v>MIDDLE AGE</v>
      </c>
      <c r="V119" t="str">
        <f t="shared" si="7"/>
        <v>HIGH</v>
      </c>
    </row>
    <row r="120" spans="1:22" x14ac:dyDescent="0.35">
      <c r="A120" t="s">
        <v>573</v>
      </c>
      <c r="B120" t="s">
        <v>107</v>
      </c>
      <c r="C120">
        <v>407.65</v>
      </c>
      <c r="D120" s="1">
        <v>45114.674745370372</v>
      </c>
      <c r="E120" s="2">
        <f t="shared" si="4"/>
        <v>0.67474537037196569</v>
      </c>
      <c r="F120" s="3">
        <f t="shared" si="5"/>
        <v>45114</v>
      </c>
      <c r="G120" t="s">
        <v>17</v>
      </c>
      <c r="H120" t="s">
        <v>388</v>
      </c>
      <c r="I120" t="s">
        <v>574</v>
      </c>
      <c r="J120" t="s">
        <v>575</v>
      </c>
      <c r="K120" t="s">
        <v>576</v>
      </c>
      <c r="L120" t="s">
        <v>36</v>
      </c>
      <c r="M120">
        <v>26</v>
      </c>
      <c r="N120" t="s">
        <v>77</v>
      </c>
      <c r="O120">
        <v>62</v>
      </c>
      <c r="P120">
        <v>1</v>
      </c>
      <c r="Q120">
        <v>8346.64</v>
      </c>
      <c r="R120" s="4">
        <v>45600</v>
      </c>
      <c r="S120" s="6">
        <v>0.33784722222222224</v>
      </c>
      <c r="T120">
        <f t="shared" si="6"/>
        <v>16</v>
      </c>
      <c r="U120" t="str" cm="1">
        <f t="array" ref="U120">_xlfn.IFS(M120&lt;=34,"YOUNG",M120&lt;=54,"MIDDLE AGE",M120&gt;=55,"OLD")</f>
        <v>YOUNG</v>
      </c>
      <c r="V120" t="str">
        <f t="shared" si="7"/>
        <v>NORMAL</v>
      </c>
    </row>
    <row r="121" spans="1:22" x14ac:dyDescent="0.35">
      <c r="A121" t="s">
        <v>577</v>
      </c>
      <c r="B121" t="s">
        <v>578</v>
      </c>
      <c r="C121">
        <v>115.83</v>
      </c>
      <c r="D121" s="1">
        <v>45068.715185185189</v>
      </c>
      <c r="E121" s="2">
        <f t="shared" si="4"/>
        <v>0.71518518518860219</v>
      </c>
      <c r="F121" s="3">
        <f t="shared" si="5"/>
        <v>45068</v>
      </c>
      <c r="G121" t="s">
        <v>17</v>
      </c>
      <c r="H121" t="s">
        <v>558</v>
      </c>
      <c r="I121" t="s">
        <v>579</v>
      </c>
      <c r="J121" t="s">
        <v>287</v>
      </c>
      <c r="K121" t="s">
        <v>572</v>
      </c>
      <c r="L121" t="s">
        <v>69</v>
      </c>
      <c r="M121">
        <v>39</v>
      </c>
      <c r="N121" t="s">
        <v>77</v>
      </c>
      <c r="O121">
        <v>167</v>
      </c>
      <c r="P121">
        <v>1</v>
      </c>
      <c r="Q121">
        <v>6481.04</v>
      </c>
      <c r="R121" s="4">
        <v>45600</v>
      </c>
      <c r="S121" s="6">
        <v>0.34030092592592592</v>
      </c>
      <c r="T121">
        <f t="shared" si="6"/>
        <v>17</v>
      </c>
      <c r="U121" t="str" cm="1">
        <f t="array" ref="U121">_xlfn.IFS(M121&lt;=34,"YOUNG",M121&lt;=54,"MIDDLE AGE",M121&gt;=55,"OLD")</f>
        <v>MIDDLE AGE</v>
      </c>
      <c r="V121" t="str">
        <f t="shared" si="7"/>
        <v>NORMAL</v>
      </c>
    </row>
    <row r="122" spans="1:22" x14ac:dyDescent="0.35">
      <c r="A122" t="s">
        <v>580</v>
      </c>
      <c r="B122" t="s">
        <v>581</v>
      </c>
      <c r="C122">
        <v>53.57</v>
      </c>
      <c r="D122" s="1">
        <v>45154.678611111114</v>
      </c>
      <c r="E122" s="2">
        <f t="shared" si="4"/>
        <v>0.67861111111415084</v>
      </c>
      <c r="F122" s="3">
        <f t="shared" si="5"/>
        <v>45154</v>
      </c>
      <c r="G122" t="s">
        <v>17</v>
      </c>
      <c r="H122" t="s">
        <v>26</v>
      </c>
      <c r="I122" t="s">
        <v>582</v>
      </c>
      <c r="J122" t="s">
        <v>583</v>
      </c>
      <c r="K122" t="s">
        <v>105</v>
      </c>
      <c r="L122" t="s">
        <v>22</v>
      </c>
      <c r="M122">
        <v>69</v>
      </c>
      <c r="N122" t="s">
        <v>70</v>
      </c>
      <c r="O122">
        <v>121</v>
      </c>
      <c r="P122">
        <v>1</v>
      </c>
      <c r="Q122">
        <v>1651.33</v>
      </c>
      <c r="R122" s="4">
        <v>45600</v>
      </c>
      <c r="S122" s="6">
        <v>0.33938657407407408</v>
      </c>
      <c r="T122">
        <f t="shared" si="6"/>
        <v>16</v>
      </c>
      <c r="U122" t="str" cm="1">
        <f t="array" ref="U122">_xlfn.IFS(M122&lt;=34,"YOUNG",M122&lt;=54,"MIDDLE AGE",M122&gt;=55,"OLD")</f>
        <v>OLD</v>
      </c>
      <c r="V122" t="str">
        <f t="shared" si="7"/>
        <v>NORMAL</v>
      </c>
    </row>
    <row r="123" spans="1:22" x14ac:dyDescent="0.35">
      <c r="A123" t="s">
        <v>584</v>
      </c>
      <c r="B123" t="s">
        <v>585</v>
      </c>
      <c r="C123">
        <v>63.34</v>
      </c>
      <c r="D123" s="1">
        <v>45247.668078703704</v>
      </c>
      <c r="E123" s="2">
        <f t="shared" si="4"/>
        <v>0.66807870370394085</v>
      </c>
      <c r="F123" s="3">
        <f t="shared" si="5"/>
        <v>45247</v>
      </c>
      <c r="G123" t="s">
        <v>46</v>
      </c>
      <c r="H123" t="s">
        <v>73</v>
      </c>
      <c r="I123" t="s">
        <v>586</v>
      </c>
      <c r="J123" t="s">
        <v>587</v>
      </c>
      <c r="K123" t="s">
        <v>165</v>
      </c>
      <c r="L123" t="s">
        <v>36</v>
      </c>
      <c r="M123">
        <v>46</v>
      </c>
      <c r="N123" t="s">
        <v>23</v>
      </c>
      <c r="O123">
        <v>165</v>
      </c>
      <c r="P123">
        <v>1</v>
      </c>
      <c r="Q123">
        <v>11174.94</v>
      </c>
      <c r="R123" s="4">
        <v>45600</v>
      </c>
      <c r="S123" s="6">
        <v>0.34042824074074074</v>
      </c>
      <c r="T123">
        <f t="shared" si="6"/>
        <v>16</v>
      </c>
      <c r="U123" t="str" cm="1">
        <f t="array" ref="U123">_xlfn.IFS(M123&lt;=34,"YOUNG",M123&lt;=54,"MIDDLE AGE",M123&gt;=55,"OLD")</f>
        <v>MIDDLE AGE</v>
      </c>
      <c r="V123" t="str">
        <f t="shared" si="7"/>
        <v>NORMAL</v>
      </c>
    </row>
    <row r="124" spans="1:22" x14ac:dyDescent="0.35">
      <c r="A124" t="s">
        <v>588</v>
      </c>
      <c r="B124" t="s">
        <v>589</v>
      </c>
      <c r="C124">
        <v>317.87</v>
      </c>
      <c r="D124" s="1">
        <v>45068.728877314818</v>
      </c>
      <c r="E124" s="2">
        <f t="shared" si="4"/>
        <v>0.72887731481750961</v>
      </c>
      <c r="F124" s="3">
        <f t="shared" si="5"/>
        <v>45068</v>
      </c>
      <c r="G124" t="s">
        <v>17</v>
      </c>
      <c r="H124" t="s">
        <v>73</v>
      </c>
      <c r="I124" t="s">
        <v>590</v>
      </c>
      <c r="J124" t="s">
        <v>591</v>
      </c>
      <c r="K124" t="s">
        <v>592</v>
      </c>
      <c r="L124" t="s">
        <v>36</v>
      </c>
      <c r="M124">
        <v>27</v>
      </c>
      <c r="N124" t="s">
        <v>37</v>
      </c>
      <c r="O124">
        <v>91</v>
      </c>
      <c r="P124">
        <v>1</v>
      </c>
      <c r="Q124">
        <v>145.5</v>
      </c>
      <c r="R124" s="4">
        <v>45600</v>
      </c>
      <c r="S124" s="6">
        <v>0.34134259259259259</v>
      </c>
      <c r="T124">
        <f t="shared" si="6"/>
        <v>17</v>
      </c>
      <c r="U124" t="str" cm="1">
        <f t="array" ref="U124">_xlfn.IFS(M124&lt;=34,"YOUNG",M124&lt;=54,"MIDDLE AGE",M124&gt;=55,"OLD")</f>
        <v>YOUNG</v>
      </c>
      <c r="V124" t="str">
        <f t="shared" si="7"/>
        <v>NORMAL</v>
      </c>
    </row>
    <row r="125" spans="1:22" x14ac:dyDescent="0.35">
      <c r="A125" t="s">
        <v>593</v>
      </c>
      <c r="B125" t="s">
        <v>594</v>
      </c>
      <c r="C125">
        <v>331.65</v>
      </c>
      <c r="D125" s="1">
        <v>45163.726469907408</v>
      </c>
      <c r="E125" s="2">
        <f t="shared" si="4"/>
        <v>0.72646990740759065</v>
      </c>
      <c r="F125" s="3">
        <f t="shared" si="5"/>
        <v>45163</v>
      </c>
      <c r="G125" t="s">
        <v>17</v>
      </c>
      <c r="H125" t="s">
        <v>595</v>
      </c>
      <c r="I125" t="s">
        <v>596</v>
      </c>
      <c r="J125" t="s">
        <v>597</v>
      </c>
      <c r="K125" t="s">
        <v>598</v>
      </c>
      <c r="L125" t="s">
        <v>36</v>
      </c>
      <c r="M125">
        <v>41</v>
      </c>
      <c r="N125" t="s">
        <v>77</v>
      </c>
      <c r="O125">
        <v>61</v>
      </c>
      <c r="P125">
        <v>1</v>
      </c>
      <c r="Q125">
        <v>4172.57</v>
      </c>
      <c r="R125" s="4">
        <v>45600</v>
      </c>
      <c r="S125" s="6">
        <v>0.34097222222222223</v>
      </c>
      <c r="T125">
        <f t="shared" si="6"/>
        <v>17</v>
      </c>
      <c r="U125" t="str" cm="1">
        <f t="array" ref="U125">_xlfn.IFS(M125&lt;=34,"YOUNG",M125&lt;=54,"MIDDLE AGE",M125&gt;=55,"OLD")</f>
        <v>MIDDLE AGE</v>
      </c>
      <c r="V125" t="str">
        <f t="shared" si="7"/>
        <v>NORMAL</v>
      </c>
    </row>
    <row r="126" spans="1:22" x14ac:dyDescent="0.35">
      <c r="A126" t="s">
        <v>599</v>
      </c>
      <c r="B126" t="s">
        <v>600</v>
      </c>
      <c r="C126">
        <v>5.04</v>
      </c>
      <c r="D126" s="1">
        <v>45257.693449074075</v>
      </c>
      <c r="E126" s="2">
        <f t="shared" si="4"/>
        <v>0.69344907407503342</v>
      </c>
      <c r="F126" s="3">
        <f t="shared" si="5"/>
        <v>45257</v>
      </c>
      <c r="G126" t="s">
        <v>17</v>
      </c>
      <c r="H126" t="s">
        <v>453</v>
      </c>
      <c r="I126" t="s">
        <v>601</v>
      </c>
      <c r="J126" t="s">
        <v>602</v>
      </c>
      <c r="K126" t="s">
        <v>353</v>
      </c>
      <c r="L126" t="s">
        <v>22</v>
      </c>
      <c r="M126">
        <v>56</v>
      </c>
      <c r="N126" t="s">
        <v>70</v>
      </c>
      <c r="O126">
        <v>41</v>
      </c>
      <c r="P126">
        <v>1</v>
      </c>
      <c r="Q126">
        <v>5558.36</v>
      </c>
      <c r="R126" s="4">
        <v>45600</v>
      </c>
      <c r="S126" s="6">
        <v>0.34083333333333332</v>
      </c>
      <c r="T126">
        <f t="shared" si="6"/>
        <v>16</v>
      </c>
      <c r="U126" t="str" cm="1">
        <f t="array" ref="U126">_xlfn.IFS(M126&lt;=34,"YOUNG",M126&lt;=54,"MIDDLE AGE",M126&gt;=55,"OLD")</f>
        <v>OLD</v>
      </c>
      <c r="V126" t="str">
        <f t="shared" si="7"/>
        <v>NORMAL</v>
      </c>
    </row>
    <row r="127" spans="1:22" x14ac:dyDescent="0.35">
      <c r="A127" t="s">
        <v>603</v>
      </c>
      <c r="B127" t="s">
        <v>604</v>
      </c>
      <c r="C127">
        <v>214.54</v>
      </c>
      <c r="D127" s="1">
        <v>45142.740787037037</v>
      </c>
      <c r="E127" s="2">
        <f t="shared" si="4"/>
        <v>0.74078703703708015</v>
      </c>
      <c r="F127" s="3">
        <f t="shared" si="5"/>
        <v>45142</v>
      </c>
      <c r="G127" t="s">
        <v>46</v>
      </c>
      <c r="H127" t="s">
        <v>73</v>
      </c>
      <c r="I127" t="s">
        <v>605</v>
      </c>
      <c r="J127" t="s">
        <v>606</v>
      </c>
      <c r="K127" t="s">
        <v>607</v>
      </c>
      <c r="L127" t="s">
        <v>36</v>
      </c>
      <c r="M127">
        <v>70</v>
      </c>
      <c r="N127" t="s">
        <v>23</v>
      </c>
      <c r="O127">
        <v>247</v>
      </c>
      <c r="P127">
        <v>1</v>
      </c>
      <c r="Q127">
        <v>11151.53</v>
      </c>
      <c r="R127" s="4">
        <v>45600</v>
      </c>
      <c r="S127" s="6">
        <v>0.34162037037037035</v>
      </c>
      <c r="T127">
        <f t="shared" si="6"/>
        <v>17</v>
      </c>
      <c r="U127" t="str" cm="1">
        <f t="array" ref="U127">_xlfn.IFS(M127&lt;=34,"YOUNG",M127&lt;=54,"MIDDLE AGE",M127&gt;=55,"OLD")</f>
        <v>OLD</v>
      </c>
      <c r="V127" t="str">
        <f t="shared" si="7"/>
        <v>NORMAL</v>
      </c>
    </row>
    <row r="128" spans="1:22" x14ac:dyDescent="0.35">
      <c r="A128" t="s">
        <v>608</v>
      </c>
      <c r="B128" t="s">
        <v>609</v>
      </c>
      <c r="C128">
        <v>598.80999999999995</v>
      </c>
      <c r="D128" s="1">
        <v>45173.70040509259</v>
      </c>
      <c r="E128" s="2">
        <f t="shared" si="4"/>
        <v>0.70040509258979</v>
      </c>
      <c r="F128" s="3">
        <f t="shared" si="5"/>
        <v>45173</v>
      </c>
      <c r="G128" t="s">
        <v>17</v>
      </c>
      <c r="H128" t="s">
        <v>243</v>
      </c>
      <c r="I128" t="s">
        <v>216</v>
      </c>
      <c r="J128" t="s">
        <v>67</v>
      </c>
      <c r="K128" t="s">
        <v>427</v>
      </c>
      <c r="L128" t="s">
        <v>69</v>
      </c>
      <c r="M128">
        <v>57</v>
      </c>
      <c r="N128" t="s">
        <v>23</v>
      </c>
      <c r="O128">
        <v>158</v>
      </c>
      <c r="P128">
        <v>1</v>
      </c>
      <c r="Q128">
        <v>1415.52</v>
      </c>
      <c r="R128" s="4">
        <v>45600</v>
      </c>
      <c r="S128" s="6">
        <v>0.34042824074074074</v>
      </c>
      <c r="T128">
        <f t="shared" si="6"/>
        <v>16</v>
      </c>
      <c r="U128" t="str" cm="1">
        <f t="array" ref="U128">_xlfn.IFS(M128&lt;=34,"YOUNG",M128&lt;=54,"MIDDLE AGE",M128&gt;=55,"OLD")</f>
        <v>OLD</v>
      </c>
      <c r="V128" t="str">
        <f t="shared" si="7"/>
        <v>NORMAL</v>
      </c>
    </row>
    <row r="129" spans="1:22" x14ac:dyDescent="0.35">
      <c r="A129" t="s">
        <v>610</v>
      </c>
      <c r="B129" t="s">
        <v>611</v>
      </c>
      <c r="C129">
        <v>841.28</v>
      </c>
      <c r="D129" s="1">
        <v>45147.732245370367</v>
      </c>
      <c r="E129" s="2">
        <f t="shared" si="4"/>
        <v>0.73224537036730908</v>
      </c>
      <c r="F129" s="3">
        <f t="shared" si="5"/>
        <v>45147</v>
      </c>
      <c r="G129" t="s">
        <v>17</v>
      </c>
      <c r="H129" t="s">
        <v>255</v>
      </c>
      <c r="I129" t="s">
        <v>612</v>
      </c>
      <c r="J129" t="s">
        <v>465</v>
      </c>
      <c r="K129" t="s">
        <v>160</v>
      </c>
      <c r="L129" t="s">
        <v>36</v>
      </c>
      <c r="M129">
        <v>26</v>
      </c>
      <c r="N129" t="s">
        <v>37</v>
      </c>
      <c r="O129">
        <v>80</v>
      </c>
      <c r="P129">
        <v>1</v>
      </c>
      <c r="Q129">
        <v>1103.6400000000001</v>
      </c>
      <c r="R129" s="4">
        <v>45600</v>
      </c>
      <c r="S129" s="6">
        <v>0.34025462962962966</v>
      </c>
      <c r="T129">
        <f t="shared" si="6"/>
        <v>17</v>
      </c>
      <c r="U129" t="str" cm="1">
        <f t="array" ref="U129">_xlfn.IFS(M129&lt;=34,"YOUNG",M129&lt;=54,"MIDDLE AGE",M129&gt;=55,"OLD")</f>
        <v>YOUNG</v>
      </c>
      <c r="V129" t="str">
        <f t="shared" si="7"/>
        <v>NORMAL</v>
      </c>
    </row>
    <row r="130" spans="1:22" x14ac:dyDescent="0.35">
      <c r="A130" t="s">
        <v>613</v>
      </c>
      <c r="B130" t="s">
        <v>384</v>
      </c>
      <c r="C130">
        <v>38.15</v>
      </c>
      <c r="D130" s="1">
        <v>45176.671990740739</v>
      </c>
      <c r="E130" s="2">
        <f t="shared" ref="E130:E193" si="8">D130-INT(D130)</f>
        <v>0.67199074073869269</v>
      </c>
      <c r="F130" s="3">
        <f t="shared" ref="F130:F193" si="9">INT(D130)</f>
        <v>45176</v>
      </c>
      <c r="G130" t="s">
        <v>17</v>
      </c>
      <c r="H130" t="s">
        <v>32</v>
      </c>
      <c r="I130" t="s">
        <v>614</v>
      </c>
      <c r="J130" t="s">
        <v>615</v>
      </c>
      <c r="K130" t="s">
        <v>262</v>
      </c>
      <c r="L130" t="s">
        <v>36</v>
      </c>
      <c r="M130">
        <v>26</v>
      </c>
      <c r="N130" t="s">
        <v>37</v>
      </c>
      <c r="O130">
        <v>108</v>
      </c>
      <c r="P130">
        <v>1</v>
      </c>
      <c r="Q130">
        <v>303.68</v>
      </c>
      <c r="R130" s="4">
        <v>45600</v>
      </c>
      <c r="S130" s="6">
        <v>0.33868055555555554</v>
      </c>
      <c r="T130">
        <f t="shared" si="6"/>
        <v>16</v>
      </c>
      <c r="U130" t="str" cm="1">
        <f t="array" ref="U130">_xlfn.IFS(M130&lt;=34,"YOUNG",M130&lt;=54,"MIDDLE AGE",M130&gt;=55,"OLD")</f>
        <v>YOUNG</v>
      </c>
      <c r="V130" t="str">
        <f t="shared" si="7"/>
        <v>NORMAL</v>
      </c>
    </row>
    <row r="131" spans="1:22" x14ac:dyDescent="0.35">
      <c r="A131" t="s">
        <v>616</v>
      </c>
      <c r="B131" t="s">
        <v>617</v>
      </c>
      <c r="C131">
        <v>1036.6600000000001</v>
      </c>
      <c r="D131" s="1">
        <v>45118.694363425922</v>
      </c>
      <c r="E131" s="2">
        <f t="shared" si="8"/>
        <v>0.69436342592234723</v>
      </c>
      <c r="F131" s="3">
        <f t="shared" si="9"/>
        <v>45118</v>
      </c>
      <c r="G131" t="s">
        <v>17</v>
      </c>
      <c r="H131" t="s">
        <v>237</v>
      </c>
      <c r="I131" t="s">
        <v>618</v>
      </c>
      <c r="J131" t="s">
        <v>121</v>
      </c>
      <c r="K131" t="s">
        <v>619</v>
      </c>
      <c r="L131" t="s">
        <v>69</v>
      </c>
      <c r="M131">
        <v>58</v>
      </c>
      <c r="N131" t="s">
        <v>23</v>
      </c>
      <c r="O131">
        <v>144</v>
      </c>
      <c r="P131">
        <v>1</v>
      </c>
      <c r="Q131">
        <v>5541.57</v>
      </c>
      <c r="R131" s="4">
        <v>45600</v>
      </c>
      <c r="S131" s="6">
        <v>0.33986111111111111</v>
      </c>
      <c r="T131">
        <f t="shared" ref="T131:T194" si="10">HOUR(E131)</f>
        <v>16</v>
      </c>
      <c r="U131" t="str" cm="1">
        <f t="array" ref="U131">_xlfn.IFS(M131&lt;=34,"YOUNG",M131&lt;=54,"MIDDLE AGE",M131&gt;=55,"OLD")</f>
        <v>OLD</v>
      </c>
      <c r="V131" t="str">
        <f t="shared" ref="V131:V194" si="11">IF(P131&gt;1,"HIGH","NORMAL")</f>
        <v>NORMAL</v>
      </c>
    </row>
    <row r="132" spans="1:22" x14ac:dyDescent="0.35">
      <c r="A132" t="s">
        <v>620</v>
      </c>
      <c r="B132" t="s">
        <v>621</v>
      </c>
      <c r="C132">
        <v>124.72</v>
      </c>
      <c r="D132" s="1">
        <v>45110.718136574076</v>
      </c>
      <c r="E132" s="2">
        <f t="shared" si="8"/>
        <v>0.71813657407619758</v>
      </c>
      <c r="F132" s="3">
        <f t="shared" si="9"/>
        <v>45110</v>
      </c>
      <c r="G132" t="s">
        <v>17</v>
      </c>
      <c r="H132" t="s">
        <v>53</v>
      </c>
      <c r="I132" t="s">
        <v>622</v>
      </c>
      <c r="J132" t="s">
        <v>623</v>
      </c>
      <c r="K132" t="s">
        <v>432</v>
      </c>
      <c r="L132" t="s">
        <v>69</v>
      </c>
      <c r="M132">
        <v>33</v>
      </c>
      <c r="N132" t="s">
        <v>77</v>
      </c>
      <c r="O132">
        <v>105</v>
      </c>
      <c r="P132">
        <v>1</v>
      </c>
      <c r="Q132">
        <v>6309.8</v>
      </c>
      <c r="R132" s="4">
        <v>45600</v>
      </c>
      <c r="S132" s="6">
        <v>0.33848379629629627</v>
      </c>
      <c r="T132">
        <f t="shared" si="10"/>
        <v>17</v>
      </c>
      <c r="U132" t="str" cm="1">
        <f t="array" ref="U132">_xlfn.IFS(M132&lt;=34,"YOUNG",M132&lt;=54,"MIDDLE AGE",M132&gt;=55,"OLD")</f>
        <v>YOUNG</v>
      </c>
      <c r="V132" t="str">
        <f t="shared" si="11"/>
        <v>NORMAL</v>
      </c>
    </row>
    <row r="133" spans="1:22" x14ac:dyDescent="0.35">
      <c r="A133" t="s">
        <v>624</v>
      </c>
      <c r="B133" t="s">
        <v>625</v>
      </c>
      <c r="C133">
        <v>302.45</v>
      </c>
      <c r="D133" s="1">
        <v>45194.717777777776</v>
      </c>
      <c r="E133" s="2">
        <f t="shared" si="8"/>
        <v>0.71777777777606389</v>
      </c>
      <c r="F133" s="3">
        <f t="shared" si="9"/>
        <v>45194</v>
      </c>
      <c r="G133" t="s">
        <v>46</v>
      </c>
      <c r="H133" t="s">
        <v>237</v>
      </c>
      <c r="I133" t="s">
        <v>626</v>
      </c>
      <c r="J133" t="s">
        <v>627</v>
      </c>
      <c r="K133" t="s">
        <v>128</v>
      </c>
      <c r="L133" t="s">
        <v>69</v>
      </c>
      <c r="M133">
        <v>78</v>
      </c>
      <c r="N133" t="s">
        <v>70</v>
      </c>
      <c r="O133">
        <v>40</v>
      </c>
      <c r="P133">
        <v>1</v>
      </c>
      <c r="Q133">
        <v>5133.6099999999997</v>
      </c>
      <c r="R133" s="4">
        <v>45600</v>
      </c>
      <c r="S133" s="6">
        <v>0.34160879629629631</v>
      </c>
      <c r="T133">
        <f t="shared" si="10"/>
        <v>17</v>
      </c>
      <c r="U133" t="str" cm="1">
        <f t="array" ref="U133">_xlfn.IFS(M133&lt;=34,"YOUNG",M133&lt;=54,"MIDDLE AGE",M133&gt;=55,"OLD")</f>
        <v>OLD</v>
      </c>
      <c r="V133" t="str">
        <f t="shared" si="11"/>
        <v>NORMAL</v>
      </c>
    </row>
    <row r="134" spans="1:22" x14ac:dyDescent="0.35">
      <c r="A134" t="s">
        <v>628</v>
      </c>
      <c r="B134" t="s">
        <v>629</v>
      </c>
      <c r="C134">
        <v>208.04</v>
      </c>
      <c r="D134" s="1">
        <v>45250.715300925927</v>
      </c>
      <c r="E134" s="2">
        <f t="shared" si="8"/>
        <v>0.71530092592729488</v>
      </c>
      <c r="F134" s="3">
        <f t="shared" si="9"/>
        <v>45250</v>
      </c>
      <c r="G134" t="s">
        <v>17</v>
      </c>
      <c r="H134" t="s">
        <v>108</v>
      </c>
      <c r="I134" t="s">
        <v>630</v>
      </c>
      <c r="J134" t="s">
        <v>631</v>
      </c>
      <c r="K134" t="s">
        <v>288</v>
      </c>
      <c r="L134" t="s">
        <v>36</v>
      </c>
      <c r="M134">
        <v>47</v>
      </c>
      <c r="N134" t="s">
        <v>77</v>
      </c>
      <c r="O134">
        <v>273</v>
      </c>
      <c r="P134">
        <v>1</v>
      </c>
      <c r="Q134">
        <v>9344.98</v>
      </c>
      <c r="R134" s="4">
        <v>45600</v>
      </c>
      <c r="S134" s="6">
        <v>0.33940972222222221</v>
      </c>
      <c r="T134">
        <f t="shared" si="10"/>
        <v>17</v>
      </c>
      <c r="U134" t="str" cm="1">
        <f t="array" ref="U134">_xlfn.IFS(M134&lt;=34,"YOUNG",M134&lt;=54,"MIDDLE AGE",M134&gt;=55,"OLD")</f>
        <v>MIDDLE AGE</v>
      </c>
      <c r="V134" t="str">
        <f t="shared" si="11"/>
        <v>NORMAL</v>
      </c>
    </row>
    <row r="135" spans="1:22" x14ac:dyDescent="0.35">
      <c r="A135" t="s">
        <v>632</v>
      </c>
      <c r="B135" t="s">
        <v>569</v>
      </c>
      <c r="C135">
        <v>5.77</v>
      </c>
      <c r="D135" s="1">
        <v>45247.727164351854</v>
      </c>
      <c r="E135" s="2">
        <f t="shared" si="8"/>
        <v>0.72716435185429873</v>
      </c>
      <c r="F135" s="3">
        <f t="shared" si="9"/>
        <v>45247</v>
      </c>
      <c r="G135" t="s">
        <v>46</v>
      </c>
      <c r="H135" t="s">
        <v>140</v>
      </c>
      <c r="I135" t="s">
        <v>633</v>
      </c>
      <c r="J135" t="s">
        <v>567</v>
      </c>
      <c r="K135" t="s">
        <v>634</v>
      </c>
      <c r="L135" t="s">
        <v>69</v>
      </c>
      <c r="M135">
        <v>23</v>
      </c>
      <c r="N135" t="s">
        <v>37</v>
      </c>
      <c r="O135">
        <v>254</v>
      </c>
      <c r="P135">
        <v>1</v>
      </c>
      <c r="Q135">
        <v>1117.97</v>
      </c>
      <c r="R135" s="4">
        <v>45600</v>
      </c>
      <c r="S135" s="6">
        <v>0.34089120370370368</v>
      </c>
      <c r="T135">
        <f t="shared" si="10"/>
        <v>17</v>
      </c>
      <c r="U135" t="str" cm="1">
        <f t="array" ref="U135">_xlfn.IFS(M135&lt;=34,"YOUNG",M135&lt;=54,"MIDDLE AGE",M135&gt;=55,"OLD")</f>
        <v>YOUNG</v>
      </c>
      <c r="V135" t="str">
        <f t="shared" si="11"/>
        <v>NORMAL</v>
      </c>
    </row>
    <row r="136" spans="1:22" x14ac:dyDescent="0.35">
      <c r="A136" t="s">
        <v>635</v>
      </c>
      <c r="B136" t="s">
        <v>636</v>
      </c>
      <c r="C136">
        <v>381.33</v>
      </c>
      <c r="D136" s="1">
        <v>45159.69866898148</v>
      </c>
      <c r="E136" s="2">
        <f t="shared" si="8"/>
        <v>0.69866898148029577</v>
      </c>
      <c r="F136" s="3">
        <f t="shared" si="9"/>
        <v>45159</v>
      </c>
      <c r="G136" t="s">
        <v>17</v>
      </c>
      <c r="H136" t="s">
        <v>86</v>
      </c>
      <c r="I136" t="s">
        <v>637</v>
      </c>
      <c r="J136" t="s">
        <v>638</v>
      </c>
      <c r="K136" t="s">
        <v>639</v>
      </c>
      <c r="L136" t="s">
        <v>22</v>
      </c>
      <c r="M136">
        <v>56</v>
      </c>
      <c r="N136" t="s">
        <v>23</v>
      </c>
      <c r="O136">
        <v>75</v>
      </c>
      <c r="P136">
        <v>1</v>
      </c>
      <c r="Q136">
        <v>11835.35</v>
      </c>
      <c r="R136" s="4">
        <v>45600</v>
      </c>
      <c r="S136" s="6">
        <v>0.3399537037037037</v>
      </c>
      <c r="T136">
        <f t="shared" si="10"/>
        <v>16</v>
      </c>
      <c r="U136" t="str" cm="1">
        <f t="array" ref="U136">_xlfn.IFS(M136&lt;=34,"YOUNG",M136&lt;=54,"MIDDLE AGE",M136&gt;=55,"OLD")</f>
        <v>OLD</v>
      </c>
      <c r="V136" t="str">
        <f t="shared" si="11"/>
        <v>NORMAL</v>
      </c>
    </row>
    <row r="137" spans="1:22" x14ac:dyDescent="0.35">
      <c r="A137" t="s">
        <v>640</v>
      </c>
      <c r="B137" t="s">
        <v>641</v>
      </c>
      <c r="C137">
        <v>16.16</v>
      </c>
      <c r="D137" s="1">
        <v>45215.708055555559</v>
      </c>
      <c r="E137" s="2">
        <f t="shared" si="8"/>
        <v>0.70805555555853061</v>
      </c>
      <c r="F137" s="3">
        <f t="shared" si="9"/>
        <v>45215</v>
      </c>
      <c r="G137" t="s">
        <v>17</v>
      </c>
      <c r="H137" t="s">
        <v>178</v>
      </c>
      <c r="I137" t="s">
        <v>642</v>
      </c>
      <c r="J137" t="s">
        <v>643</v>
      </c>
      <c r="K137" t="s">
        <v>149</v>
      </c>
      <c r="L137" t="s">
        <v>22</v>
      </c>
      <c r="M137">
        <v>50</v>
      </c>
      <c r="N137" t="s">
        <v>23</v>
      </c>
      <c r="O137">
        <v>124</v>
      </c>
      <c r="P137">
        <v>1</v>
      </c>
      <c r="Q137">
        <v>14401.17</v>
      </c>
      <c r="R137" s="4">
        <v>45600</v>
      </c>
      <c r="S137" s="6">
        <v>0.34165509259259258</v>
      </c>
      <c r="T137">
        <f t="shared" si="10"/>
        <v>16</v>
      </c>
      <c r="U137" t="str" cm="1">
        <f t="array" ref="U137">_xlfn.IFS(M137&lt;=34,"YOUNG",M137&lt;=54,"MIDDLE AGE",M137&gt;=55,"OLD")</f>
        <v>MIDDLE AGE</v>
      </c>
      <c r="V137" t="str">
        <f t="shared" si="11"/>
        <v>NORMAL</v>
      </c>
    </row>
    <row r="138" spans="1:22" x14ac:dyDescent="0.35">
      <c r="A138" t="s">
        <v>644</v>
      </c>
      <c r="B138" t="s">
        <v>604</v>
      </c>
      <c r="C138">
        <v>486.08</v>
      </c>
      <c r="D138" s="1">
        <v>45097.723495370374</v>
      </c>
      <c r="E138" s="2">
        <f t="shared" si="8"/>
        <v>0.72349537037371192</v>
      </c>
      <c r="F138" s="3">
        <f t="shared" si="9"/>
        <v>45097</v>
      </c>
      <c r="G138" t="s">
        <v>17</v>
      </c>
      <c r="H138" t="s">
        <v>53</v>
      </c>
      <c r="I138" t="s">
        <v>645</v>
      </c>
      <c r="J138" t="s">
        <v>646</v>
      </c>
      <c r="K138" t="s">
        <v>406</v>
      </c>
      <c r="L138" t="s">
        <v>36</v>
      </c>
      <c r="M138">
        <v>18</v>
      </c>
      <c r="N138" t="s">
        <v>37</v>
      </c>
      <c r="O138">
        <v>68</v>
      </c>
      <c r="P138">
        <v>1</v>
      </c>
      <c r="Q138">
        <v>1748.69</v>
      </c>
      <c r="R138" s="4">
        <v>45600</v>
      </c>
      <c r="S138" s="6">
        <v>0.33822916666666669</v>
      </c>
      <c r="T138">
        <f t="shared" si="10"/>
        <v>17</v>
      </c>
      <c r="U138" t="str" cm="1">
        <f t="array" ref="U138">_xlfn.IFS(M138&lt;=34,"YOUNG",M138&lt;=54,"MIDDLE AGE",M138&gt;=55,"OLD")</f>
        <v>YOUNG</v>
      </c>
      <c r="V138" t="str">
        <f t="shared" si="11"/>
        <v>NORMAL</v>
      </c>
    </row>
    <row r="139" spans="1:22" x14ac:dyDescent="0.35">
      <c r="A139" t="s">
        <v>647</v>
      </c>
      <c r="B139" t="s">
        <v>648</v>
      </c>
      <c r="C139">
        <v>336.39</v>
      </c>
      <c r="D139" s="1">
        <v>44942.703912037039</v>
      </c>
      <c r="E139" s="2">
        <f t="shared" si="8"/>
        <v>0.70391203703911742</v>
      </c>
      <c r="F139" s="3">
        <f t="shared" si="9"/>
        <v>44942</v>
      </c>
      <c r="G139" t="s">
        <v>17</v>
      </c>
      <c r="H139" t="s">
        <v>237</v>
      </c>
      <c r="I139" t="s">
        <v>649</v>
      </c>
      <c r="J139" t="s">
        <v>627</v>
      </c>
      <c r="K139" t="s">
        <v>362</v>
      </c>
      <c r="L139" t="s">
        <v>69</v>
      </c>
      <c r="M139">
        <v>21</v>
      </c>
      <c r="N139" t="s">
        <v>37</v>
      </c>
      <c r="O139">
        <v>18</v>
      </c>
      <c r="P139">
        <v>1</v>
      </c>
      <c r="Q139">
        <v>1000.46</v>
      </c>
      <c r="R139" s="4">
        <v>45600</v>
      </c>
      <c r="S139" s="6">
        <v>0.34024305555555556</v>
      </c>
      <c r="T139">
        <f t="shared" si="10"/>
        <v>16</v>
      </c>
      <c r="U139" t="str" cm="1">
        <f t="array" ref="U139">_xlfn.IFS(M139&lt;=34,"YOUNG",M139&lt;=54,"MIDDLE AGE",M139&gt;=55,"OLD")</f>
        <v>YOUNG</v>
      </c>
      <c r="V139" t="str">
        <f t="shared" si="11"/>
        <v>NORMAL</v>
      </c>
    </row>
    <row r="140" spans="1:22" x14ac:dyDescent="0.35">
      <c r="A140" t="s">
        <v>650</v>
      </c>
      <c r="B140" t="s">
        <v>232</v>
      </c>
      <c r="C140">
        <v>997.43</v>
      </c>
      <c r="D140" s="1">
        <v>45252.671747685185</v>
      </c>
      <c r="E140" s="2">
        <f t="shared" si="8"/>
        <v>0.67174768518452765</v>
      </c>
      <c r="F140" s="3">
        <f t="shared" si="9"/>
        <v>45252</v>
      </c>
      <c r="G140" t="s">
        <v>17</v>
      </c>
      <c r="H140" t="s">
        <v>59</v>
      </c>
      <c r="I140" t="s">
        <v>292</v>
      </c>
      <c r="J140" t="s">
        <v>651</v>
      </c>
      <c r="K140" t="s">
        <v>652</v>
      </c>
      <c r="L140" t="s">
        <v>36</v>
      </c>
      <c r="M140">
        <v>69</v>
      </c>
      <c r="N140" t="s">
        <v>23</v>
      </c>
      <c r="O140">
        <v>118</v>
      </c>
      <c r="P140">
        <v>1</v>
      </c>
      <c r="Q140">
        <v>6810.05</v>
      </c>
      <c r="R140" s="4">
        <v>45600</v>
      </c>
      <c r="S140" s="6">
        <v>0.33917824074074077</v>
      </c>
      <c r="T140">
        <f t="shared" si="10"/>
        <v>16</v>
      </c>
      <c r="U140" t="str" cm="1">
        <f t="array" ref="U140">_xlfn.IFS(M140&lt;=34,"YOUNG",M140&lt;=54,"MIDDLE AGE",M140&gt;=55,"OLD")</f>
        <v>OLD</v>
      </c>
      <c r="V140" t="str">
        <f t="shared" si="11"/>
        <v>NORMAL</v>
      </c>
    </row>
    <row r="141" spans="1:22" x14ac:dyDescent="0.35">
      <c r="A141" t="s">
        <v>653</v>
      </c>
      <c r="B141" t="s">
        <v>79</v>
      </c>
      <c r="C141">
        <v>234.57</v>
      </c>
      <c r="D141" s="1">
        <v>45170.673009259262</v>
      </c>
      <c r="E141" s="2">
        <f t="shared" si="8"/>
        <v>0.67300925926247146</v>
      </c>
      <c r="F141" s="3">
        <f t="shared" si="9"/>
        <v>45170</v>
      </c>
      <c r="G141" t="s">
        <v>17</v>
      </c>
      <c r="H141" t="s">
        <v>265</v>
      </c>
      <c r="I141" t="s">
        <v>654</v>
      </c>
      <c r="J141" t="s">
        <v>655</v>
      </c>
      <c r="K141" t="s">
        <v>414</v>
      </c>
      <c r="L141" t="s">
        <v>36</v>
      </c>
      <c r="M141">
        <v>23</v>
      </c>
      <c r="N141" t="s">
        <v>37</v>
      </c>
      <c r="O141">
        <v>120</v>
      </c>
      <c r="P141">
        <v>1</v>
      </c>
      <c r="Q141">
        <v>263.98</v>
      </c>
      <c r="R141" s="4">
        <v>45600</v>
      </c>
      <c r="S141" s="6">
        <v>0.33943287037037034</v>
      </c>
      <c r="T141">
        <f t="shared" si="10"/>
        <v>16</v>
      </c>
      <c r="U141" t="str" cm="1">
        <f t="array" ref="U141">_xlfn.IFS(M141&lt;=34,"YOUNG",M141&lt;=54,"MIDDLE AGE",M141&gt;=55,"OLD")</f>
        <v>YOUNG</v>
      </c>
      <c r="V141" t="str">
        <f t="shared" si="11"/>
        <v>NORMAL</v>
      </c>
    </row>
    <row r="142" spans="1:22" x14ac:dyDescent="0.35">
      <c r="A142" t="s">
        <v>656</v>
      </c>
      <c r="B142" t="s">
        <v>657</v>
      </c>
      <c r="C142">
        <v>6</v>
      </c>
      <c r="D142" s="1">
        <v>45222.776562500003</v>
      </c>
      <c r="E142" s="2">
        <f t="shared" si="8"/>
        <v>0.77656250000291038</v>
      </c>
      <c r="F142" s="3">
        <f t="shared" si="9"/>
        <v>45222</v>
      </c>
      <c r="G142" t="s">
        <v>17</v>
      </c>
      <c r="H142" t="s">
        <v>265</v>
      </c>
      <c r="I142" t="s">
        <v>658</v>
      </c>
      <c r="J142" t="s">
        <v>503</v>
      </c>
      <c r="K142" t="s">
        <v>277</v>
      </c>
      <c r="L142" t="s">
        <v>36</v>
      </c>
      <c r="M142">
        <v>30</v>
      </c>
      <c r="N142" t="s">
        <v>23</v>
      </c>
      <c r="O142">
        <v>246</v>
      </c>
      <c r="P142">
        <v>1</v>
      </c>
      <c r="Q142">
        <v>5442.76</v>
      </c>
      <c r="R142" s="4">
        <v>45600</v>
      </c>
      <c r="S142" s="6">
        <v>0.34008101851851852</v>
      </c>
      <c r="T142">
        <f t="shared" si="10"/>
        <v>18</v>
      </c>
      <c r="U142" t="str" cm="1">
        <f t="array" ref="U142">_xlfn.IFS(M142&lt;=34,"YOUNG",M142&lt;=54,"MIDDLE AGE",M142&gt;=55,"OLD")</f>
        <v>YOUNG</v>
      </c>
      <c r="V142" t="str">
        <f t="shared" si="11"/>
        <v>NORMAL</v>
      </c>
    </row>
    <row r="143" spans="1:22" x14ac:dyDescent="0.35">
      <c r="A143" t="s">
        <v>659</v>
      </c>
      <c r="B143" t="s">
        <v>660</v>
      </c>
      <c r="C143">
        <v>1049.92</v>
      </c>
      <c r="D143" s="1">
        <v>45222.701770833337</v>
      </c>
      <c r="E143" s="2">
        <f t="shared" si="8"/>
        <v>0.70177083333692281</v>
      </c>
      <c r="F143" s="3">
        <f t="shared" si="9"/>
        <v>45222</v>
      </c>
      <c r="G143" t="s">
        <v>17</v>
      </c>
      <c r="H143" t="s">
        <v>73</v>
      </c>
      <c r="I143" t="s">
        <v>661</v>
      </c>
      <c r="J143" t="s">
        <v>662</v>
      </c>
      <c r="K143" t="s">
        <v>29</v>
      </c>
      <c r="L143" t="s">
        <v>22</v>
      </c>
      <c r="M143">
        <v>80</v>
      </c>
      <c r="N143" t="s">
        <v>70</v>
      </c>
      <c r="O143">
        <v>21</v>
      </c>
      <c r="P143">
        <v>1</v>
      </c>
      <c r="Q143">
        <v>2037.85</v>
      </c>
      <c r="R143" s="4">
        <v>45600</v>
      </c>
      <c r="S143" s="6">
        <v>0.34067129629629628</v>
      </c>
      <c r="T143">
        <f t="shared" si="10"/>
        <v>16</v>
      </c>
      <c r="U143" t="str" cm="1">
        <f t="array" ref="U143">_xlfn.IFS(M143&lt;=34,"YOUNG",M143&lt;=54,"MIDDLE AGE",M143&gt;=55,"OLD")</f>
        <v>OLD</v>
      </c>
      <c r="V143" t="str">
        <f t="shared" si="11"/>
        <v>NORMAL</v>
      </c>
    </row>
    <row r="144" spans="1:22" x14ac:dyDescent="0.35">
      <c r="A144" t="s">
        <v>663</v>
      </c>
      <c r="B144" t="s">
        <v>664</v>
      </c>
      <c r="C144">
        <v>227.14</v>
      </c>
      <c r="D144" s="1">
        <v>45110.737592592595</v>
      </c>
      <c r="E144" s="2">
        <f t="shared" si="8"/>
        <v>0.73759259259531973</v>
      </c>
      <c r="F144" s="3">
        <f t="shared" si="9"/>
        <v>45110</v>
      </c>
      <c r="G144" t="s">
        <v>17</v>
      </c>
      <c r="H144" t="s">
        <v>249</v>
      </c>
      <c r="I144" t="s">
        <v>665</v>
      </c>
      <c r="J144" t="s">
        <v>266</v>
      </c>
      <c r="K144" t="s">
        <v>100</v>
      </c>
      <c r="L144" t="s">
        <v>22</v>
      </c>
      <c r="M144">
        <v>18</v>
      </c>
      <c r="N144" t="s">
        <v>37</v>
      </c>
      <c r="O144">
        <v>294</v>
      </c>
      <c r="P144">
        <v>1</v>
      </c>
      <c r="Q144">
        <v>341.94</v>
      </c>
      <c r="R144" s="4">
        <v>45600</v>
      </c>
      <c r="S144" s="6">
        <v>0.34136574074074072</v>
      </c>
      <c r="T144">
        <f t="shared" si="10"/>
        <v>17</v>
      </c>
      <c r="U144" t="str" cm="1">
        <f t="array" ref="U144">_xlfn.IFS(M144&lt;=34,"YOUNG",M144&lt;=54,"MIDDLE AGE",M144&gt;=55,"OLD")</f>
        <v>YOUNG</v>
      </c>
      <c r="V144" t="str">
        <f t="shared" si="11"/>
        <v>NORMAL</v>
      </c>
    </row>
    <row r="145" spans="1:22" x14ac:dyDescent="0.35">
      <c r="A145" t="s">
        <v>666</v>
      </c>
      <c r="B145" t="s">
        <v>667</v>
      </c>
      <c r="C145">
        <v>233.74</v>
      </c>
      <c r="D145" s="1">
        <v>45223.695138888892</v>
      </c>
      <c r="E145" s="2">
        <f t="shared" si="8"/>
        <v>0.69513888889196096</v>
      </c>
      <c r="F145" s="3">
        <f t="shared" si="9"/>
        <v>45223</v>
      </c>
      <c r="G145" t="s">
        <v>46</v>
      </c>
      <c r="H145" t="s">
        <v>53</v>
      </c>
      <c r="I145" t="s">
        <v>668</v>
      </c>
      <c r="J145" t="s">
        <v>523</v>
      </c>
      <c r="K145" t="s">
        <v>95</v>
      </c>
      <c r="L145" t="s">
        <v>36</v>
      </c>
      <c r="M145">
        <v>66</v>
      </c>
      <c r="N145" t="s">
        <v>70</v>
      </c>
      <c r="O145">
        <v>17</v>
      </c>
      <c r="P145">
        <v>1</v>
      </c>
      <c r="Q145">
        <v>1066.5899999999999</v>
      </c>
      <c r="R145" s="4">
        <v>45600</v>
      </c>
      <c r="S145" s="6">
        <v>0.3411689814814815</v>
      </c>
      <c r="T145">
        <f t="shared" si="10"/>
        <v>16</v>
      </c>
      <c r="U145" t="str" cm="1">
        <f t="array" ref="U145">_xlfn.IFS(M145&lt;=34,"YOUNG",M145&lt;=54,"MIDDLE AGE",M145&gt;=55,"OLD")</f>
        <v>OLD</v>
      </c>
      <c r="V145" t="str">
        <f t="shared" si="11"/>
        <v>NORMAL</v>
      </c>
    </row>
    <row r="146" spans="1:22" x14ac:dyDescent="0.35">
      <c r="A146" t="s">
        <v>669</v>
      </c>
      <c r="B146" t="s">
        <v>529</v>
      </c>
      <c r="C146">
        <v>113.02</v>
      </c>
      <c r="D146" s="1">
        <v>45194.704421296294</v>
      </c>
      <c r="E146" s="2">
        <f t="shared" si="8"/>
        <v>0.70442129629373085</v>
      </c>
      <c r="F146" s="3">
        <f t="shared" si="9"/>
        <v>45194</v>
      </c>
      <c r="G146" t="s">
        <v>46</v>
      </c>
      <c r="H146" t="s">
        <v>392</v>
      </c>
      <c r="I146" t="s">
        <v>670</v>
      </c>
      <c r="J146" t="s">
        <v>671</v>
      </c>
      <c r="K146" t="s">
        <v>62</v>
      </c>
      <c r="L146" t="s">
        <v>69</v>
      </c>
      <c r="M146">
        <v>69</v>
      </c>
      <c r="N146" t="s">
        <v>70</v>
      </c>
      <c r="O146">
        <v>166</v>
      </c>
      <c r="P146">
        <v>1</v>
      </c>
      <c r="Q146">
        <v>6077.96</v>
      </c>
      <c r="R146" s="4">
        <v>45600</v>
      </c>
      <c r="S146" s="6">
        <v>0.3384375</v>
      </c>
      <c r="T146">
        <f t="shared" si="10"/>
        <v>16</v>
      </c>
      <c r="U146" t="str" cm="1">
        <f t="array" ref="U146">_xlfn.IFS(M146&lt;=34,"YOUNG",M146&lt;=54,"MIDDLE AGE",M146&gt;=55,"OLD")</f>
        <v>OLD</v>
      </c>
      <c r="V146" t="str">
        <f t="shared" si="11"/>
        <v>NORMAL</v>
      </c>
    </row>
    <row r="147" spans="1:22" x14ac:dyDescent="0.35">
      <c r="A147" t="s">
        <v>672</v>
      </c>
      <c r="B147" t="s">
        <v>355</v>
      </c>
      <c r="C147">
        <v>45.85</v>
      </c>
      <c r="D147" s="1">
        <v>44973.748032407406</v>
      </c>
      <c r="E147" s="2">
        <f t="shared" si="8"/>
        <v>0.74803240740584442</v>
      </c>
      <c r="F147" s="3">
        <f t="shared" si="9"/>
        <v>44973</v>
      </c>
      <c r="G147" t="s">
        <v>17</v>
      </c>
      <c r="H147" t="s">
        <v>140</v>
      </c>
      <c r="I147" t="s">
        <v>60</v>
      </c>
      <c r="J147" t="s">
        <v>673</v>
      </c>
      <c r="K147" t="s">
        <v>674</v>
      </c>
      <c r="L147" t="s">
        <v>22</v>
      </c>
      <c r="M147">
        <v>20</v>
      </c>
      <c r="N147" t="s">
        <v>37</v>
      </c>
      <c r="O147">
        <v>92</v>
      </c>
      <c r="P147">
        <v>1</v>
      </c>
      <c r="Q147">
        <v>1659.15</v>
      </c>
      <c r="R147" s="4">
        <v>45600</v>
      </c>
      <c r="S147" s="6">
        <v>0.33847222222222223</v>
      </c>
      <c r="T147">
        <f t="shared" si="10"/>
        <v>17</v>
      </c>
      <c r="U147" t="str" cm="1">
        <f t="array" ref="U147">_xlfn.IFS(M147&lt;=34,"YOUNG",M147&lt;=54,"MIDDLE AGE",M147&gt;=55,"OLD")</f>
        <v>YOUNG</v>
      </c>
      <c r="V147" t="str">
        <f t="shared" si="11"/>
        <v>NORMAL</v>
      </c>
    </row>
    <row r="148" spans="1:22" x14ac:dyDescent="0.35">
      <c r="A148" t="s">
        <v>675</v>
      </c>
      <c r="B148" t="s">
        <v>79</v>
      </c>
      <c r="C148">
        <v>973.39</v>
      </c>
      <c r="D148" s="1">
        <v>45168.724537037036</v>
      </c>
      <c r="E148" s="2">
        <f t="shared" si="8"/>
        <v>0.72453703703649808</v>
      </c>
      <c r="F148" s="3">
        <f t="shared" si="9"/>
        <v>45168</v>
      </c>
      <c r="G148" t="s">
        <v>17</v>
      </c>
      <c r="H148" t="s">
        <v>285</v>
      </c>
      <c r="I148" t="s">
        <v>676</v>
      </c>
      <c r="J148" t="s">
        <v>677</v>
      </c>
      <c r="K148" t="s">
        <v>607</v>
      </c>
      <c r="L148" t="s">
        <v>69</v>
      </c>
      <c r="M148">
        <v>77</v>
      </c>
      <c r="N148" t="s">
        <v>70</v>
      </c>
      <c r="O148">
        <v>296</v>
      </c>
      <c r="P148">
        <v>1</v>
      </c>
      <c r="Q148">
        <v>2042.22</v>
      </c>
      <c r="R148" s="4">
        <v>45600</v>
      </c>
      <c r="S148" s="6">
        <v>0.3414814814814815</v>
      </c>
      <c r="T148">
        <f t="shared" si="10"/>
        <v>17</v>
      </c>
      <c r="U148" t="str" cm="1">
        <f t="array" ref="U148">_xlfn.IFS(M148&lt;=34,"YOUNG",M148&lt;=54,"MIDDLE AGE",M148&gt;=55,"OLD")</f>
        <v>OLD</v>
      </c>
      <c r="V148" t="str">
        <f t="shared" si="11"/>
        <v>NORMAL</v>
      </c>
    </row>
    <row r="149" spans="1:22" x14ac:dyDescent="0.35">
      <c r="A149" t="s">
        <v>678</v>
      </c>
      <c r="B149" t="s">
        <v>679</v>
      </c>
      <c r="C149">
        <v>514.95000000000005</v>
      </c>
      <c r="D149" s="1">
        <v>45029.776250000003</v>
      </c>
      <c r="E149" s="2">
        <f t="shared" si="8"/>
        <v>0.77625000000261934</v>
      </c>
      <c r="F149" s="3">
        <f t="shared" si="9"/>
        <v>45029</v>
      </c>
      <c r="G149" t="s">
        <v>17</v>
      </c>
      <c r="H149" t="s">
        <v>203</v>
      </c>
      <c r="I149" t="s">
        <v>680</v>
      </c>
      <c r="J149" t="s">
        <v>681</v>
      </c>
      <c r="K149" t="s">
        <v>682</v>
      </c>
      <c r="L149" t="s">
        <v>36</v>
      </c>
      <c r="M149">
        <v>41</v>
      </c>
      <c r="N149" t="s">
        <v>23</v>
      </c>
      <c r="O149">
        <v>142</v>
      </c>
      <c r="P149">
        <v>5</v>
      </c>
      <c r="Q149">
        <v>421.93</v>
      </c>
      <c r="R149" s="4">
        <v>45600</v>
      </c>
      <c r="S149" s="6">
        <v>0.34028935185185183</v>
      </c>
      <c r="T149">
        <f t="shared" si="10"/>
        <v>18</v>
      </c>
      <c r="U149" t="str" cm="1">
        <f t="array" ref="U149">_xlfn.IFS(M149&lt;=34,"YOUNG",M149&lt;=54,"MIDDLE AGE",M149&gt;=55,"OLD")</f>
        <v>MIDDLE AGE</v>
      </c>
      <c r="V149" t="str">
        <f t="shared" si="11"/>
        <v>HIGH</v>
      </c>
    </row>
    <row r="150" spans="1:22" x14ac:dyDescent="0.35">
      <c r="A150" t="s">
        <v>683</v>
      </c>
      <c r="B150" t="s">
        <v>684</v>
      </c>
      <c r="C150">
        <v>415.5</v>
      </c>
      <c r="D150" s="1">
        <v>45135.687071759261</v>
      </c>
      <c r="E150" s="2">
        <f t="shared" si="8"/>
        <v>0.68707175926101627</v>
      </c>
      <c r="F150" s="3">
        <f t="shared" si="9"/>
        <v>45135</v>
      </c>
      <c r="G150" t="s">
        <v>17</v>
      </c>
      <c r="H150" t="s">
        <v>92</v>
      </c>
      <c r="I150" t="s">
        <v>685</v>
      </c>
      <c r="J150" t="s">
        <v>61</v>
      </c>
      <c r="K150" t="s">
        <v>543</v>
      </c>
      <c r="L150" t="s">
        <v>22</v>
      </c>
      <c r="M150">
        <v>66</v>
      </c>
      <c r="N150" t="s">
        <v>23</v>
      </c>
      <c r="O150">
        <v>141</v>
      </c>
      <c r="P150">
        <v>1</v>
      </c>
      <c r="Q150">
        <v>10113.66</v>
      </c>
      <c r="R150" s="4">
        <v>45600</v>
      </c>
      <c r="S150" s="6">
        <v>0.34054398148148146</v>
      </c>
      <c r="T150">
        <f t="shared" si="10"/>
        <v>16</v>
      </c>
      <c r="U150" t="str" cm="1">
        <f t="array" ref="U150">_xlfn.IFS(M150&lt;=34,"YOUNG",M150&lt;=54,"MIDDLE AGE",M150&gt;=55,"OLD")</f>
        <v>OLD</v>
      </c>
      <c r="V150" t="str">
        <f t="shared" si="11"/>
        <v>NORMAL</v>
      </c>
    </row>
    <row r="151" spans="1:22" x14ac:dyDescent="0.35">
      <c r="A151" t="s">
        <v>686</v>
      </c>
      <c r="B151" t="s">
        <v>687</v>
      </c>
      <c r="C151">
        <v>265.76</v>
      </c>
      <c r="D151" s="1">
        <v>44963.742303240739</v>
      </c>
      <c r="E151" s="2">
        <f t="shared" si="8"/>
        <v>0.74230324073869269</v>
      </c>
      <c r="F151" s="3">
        <f t="shared" si="9"/>
        <v>44963</v>
      </c>
      <c r="G151" t="s">
        <v>17</v>
      </c>
      <c r="H151" t="s">
        <v>243</v>
      </c>
      <c r="I151" t="s">
        <v>688</v>
      </c>
      <c r="J151" t="s">
        <v>689</v>
      </c>
      <c r="K151" t="s">
        <v>474</v>
      </c>
      <c r="L151" t="s">
        <v>36</v>
      </c>
      <c r="M151">
        <v>54</v>
      </c>
      <c r="N151" t="s">
        <v>70</v>
      </c>
      <c r="O151">
        <v>92</v>
      </c>
      <c r="P151">
        <v>1</v>
      </c>
      <c r="Q151">
        <v>4446.17</v>
      </c>
      <c r="R151" s="4">
        <v>45600</v>
      </c>
      <c r="S151" s="6">
        <v>0.34187499999999998</v>
      </c>
      <c r="T151">
        <f t="shared" si="10"/>
        <v>17</v>
      </c>
      <c r="U151" t="str" cm="1">
        <f t="array" ref="U151">_xlfn.IFS(M151&lt;=34,"YOUNG",M151&lt;=54,"MIDDLE AGE",M151&gt;=55,"OLD")</f>
        <v>MIDDLE AGE</v>
      </c>
      <c r="V151" t="str">
        <f t="shared" si="11"/>
        <v>NORMAL</v>
      </c>
    </row>
    <row r="152" spans="1:22" x14ac:dyDescent="0.35">
      <c r="A152" t="s">
        <v>690</v>
      </c>
      <c r="B152" t="s">
        <v>691</v>
      </c>
      <c r="C152">
        <v>69.400000000000006</v>
      </c>
      <c r="D152" s="1">
        <v>45131.756053240744</v>
      </c>
      <c r="E152" s="2">
        <f t="shared" si="8"/>
        <v>0.75605324074422242</v>
      </c>
      <c r="F152" s="3">
        <f t="shared" si="9"/>
        <v>45131</v>
      </c>
      <c r="G152" t="s">
        <v>17</v>
      </c>
      <c r="H152" t="s">
        <v>301</v>
      </c>
      <c r="I152" t="s">
        <v>692</v>
      </c>
      <c r="J152" t="s">
        <v>535</v>
      </c>
      <c r="K152" t="s">
        <v>89</v>
      </c>
      <c r="L152" t="s">
        <v>36</v>
      </c>
      <c r="M152">
        <v>80</v>
      </c>
      <c r="N152" t="s">
        <v>70</v>
      </c>
      <c r="O152">
        <v>113</v>
      </c>
      <c r="P152">
        <v>1</v>
      </c>
      <c r="Q152">
        <v>6452.77</v>
      </c>
      <c r="R152" s="4">
        <v>45600</v>
      </c>
      <c r="S152" s="6">
        <v>0.33962962962962961</v>
      </c>
      <c r="T152">
        <f t="shared" si="10"/>
        <v>18</v>
      </c>
      <c r="U152" t="str" cm="1">
        <f t="array" ref="U152">_xlfn.IFS(M152&lt;=34,"YOUNG",M152&lt;=54,"MIDDLE AGE",M152&gt;=55,"OLD")</f>
        <v>OLD</v>
      </c>
      <c r="V152" t="str">
        <f t="shared" si="11"/>
        <v>NORMAL</v>
      </c>
    </row>
    <row r="153" spans="1:22" x14ac:dyDescent="0.35">
      <c r="A153" t="s">
        <v>693</v>
      </c>
      <c r="B153" t="s">
        <v>130</v>
      </c>
      <c r="C153">
        <v>332.93</v>
      </c>
      <c r="D153" s="1">
        <v>45250.687361111108</v>
      </c>
      <c r="E153" s="2">
        <f t="shared" si="8"/>
        <v>0.687361111107748</v>
      </c>
      <c r="F153" s="3">
        <f t="shared" si="9"/>
        <v>45250</v>
      </c>
      <c r="G153" t="s">
        <v>46</v>
      </c>
      <c r="H153" t="s">
        <v>86</v>
      </c>
      <c r="I153" t="s">
        <v>351</v>
      </c>
      <c r="J153" t="s">
        <v>271</v>
      </c>
      <c r="K153" t="s">
        <v>137</v>
      </c>
      <c r="L153" t="s">
        <v>69</v>
      </c>
      <c r="M153">
        <v>35</v>
      </c>
      <c r="N153" t="s">
        <v>77</v>
      </c>
      <c r="O153">
        <v>293</v>
      </c>
      <c r="P153">
        <v>1</v>
      </c>
      <c r="Q153">
        <v>2788.2</v>
      </c>
      <c r="R153" s="4">
        <v>45600</v>
      </c>
      <c r="S153" s="6">
        <v>0.33905092592592595</v>
      </c>
      <c r="T153">
        <f t="shared" si="10"/>
        <v>16</v>
      </c>
      <c r="U153" t="str" cm="1">
        <f t="array" ref="U153">_xlfn.IFS(M153&lt;=34,"YOUNG",M153&lt;=54,"MIDDLE AGE",M153&gt;=55,"OLD")</f>
        <v>MIDDLE AGE</v>
      </c>
      <c r="V153" t="str">
        <f t="shared" si="11"/>
        <v>NORMAL</v>
      </c>
    </row>
    <row r="154" spans="1:22" x14ac:dyDescent="0.35">
      <c r="A154" t="s">
        <v>694</v>
      </c>
      <c r="B154" t="s">
        <v>447</v>
      </c>
      <c r="C154">
        <v>267.89999999999998</v>
      </c>
      <c r="D154" s="1">
        <v>45208.703321759262</v>
      </c>
      <c r="E154" s="2">
        <f t="shared" si="8"/>
        <v>0.70332175926159834</v>
      </c>
      <c r="F154" s="3">
        <f t="shared" si="9"/>
        <v>45208</v>
      </c>
      <c r="G154" t="s">
        <v>17</v>
      </c>
      <c r="H154" t="s">
        <v>237</v>
      </c>
      <c r="I154" t="s">
        <v>695</v>
      </c>
      <c r="J154" t="s">
        <v>696</v>
      </c>
      <c r="K154" t="s">
        <v>303</v>
      </c>
      <c r="L154" t="s">
        <v>36</v>
      </c>
      <c r="M154">
        <v>20</v>
      </c>
      <c r="N154" t="s">
        <v>37</v>
      </c>
      <c r="O154">
        <v>160</v>
      </c>
      <c r="P154">
        <v>1</v>
      </c>
      <c r="Q154">
        <v>596.16</v>
      </c>
      <c r="R154" s="4">
        <v>45600</v>
      </c>
      <c r="S154" s="6">
        <v>0.33928240740740739</v>
      </c>
      <c r="T154">
        <f t="shared" si="10"/>
        <v>16</v>
      </c>
      <c r="U154" t="str" cm="1">
        <f t="array" ref="U154">_xlfn.IFS(M154&lt;=34,"YOUNG",M154&lt;=54,"MIDDLE AGE",M154&gt;=55,"OLD")</f>
        <v>YOUNG</v>
      </c>
      <c r="V154" t="str">
        <f t="shared" si="11"/>
        <v>NORMAL</v>
      </c>
    </row>
    <row r="155" spans="1:22" x14ac:dyDescent="0.35">
      <c r="A155" t="s">
        <v>697</v>
      </c>
      <c r="B155" t="s">
        <v>698</v>
      </c>
      <c r="C155">
        <v>496.03</v>
      </c>
      <c r="D155" s="1">
        <v>45233.698518518519</v>
      </c>
      <c r="E155" s="2">
        <f t="shared" si="8"/>
        <v>0.69851851851854008</v>
      </c>
      <c r="F155" s="3">
        <f t="shared" si="9"/>
        <v>45233</v>
      </c>
      <c r="G155" t="s">
        <v>17</v>
      </c>
      <c r="H155" t="s">
        <v>212</v>
      </c>
      <c r="I155" t="s">
        <v>404</v>
      </c>
      <c r="J155" t="s">
        <v>699</v>
      </c>
      <c r="K155" t="s">
        <v>35</v>
      </c>
      <c r="L155" t="s">
        <v>69</v>
      </c>
      <c r="M155">
        <v>61</v>
      </c>
      <c r="N155" t="s">
        <v>23</v>
      </c>
      <c r="O155">
        <v>265</v>
      </c>
      <c r="P155">
        <v>1</v>
      </c>
      <c r="Q155">
        <v>12904.66</v>
      </c>
      <c r="R155" s="4">
        <v>45600</v>
      </c>
      <c r="S155" s="6">
        <v>0.34005787037037039</v>
      </c>
      <c r="T155">
        <f t="shared" si="10"/>
        <v>16</v>
      </c>
      <c r="U155" t="str" cm="1">
        <f t="array" ref="U155">_xlfn.IFS(M155&lt;=34,"YOUNG",M155&lt;=54,"MIDDLE AGE",M155&gt;=55,"OLD")</f>
        <v>OLD</v>
      </c>
      <c r="V155" t="str">
        <f t="shared" si="11"/>
        <v>NORMAL</v>
      </c>
    </row>
    <row r="156" spans="1:22" x14ac:dyDescent="0.35">
      <c r="A156" t="s">
        <v>700</v>
      </c>
      <c r="B156" t="s">
        <v>701</v>
      </c>
      <c r="C156">
        <v>376.26</v>
      </c>
      <c r="D156" s="1">
        <v>44972.6952662037</v>
      </c>
      <c r="E156" s="2">
        <f t="shared" si="8"/>
        <v>0.69526620370015735</v>
      </c>
      <c r="F156" s="3">
        <f t="shared" si="9"/>
        <v>44972</v>
      </c>
      <c r="G156" t="s">
        <v>17</v>
      </c>
      <c r="H156" t="s">
        <v>255</v>
      </c>
      <c r="I156" t="s">
        <v>468</v>
      </c>
      <c r="J156" t="s">
        <v>702</v>
      </c>
      <c r="K156" t="s">
        <v>427</v>
      </c>
      <c r="L156" t="s">
        <v>22</v>
      </c>
      <c r="M156">
        <v>37</v>
      </c>
      <c r="N156" t="s">
        <v>77</v>
      </c>
      <c r="O156">
        <v>245</v>
      </c>
      <c r="P156">
        <v>1</v>
      </c>
      <c r="Q156">
        <v>9062.4</v>
      </c>
      <c r="R156" s="4">
        <v>45600</v>
      </c>
      <c r="S156" s="6">
        <v>0.34025462962962966</v>
      </c>
      <c r="T156">
        <f t="shared" si="10"/>
        <v>16</v>
      </c>
      <c r="U156" t="str" cm="1">
        <f t="array" ref="U156">_xlfn.IFS(M156&lt;=34,"YOUNG",M156&lt;=54,"MIDDLE AGE",M156&gt;=55,"OLD")</f>
        <v>MIDDLE AGE</v>
      </c>
      <c r="V156" t="str">
        <f t="shared" si="11"/>
        <v>NORMAL</v>
      </c>
    </row>
    <row r="157" spans="1:22" x14ac:dyDescent="0.35">
      <c r="A157" t="s">
        <v>703</v>
      </c>
      <c r="B157" t="s">
        <v>704</v>
      </c>
      <c r="C157">
        <v>83.02</v>
      </c>
      <c r="D157" s="1">
        <v>45173.749895833331</v>
      </c>
      <c r="E157" s="2">
        <f t="shared" si="8"/>
        <v>0.749895833330811</v>
      </c>
      <c r="F157" s="3">
        <f t="shared" si="9"/>
        <v>45173</v>
      </c>
      <c r="G157" t="s">
        <v>46</v>
      </c>
      <c r="H157" t="s">
        <v>59</v>
      </c>
      <c r="I157" t="s">
        <v>705</v>
      </c>
      <c r="J157" t="s">
        <v>706</v>
      </c>
      <c r="K157" t="s">
        <v>707</v>
      </c>
      <c r="L157" t="s">
        <v>36</v>
      </c>
      <c r="M157">
        <v>36</v>
      </c>
      <c r="N157" t="s">
        <v>77</v>
      </c>
      <c r="O157">
        <v>171</v>
      </c>
      <c r="P157">
        <v>1</v>
      </c>
      <c r="Q157">
        <v>9009.56</v>
      </c>
      <c r="R157" s="4">
        <v>45600</v>
      </c>
      <c r="S157" s="6">
        <v>0.34098379629629627</v>
      </c>
      <c r="T157">
        <f t="shared" si="10"/>
        <v>17</v>
      </c>
      <c r="U157" t="str" cm="1">
        <f t="array" ref="U157">_xlfn.IFS(M157&lt;=34,"YOUNG",M157&lt;=54,"MIDDLE AGE",M157&gt;=55,"OLD")</f>
        <v>MIDDLE AGE</v>
      </c>
      <c r="V157" t="str">
        <f t="shared" si="11"/>
        <v>NORMAL</v>
      </c>
    </row>
    <row r="158" spans="1:22" x14ac:dyDescent="0.35">
      <c r="A158" t="s">
        <v>708</v>
      </c>
      <c r="B158" t="s">
        <v>236</v>
      </c>
      <c r="C158">
        <v>93.26</v>
      </c>
      <c r="D158" s="1">
        <v>45134.682546296295</v>
      </c>
      <c r="E158" s="2">
        <f t="shared" si="8"/>
        <v>0.68254629629518604</v>
      </c>
      <c r="F158" s="3">
        <f t="shared" si="9"/>
        <v>45134</v>
      </c>
      <c r="G158" t="s">
        <v>46</v>
      </c>
      <c r="H158" t="s">
        <v>203</v>
      </c>
      <c r="I158" t="s">
        <v>709</v>
      </c>
      <c r="J158" t="s">
        <v>710</v>
      </c>
      <c r="K158" t="s">
        <v>186</v>
      </c>
      <c r="L158" t="s">
        <v>36</v>
      </c>
      <c r="M158">
        <v>20</v>
      </c>
      <c r="N158" t="s">
        <v>37</v>
      </c>
      <c r="O158">
        <v>72</v>
      </c>
      <c r="P158">
        <v>1</v>
      </c>
      <c r="Q158">
        <v>1152.2</v>
      </c>
      <c r="R158" s="4">
        <v>45600</v>
      </c>
      <c r="S158" s="6">
        <v>0.34171296296296294</v>
      </c>
      <c r="T158">
        <f t="shared" si="10"/>
        <v>16</v>
      </c>
      <c r="U158" t="str" cm="1">
        <f t="array" ref="U158">_xlfn.IFS(M158&lt;=34,"YOUNG",M158&lt;=54,"MIDDLE AGE",M158&gt;=55,"OLD")</f>
        <v>YOUNG</v>
      </c>
      <c r="V158" t="str">
        <f t="shared" si="11"/>
        <v>NORMAL</v>
      </c>
    </row>
    <row r="159" spans="1:22" x14ac:dyDescent="0.35">
      <c r="A159" t="s">
        <v>711</v>
      </c>
      <c r="B159" t="s">
        <v>712</v>
      </c>
      <c r="C159">
        <v>803.37</v>
      </c>
      <c r="D159" s="1">
        <v>45033.672615740739</v>
      </c>
      <c r="E159" s="2">
        <f t="shared" si="8"/>
        <v>0.67261574073927477</v>
      </c>
      <c r="F159" s="3">
        <f t="shared" si="9"/>
        <v>45033</v>
      </c>
      <c r="G159" t="s">
        <v>46</v>
      </c>
      <c r="H159" t="s">
        <v>92</v>
      </c>
      <c r="I159" t="s">
        <v>713</v>
      </c>
      <c r="J159" t="s">
        <v>714</v>
      </c>
      <c r="K159" t="s">
        <v>95</v>
      </c>
      <c r="L159" t="s">
        <v>69</v>
      </c>
      <c r="M159">
        <v>68</v>
      </c>
      <c r="N159" t="s">
        <v>23</v>
      </c>
      <c r="O159">
        <v>129</v>
      </c>
      <c r="P159">
        <v>1</v>
      </c>
      <c r="Q159">
        <v>12168.37</v>
      </c>
      <c r="R159" s="4">
        <v>45600</v>
      </c>
      <c r="S159" s="6">
        <v>0.33935185185185185</v>
      </c>
      <c r="T159">
        <f t="shared" si="10"/>
        <v>16</v>
      </c>
      <c r="U159" t="str" cm="1">
        <f t="array" ref="U159">_xlfn.IFS(M159&lt;=34,"YOUNG",M159&lt;=54,"MIDDLE AGE",M159&gt;=55,"OLD")</f>
        <v>OLD</v>
      </c>
      <c r="V159" t="str">
        <f t="shared" si="11"/>
        <v>NORMAL</v>
      </c>
    </row>
    <row r="160" spans="1:22" x14ac:dyDescent="0.35">
      <c r="A160" t="s">
        <v>715</v>
      </c>
      <c r="B160" t="s">
        <v>716</v>
      </c>
      <c r="C160">
        <v>35.76</v>
      </c>
      <c r="D160" s="1">
        <v>45188.734930555554</v>
      </c>
      <c r="E160" s="2">
        <f t="shared" si="8"/>
        <v>0.73493055555445608</v>
      </c>
      <c r="F160" s="3">
        <f t="shared" si="9"/>
        <v>45188</v>
      </c>
      <c r="G160" t="s">
        <v>17</v>
      </c>
      <c r="H160" t="s">
        <v>249</v>
      </c>
      <c r="I160" t="s">
        <v>717</v>
      </c>
      <c r="J160" t="s">
        <v>718</v>
      </c>
      <c r="K160" t="s">
        <v>100</v>
      </c>
      <c r="L160" t="s">
        <v>69</v>
      </c>
      <c r="M160">
        <v>23</v>
      </c>
      <c r="N160" t="s">
        <v>37</v>
      </c>
      <c r="O160">
        <v>122</v>
      </c>
      <c r="P160">
        <v>1</v>
      </c>
      <c r="Q160">
        <v>611.86</v>
      </c>
      <c r="R160" s="4">
        <v>45600</v>
      </c>
      <c r="S160" s="6">
        <v>0.34143518518518517</v>
      </c>
      <c r="T160">
        <f t="shared" si="10"/>
        <v>17</v>
      </c>
      <c r="U160" t="str" cm="1">
        <f t="array" ref="U160">_xlfn.IFS(M160&lt;=34,"YOUNG",M160&lt;=54,"MIDDLE AGE",M160&gt;=55,"OLD")</f>
        <v>YOUNG</v>
      </c>
      <c r="V160" t="str">
        <f t="shared" si="11"/>
        <v>NORMAL</v>
      </c>
    </row>
    <row r="161" spans="1:22" x14ac:dyDescent="0.35">
      <c r="A161" t="s">
        <v>719</v>
      </c>
      <c r="B161" t="s">
        <v>720</v>
      </c>
      <c r="C161">
        <v>28.53</v>
      </c>
      <c r="D161" s="1">
        <v>45077.692812499998</v>
      </c>
      <c r="E161" s="2">
        <f t="shared" si="8"/>
        <v>0.69281249999767169</v>
      </c>
      <c r="F161" s="3">
        <f t="shared" si="9"/>
        <v>45077</v>
      </c>
      <c r="G161" t="s">
        <v>17</v>
      </c>
      <c r="H161" t="s">
        <v>453</v>
      </c>
      <c r="I161" t="s">
        <v>179</v>
      </c>
      <c r="J161" t="s">
        <v>34</v>
      </c>
      <c r="K161" t="s">
        <v>76</v>
      </c>
      <c r="L161" t="s">
        <v>36</v>
      </c>
      <c r="M161">
        <v>62</v>
      </c>
      <c r="N161" t="s">
        <v>23</v>
      </c>
      <c r="O161">
        <v>99</v>
      </c>
      <c r="P161">
        <v>1</v>
      </c>
      <c r="Q161">
        <v>8670.5300000000007</v>
      </c>
      <c r="R161" s="4">
        <v>45600</v>
      </c>
      <c r="S161" s="6">
        <v>0.33784722222222224</v>
      </c>
      <c r="T161">
        <f t="shared" si="10"/>
        <v>16</v>
      </c>
      <c r="U161" t="str" cm="1">
        <f t="array" ref="U161">_xlfn.IFS(M161&lt;=34,"YOUNG",M161&lt;=54,"MIDDLE AGE",M161&gt;=55,"OLD")</f>
        <v>OLD</v>
      </c>
      <c r="V161" t="str">
        <f t="shared" si="11"/>
        <v>NORMAL</v>
      </c>
    </row>
    <row r="162" spans="1:22" x14ac:dyDescent="0.35">
      <c r="A162" t="s">
        <v>721</v>
      </c>
      <c r="B162" t="s">
        <v>722</v>
      </c>
      <c r="C162">
        <v>139.53</v>
      </c>
      <c r="D162" s="1">
        <v>45208.722326388888</v>
      </c>
      <c r="E162" s="2">
        <f t="shared" si="8"/>
        <v>0.72232638888817746</v>
      </c>
      <c r="F162" s="3">
        <f t="shared" si="9"/>
        <v>45208</v>
      </c>
      <c r="G162" t="s">
        <v>46</v>
      </c>
      <c r="H162" t="s">
        <v>108</v>
      </c>
      <c r="I162" t="s">
        <v>723</v>
      </c>
      <c r="J162" t="s">
        <v>440</v>
      </c>
      <c r="K162" t="s">
        <v>43</v>
      </c>
      <c r="L162" t="s">
        <v>36</v>
      </c>
      <c r="M162">
        <v>53</v>
      </c>
      <c r="N162" t="s">
        <v>23</v>
      </c>
      <c r="O162">
        <v>177</v>
      </c>
      <c r="P162">
        <v>1</v>
      </c>
      <c r="Q162">
        <v>10098.86</v>
      </c>
      <c r="R162" s="4">
        <v>45600</v>
      </c>
      <c r="S162" s="6">
        <v>0.33855324074074072</v>
      </c>
      <c r="T162">
        <f t="shared" si="10"/>
        <v>17</v>
      </c>
      <c r="U162" t="str" cm="1">
        <f t="array" ref="U162">_xlfn.IFS(M162&lt;=34,"YOUNG",M162&lt;=54,"MIDDLE AGE",M162&gt;=55,"OLD")</f>
        <v>MIDDLE AGE</v>
      </c>
      <c r="V162" t="str">
        <f t="shared" si="11"/>
        <v>NORMAL</v>
      </c>
    </row>
    <row r="163" spans="1:22" x14ac:dyDescent="0.35">
      <c r="A163" t="s">
        <v>724</v>
      </c>
      <c r="B163" t="s">
        <v>725</v>
      </c>
      <c r="C163">
        <v>307.57</v>
      </c>
      <c r="D163" s="1">
        <v>44935.675011574072</v>
      </c>
      <c r="E163" s="2">
        <f t="shared" si="8"/>
        <v>0.67501157407241408</v>
      </c>
      <c r="F163" s="3">
        <f t="shared" si="9"/>
        <v>44935</v>
      </c>
      <c r="G163" t="s">
        <v>17</v>
      </c>
      <c r="H163" t="s">
        <v>73</v>
      </c>
      <c r="I163" t="s">
        <v>726</v>
      </c>
      <c r="J163" t="s">
        <v>727</v>
      </c>
      <c r="K163" t="s">
        <v>474</v>
      </c>
      <c r="L163" t="s">
        <v>69</v>
      </c>
      <c r="M163">
        <v>33</v>
      </c>
      <c r="N163" t="s">
        <v>23</v>
      </c>
      <c r="O163">
        <v>285</v>
      </c>
      <c r="P163">
        <v>1</v>
      </c>
      <c r="Q163">
        <v>5307.74</v>
      </c>
      <c r="R163" s="4">
        <v>45600</v>
      </c>
      <c r="S163" s="6">
        <v>0.33788194444444447</v>
      </c>
      <c r="T163">
        <f t="shared" si="10"/>
        <v>16</v>
      </c>
      <c r="U163" t="str" cm="1">
        <f t="array" ref="U163">_xlfn.IFS(M163&lt;=34,"YOUNG",M163&lt;=54,"MIDDLE AGE",M163&gt;=55,"OLD")</f>
        <v>YOUNG</v>
      </c>
      <c r="V163" t="str">
        <f t="shared" si="11"/>
        <v>NORMAL</v>
      </c>
    </row>
    <row r="164" spans="1:22" x14ac:dyDescent="0.35">
      <c r="A164" t="s">
        <v>728</v>
      </c>
      <c r="B164" t="s">
        <v>729</v>
      </c>
      <c r="C164">
        <v>60.65</v>
      </c>
      <c r="D164" s="1">
        <v>45072.760509259257</v>
      </c>
      <c r="E164" s="2">
        <f t="shared" si="8"/>
        <v>0.76050925925665069</v>
      </c>
      <c r="F164" s="3">
        <f t="shared" si="9"/>
        <v>45072</v>
      </c>
      <c r="G164" t="s">
        <v>46</v>
      </c>
      <c r="H164" t="s">
        <v>255</v>
      </c>
      <c r="I164" t="s">
        <v>730</v>
      </c>
      <c r="J164" t="s">
        <v>731</v>
      </c>
      <c r="K164" t="s">
        <v>674</v>
      </c>
      <c r="L164" t="s">
        <v>69</v>
      </c>
      <c r="M164">
        <v>56</v>
      </c>
      <c r="N164" t="s">
        <v>70</v>
      </c>
      <c r="O164">
        <v>53</v>
      </c>
      <c r="P164">
        <v>1</v>
      </c>
      <c r="Q164">
        <v>1047.28</v>
      </c>
      <c r="R164" s="4">
        <v>45600</v>
      </c>
      <c r="S164" s="6">
        <v>0.33983796296296298</v>
      </c>
      <c r="T164">
        <f t="shared" si="10"/>
        <v>18</v>
      </c>
      <c r="U164" t="str" cm="1">
        <f t="array" ref="U164">_xlfn.IFS(M164&lt;=34,"YOUNG",M164&lt;=54,"MIDDLE AGE",M164&gt;=55,"OLD")</f>
        <v>OLD</v>
      </c>
      <c r="V164" t="str">
        <f t="shared" si="11"/>
        <v>NORMAL</v>
      </c>
    </row>
    <row r="165" spans="1:22" x14ac:dyDescent="0.35">
      <c r="A165" t="s">
        <v>732</v>
      </c>
      <c r="B165" t="s">
        <v>733</v>
      </c>
      <c r="C165">
        <v>74.86</v>
      </c>
      <c r="D165" s="1">
        <v>45152.738391203704</v>
      </c>
      <c r="E165" s="2">
        <f t="shared" si="8"/>
        <v>0.73839120370394085</v>
      </c>
      <c r="F165" s="3">
        <f t="shared" si="9"/>
        <v>45152</v>
      </c>
      <c r="G165" t="s">
        <v>17</v>
      </c>
      <c r="H165" t="s">
        <v>80</v>
      </c>
      <c r="I165" t="s">
        <v>734</v>
      </c>
      <c r="J165" t="s">
        <v>735</v>
      </c>
      <c r="K165" t="s">
        <v>165</v>
      </c>
      <c r="L165" t="s">
        <v>69</v>
      </c>
      <c r="M165">
        <v>70</v>
      </c>
      <c r="N165" t="s">
        <v>23</v>
      </c>
      <c r="O165">
        <v>125</v>
      </c>
      <c r="P165">
        <v>1</v>
      </c>
      <c r="Q165">
        <v>6921.48</v>
      </c>
      <c r="R165" s="4">
        <v>45600</v>
      </c>
      <c r="S165" s="6">
        <v>0.33864583333333331</v>
      </c>
      <c r="T165">
        <f t="shared" si="10"/>
        <v>17</v>
      </c>
      <c r="U165" t="str" cm="1">
        <f t="array" ref="U165">_xlfn.IFS(M165&lt;=34,"YOUNG",M165&lt;=54,"MIDDLE AGE",M165&gt;=55,"OLD")</f>
        <v>OLD</v>
      </c>
      <c r="V165" t="str">
        <f t="shared" si="11"/>
        <v>NORMAL</v>
      </c>
    </row>
    <row r="166" spans="1:22" x14ac:dyDescent="0.35">
      <c r="A166" t="s">
        <v>736</v>
      </c>
      <c r="B166" t="s">
        <v>737</v>
      </c>
      <c r="C166">
        <v>117.97</v>
      </c>
      <c r="D166" s="1">
        <v>45254.785787037035</v>
      </c>
      <c r="E166" s="2">
        <f t="shared" si="8"/>
        <v>0.78578703703533392</v>
      </c>
      <c r="F166" s="3">
        <f t="shared" si="9"/>
        <v>45254</v>
      </c>
      <c r="G166" t="s">
        <v>17</v>
      </c>
      <c r="H166" t="s">
        <v>291</v>
      </c>
      <c r="I166" t="s">
        <v>738</v>
      </c>
      <c r="J166" t="s">
        <v>739</v>
      </c>
      <c r="K166" t="s">
        <v>740</v>
      </c>
      <c r="L166" t="s">
        <v>69</v>
      </c>
      <c r="M166">
        <v>51</v>
      </c>
      <c r="N166" t="s">
        <v>70</v>
      </c>
      <c r="O166">
        <v>137</v>
      </c>
      <c r="P166">
        <v>1</v>
      </c>
      <c r="Q166">
        <v>1475.46</v>
      </c>
      <c r="R166" s="4">
        <v>45600</v>
      </c>
      <c r="S166" s="6">
        <v>0.33982638888888889</v>
      </c>
      <c r="T166">
        <f t="shared" si="10"/>
        <v>18</v>
      </c>
      <c r="U166" t="str" cm="1">
        <f t="array" ref="U166">_xlfn.IFS(M166&lt;=34,"YOUNG",M166&lt;=54,"MIDDLE AGE",M166&gt;=55,"OLD")</f>
        <v>MIDDLE AGE</v>
      </c>
      <c r="V166" t="str">
        <f t="shared" si="11"/>
        <v>NORMAL</v>
      </c>
    </row>
    <row r="167" spans="1:22" x14ac:dyDescent="0.35">
      <c r="A167" t="s">
        <v>741</v>
      </c>
      <c r="B167" t="s">
        <v>742</v>
      </c>
      <c r="C167">
        <v>231.91</v>
      </c>
      <c r="D167" s="1">
        <v>44957.771782407406</v>
      </c>
      <c r="E167" s="2">
        <f t="shared" si="8"/>
        <v>0.77178240740613546</v>
      </c>
      <c r="F167" s="3">
        <f t="shared" si="9"/>
        <v>44957</v>
      </c>
      <c r="G167" t="s">
        <v>17</v>
      </c>
      <c r="H167" t="s">
        <v>92</v>
      </c>
      <c r="I167" t="s">
        <v>743</v>
      </c>
      <c r="J167" t="s">
        <v>744</v>
      </c>
      <c r="K167" t="s">
        <v>252</v>
      </c>
      <c r="L167" t="s">
        <v>22</v>
      </c>
      <c r="M167">
        <v>34</v>
      </c>
      <c r="N167" t="s">
        <v>77</v>
      </c>
      <c r="O167">
        <v>165</v>
      </c>
      <c r="P167">
        <v>1</v>
      </c>
      <c r="Q167">
        <v>112.76</v>
      </c>
      <c r="R167" s="4">
        <v>45600</v>
      </c>
      <c r="S167" s="6">
        <v>0.34184027777777776</v>
      </c>
      <c r="T167">
        <f t="shared" si="10"/>
        <v>18</v>
      </c>
      <c r="U167" t="str" cm="1">
        <f t="array" ref="U167">_xlfn.IFS(M167&lt;=34,"YOUNG",M167&lt;=54,"MIDDLE AGE",M167&gt;=55,"OLD")</f>
        <v>YOUNG</v>
      </c>
      <c r="V167" t="str">
        <f t="shared" si="11"/>
        <v>NORMAL</v>
      </c>
    </row>
    <row r="168" spans="1:22" x14ac:dyDescent="0.35">
      <c r="A168" t="s">
        <v>745</v>
      </c>
      <c r="B168" t="s">
        <v>228</v>
      </c>
      <c r="C168">
        <v>126.21</v>
      </c>
      <c r="D168" s="1">
        <v>44971.671539351853</v>
      </c>
      <c r="E168" s="2">
        <f t="shared" si="8"/>
        <v>0.67153935185342561</v>
      </c>
      <c r="F168" s="3">
        <f t="shared" si="9"/>
        <v>44971</v>
      </c>
      <c r="G168" t="s">
        <v>17</v>
      </c>
      <c r="H168" t="s">
        <v>197</v>
      </c>
      <c r="I168" t="s">
        <v>746</v>
      </c>
      <c r="J168" t="s">
        <v>747</v>
      </c>
      <c r="K168" t="s">
        <v>353</v>
      </c>
      <c r="L168" t="s">
        <v>69</v>
      </c>
      <c r="M168">
        <v>75</v>
      </c>
      <c r="N168" t="s">
        <v>70</v>
      </c>
      <c r="O168">
        <v>268</v>
      </c>
      <c r="P168">
        <v>1</v>
      </c>
      <c r="Q168">
        <v>5669.66</v>
      </c>
      <c r="R168" s="4">
        <v>45600</v>
      </c>
      <c r="S168" s="6">
        <v>0.33937499999999998</v>
      </c>
      <c r="T168">
        <f t="shared" si="10"/>
        <v>16</v>
      </c>
      <c r="U168" t="str" cm="1">
        <f t="array" ref="U168">_xlfn.IFS(M168&lt;=34,"YOUNG",M168&lt;=54,"MIDDLE AGE",M168&gt;=55,"OLD")</f>
        <v>OLD</v>
      </c>
      <c r="V168" t="str">
        <f t="shared" si="11"/>
        <v>NORMAL</v>
      </c>
    </row>
    <row r="169" spans="1:22" x14ac:dyDescent="0.35">
      <c r="A169" t="s">
        <v>748</v>
      </c>
      <c r="B169" t="s">
        <v>749</v>
      </c>
      <c r="C169">
        <v>506.28</v>
      </c>
      <c r="D169" s="1">
        <v>45048.710752314815</v>
      </c>
      <c r="E169" s="2">
        <f t="shared" si="8"/>
        <v>0.71075231481518131</v>
      </c>
      <c r="F169" s="3">
        <f t="shared" si="9"/>
        <v>45048</v>
      </c>
      <c r="G169" t="s">
        <v>46</v>
      </c>
      <c r="H169" t="s">
        <v>265</v>
      </c>
      <c r="I169" t="s">
        <v>750</v>
      </c>
      <c r="J169" t="s">
        <v>751</v>
      </c>
      <c r="K169" t="s">
        <v>752</v>
      </c>
      <c r="L169" t="s">
        <v>36</v>
      </c>
      <c r="M169">
        <v>53</v>
      </c>
      <c r="N169" t="s">
        <v>70</v>
      </c>
      <c r="O169">
        <v>162</v>
      </c>
      <c r="P169">
        <v>2</v>
      </c>
      <c r="Q169">
        <v>1309.95</v>
      </c>
      <c r="R169" s="4">
        <v>45600</v>
      </c>
      <c r="S169" s="6">
        <v>0.33968749999999998</v>
      </c>
      <c r="T169">
        <f t="shared" si="10"/>
        <v>17</v>
      </c>
      <c r="U169" t="str" cm="1">
        <f t="array" ref="U169">_xlfn.IFS(M169&lt;=34,"YOUNG",M169&lt;=54,"MIDDLE AGE",M169&gt;=55,"OLD")</f>
        <v>MIDDLE AGE</v>
      </c>
      <c r="V169" t="str">
        <f t="shared" si="11"/>
        <v>HIGH</v>
      </c>
    </row>
    <row r="170" spans="1:22" x14ac:dyDescent="0.35">
      <c r="A170" t="s">
        <v>753</v>
      </c>
      <c r="B170" t="s">
        <v>222</v>
      </c>
      <c r="C170">
        <v>304.35000000000002</v>
      </c>
      <c r="D170" s="1">
        <v>45264.713587962964</v>
      </c>
      <c r="E170" s="2">
        <f t="shared" si="8"/>
        <v>0.713587962964084</v>
      </c>
      <c r="F170" s="3">
        <f t="shared" si="9"/>
        <v>45264</v>
      </c>
      <c r="G170" t="s">
        <v>17</v>
      </c>
      <c r="H170" t="s">
        <v>26</v>
      </c>
      <c r="I170" t="s">
        <v>738</v>
      </c>
      <c r="J170" t="s">
        <v>754</v>
      </c>
      <c r="K170" t="s">
        <v>83</v>
      </c>
      <c r="L170" t="s">
        <v>69</v>
      </c>
      <c r="M170">
        <v>31</v>
      </c>
      <c r="N170" t="s">
        <v>77</v>
      </c>
      <c r="O170">
        <v>36</v>
      </c>
      <c r="P170">
        <v>1</v>
      </c>
      <c r="Q170">
        <v>4057.1</v>
      </c>
      <c r="R170" s="4">
        <v>45600</v>
      </c>
      <c r="S170" s="6">
        <v>0.33940972222222221</v>
      </c>
      <c r="T170">
        <f t="shared" si="10"/>
        <v>17</v>
      </c>
      <c r="U170" t="str" cm="1">
        <f t="array" ref="U170">_xlfn.IFS(M170&lt;=34,"YOUNG",M170&lt;=54,"MIDDLE AGE",M170&gt;=55,"OLD")</f>
        <v>YOUNG</v>
      </c>
      <c r="V170" t="str">
        <f t="shared" si="11"/>
        <v>NORMAL</v>
      </c>
    </row>
    <row r="171" spans="1:22" x14ac:dyDescent="0.35">
      <c r="A171" t="s">
        <v>755</v>
      </c>
      <c r="B171" t="s">
        <v>756</v>
      </c>
      <c r="C171">
        <v>281.85000000000002</v>
      </c>
      <c r="D171" s="1">
        <v>45062.726817129631</v>
      </c>
      <c r="E171" s="2">
        <f t="shared" si="8"/>
        <v>0.72681712963094469</v>
      </c>
      <c r="F171" s="3">
        <f t="shared" si="9"/>
        <v>45062</v>
      </c>
      <c r="G171" t="s">
        <v>17</v>
      </c>
      <c r="H171" t="s">
        <v>73</v>
      </c>
      <c r="I171" t="s">
        <v>757</v>
      </c>
      <c r="J171" t="s">
        <v>758</v>
      </c>
      <c r="K171" t="s">
        <v>759</v>
      </c>
      <c r="L171" t="s">
        <v>22</v>
      </c>
      <c r="M171">
        <v>22</v>
      </c>
      <c r="N171" t="s">
        <v>37</v>
      </c>
      <c r="O171">
        <v>109</v>
      </c>
      <c r="P171">
        <v>1</v>
      </c>
      <c r="Q171">
        <v>1585.98</v>
      </c>
      <c r="R171" s="4">
        <v>45600</v>
      </c>
      <c r="S171" s="6">
        <v>0.33863425925925927</v>
      </c>
      <c r="T171">
        <f t="shared" si="10"/>
        <v>17</v>
      </c>
      <c r="U171" t="str" cm="1">
        <f t="array" ref="U171">_xlfn.IFS(M171&lt;=34,"YOUNG",M171&lt;=54,"MIDDLE AGE",M171&gt;=55,"OLD")</f>
        <v>YOUNG</v>
      </c>
      <c r="V171" t="str">
        <f t="shared" si="11"/>
        <v>NORMAL</v>
      </c>
    </row>
    <row r="172" spans="1:22" x14ac:dyDescent="0.35">
      <c r="A172" t="s">
        <v>760</v>
      </c>
      <c r="B172" t="s">
        <v>761</v>
      </c>
      <c r="C172">
        <v>777.88</v>
      </c>
      <c r="D172" s="1">
        <v>45005.707083333335</v>
      </c>
      <c r="E172" s="2">
        <f t="shared" si="8"/>
        <v>0.7070833333345945</v>
      </c>
      <c r="F172" s="3">
        <f t="shared" si="9"/>
        <v>45005</v>
      </c>
      <c r="G172" t="s">
        <v>17</v>
      </c>
      <c r="H172" t="s">
        <v>26</v>
      </c>
      <c r="I172" t="s">
        <v>709</v>
      </c>
      <c r="J172" t="s">
        <v>293</v>
      </c>
      <c r="K172" t="s">
        <v>762</v>
      </c>
      <c r="L172" t="s">
        <v>69</v>
      </c>
      <c r="M172">
        <v>31</v>
      </c>
      <c r="N172" t="s">
        <v>77</v>
      </c>
      <c r="O172">
        <v>17</v>
      </c>
      <c r="P172">
        <v>1</v>
      </c>
      <c r="Q172">
        <v>6825.55</v>
      </c>
      <c r="R172" s="4">
        <v>45600</v>
      </c>
      <c r="S172" s="6">
        <v>0.33975694444444443</v>
      </c>
      <c r="T172">
        <f t="shared" si="10"/>
        <v>16</v>
      </c>
      <c r="U172" t="str" cm="1">
        <f t="array" ref="U172">_xlfn.IFS(M172&lt;=34,"YOUNG",M172&lt;=54,"MIDDLE AGE",M172&gt;=55,"OLD")</f>
        <v>YOUNG</v>
      </c>
      <c r="V172" t="str">
        <f t="shared" si="11"/>
        <v>NORMAL</v>
      </c>
    </row>
    <row r="173" spans="1:22" x14ac:dyDescent="0.35">
      <c r="A173" t="s">
        <v>763</v>
      </c>
      <c r="B173" t="s">
        <v>764</v>
      </c>
      <c r="C173">
        <v>119.18</v>
      </c>
      <c r="D173" s="1">
        <v>45163.751134259262</v>
      </c>
      <c r="E173" s="2">
        <f t="shared" si="8"/>
        <v>0.75113425926247146</v>
      </c>
      <c r="F173" s="3">
        <f t="shared" si="9"/>
        <v>45163</v>
      </c>
      <c r="G173" t="s">
        <v>17</v>
      </c>
      <c r="H173" t="s">
        <v>140</v>
      </c>
      <c r="I173" t="s">
        <v>109</v>
      </c>
      <c r="J173" t="s">
        <v>765</v>
      </c>
      <c r="K173" t="s">
        <v>482</v>
      </c>
      <c r="L173" t="s">
        <v>69</v>
      </c>
      <c r="M173">
        <v>56</v>
      </c>
      <c r="N173" t="s">
        <v>70</v>
      </c>
      <c r="O173">
        <v>96</v>
      </c>
      <c r="P173">
        <v>1</v>
      </c>
      <c r="Q173">
        <v>5516.5</v>
      </c>
      <c r="R173" s="4">
        <v>45600</v>
      </c>
      <c r="S173" s="6">
        <v>0.33858796296296295</v>
      </c>
      <c r="T173">
        <f t="shared" si="10"/>
        <v>18</v>
      </c>
      <c r="U173" t="str" cm="1">
        <f t="array" ref="U173">_xlfn.IFS(M173&lt;=34,"YOUNG",M173&lt;=54,"MIDDLE AGE",M173&gt;=55,"OLD")</f>
        <v>OLD</v>
      </c>
      <c r="V173" t="str">
        <f t="shared" si="11"/>
        <v>NORMAL</v>
      </c>
    </row>
    <row r="174" spans="1:22" x14ac:dyDescent="0.35">
      <c r="A174" t="s">
        <v>766</v>
      </c>
      <c r="B174" t="s">
        <v>767</v>
      </c>
      <c r="C174">
        <v>177.19</v>
      </c>
      <c r="D174" s="1">
        <v>45061.726018518515</v>
      </c>
      <c r="E174" s="2">
        <f t="shared" si="8"/>
        <v>0.72601851851504762</v>
      </c>
      <c r="F174" s="3">
        <f t="shared" si="9"/>
        <v>45061</v>
      </c>
      <c r="G174" t="s">
        <v>17</v>
      </c>
      <c r="H174" t="s">
        <v>265</v>
      </c>
      <c r="I174" t="s">
        <v>768</v>
      </c>
      <c r="J174" t="s">
        <v>417</v>
      </c>
      <c r="K174" t="s">
        <v>769</v>
      </c>
      <c r="L174" t="s">
        <v>36</v>
      </c>
      <c r="M174">
        <v>76</v>
      </c>
      <c r="N174" t="s">
        <v>70</v>
      </c>
      <c r="O174">
        <v>43</v>
      </c>
      <c r="P174">
        <v>1</v>
      </c>
      <c r="Q174">
        <v>5343.3</v>
      </c>
      <c r="R174" s="4">
        <v>45600</v>
      </c>
      <c r="S174" s="6">
        <v>0.33784722222222224</v>
      </c>
      <c r="T174">
        <f t="shared" si="10"/>
        <v>17</v>
      </c>
      <c r="U174" t="str" cm="1">
        <f t="array" ref="U174">_xlfn.IFS(M174&lt;=34,"YOUNG",M174&lt;=54,"MIDDLE AGE",M174&gt;=55,"OLD")</f>
        <v>OLD</v>
      </c>
      <c r="V174" t="str">
        <f t="shared" si="11"/>
        <v>NORMAL</v>
      </c>
    </row>
    <row r="175" spans="1:22" x14ac:dyDescent="0.35">
      <c r="A175" t="s">
        <v>770</v>
      </c>
      <c r="B175" t="s">
        <v>771</v>
      </c>
      <c r="C175">
        <v>260.88</v>
      </c>
      <c r="D175" s="1">
        <v>45075.701504629629</v>
      </c>
      <c r="E175" s="2">
        <f t="shared" si="8"/>
        <v>0.70150462962919846</v>
      </c>
      <c r="F175" s="3">
        <f t="shared" si="9"/>
        <v>45075</v>
      </c>
      <c r="G175" t="s">
        <v>17</v>
      </c>
      <c r="H175" t="s">
        <v>114</v>
      </c>
      <c r="I175" t="s">
        <v>772</v>
      </c>
      <c r="J175" t="s">
        <v>773</v>
      </c>
      <c r="K175" t="s">
        <v>209</v>
      </c>
      <c r="L175" t="s">
        <v>69</v>
      </c>
      <c r="M175">
        <v>22</v>
      </c>
      <c r="N175" t="s">
        <v>37</v>
      </c>
      <c r="O175">
        <v>36</v>
      </c>
      <c r="P175">
        <v>1</v>
      </c>
      <c r="Q175">
        <v>903.05</v>
      </c>
      <c r="R175" s="4">
        <v>45600</v>
      </c>
      <c r="S175" s="6">
        <v>0.33810185185185188</v>
      </c>
      <c r="T175">
        <f t="shared" si="10"/>
        <v>16</v>
      </c>
      <c r="U175" t="str" cm="1">
        <f t="array" ref="U175">_xlfn.IFS(M175&lt;=34,"YOUNG",M175&lt;=54,"MIDDLE AGE",M175&gt;=55,"OLD")</f>
        <v>YOUNG</v>
      </c>
      <c r="V175" t="str">
        <f t="shared" si="11"/>
        <v>NORMAL</v>
      </c>
    </row>
    <row r="176" spans="1:22" x14ac:dyDescent="0.35">
      <c r="A176" t="s">
        <v>774</v>
      </c>
      <c r="B176" t="s">
        <v>463</v>
      </c>
      <c r="C176">
        <v>169.47</v>
      </c>
      <c r="D176" s="1">
        <v>45007.673773148148</v>
      </c>
      <c r="E176" s="2">
        <f t="shared" si="8"/>
        <v>0.67377314814802958</v>
      </c>
      <c r="F176" s="3">
        <f t="shared" si="9"/>
        <v>45007</v>
      </c>
      <c r="G176" t="s">
        <v>17</v>
      </c>
      <c r="H176" t="s">
        <v>265</v>
      </c>
      <c r="I176" t="s">
        <v>775</v>
      </c>
      <c r="J176" t="s">
        <v>136</v>
      </c>
      <c r="K176" t="s">
        <v>246</v>
      </c>
      <c r="L176" t="s">
        <v>36</v>
      </c>
      <c r="M176">
        <v>24</v>
      </c>
      <c r="N176" t="s">
        <v>37</v>
      </c>
      <c r="O176">
        <v>19</v>
      </c>
      <c r="P176">
        <v>1</v>
      </c>
      <c r="Q176">
        <v>1806.16</v>
      </c>
      <c r="R176" s="4">
        <v>45600</v>
      </c>
      <c r="S176" s="6">
        <v>0.33862268518518518</v>
      </c>
      <c r="T176">
        <f t="shared" si="10"/>
        <v>16</v>
      </c>
      <c r="U176" t="str" cm="1">
        <f t="array" ref="U176">_xlfn.IFS(M176&lt;=34,"YOUNG",M176&lt;=54,"MIDDLE AGE",M176&gt;=55,"OLD")</f>
        <v>YOUNG</v>
      </c>
      <c r="V176" t="str">
        <f t="shared" si="11"/>
        <v>NORMAL</v>
      </c>
    </row>
    <row r="177" spans="1:22" x14ac:dyDescent="0.35">
      <c r="A177" t="s">
        <v>776</v>
      </c>
      <c r="B177" t="s">
        <v>777</v>
      </c>
      <c r="C177">
        <v>73.23</v>
      </c>
      <c r="D177" s="1">
        <v>45065.7033912037</v>
      </c>
      <c r="E177" s="2">
        <f t="shared" si="8"/>
        <v>0.70339120370044839</v>
      </c>
      <c r="F177" s="3">
        <f t="shared" si="9"/>
        <v>45065</v>
      </c>
      <c r="G177" t="s">
        <v>17</v>
      </c>
      <c r="H177" t="s">
        <v>595</v>
      </c>
      <c r="I177" t="s">
        <v>778</v>
      </c>
      <c r="J177" t="s">
        <v>779</v>
      </c>
      <c r="K177" t="s">
        <v>154</v>
      </c>
      <c r="L177" t="s">
        <v>69</v>
      </c>
      <c r="M177">
        <v>26</v>
      </c>
      <c r="N177" t="s">
        <v>37</v>
      </c>
      <c r="O177">
        <v>14</v>
      </c>
      <c r="P177">
        <v>1</v>
      </c>
      <c r="Q177">
        <v>787.74</v>
      </c>
      <c r="R177" s="4">
        <v>45600</v>
      </c>
      <c r="S177" s="6">
        <v>0.34111111111111109</v>
      </c>
      <c r="T177">
        <f t="shared" si="10"/>
        <v>16</v>
      </c>
      <c r="U177" t="str" cm="1">
        <f t="array" ref="U177">_xlfn.IFS(M177&lt;=34,"YOUNG",M177&lt;=54,"MIDDLE AGE",M177&gt;=55,"OLD")</f>
        <v>YOUNG</v>
      </c>
      <c r="V177" t="str">
        <f t="shared" si="11"/>
        <v>NORMAL</v>
      </c>
    </row>
    <row r="178" spans="1:22" x14ac:dyDescent="0.35">
      <c r="A178" t="s">
        <v>780</v>
      </c>
      <c r="B178" t="s">
        <v>781</v>
      </c>
      <c r="C178">
        <v>1362.55</v>
      </c>
      <c r="D178" s="1">
        <v>44967.754942129628</v>
      </c>
      <c r="E178" s="2">
        <f t="shared" si="8"/>
        <v>0.75494212962803431</v>
      </c>
      <c r="F178" s="3">
        <f t="shared" si="9"/>
        <v>44967</v>
      </c>
      <c r="G178" t="s">
        <v>17</v>
      </c>
      <c r="H178" t="s">
        <v>506</v>
      </c>
      <c r="I178" t="s">
        <v>782</v>
      </c>
      <c r="J178" t="s">
        <v>783</v>
      </c>
      <c r="K178" t="s">
        <v>353</v>
      </c>
      <c r="L178" t="s">
        <v>22</v>
      </c>
      <c r="M178">
        <v>29</v>
      </c>
      <c r="N178" t="s">
        <v>77</v>
      </c>
      <c r="O178">
        <v>106</v>
      </c>
      <c r="P178">
        <v>1</v>
      </c>
      <c r="Q178">
        <v>2429.6799999999998</v>
      </c>
      <c r="R178" s="4">
        <v>45600</v>
      </c>
      <c r="S178" s="6">
        <v>0.34103009259259259</v>
      </c>
      <c r="T178">
        <f t="shared" si="10"/>
        <v>18</v>
      </c>
      <c r="U178" t="str" cm="1">
        <f t="array" ref="U178">_xlfn.IFS(M178&lt;=34,"YOUNG",M178&lt;=54,"MIDDLE AGE",M178&gt;=55,"OLD")</f>
        <v>YOUNG</v>
      </c>
      <c r="V178" t="str">
        <f t="shared" si="11"/>
        <v>NORMAL</v>
      </c>
    </row>
    <row r="179" spans="1:22" x14ac:dyDescent="0.35">
      <c r="A179" t="s">
        <v>784</v>
      </c>
      <c r="B179" t="s">
        <v>785</v>
      </c>
      <c r="C179">
        <v>792.57</v>
      </c>
      <c r="D179" s="1">
        <v>45068.68236111111</v>
      </c>
      <c r="E179" s="2">
        <f t="shared" si="8"/>
        <v>0.68236111111036735</v>
      </c>
      <c r="F179" s="3">
        <f t="shared" si="9"/>
        <v>45068</v>
      </c>
      <c r="G179" t="s">
        <v>17</v>
      </c>
      <c r="H179" t="s">
        <v>197</v>
      </c>
      <c r="I179" t="s">
        <v>786</v>
      </c>
      <c r="J179" t="s">
        <v>787</v>
      </c>
      <c r="K179" t="s">
        <v>128</v>
      </c>
      <c r="L179" t="s">
        <v>22</v>
      </c>
      <c r="M179">
        <v>19</v>
      </c>
      <c r="N179" t="s">
        <v>37</v>
      </c>
      <c r="O179">
        <v>164</v>
      </c>
      <c r="P179">
        <v>1</v>
      </c>
      <c r="Q179">
        <v>770.37</v>
      </c>
      <c r="R179" s="4">
        <v>45600</v>
      </c>
      <c r="S179" s="6">
        <v>0.34072916666666669</v>
      </c>
      <c r="T179">
        <f t="shared" si="10"/>
        <v>16</v>
      </c>
      <c r="U179" t="str" cm="1">
        <f t="array" ref="U179">_xlfn.IFS(M179&lt;=34,"YOUNG",M179&lt;=54,"MIDDLE AGE",M179&gt;=55,"OLD")</f>
        <v>YOUNG</v>
      </c>
      <c r="V179" t="str">
        <f t="shared" si="11"/>
        <v>NORMAL</v>
      </c>
    </row>
    <row r="180" spans="1:22" x14ac:dyDescent="0.35">
      <c r="A180" t="s">
        <v>788</v>
      </c>
      <c r="B180" t="s">
        <v>789</v>
      </c>
      <c r="C180">
        <v>237.06</v>
      </c>
      <c r="D180" s="1">
        <v>45278.699502314812</v>
      </c>
      <c r="E180" s="2">
        <f t="shared" si="8"/>
        <v>0.69950231481197989</v>
      </c>
      <c r="F180" s="3">
        <f t="shared" si="9"/>
        <v>45278</v>
      </c>
      <c r="G180" t="s">
        <v>17</v>
      </c>
      <c r="H180" t="s">
        <v>425</v>
      </c>
      <c r="I180" t="s">
        <v>790</v>
      </c>
      <c r="J180" t="s">
        <v>791</v>
      </c>
      <c r="K180" t="s">
        <v>474</v>
      </c>
      <c r="L180" t="s">
        <v>36</v>
      </c>
      <c r="M180">
        <v>71</v>
      </c>
      <c r="N180" t="s">
        <v>70</v>
      </c>
      <c r="O180">
        <v>46</v>
      </c>
      <c r="P180">
        <v>1</v>
      </c>
      <c r="Q180">
        <v>1182.77</v>
      </c>
      <c r="R180" s="4">
        <v>45600</v>
      </c>
      <c r="S180" s="6">
        <v>0.33877314814814813</v>
      </c>
      <c r="T180">
        <f t="shared" si="10"/>
        <v>16</v>
      </c>
      <c r="U180" t="str" cm="1">
        <f t="array" ref="U180">_xlfn.IFS(M180&lt;=34,"YOUNG",M180&lt;=54,"MIDDLE AGE",M180&gt;=55,"OLD")</f>
        <v>OLD</v>
      </c>
      <c r="V180" t="str">
        <f t="shared" si="11"/>
        <v>NORMAL</v>
      </c>
    </row>
    <row r="181" spans="1:22" x14ac:dyDescent="0.35">
      <c r="A181" t="s">
        <v>792</v>
      </c>
      <c r="B181" t="s">
        <v>484</v>
      </c>
      <c r="C181">
        <v>34.17</v>
      </c>
      <c r="D181" s="1">
        <v>45251.706747685188</v>
      </c>
      <c r="E181" s="2">
        <f t="shared" si="8"/>
        <v>0.70674768518802011</v>
      </c>
      <c r="F181" s="3">
        <f t="shared" si="9"/>
        <v>45251</v>
      </c>
      <c r="G181" t="s">
        <v>46</v>
      </c>
      <c r="H181" t="s">
        <v>243</v>
      </c>
      <c r="I181" t="s">
        <v>163</v>
      </c>
      <c r="J181" t="s">
        <v>793</v>
      </c>
      <c r="K181" t="s">
        <v>50</v>
      </c>
      <c r="L181" t="s">
        <v>36</v>
      </c>
      <c r="M181">
        <v>54</v>
      </c>
      <c r="N181" t="s">
        <v>77</v>
      </c>
      <c r="O181">
        <v>54</v>
      </c>
      <c r="P181">
        <v>1</v>
      </c>
      <c r="Q181">
        <v>726.55</v>
      </c>
      <c r="R181" s="4">
        <v>45600</v>
      </c>
      <c r="S181" s="6">
        <v>0.33783564814814815</v>
      </c>
      <c r="T181">
        <f t="shared" si="10"/>
        <v>16</v>
      </c>
      <c r="U181" t="str" cm="1">
        <f t="array" ref="U181">_xlfn.IFS(M181&lt;=34,"YOUNG",M181&lt;=54,"MIDDLE AGE",M181&gt;=55,"OLD")</f>
        <v>MIDDLE AGE</v>
      </c>
      <c r="V181" t="str">
        <f t="shared" si="11"/>
        <v>NORMAL</v>
      </c>
    </row>
    <row r="182" spans="1:22" x14ac:dyDescent="0.35">
      <c r="A182" t="s">
        <v>794</v>
      </c>
      <c r="B182" t="s">
        <v>795</v>
      </c>
      <c r="C182">
        <v>740.25</v>
      </c>
      <c r="D182" s="1">
        <v>45126.711087962962</v>
      </c>
      <c r="E182" s="2">
        <f t="shared" si="8"/>
        <v>0.71108796296175569</v>
      </c>
      <c r="F182" s="3">
        <f t="shared" si="9"/>
        <v>45126</v>
      </c>
      <c r="G182" t="s">
        <v>17</v>
      </c>
      <c r="H182" t="s">
        <v>243</v>
      </c>
      <c r="I182" t="s">
        <v>796</v>
      </c>
      <c r="J182" t="s">
        <v>320</v>
      </c>
      <c r="K182" t="s">
        <v>752</v>
      </c>
      <c r="L182" t="s">
        <v>36</v>
      </c>
      <c r="M182">
        <v>41</v>
      </c>
      <c r="N182" t="s">
        <v>23</v>
      </c>
      <c r="O182">
        <v>123</v>
      </c>
      <c r="P182">
        <v>1</v>
      </c>
      <c r="Q182">
        <v>14464.3</v>
      </c>
      <c r="R182" s="4">
        <v>45600</v>
      </c>
      <c r="S182" s="6">
        <v>0.3392013888888889</v>
      </c>
      <c r="T182">
        <f t="shared" si="10"/>
        <v>17</v>
      </c>
      <c r="U182" t="str" cm="1">
        <f t="array" ref="U182">_xlfn.IFS(M182&lt;=34,"YOUNG",M182&lt;=54,"MIDDLE AGE",M182&gt;=55,"OLD")</f>
        <v>MIDDLE AGE</v>
      </c>
      <c r="V182" t="str">
        <f t="shared" si="11"/>
        <v>NORMAL</v>
      </c>
    </row>
    <row r="183" spans="1:22" x14ac:dyDescent="0.35">
      <c r="A183" t="s">
        <v>797</v>
      </c>
      <c r="B183" t="s">
        <v>471</v>
      </c>
      <c r="C183">
        <v>453.54</v>
      </c>
      <c r="D183" s="1">
        <v>45035.691701388889</v>
      </c>
      <c r="E183" s="2">
        <f t="shared" si="8"/>
        <v>0.69170138888875954</v>
      </c>
      <c r="F183" s="3">
        <f t="shared" si="9"/>
        <v>45035</v>
      </c>
      <c r="G183" t="s">
        <v>17</v>
      </c>
      <c r="H183" t="s">
        <v>86</v>
      </c>
      <c r="I183" t="s">
        <v>798</v>
      </c>
      <c r="J183" t="s">
        <v>799</v>
      </c>
      <c r="K183" t="s">
        <v>111</v>
      </c>
      <c r="L183" t="s">
        <v>22</v>
      </c>
      <c r="M183">
        <v>58</v>
      </c>
      <c r="N183" t="s">
        <v>23</v>
      </c>
      <c r="O183">
        <v>82</v>
      </c>
      <c r="P183">
        <v>1</v>
      </c>
      <c r="Q183">
        <v>12046.3</v>
      </c>
      <c r="R183" s="4">
        <v>45600</v>
      </c>
      <c r="S183" s="6">
        <v>0.34173611111111113</v>
      </c>
      <c r="T183">
        <f t="shared" si="10"/>
        <v>16</v>
      </c>
      <c r="U183" t="str" cm="1">
        <f t="array" ref="U183">_xlfn.IFS(M183&lt;=34,"YOUNG",M183&lt;=54,"MIDDLE AGE",M183&gt;=55,"OLD")</f>
        <v>OLD</v>
      </c>
      <c r="V183" t="str">
        <f t="shared" si="11"/>
        <v>NORMAL</v>
      </c>
    </row>
    <row r="184" spans="1:22" x14ac:dyDescent="0.35">
      <c r="A184" t="s">
        <v>800</v>
      </c>
      <c r="B184" t="s">
        <v>801</v>
      </c>
      <c r="C184">
        <v>300.47000000000003</v>
      </c>
      <c r="D184" s="1">
        <v>45243.674907407411</v>
      </c>
      <c r="E184" s="2">
        <f t="shared" si="8"/>
        <v>0.67490740741050104</v>
      </c>
      <c r="F184" s="3">
        <f t="shared" si="9"/>
        <v>45243</v>
      </c>
      <c r="G184" t="s">
        <v>17</v>
      </c>
      <c r="H184" t="s">
        <v>392</v>
      </c>
      <c r="I184" t="s">
        <v>802</v>
      </c>
      <c r="J184" t="s">
        <v>401</v>
      </c>
      <c r="K184" t="s">
        <v>149</v>
      </c>
      <c r="L184" t="s">
        <v>69</v>
      </c>
      <c r="M184">
        <v>73</v>
      </c>
      <c r="N184" t="s">
        <v>70</v>
      </c>
      <c r="O184">
        <v>100</v>
      </c>
      <c r="P184">
        <v>1</v>
      </c>
      <c r="Q184">
        <v>7885.64</v>
      </c>
      <c r="R184" s="4">
        <v>45600</v>
      </c>
      <c r="S184" s="6">
        <v>0.33888888888888891</v>
      </c>
      <c r="T184">
        <f t="shared" si="10"/>
        <v>16</v>
      </c>
      <c r="U184" t="str" cm="1">
        <f t="array" ref="U184">_xlfn.IFS(M184&lt;=34,"YOUNG",M184&lt;=54,"MIDDLE AGE",M184&gt;=55,"OLD")</f>
        <v>OLD</v>
      </c>
      <c r="V184" t="str">
        <f t="shared" si="11"/>
        <v>NORMAL</v>
      </c>
    </row>
    <row r="185" spans="1:22" x14ac:dyDescent="0.35">
      <c r="A185" t="s">
        <v>803</v>
      </c>
      <c r="B185" t="s">
        <v>804</v>
      </c>
      <c r="C185">
        <v>110.93</v>
      </c>
      <c r="D185" s="1">
        <v>45023.693229166667</v>
      </c>
      <c r="E185" s="2">
        <f t="shared" si="8"/>
        <v>0.69322916666715173</v>
      </c>
      <c r="F185" s="3">
        <f t="shared" si="9"/>
        <v>45023</v>
      </c>
      <c r="G185" t="s">
        <v>46</v>
      </c>
      <c r="H185" t="s">
        <v>301</v>
      </c>
      <c r="I185" t="s">
        <v>152</v>
      </c>
      <c r="J185" t="s">
        <v>465</v>
      </c>
      <c r="K185" t="s">
        <v>308</v>
      </c>
      <c r="L185" t="s">
        <v>69</v>
      </c>
      <c r="M185">
        <v>19</v>
      </c>
      <c r="N185" t="s">
        <v>37</v>
      </c>
      <c r="O185">
        <v>201</v>
      </c>
      <c r="P185">
        <v>1</v>
      </c>
      <c r="Q185">
        <v>1952.35</v>
      </c>
      <c r="R185" s="4">
        <v>45600</v>
      </c>
      <c r="S185" s="6">
        <v>0.34089120370370368</v>
      </c>
      <c r="T185">
        <f t="shared" si="10"/>
        <v>16</v>
      </c>
      <c r="U185" t="str" cm="1">
        <f t="array" ref="U185">_xlfn.IFS(M185&lt;=34,"YOUNG",M185&lt;=54,"MIDDLE AGE",M185&gt;=55,"OLD")</f>
        <v>YOUNG</v>
      </c>
      <c r="V185" t="str">
        <f t="shared" si="11"/>
        <v>NORMAL</v>
      </c>
    </row>
    <row r="186" spans="1:22" x14ac:dyDescent="0.35">
      <c r="A186" t="s">
        <v>805</v>
      </c>
      <c r="B186" t="s">
        <v>806</v>
      </c>
      <c r="C186">
        <v>201.69</v>
      </c>
      <c r="D186" s="1">
        <v>44929.69902777778</v>
      </c>
      <c r="E186" s="2">
        <f t="shared" si="8"/>
        <v>0.69902777778042946</v>
      </c>
      <c r="F186" s="3">
        <f t="shared" si="9"/>
        <v>44929</v>
      </c>
      <c r="G186" t="s">
        <v>17</v>
      </c>
      <c r="H186" t="s">
        <v>146</v>
      </c>
      <c r="I186" t="s">
        <v>807</v>
      </c>
      <c r="J186" t="s">
        <v>486</v>
      </c>
      <c r="K186" t="s">
        <v>62</v>
      </c>
      <c r="L186" t="s">
        <v>22</v>
      </c>
      <c r="M186">
        <v>59</v>
      </c>
      <c r="N186" t="s">
        <v>23</v>
      </c>
      <c r="O186">
        <v>299</v>
      </c>
      <c r="P186">
        <v>1</v>
      </c>
      <c r="Q186">
        <v>7328.52</v>
      </c>
      <c r="R186" s="4">
        <v>45600</v>
      </c>
      <c r="S186" s="6">
        <v>0.34046296296296297</v>
      </c>
      <c r="T186">
        <f t="shared" si="10"/>
        <v>16</v>
      </c>
      <c r="U186" t="str" cm="1">
        <f t="array" ref="U186">_xlfn.IFS(M186&lt;=34,"YOUNG",M186&lt;=54,"MIDDLE AGE",M186&gt;=55,"OLD")</f>
        <v>OLD</v>
      </c>
      <c r="V186" t="str">
        <f t="shared" si="11"/>
        <v>NORMAL</v>
      </c>
    </row>
    <row r="187" spans="1:22" x14ac:dyDescent="0.35">
      <c r="A187" t="s">
        <v>808</v>
      </c>
      <c r="B187" t="s">
        <v>809</v>
      </c>
      <c r="C187">
        <v>399.21</v>
      </c>
      <c r="D187" s="1">
        <v>44956.67765046296</v>
      </c>
      <c r="E187" s="2">
        <f t="shared" si="8"/>
        <v>0.67765046295971842</v>
      </c>
      <c r="F187" s="3">
        <f t="shared" si="9"/>
        <v>44956</v>
      </c>
      <c r="G187" t="s">
        <v>17</v>
      </c>
      <c r="H187" t="s">
        <v>595</v>
      </c>
      <c r="I187" t="s">
        <v>810</v>
      </c>
      <c r="J187" t="s">
        <v>811</v>
      </c>
      <c r="K187" t="s">
        <v>619</v>
      </c>
      <c r="L187" t="s">
        <v>22</v>
      </c>
      <c r="M187">
        <v>59</v>
      </c>
      <c r="N187" t="s">
        <v>77</v>
      </c>
      <c r="O187">
        <v>109</v>
      </c>
      <c r="P187">
        <v>1</v>
      </c>
      <c r="Q187">
        <v>3210.39</v>
      </c>
      <c r="R187" s="4">
        <v>45600</v>
      </c>
      <c r="S187" s="6">
        <v>0.33913194444444444</v>
      </c>
      <c r="T187">
        <f t="shared" si="10"/>
        <v>16</v>
      </c>
      <c r="U187" t="str" cm="1">
        <f t="array" ref="U187">_xlfn.IFS(M187&lt;=34,"YOUNG",M187&lt;=54,"MIDDLE AGE",M187&gt;=55,"OLD")</f>
        <v>OLD</v>
      </c>
      <c r="V187" t="str">
        <f t="shared" si="11"/>
        <v>NORMAL</v>
      </c>
    </row>
    <row r="188" spans="1:22" x14ac:dyDescent="0.35">
      <c r="A188" t="s">
        <v>812</v>
      </c>
      <c r="B188" t="s">
        <v>813</v>
      </c>
      <c r="C188">
        <v>1041.8800000000001</v>
      </c>
      <c r="D188" s="1">
        <v>45175.697245370371</v>
      </c>
      <c r="E188" s="2">
        <f t="shared" si="8"/>
        <v>0.69724537037109258</v>
      </c>
      <c r="F188" s="3">
        <f t="shared" si="9"/>
        <v>45175</v>
      </c>
      <c r="G188" t="s">
        <v>17</v>
      </c>
      <c r="H188" t="s">
        <v>392</v>
      </c>
      <c r="I188" t="s">
        <v>814</v>
      </c>
      <c r="J188" t="s">
        <v>815</v>
      </c>
      <c r="K188" t="s">
        <v>418</v>
      </c>
      <c r="L188" t="s">
        <v>36</v>
      </c>
      <c r="M188">
        <v>78</v>
      </c>
      <c r="N188" t="s">
        <v>70</v>
      </c>
      <c r="O188">
        <v>57</v>
      </c>
      <c r="P188">
        <v>1</v>
      </c>
      <c r="Q188">
        <v>5726.2</v>
      </c>
      <c r="R188" s="4">
        <v>45600</v>
      </c>
      <c r="S188" s="6">
        <v>0.33800925925925923</v>
      </c>
      <c r="T188">
        <f t="shared" si="10"/>
        <v>16</v>
      </c>
      <c r="U188" t="str" cm="1">
        <f t="array" ref="U188">_xlfn.IFS(M188&lt;=34,"YOUNG",M188&lt;=54,"MIDDLE AGE",M188&gt;=55,"OLD")</f>
        <v>OLD</v>
      </c>
      <c r="V188" t="str">
        <f t="shared" si="11"/>
        <v>NORMAL</v>
      </c>
    </row>
    <row r="189" spans="1:22" x14ac:dyDescent="0.35">
      <c r="A189" t="s">
        <v>816</v>
      </c>
      <c r="B189" t="s">
        <v>817</v>
      </c>
      <c r="C189">
        <v>630.36</v>
      </c>
      <c r="D189" s="1">
        <v>44987.67491898148</v>
      </c>
      <c r="E189" s="2">
        <f t="shared" si="8"/>
        <v>0.67491898148000473</v>
      </c>
      <c r="F189" s="3">
        <f t="shared" si="9"/>
        <v>44987</v>
      </c>
      <c r="G189" t="s">
        <v>17</v>
      </c>
      <c r="H189" t="s">
        <v>32</v>
      </c>
      <c r="I189" t="s">
        <v>818</v>
      </c>
      <c r="J189" t="s">
        <v>819</v>
      </c>
      <c r="K189" t="s">
        <v>820</v>
      </c>
      <c r="L189" t="s">
        <v>22</v>
      </c>
      <c r="M189">
        <v>62</v>
      </c>
      <c r="N189" t="s">
        <v>70</v>
      </c>
      <c r="O189">
        <v>52</v>
      </c>
      <c r="P189">
        <v>1</v>
      </c>
      <c r="Q189">
        <v>1363.65</v>
      </c>
      <c r="R189" s="4">
        <v>45600</v>
      </c>
      <c r="S189" s="6">
        <v>0.34184027777777776</v>
      </c>
      <c r="T189">
        <f t="shared" si="10"/>
        <v>16</v>
      </c>
      <c r="U189" t="str" cm="1">
        <f t="array" ref="U189">_xlfn.IFS(M189&lt;=34,"YOUNG",M189&lt;=54,"MIDDLE AGE",M189&gt;=55,"OLD")</f>
        <v>OLD</v>
      </c>
      <c r="V189" t="str">
        <f t="shared" si="11"/>
        <v>NORMAL</v>
      </c>
    </row>
    <row r="190" spans="1:22" x14ac:dyDescent="0.35">
      <c r="A190" t="s">
        <v>821</v>
      </c>
      <c r="B190" t="s">
        <v>822</v>
      </c>
      <c r="C190">
        <v>10.94</v>
      </c>
      <c r="D190" s="1">
        <v>45222.725081018521</v>
      </c>
      <c r="E190" s="2">
        <f t="shared" si="8"/>
        <v>0.72508101852145046</v>
      </c>
      <c r="F190" s="3">
        <f t="shared" si="9"/>
        <v>45222</v>
      </c>
      <c r="G190" t="s">
        <v>46</v>
      </c>
      <c r="H190" t="s">
        <v>243</v>
      </c>
      <c r="I190" t="s">
        <v>823</v>
      </c>
      <c r="J190" t="s">
        <v>824</v>
      </c>
      <c r="K190" t="s">
        <v>160</v>
      </c>
      <c r="L190" t="s">
        <v>22</v>
      </c>
      <c r="M190">
        <v>60</v>
      </c>
      <c r="N190" t="s">
        <v>77</v>
      </c>
      <c r="O190">
        <v>245</v>
      </c>
      <c r="P190">
        <v>1</v>
      </c>
      <c r="Q190">
        <v>1241.99</v>
      </c>
      <c r="R190" s="4">
        <v>45600</v>
      </c>
      <c r="S190" s="6">
        <v>0.34158564814814812</v>
      </c>
      <c r="T190">
        <f t="shared" si="10"/>
        <v>17</v>
      </c>
      <c r="U190" t="str" cm="1">
        <f t="array" ref="U190">_xlfn.IFS(M190&lt;=34,"YOUNG",M190&lt;=54,"MIDDLE AGE",M190&gt;=55,"OLD")</f>
        <v>OLD</v>
      </c>
      <c r="V190" t="str">
        <f t="shared" si="11"/>
        <v>NORMAL</v>
      </c>
    </row>
    <row r="191" spans="1:22" x14ac:dyDescent="0.35">
      <c r="A191" t="s">
        <v>825</v>
      </c>
      <c r="B191" t="s">
        <v>826</v>
      </c>
      <c r="C191">
        <v>215.9</v>
      </c>
      <c r="D191" s="1">
        <v>44930.66815972222</v>
      </c>
      <c r="E191" s="2">
        <f t="shared" si="8"/>
        <v>0.66815972221957054</v>
      </c>
      <c r="F191" s="3">
        <f t="shared" si="9"/>
        <v>44930</v>
      </c>
      <c r="G191" t="s">
        <v>17</v>
      </c>
      <c r="H191" t="s">
        <v>140</v>
      </c>
      <c r="I191" t="s">
        <v>827</v>
      </c>
      <c r="J191" t="s">
        <v>828</v>
      </c>
      <c r="K191" t="s">
        <v>160</v>
      </c>
      <c r="L191" t="s">
        <v>22</v>
      </c>
      <c r="M191">
        <v>38</v>
      </c>
      <c r="N191" t="s">
        <v>23</v>
      </c>
      <c r="O191">
        <v>235</v>
      </c>
      <c r="P191">
        <v>1</v>
      </c>
      <c r="Q191">
        <v>7873.28</v>
      </c>
      <c r="R191" s="4">
        <v>45600</v>
      </c>
      <c r="S191" s="6">
        <v>0.34054398148148146</v>
      </c>
      <c r="T191">
        <f t="shared" si="10"/>
        <v>16</v>
      </c>
      <c r="U191" t="str" cm="1">
        <f t="array" ref="U191">_xlfn.IFS(M191&lt;=34,"YOUNG",M191&lt;=54,"MIDDLE AGE",M191&gt;=55,"OLD")</f>
        <v>MIDDLE AGE</v>
      </c>
      <c r="V191" t="str">
        <f t="shared" si="11"/>
        <v>NORMAL</v>
      </c>
    </row>
    <row r="192" spans="1:22" x14ac:dyDescent="0.35">
      <c r="A192" t="s">
        <v>829</v>
      </c>
      <c r="B192" t="s">
        <v>550</v>
      </c>
      <c r="C192">
        <v>1422.55</v>
      </c>
      <c r="D192" s="1">
        <v>45117.742569444446</v>
      </c>
      <c r="E192" s="2">
        <f t="shared" si="8"/>
        <v>0.74256944444641704</v>
      </c>
      <c r="F192" s="3">
        <f t="shared" si="9"/>
        <v>45117</v>
      </c>
      <c r="G192" t="s">
        <v>17</v>
      </c>
      <c r="H192" t="s">
        <v>453</v>
      </c>
      <c r="I192" t="s">
        <v>830</v>
      </c>
      <c r="J192" t="s">
        <v>110</v>
      </c>
      <c r="K192" t="s">
        <v>831</v>
      </c>
      <c r="L192" t="s">
        <v>69</v>
      </c>
      <c r="M192">
        <v>79</v>
      </c>
      <c r="N192" t="s">
        <v>70</v>
      </c>
      <c r="O192">
        <v>165</v>
      </c>
      <c r="P192">
        <v>1</v>
      </c>
      <c r="Q192">
        <v>5674.32</v>
      </c>
      <c r="R192" s="4">
        <v>45600</v>
      </c>
      <c r="S192" s="6">
        <v>0.33807870370370369</v>
      </c>
      <c r="T192">
        <f t="shared" si="10"/>
        <v>17</v>
      </c>
      <c r="U192" t="str" cm="1">
        <f t="array" ref="U192">_xlfn.IFS(M192&lt;=34,"YOUNG",M192&lt;=54,"MIDDLE AGE",M192&gt;=55,"OLD")</f>
        <v>OLD</v>
      </c>
      <c r="V192" t="str">
        <f t="shared" si="11"/>
        <v>NORMAL</v>
      </c>
    </row>
    <row r="193" spans="1:22" x14ac:dyDescent="0.35">
      <c r="A193" t="s">
        <v>832</v>
      </c>
      <c r="B193" t="s">
        <v>813</v>
      </c>
      <c r="C193">
        <v>226.37</v>
      </c>
      <c r="D193" s="1">
        <v>45187.713287037041</v>
      </c>
      <c r="E193" s="2">
        <f t="shared" si="8"/>
        <v>0.71328703704057261</v>
      </c>
      <c r="F193" s="3">
        <f t="shared" si="9"/>
        <v>45187</v>
      </c>
      <c r="G193" t="s">
        <v>46</v>
      </c>
      <c r="H193" t="s">
        <v>108</v>
      </c>
      <c r="I193" t="s">
        <v>833</v>
      </c>
      <c r="J193" t="s">
        <v>834</v>
      </c>
      <c r="K193" t="s">
        <v>576</v>
      </c>
      <c r="L193" t="s">
        <v>69</v>
      </c>
      <c r="M193">
        <v>49</v>
      </c>
      <c r="N193" t="s">
        <v>23</v>
      </c>
      <c r="O193">
        <v>141</v>
      </c>
      <c r="P193">
        <v>1</v>
      </c>
      <c r="Q193">
        <v>9840.0400000000009</v>
      </c>
      <c r="R193" s="4">
        <v>45600</v>
      </c>
      <c r="S193" s="6">
        <v>0.34023148148148147</v>
      </c>
      <c r="T193">
        <f t="shared" si="10"/>
        <v>17</v>
      </c>
      <c r="U193" t="str" cm="1">
        <f t="array" ref="U193">_xlfn.IFS(M193&lt;=34,"YOUNG",M193&lt;=54,"MIDDLE AGE",M193&gt;=55,"OLD")</f>
        <v>MIDDLE AGE</v>
      </c>
      <c r="V193" t="str">
        <f t="shared" si="11"/>
        <v>NORMAL</v>
      </c>
    </row>
    <row r="194" spans="1:22" x14ac:dyDescent="0.35">
      <c r="A194" t="s">
        <v>835</v>
      </c>
      <c r="B194" t="s">
        <v>396</v>
      </c>
      <c r="C194">
        <v>444.89</v>
      </c>
      <c r="D194" s="1">
        <v>45180.685868055552</v>
      </c>
      <c r="E194" s="2">
        <f t="shared" ref="E194:E257" si="12">D194-INT(D194)</f>
        <v>0.68586805555241881</v>
      </c>
      <c r="F194" s="3">
        <f t="shared" ref="F194:F257" si="13">INT(D194)</f>
        <v>45180</v>
      </c>
      <c r="G194" t="s">
        <v>46</v>
      </c>
      <c r="H194" t="s">
        <v>146</v>
      </c>
      <c r="I194" t="s">
        <v>836</v>
      </c>
      <c r="J194" t="s">
        <v>837</v>
      </c>
      <c r="K194" t="s">
        <v>406</v>
      </c>
      <c r="L194" t="s">
        <v>69</v>
      </c>
      <c r="M194">
        <v>43</v>
      </c>
      <c r="N194" t="s">
        <v>23</v>
      </c>
      <c r="O194">
        <v>101</v>
      </c>
      <c r="P194">
        <v>1</v>
      </c>
      <c r="Q194">
        <v>10328.23</v>
      </c>
      <c r="R194" s="4">
        <v>45600</v>
      </c>
      <c r="S194" s="6">
        <v>0.34155092592592595</v>
      </c>
      <c r="T194">
        <f t="shared" si="10"/>
        <v>16</v>
      </c>
      <c r="U194" t="str" cm="1">
        <f t="array" ref="U194">_xlfn.IFS(M194&lt;=34,"YOUNG",M194&lt;=54,"MIDDLE AGE",M194&gt;=55,"OLD")</f>
        <v>MIDDLE AGE</v>
      </c>
      <c r="V194" t="str">
        <f t="shared" si="11"/>
        <v>NORMAL</v>
      </c>
    </row>
    <row r="195" spans="1:22" x14ac:dyDescent="0.35">
      <c r="A195" t="s">
        <v>838</v>
      </c>
      <c r="B195" t="s">
        <v>839</v>
      </c>
      <c r="C195">
        <v>280.57</v>
      </c>
      <c r="D195" s="1">
        <v>44953.73269675926</v>
      </c>
      <c r="E195" s="2">
        <f t="shared" si="12"/>
        <v>0.73269675925985212</v>
      </c>
      <c r="F195" s="3">
        <f t="shared" si="13"/>
        <v>44953</v>
      </c>
      <c r="G195" t="s">
        <v>46</v>
      </c>
      <c r="H195" t="s">
        <v>301</v>
      </c>
      <c r="I195" t="s">
        <v>840</v>
      </c>
      <c r="J195" t="s">
        <v>841</v>
      </c>
      <c r="K195" t="s">
        <v>111</v>
      </c>
      <c r="L195" t="s">
        <v>36</v>
      </c>
      <c r="M195">
        <v>25</v>
      </c>
      <c r="N195" t="s">
        <v>37</v>
      </c>
      <c r="O195">
        <v>24</v>
      </c>
      <c r="P195">
        <v>1</v>
      </c>
      <c r="Q195">
        <v>293.24</v>
      </c>
      <c r="R195" s="4">
        <v>45600</v>
      </c>
      <c r="S195" s="6">
        <v>0.34055555555555556</v>
      </c>
      <c r="T195">
        <f t="shared" ref="T195:T258" si="14">HOUR(E195)</f>
        <v>17</v>
      </c>
      <c r="U195" t="str" cm="1">
        <f t="array" ref="U195">_xlfn.IFS(M195&lt;=34,"YOUNG",M195&lt;=54,"MIDDLE AGE",M195&gt;=55,"OLD")</f>
        <v>YOUNG</v>
      </c>
      <c r="V195" t="str">
        <f t="shared" ref="V195:V258" si="15">IF(P195&gt;1,"HIGH","NORMAL")</f>
        <v>NORMAL</v>
      </c>
    </row>
    <row r="196" spans="1:22" x14ac:dyDescent="0.35">
      <c r="A196" t="s">
        <v>842</v>
      </c>
      <c r="B196" t="s">
        <v>843</v>
      </c>
      <c r="C196">
        <v>488.54</v>
      </c>
      <c r="D196" s="1">
        <v>45110.741539351853</v>
      </c>
      <c r="E196" s="2">
        <f t="shared" si="12"/>
        <v>0.74153935185313458</v>
      </c>
      <c r="F196" s="3">
        <f t="shared" si="13"/>
        <v>45110</v>
      </c>
      <c r="G196" t="s">
        <v>17</v>
      </c>
      <c r="H196" t="s">
        <v>392</v>
      </c>
      <c r="I196" t="s">
        <v>115</v>
      </c>
      <c r="J196" t="s">
        <v>844</v>
      </c>
      <c r="K196" t="s">
        <v>308</v>
      </c>
      <c r="L196" t="s">
        <v>69</v>
      </c>
      <c r="M196">
        <v>52</v>
      </c>
      <c r="N196" t="s">
        <v>77</v>
      </c>
      <c r="O196">
        <v>132</v>
      </c>
      <c r="P196">
        <v>1</v>
      </c>
      <c r="Q196">
        <v>7486.63</v>
      </c>
      <c r="R196" s="4">
        <v>45600</v>
      </c>
      <c r="S196" s="6">
        <v>0.33849537037037036</v>
      </c>
      <c r="T196">
        <f t="shared" si="14"/>
        <v>17</v>
      </c>
      <c r="U196" t="str" cm="1">
        <f t="array" ref="U196">_xlfn.IFS(M196&lt;=34,"YOUNG",M196&lt;=54,"MIDDLE AGE",M196&gt;=55,"OLD")</f>
        <v>MIDDLE AGE</v>
      </c>
      <c r="V196" t="str">
        <f t="shared" si="15"/>
        <v>NORMAL</v>
      </c>
    </row>
    <row r="197" spans="1:22" x14ac:dyDescent="0.35">
      <c r="A197" t="s">
        <v>845</v>
      </c>
      <c r="B197" t="s">
        <v>781</v>
      </c>
      <c r="C197">
        <v>3.3</v>
      </c>
      <c r="D197" s="1">
        <v>45012.696018518516</v>
      </c>
      <c r="E197" s="2">
        <f t="shared" si="12"/>
        <v>0.69601851851621177</v>
      </c>
      <c r="F197" s="3">
        <f t="shared" si="13"/>
        <v>45012</v>
      </c>
      <c r="G197" t="s">
        <v>46</v>
      </c>
      <c r="H197" t="s">
        <v>140</v>
      </c>
      <c r="I197" t="s">
        <v>846</v>
      </c>
      <c r="J197" t="s">
        <v>142</v>
      </c>
      <c r="K197" t="s">
        <v>674</v>
      </c>
      <c r="L197" t="s">
        <v>69</v>
      </c>
      <c r="M197">
        <v>50</v>
      </c>
      <c r="N197" t="s">
        <v>23</v>
      </c>
      <c r="O197">
        <v>131</v>
      </c>
      <c r="P197">
        <v>1</v>
      </c>
      <c r="Q197">
        <v>11385.37</v>
      </c>
      <c r="R197" s="4">
        <v>45600</v>
      </c>
      <c r="S197" s="6">
        <v>0.34040509259259261</v>
      </c>
      <c r="T197">
        <f t="shared" si="14"/>
        <v>16</v>
      </c>
      <c r="U197" t="str" cm="1">
        <f t="array" ref="U197">_xlfn.IFS(M197&lt;=34,"YOUNG",M197&lt;=54,"MIDDLE AGE",M197&gt;=55,"OLD")</f>
        <v>MIDDLE AGE</v>
      </c>
      <c r="V197" t="str">
        <f t="shared" si="15"/>
        <v>NORMAL</v>
      </c>
    </row>
    <row r="198" spans="1:22" x14ac:dyDescent="0.35">
      <c r="A198" t="s">
        <v>847</v>
      </c>
      <c r="B198" t="s">
        <v>848</v>
      </c>
      <c r="C198">
        <v>199.39</v>
      </c>
      <c r="D198" s="1">
        <v>45159.678032407406</v>
      </c>
      <c r="E198" s="2">
        <f t="shared" si="12"/>
        <v>0.67803240740613546</v>
      </c>
      <c r="F198" s="3">
        <f t="shared" si="13"/>
        <v>45159</v>
      </c>
      <c r="G198" t="s">
        <v>17</v>
      </c>
      <c r="H198" t="s">
        <v>521</v>
      </c>
      <c r="I198" t="s">
        <v>286</v>
      </c>
      <c r="J198" t="s">
        <v>849</v>
      </c>
      <c r="K198" t="s">
        <v>282</v>
      </c>
      <c r="L198" t="s">
        <v>69</v>
      </c>
      <c r="M198">
        <v>69</v>
      </c>
      <c r="N198" t="s">
        <v>70</v>
      </c>
      <c r="O198">
        <v>165</v>
      </c>
      <c r="P198">
        <v>1</v>
      </c>
      <c r="Q198">
        <v>7264.79</v>
      </c>
      <c r="R198" s="4">
        <v>45600</v>
      </c>
      <c r="S198" s="6">
        <v>0.3396527777777778</v>
      </c>
      <c r="T198">
        <f t="shared" si="14"/>
        <v>16</v>
      </c>
      <c r="U198" t="str" cm="1">
        <f t="array" ref="U198">_xlfn.IFS(M198&lt;=34,"YOUNG",M198&lt;=54,"MIDDLE AGE",M198&gt;=55,"OLD")</f>
        <v>OLD</v>
      </c>
      <c r="V198" t="str">
        <f t="shared" si="15"/>
        <v>NORMAL</v>
      </c>
    </row>
    <row r="199" spans="1:22" x14ac:dyDescent="0.35">
      <c r="A199" t="s">
        <v>850</v>
      </c>
      <c r="B199" t="s">
        <v>851</v>
      </c>
      <c r="C199">
        <v>20.36</v>
      </c>
      <c r="D199" s="1">
        <v>45131.709930555553</v>
      </c>
      <c r="E199" s="2">
        <f t="shared" si="12"/>
        <v>0.70993055555300089</v>
      </c>
      <c r="F199" s="3">
        <f t="shared" si="13"/>
        <v>45131</v>
      </c>
      <c r="G199" t="s">
        <v>17</v>
      </c>
      <c r="H199" t="s">
        <v>255</v>
      </c>
      <c r="I199" t="s">
        <v>852</v>
      </c>
      <c r="J199" t="s">
        <v>523</v>
      </c>
      <c r="K199" t="s">
        <v>853</v>
      </c>
      <c r="L199" t="s">
        <v>69</v>
      </c>
      <c r="M199">
        <v>62</v>
      </c>
      <c r="N199" t="s">
        <v>70</v>
      </c>
      <c r="O199">
        <v>75</v>
      </c>
      <c r="P199">
        <v>1</v>
      </c>
      <c r="Q199">
        <v>2762.48</v>
      </c>
      <c r="R199" s="4">
        <v>45600</v>
      </c>
      <c r="S199" s="6">
        <v>0.34114583333333331</v>
      </c>
      <c r="T199">
        <f t="shared" si="14"/>
        <v>17</v>
      </c>
      <c r="U199" t="str" cm="1">
        <f t="array" ref="U199">_xlfn.IFS(M199&lt;=34,"YOUNG",M199&lt;=54,"MIDDLE AGE",M199&gt;=55,"OLD")</f>
        <v>OLD</v>
      </c>
      <c r="V199" t="str">
        <f t="shared" si="15"/>
        <v>NORMAL</v>
      </c>
    </row>
    <row r="200" spans="1:22" x14ac:dyDescent="0.35">
      <c r="A200" t="s">
        <v>854</v>
      </c>
      <c r="B200" t="s">
        <v>855</v>
      </c>
      <c r="C200">
        <v>113.64</v>
      </c>
      <c r="D200" s="1">
        <v>45223.715057870373</v>
      </c>
      <c r="E200" s="2">
        <f t="shared" si="12"/>
        <v>0.71505787037312984</v>
      </c>
      <c r="F200" s="3">
        <f t="shared" si="13"/>
        <v>45223</v>
      </c>
      <c r="G200" t="s">
        <v>17</v>
      </c>
      <c r="H200" t="s">
        <v>73</v>
      </c>
      <c r="I200" t="s">
        <v>856</v>
      </c>
      <c r="J200" t="s">
        <v>857</v>
      </c>
      <c r="K200" t="s">
        <v>858</v>
      </c>
      <c r="L200" t="s">
        <v>36</v>
      </c>
      <c r="M200">
        <v>62</v>
      </c>
      <c r="N200" t="s">
        <v>70</v>
      </c>
      <c r="O200">
        <v>32</v>
      </c>
      <c r="P200">
        <v>1</v>
      </c>
      <c r="Q200">
        <v>6675.03</v>
      </c>
      <c r="R200" s="4">
        <v>45600</v>
      </c>
      <c r="S200" s="6">
        <v>0.33883101851851855</v>
      </c>
      <c r="T200">
        <f t="shared" si="14"/>
        <v>17</v>
      </c>
      <c r="U200" t="str" cm="1">
        <f t="array" ref="U200">_xlfn.IFS(M200&lt;=34,"YOUNG",M200&lt;=54,"MIDDLE AGE",M200&gt;=55,"OLD")</f>
        <v>OLD</v>
      </c>
      <c r="V200" t="str">
        <f t="shared" si="15"/>
        <v>NORMAL</v>
      </c>
    </row>
    <row r="201" spans="1:22" x14ac:dyDescent="0.35">
      <c r="A201" t="s">
        <v>859</v>
      </c>
      <c r="B201" t="s">
        <v>585</v>
      </c>
      <c r="C201">
        <v>493.11</v>
      </c>
      <c r="D201" s="1">
        <v>45138.684328703705</v>
      </c>
      <c r="E201" s="2">
        <f t="shared" si="12"/>
        <v>0.68432870370452292</v>
      </c>
      <c r="F201" s="3">
        <f t="shared" si="13"/>
        <v>45138</v>
      </c>
      <c r="G201" t="s">
        <v>17</v>
      </c>
      <c r="H201" t="s">
        <v>521</v>
      </c>
      <c r="I201" t="s">
        <v>184</v>
      </c>
      <c r="J201" t="s">
        <v>860</v>
      </c>
      <c r="K201" t="s">
        <v>154</v>
      </c>
      <c r="L201" t="s">
        <v>69</v>
      </c>
      <c r="M201">
        <v>53</v>
      </c>
      <c r="N201" t="s">
        <v>70</v>
      </c>
      <c r="O201">
        <v>236</v>
      </c>
      <c r="P201">
        <v>1</v>
      </c>
      <c r="Q201">
        <v>7432.99</v>
      </c>
      <c r="R201" s="4">
        <v>45600</v>
      </c>
      <c r="S201" s="6">
        <v>0.33890046296296295</v>
      </c>
      <c r="T201">
        <f t="shared" si="14"/>
        <v>16</v>
      </c>
      <c r="U201" t="str" cm="1">
        <f t="array" ref="U201">_xlfn.IFS(M201&lt;=34,"YOUNG",M201&lt;=54,"MIDDLE AGE",M201&gt;=55,"OLD")</f>
        <v>MIDDLE AGE</v>
      </c>
      <c r="V201" t="str">
        <f t="shared" si="15"/>
        <v>NORMAL</v>
      </c>
    </row>
    <row r="202" spans="1:22" x14ac:dyDescent="0.35">
      <c r="A202" t="s">
        <v>861</v>
      </c>
      <c r="B202" t="s">
        <v>826</v>
      </c>
      <c r="C202">
        <v>307.41000000000003</v>
      </c>
      <c r="D202" s="1">
        <v>45089.731157407405</v>
      </c>
      <c r="E202" s="2">
        <f t="shared" si="12"/>
        <v>0.73115740740468027</v>
      </c>
      <c r="F202" s="3">
        <f t="shared" si="13"/>
        <v>45089</v>
      </c>
      <c r="G202" t="s">
        <v>17</v>
      </c>
      <c r="H202" t="s">
        <v>140</v>
      </c>
      <c r="I202" t="s">
        <v>862</v>
      </c>
      <c r="J202" t="s">
        <v>863</v>
      </c>
      <c r="K202" t="s">
        <v>83</v>
      </c>
      <c r="L202" t="s">
        <v>22</v>
      </c>
      <c r="M202">
        <v>19</v>
      </c>
      <c r="N202" t="s">
        <v>37</v>
      </c>
      <c r="O202">
        <v>14</v>
      </c>
      <c r="P202">
        <v>1</v>
      </c>
      <c r="Q202">
        <v>1057</v>
      </c>
      <c r="R202" s="4">
        <v>45600</v>
      </c>
      <c r="S202" s="6">
        <v>0.34013888888888888</v>
      </c>
      <c r="T202">
        <f t="shared" si="14"/>
        <v>17</v>
      </c>
      <c r="U202" t="str" cm="1">
        <f t="array" ref="U202">_xlfn.IFS(M202&lt;=34,"YOUNG",M202&lt;=54,"MIDDLE AGE",M202&gt;=55,"OLD")</f>
        <v>YOUNG</v>
      </c>
      <c r="V202" t="str">
        <f t="shared" si="15"/>
        <v>NORMAL</v>
      </c>
    </row>
    <row r="203" spans="1:22" x14ac:dyDescent="0.35">
      <c r="A203" t="s">
        <v>864</v>
      </c>
      <c r="B203" t="s">
        <v>484</v>
      </c>
      <c r="C203">
        <v>11.18</v>
      </c>
      <c r="D203" s="1">
        <v>45260.703263888892</v>
      </c>
      <c r="E203" s="2">
        <f t="shared" si="12"/>
        <v>0.703263888892252</v>
      </c>
      <c r="F203" s="3">
        <f t="shared" si="13"/>
        <v>45260</v>
      </c>
      <c r="G203" t="s">
        <v>17</v>
      </c>
      <c r="H203" t="s">
        <v>47</v>
      </c>
      <c r="I203" t="s">
        <v>865</v>
      </c>
      <c r="J203" t="s">
        <v>866</v>
      </c>
      <c r="K203" t="s">
        <v>111</v>
      </c>
      <c r="L203" t="s">
        <v>36</v>
      </c>
      <c r="M203">
        <v>43</v>
      </c>
      <c r="N203" t="s">
        <v>23</v>
      </c>
      <c r="O203">
        <v>161</v>
      </c>
      <c r="P203">
        <v>1</v>
      </c>
      <c r="Q203">
        <v>5956.89</v>
      </c>
      <c r="R203" s="4">
        <v>45600</v>
      </c>
      <c r="S203" s="6">
        <v>0.34050925925925923</v>
      </c>
      <c r="T203">
        <f t="shared" si="14"/>
        <v>16</v>
      </c>
      <c r="U203" t="str" cm="1">
        <f t="array" ref="U203">_xlfn.IFS(M203&lt;=34,"YOUNG",M203&lt;=54,"MIDDLE AGE",M203&gt;=55,"OLD")</f>
        <v>MIDDLE AGE</v>
      </c>
      <c r="V203" t="str">
        <f t="shared" si="15"/>
        <v>NORMAL</v>
      </c>
    </row>
    <row r="204" spans="1:22" x14ac:dyDescent="0.35">
      <c r="A204" t="s">
        <v>867</v>
      </c>
      <c r="B204" t="s">
        <v>868</v>
      </c>
      <c r="C204">
        <v>313.82</v>
      </c>
      <c r="D204" s="1">
        <v>45245.790023148147</v>
      </c>
      <c r="E204" s="2">
        <f t="shared" si="12"/>
        <v>0.79002314814715646</v>
      </c>
      <c r="F204" s="3">
        <f t="shared" si="13"/>
        <v>45245</v>
      </c>
      <c r="G204" t="s">
        <v>17</v>
      </c>
      <c r="H204" t="s">
        <v>255</v>
      </c>
      <c r="I204" t="s">
        <v>213</v>
      </c>
      <c r="J204" t="s">
        <v>298</v>
      </c>
      <c r="K204" t="s">
        <v>348</v>
      </c>
      <c r="L204" t="s">
        <v>69</v>
      </c>
      <c r="M204">
        <v>59</v>
      </c>
      <c r="N204" t="s">
        <v>77</v>
      </c>
      <c r="O204">
        <v>151</v>
      </c>
      <c r="P204">
        <v>1</v>
      </c>
      <c r="Q204">
        <v>7261.59</v>
      </c>
      <c r="R204" s="4">
        <v>45600</v>
      </c>
      <c r="S204" s="6">
        <v>0.33937499999999998</v>
      </c>
      <c r="T204">
        <f t="shared" si="14"/>
        <v>18</v>
      </c>
      <c r="U204" t="str" cm="1">
        <f t="array" ref="U204">_xlfn.IFS(M204&lt;=34,"YOUNG",M204&lt;=54,"MIDDLE AGE",M204&gt;=55,"OLD")</f>
        <v>OLD</v>
      </c>
      <c r="V204" t="str">
        <f t="shared" si="15"/>
        <v>NORMAL</v>
      </c>
    </row>
    <row r="205" spans="1:22" x14ac:dyDescent="0.35">
      <c r="A205" t="s">
        <v>869</v>
      </c>
      <c r="B205" t="s">
        <v>722</v>
      </c>
      <c r="C205">
        <v>51</v>
      </c>
      <c r="D205" s="1">
        <v>44956.66710648148</v>
      </c>
      <c r="E205" s="2">
        <f t="shared" si="12"/>
        <v>0.66710648148000473</v>
      </c>
      <c r="F205" s="3">
        <f t="shared" si="13"/>
        <v>44956</v>
      </c>
      <c r="G205" t="s">
        <v>17</v>
      </c>
      <c r="H205" t="s">
        <v>59</v>
      </c>
      <c r="I205" t="s">
        <v>81</v>
      </c>
      <c r="J205" t="s">
        <v>870</v>
      </c>
      <c r="K205" t="s">
        <v>370</v>
      </c>
      <c r="L205" t="s">
        <v>69</v>
      </c>
      <c r="M205">
        <v>64</v>
      </c>
      <c r="N205" t="s">
        <v>70</v>
      </c>
      <c r="O205">
        <v>107</v>
      </c>
      <c r="P205">
        <v>1</v>
      </c>
      <c r="Q205">
        <v>4943.16</v>
      </c>
      <c r="R205" s="4">
        <v>45600</v>
      </c>
      <c r="S205" s="6">
        <v>0.33915509259259258</v>
      </c>
      <c r="T205">
        <f t="shared" si="14"/>
        <v>16</v>
      </c>
      <c r="U205" t="str" cm="1">
        <f t="array" ref="U205">_xlfn.IFS(M205&lt;=34,"YOUNG",M205&lt;=54,"MIDDLE AGE",M205&gt;=55,"OLD")</f>
        <v>OLD</v>
      </c>
      <c r="V205" t="str">
        <f t="shared" si="15"/>
        <v>NORMAL</v>
      </c>
    </row>
    <row r="206" spans="1:22" x14ac:dyDescent="0.35">
      <c r="A206" t="s">
        <v>871</v>
      </c>
      <c r="B206" t="s">
        <v>872</v>
      </c>
      <c r="C206">
        <v>140.97999999999999</v>
      </c>
      <c r="D206" s="1">
        <v>45071.690532407411</v>
      </c>
      <c r="E206" s="2">
        <f t="shared" si="12"/>
        <v>0.69053240741050104</v>
      </c>
      <c r="F206" s="3">
        <f t="shared" si="13"/>
        <v>45071</v>
      </c>
      <c r="G206" t="s">
        <v>17</v>
      </c>
      <c r="H206" t="s">
        <v>92</v>
      </c>
      <c r="I206" t="s">
        <v>873</v>
      </c>
      <c r="J206" t="s">
        <v>874</v>
      </c>
      <c r="K206" t="s">
        <v>128</v>
      </c>
      <c r="L206" t="s">
        <v>69</v>
      </c>
      <c r="M206">
        <v>60</v>
      </c>
      <c r="N206" t="s">
        <v>77</v>
      </c>
      <c r="O206">
        <v>100</v>
      </c>
      <c r="P206">
        <v>1</v>
      </c>
      <c r="Q206">
        <v>8127.48</v>
      </c>
      <c r="R206" s="4">
        <v>45600</v>
      </c>
      <c r="S206" s="6">
        <v>0.34181712962962962</v>
      </c>
      <c r="T206">
        <f t="shared" si="14"/>
        <v>16</v>
      </c>
      <c r="U206" t="str" cm="1">
        <f t="array" ref="U206">_xlfn.IFS(M206&lt;=34,"YOUNG",M206&lt;=54,"MIDDLE AGE",M206&gt;=55,"OLD")</f>
        <v>OLD</v>
      </c>
      <c r="V206" t="str">
        <f t="shared" si="15"/>
        <v>NORMAL</v>
      </c>
    </row>
    <row r="207" spans="1:22" x14ac:dyDescent="0.35">
      <c r="A207" t="s">
        <v>875</v>
      </c>
      <c r="B207" t="s">
        <v>876</v>
      </c>
      <c r="C207">
        <v>288.04000000000002</v>
      </c>
      <c r="D207" s="1">
        <v>45162.699548611112</v>
      </c>
      <c r="E207" s="2">
        <f t="shared" si="12"/>
        <v>0.69954861111182254</v>
      </c>
      <c r="F207" s="3">
        <f t="shared" si="13"/>
        <v>45162</v>
      </c>
      <c r="G207" t="s">
        <v>17</v>
      </c>
      <c r="H207" t="s">
        <v>114</v>
      </c>
      <c r="I207" t="s">
        <v>877</v>
      </c>
      <c r="J207" t="s">
        <v>878</v>
      </c>
      <c r="K207" t="s">
        <v>186</v>
      </c>
      <c r="L207" t="s">
        <v>22</v>
      </c>
      <c r="M207">
        <v>68</v>
      </c>
      <c r="N207" t="s">
        <v>70</v>
      </c>
      <c r="O207">
        <v>63</v>
      </c>
      <c r="P207">
        <v>1</v>
      </c>
      <c r="Q207">
        <v>1748.02</v>
      </c>
      <c r="R207" s="4">
        <v>45600</v>
      </c>
      <c r="S207" s="6">
        <v>0.34027777777777779</v>
      </c>
      <c r="T207">
        <f t="shared" si="14"/>
        <v>16</v>
      </c>
      <c r="U207" t="str" cm="1">
        <f t="array" ref="U207">_xlfn.IFS(M207&lt;=34,"YOUNG",M207&lt;=54,"MIDDLE AGE",M207&gt;=55,"OLD")</f>
        <v>OLD</v>
      </c>
      <c r="V207" t="str">
        <f t="shared" si="15"/>
        <v>NORMAL</v>
      </c>
    </row>
    <row r="208" spans="1:22" x14ac:dyDescent="0.35">
      <c r="A208" t="s">
        <v>879</v>
      </c>
      <c r="B208" t="s">
        <v>880</v>
      </c>
      <c r="C208">
        <v>800.55</v>
      </c>
      <c r="D208" s="1">
        <v>45050.681608796294</v>
      </c>
      <c r="E208" s="2">
        <f t="shared" si="12"/>
        <v>0.68160879629431292</v>
      </c>
      <c r="F208" s="3">
        <f t="shared" si="13"/>
        <v>45050</v>
      </c>
      <c r="G208" t="s">
        <v>17</v>
      </c>
      <c r="H208" t="s">
        <v>53</v>
      </c>
      <c r="I208" t="s">
        <v>881</v>
      </c>
      <c r="J208" t="s">
        <v>882</v>
      </c>
      <c r="K208" t="s">
        <v>619</v>
      </c>
      <c r="L208" t="s">
        <v>22</v>
      </c>
      <c r="M208">
        <v>31</v>
      </c>
      <c r="N208" t="s">
        <v>77</v>
      </c>
      <c r="O208">
        <v>108</v>
      </c>
      <c r="P208">
        <v>1</v>
      </c>
      <c r="Q208">
        <v>9660.2199999999993</v>
      </c>
      <c r="R208" s="4">
        <v>45600</v>
      </c>
      <c r="S208" s="6">
        <v>0.33806712962962965</v>
      </c>
      <c r="T208">
        <f t="shared" si="14"/>
        <v>16</v>
      </c>
      <c r="U208" t="str" cm="1">
        <f t="array" ref="U208">_xlfn.IFS(M208&lt;=34,"YOUNG",M208&lt;=54,"MIDDLE AGE",M208&gt;=55,"OLD")</f>
        <v>YOUNG</v>
      </c>
      <c r="V208" t="str">
        <f t="shared" si="15"/>
        <v>NORMAL</v>
      </c>
    </row>
    <row r="209" spans="1:22" x14ac:dyDescent="0.35">
      <c r="A209" t="s">
        <v>883</v>
      </c>
      <c r="B209" t="s">
        <v>884</v>
      </c>
      <c r="C209">
        <v>485.54</v>
      </c>
      <c r="D209" s="1">
        <v>44963.740960648145</v>
      </c>
      <c r="E209" s="2">
        <f t="shared" si="12"/>
        <v>0.74096064814511919</v>
      </c>
      <c r="F209" s="3">
        <f t="shared" si="13"/>
        <v>44963</v>
      </c>
      <c r="G209" t="s">
        <v>17</v>
      </c>
      <c r="H209" t="s">
        <v>26</v>
      </c>
      <c r="I209" t="s">
        <v>93</v>
      </c>
      <c r="J209" t="s">
        <v>61</v>
      </c>
      <c r="K209" t="s">
        <v>885</v>
      </c>
      <c r="L209" t="s">
        <v>22</v>
      </c>
      <c r="M209">
        <v>46</v>
      </c>
      <c r="N209" t="s">
        <v>77</v>
      </c>
      <c r="O209">
        <v>143</v>
      </c>
      <c r="P209">
        <v>1</v>
      </c>
      <c r="Q209">
        <v>6371.51</v>
      </c>
      <c r="R209" s="4">
        <v>45600</v>
      </c>
      <c r="S209" s="6">
        <v>0.34150462962962963</v>
      </c>
      <c r="T209">
        <f t="shared" si="14"/>
        <v>17</v>
      </c>
      <c r="U209" t="str" cm="1">
        <f t="array" ref="U209">_xlfn.IFS(M209&lt;=34,"YOUNG",M209&lt;=54,"MIDDLE AGE",M209&gt;=55,"OLD")</f>
        <v>MIDDLE AGE</v>
      </c>
      <c r="V209" t="str">
        <f t="shared" si="15"/>
        <v>NORMAL</v>
      </c>
    </row>
    <row r="210" spans="1:22" x14ac:dyDescent="0.35">
      <c r="A210" t="s">
        <v>886</v>
      </c>
      <c r="B210" t="s">
        <v>156</v>
      </c>
      <c r="C210">
        <v>521.15</v>
      </c>
      <c r="D210" s="1">
        <v>44974.76116898148</v>
      </c>
      <c r="E210" s="2">
        <f t="shared" si="12"/>
        <v>0.76116898148029577</v>
      </c>
      <c r="F210" s="3">
        <f t="shared" si="13"/>
        <v>44974</v>
      </c>
      <c r="G210" t="s">
        <v>17</v>
      </c>
      <c r="H210" t="s">
        <v>291</v>
      </c>
      <c r="I210" t="s">
        <v>713</v>
      </c>
      <c r="J210" t="s">
        <v>887</v>
      </c>
      <c r="K210" t="s">
        <v>820</v>
      </c>
      <c r="L210" t="s">
        <v>22</v>
      </c>
      <c r="M210">
        <v>54</v>
      </c>
      <c r="N210" t="s">
        <v>23</v>
      </c>
      <c r="O210">
        <v>214</v>
      </c>
      <c r="P210">
        <v>1</v>
      </c>
      <c r="Q210">
        <v>9442.4699999999993</v>
      </c>
      <c r="R210" s="4">
        <v>45600</v>
      </c>
      <c r="S210" s="6">
        <v>0.33855324074074072</v>
      </c>
      <c r="T210">
        <f t="shared" si="14"/>
        <v>18</v>
      </c>
      <c r="U210" t="str" cm="1">
        <f t="array" ref="U210">_xlfn.IFS(M210&lt;=34,"YOUNG",M210&lt;=54,"MIDDLE AGE",M210&gt;=55,"OLD")</f>
        <v>MIDDLE AGE</v>
      </c>
      <c r="V210" t="str">
        <f t="shared" si="15"/>
        <v>NORMAL</v>
      </c>
    </row>
    <row r="211" spans="1:22" x14ac:dyDescent="0.35">
      <c r="A211" t="s">
        <v>888</v>
      </c>
      <c r="B211" t="s">
        <v>889</v>
      </c>
      <c r="C211">
        <v>321.79000000000002</v>
      </c>
      <c r="D211" s="1">
        <v>45145.729548611111</v>
      </c>
      <c r="E211" s="2">
        <f t="shared" si="12"/>
        <v>0.72954861111065838</v>
      </c>
      <c r="F211" s="3">
        <f t="shared" si="13"/>
        <v>45145</v>
      </c>
      <c r="G211" t="s">
        <v>46</v>
      </c>
      <c r="H211" t="s">
        <v>40</v>
      </c>
      <c r="I211" t="s">
        <v>890</v>
      </c>
      <c r="J211" t="s">
        <v>422</v>
      </c>
      <c r="K211" t="s">
        <v>682</v>
      </c>
      <c r="L211" t="s">
        <v>22</v>
      </c>
      <c r="M211">
        <v>63</v>
      </c>
      <c r="N211" t="s">
        <v>70</v>
      </c>
      <c r="O211">
        <v>61</v>
      </c>
      <c r="P211">
        <v>1</v>
      </c>
      <c r="Q211">
        <v>5959.2</v>
      </c>
      <c r="R211" s="4">
        <v>45600</v>
      </c>
      <c r="S211" s="6">
        <v>0.34028935185185183</v>
      </c>
      <c r="T211">
        <f t="shared" si="14"/>
        <v>17</v>
      </c>
      <c r="U211" t="str" cm="1">
        <f t="array" ref="U211">_xlfn.IFS(M211&lt;=34,"YOUNG",M211&lt;=54,"MIDDLE AGE",M211&gt;=55,"OLD")</f>
        <v>OLD</v>
      </c>
      <c r="V211" t="str">
        <f t="shared" si="15"/>
        <v>NORMAL</v>
      </c>
    </row>
    <row r="212" spans="1:22" x14ac:dyDescent="0.35">
      <c r="A212" t="s">
        <v>891</v>
      </c>
      <c r="B212" t="s">
        <v>892</v>
      </c>
      <c r="C212">
        <v>304.93</v>
      </c>
      <c r="D212" s="1">
        <v>44981.682893518519</v>
      </c>
      <c r="E212" s="2">
        <f t="shared" si="12"/>
        <v>0.68289351851854008</v>
      </c>
      <c r="F212" s="3">
        <f t="shared" si="13"/>
        <v>44981</v>
      </c>
      <c r="G212" t="s">
        <v>17</v>
      </c>
      <c r="H212" t="s">
        <v>595</v>
      </c>
      <c r="I212" t="s">
        <v>893</v>
      </c>
      <c r="J212" t="s">
        <v>894</v>
      </c>
      <c r="K212" t="s">
        <v>634</v>
      </c>
      <c r="L212" t="s">
        <v>22</v>
      </c>
      <c r="M212">
        <v>65</v>
      </c>
      <c r="N212" t="s">
        <v>23</v>
      </c>
      <c r="O212">
        <v>158</v>
      </c>
      <c r="P212">
        <v>1</v>
      </c>
      <c r="Q212">
        <v>13531.22</v>
      </c>
      <c r="R212" s="4">
        <v>45600</v>
      </c>
      <c r="S212" s="6">
        <v>0.33906249999999999</v>
      </c>
      <c r="T212">
        <f t="shared" si="14"/>
        <v>16</v>
      </c>
      <c r="U212" t="str" cm="1">
        <f t="array" ref="U212">_xlfn.IFS(M212&lt;=34,"YOUNG",M212&lt;=54,"MIDDLE AGE",M212&gt;=55,"OLD")</f>
        <v>OLD</v>
      </c>
      <c r="V212" t="str">
        <f t="shared" si="15"/>
        <v>NORMAL</v>
      </c>
    </row>
    <row r="213" spans="1:22" x14ac:dyDescent="0.35">
      <c r="A213" t="s">
        <v>895</v>
      </c>
      <c r="B213" t="s">
        <v>896</v>
      </c>
      <c r="C213">
        <v>432.08</v>
      </c>
      <c r="D213" s="1">
        <v>45138.670081018521</v>
      </c>
      <c r="E213" s="2">
        <f t="shared" si="12"/>
        <v>0.67008101852115942</v>
      </c>
      <c r="F213" s="3">
        <f t="shared" si="13"/>
        <v>45138</v>
      </c>
      <c r="G213" t="s">
        <v>17</v>
      </c>
      <c r="H213" t="s">
        <v>506</v>
      </c>
      <c r="I213" t="s">
        <v>400</v>
      </c>
      <c r="J213" t="s">
        <v>897</v>
      </c>
      <c r="K213" t="s">
        <v>252</v>
      </c>
      <c r="L213" t="s">
        <v>22</v>
      </c>
      <c r="M213">
        <v>40</v>
      </c>
      <c r="N213" t="s">
        <v>23</v>
      </c>
      <c r="O213">
        <v>145</v>
      </c>
      <c r="P213">
        <v>1</v>
      </c>
      <c r="Q213">
        <v>11500.62</v>
      </c>
      <c r="R213" s="4">
        <v>45600</v>
      </c>
      <c r="S213" s="6">
        <v>0.34150462962962963</v>
      </c>
      <c r="T213">
        <f t="shared" si="14"/>
        <v>16</v>
      </c>
      <c r="U213" t="str" cm="1">
        <f t="array" ref="U213">_xlfn.IFS(M213&lt;=34,"YOUNG",M213&lt;=54,"MIDDLE AGE",M213&gt;=55,"OLD")</f>
        <v>MIDDLE AGE</v>
      </c>
      <c r="V213" t="str">
        <f t="shared" si="15"/>
        <v>NORMAL</v>
      </c>
    </row>
    <row r="214" spans="1:22" x14ac:dyDescent="0.35">
      <c r="A214" t="s">
        <v>898</v>
      </c>
      <c r="B214" t="s">
        <v>899</v>
      </c>
      <c r="C214">
        <v>694.2</v>
      </c>
      <c r="D214" s="1">
        <v>45267.680648148147</v>
      </c>
      <c r="E214" s="2">
        <f t="shared" si="12"/>
        <v>0.68064814814715646</v>
      </c>
      <c r="F214" s="3">
        <f t="shared" si="13"/>
        <v>45267</v>
      </c>
      <c r="G214" t="s">
        <v>17</v>
      </c>
      <c r="H214" t="s">
        <v>178</v>
      </c>
      <c r="I214" t="s">
        <v>900</v>
      </c>
      <c r="J214" t="s">
        <v>339</v>
      </c>
      <c r="K214" t="s">
        <v>76</v>
      </c>
      <c r="L214" t="s">
        <v>22</v>
      </c>
      <c r="M214">
        <v>61</v>
      </c>
      <c r="N214" t="s">
        <v>70</v>
      </c>
      <c r="O214">
        <v>72</v>
      </c>
      <c r="P214">
        <v>1</v>
      </c>
      <c r="Q214">
        <v>1389.37</v>
      </c>
      <c r="R214" s="4">
        <v>45600</v>
      </c>
      <c r="S214" s="6">
        <v>0.33846064814814814</v>
      </c>
      <c r="T214">
        <f t="shared" si="14"/>
        <v>16</v>
      </c>
      <c r="U214" t="str" cm="1">
        <f t="array" ref="U214">_xlfn.IFS(M214&lt;=34,"YOUNG",M214&lt;=54,"MIDDLE AGE",M214&gt;=55,"OLD")</f>
        <v>OLD</v>
      </c>
      <c r="V214" t="str">
        <f t="shared" si="15"/>
        <v>NORMAL</v>
      </c>
    </row>
    <row r="215" spans="1:22" x14ac:dyDescent="0.35">
      <c r="A215" t="s">
        <v>901</v>
      </c>
      <c r="B215" t="s">
        <v>722</v>
      </c>
      <c r="C215">
        <v>116.86</v>
      </c>
      <c r="D215" s="1">
        <v>45005.77</v>
      </c>
      <c r="E215" s="2">
        <f t="shared" si="12"/>
        <v>0.76999999999679858</v>
      </c>
      <c r="F215" s="3">
        <f t="shared" si="13"/>
        <v>45005</v>
      </c>
      <c r="G215" t="s">
        <v>17</v>
      </c>
      <c r="H215" t="s">
        <v>108</v>
      </c>
      <c r="I215" t="s">
        <v>902</v>
      </c>
      <c r="J215" t="s">
        <v>903</v>
      </c>
      <c r="K215" t="s">
        <v>769</v>
      </c>
      <c r="L215" t="s">
        <v>22</v>
      </c>
      <c r="M215">
        <v>55</v>
      </c>
      <c r="N215" t="s">
        <v>77</v>
      </c>
      <c r="O215">
        <v>171</v>
      </c>
      <c r="P215">
        <v>1</v>
      </c>
      <c r="Q215">
        <v>6706.56</v>
      </c>
      <c r="R215" s="4">
        <v>45600</v>
      </c>
      <c r="S215" s="6">
        <v>0.34184027777777776</v>
      </c>
      <c r="T215">
        <f t="shared" si="14"/>
        <v>18</v>
      </c>
      <c r="U215" t="str" cm="1">
        <f t="array" ref="U215">_xlfn.IFS(M215&lt;=34,"YOUNG",M215&lt;=54,"MIDDLE AGE",M215&gt;=55,"OLD")</f>
        <v>OLD</v>
      </c>
      <c r="V215" t="str">
        <f t="shared" si="15"/>
        <v>NORMAL</v>
      </c>
    </row>
    <row r="216" spans="1:22" x14ac:dyDescent="0.35">
      <c r="A216" t="s">
        <v>904</v>
      </c>
      <c r="B216" t="s">
        <v>905</v>
      </c>
      <c r="C216">
        <v>386.81</v>
      </c>
      <c r="D216" s="1">
        <v>44988.75199074074</v>
      </c>
      <c r="E216" s="2">
        <f t="shared" si="12"/>
        <v>0.75199074074043892</v>
      </c>
      <c r="F216" s="3">
        <f t="shared" si="13"/>
        <v>44988</v>
      </c>
      <c r="G216" t="s">
        <v>46</v>
      </c>
      <c r="H216" t="s">
        <v>73</v>
      </c>
      <c r="I216" t="s">
        <v>906</v>
      </c>
      <c r="J216" t="s">
        <v>907</v>
      </c>
      <c r="K216" t="s">
        <v>137</v>
      </c>
      <c r="L216" t="s">
        <v>36</v>
      </c>
      <c r="M216">
        <v>57</v>
      </c>
      <c r="N216" t="s">
        <v>23</v>
      </c>
      <c r="O216">
        <v>149</v>
      </c>
      <c r="P216">
        <v>1</v>
      </c>
      <c r="Q216">
        <v>7175.29</v>
      </c>
      <c r="R216" s="4">
        <v>45600</v>
      </c>
      <c r="S216" s="6">
        <v>0.34085648148148145</v>
      </c>
      <c r="T216">
        <f t="shared" si="14"/>
        <v>18</v>
      </c>
      <c r="U216" t="str" cm="1">
        <f t="array" ref="U216">_xlfn.IFS(M216&lt;=34,"YOUNG",M216&lt;=54,"MIDDLE AGE",M216&gt;=55,"OLD")</f>
        <v>OLD</v>
      </c>
      <c r="V216" t="str">
        <f t="shared" si="15"/>
        <v>NORMAL</v>
      </c>
    </row>
    <row r="217" spans="1:22" x14ac:dyDescent="0.35">
      <c r="A217" t="s">
        <v>908</v>
      </c>
      <c r="B217" t="s">
        <v>909</v>
      </c>
      <c r="C217">
        <v>74.88</v>
      </c>
      <c r="D217" s="1">
        <v>45070.684606481482</v>
      </c>
      <c r="E217" s="2">
        <f t="shared" si="12"/>
        <v>0.68460648148175096</v>
      </c>
      <c r="F217" s="3">
        <f t="shared" si="13"/>
        <v>45070</v>
      </c>
      <c r="G217" t="s">
        <v>17</v>
      </c>
      <c r="H217" t="s">
        <v>47</v>
      </c>
      <c r="I217" t="s">
        <v>910</v>
      </c>
      <c r="J217" t="s">
        <v>911</v>
      </c>
      <c r="K217" t="s">
        <v>607</v>
      </c>
      <c r="L217" t="s">
        <v>22</v>
      </c>
      <c r="M217">
        <v>25</v>
      </c>
      <c r="N217" t="s">
        <v>37</v>
      </c>
      <c r="O217">
        <v>202</v>
      </c>
      <c r="P217">
        <v>1</v>
      </c>
      <c r="Q217">
        <v>420.67</v>
      </c>
      <c r="R217" s="4">
        <v>45600</v>
      </c>
      <c r="S217" s="6">
        <v>0.33872685185185186</v>
      </c>
      <c r="T217">
        <f t="shared" si="14"/>
        <v>16</v>
      </c>
      <c r="U217" t="str" cm="1">
        <f t="array" ref="U217">_xlfn.IFS(M217&lt;=34,"YOUNG",M217&lt;=54,"MIDDLE AGE",M217&gt;=55,"OLD")</f>
        <v>YOUNG</v>
      </c>
      <c r="V217" t="str">
        <f t="shared" si="15"/>
        <v>NORMAL</v>
      </c>
    </row>
    <row r="218" spans="1:22" x14ac:dyDescent="0.35">
      <c r="A218" t="s">
        <v>912</v>
      </c>
      <c r="B218" t="s">
        <v>913</v>
      </c>
      <c r="C218">
        <v>195.76</v>
      </c>
      <c r="D218" s="1">
        <v>45068.67869212963</v>
      </c>
      <c r="E218" s="2">
        <f t="shared" si="12"/>
        <v>0.67869212962978054</v>
      </c>
      <c r="F218" s="3">
        <f t="shared" si="13"/>
        <v>45068</v>
      </c>
      <c r="G218" t="s">
        <v>17</v>
      </c>
      <c r="H218" t="s">
        <v>243</v>
      </c>
      <c r="I218" t="s">
        <v>914</v>
      </c>
      <c r="J218" t="s">
        <v>915</v>
      </c>
      <c r="K218" t="s">
        <v>682</v>
      </c>
      <c r="L218" t="s">
        <v>69</v>
      </c>
      <c r="M218">
        <v>75</v>
      </c>
      <c r="N218" t="s">
        <v>70</v>
      </c>
      <c r="O218">
        <v>99</v>
      </c>
      <c r="P218">
        <v>1</v>
      </c>
      <c r="Q218">
        <v>7323.53</v>
      </c>
      <c r="R218" s="4">
        <v>45600</v>
      </c>
      <c r="S218" s="6">
        <v>0.34013888888888888</v>
      </c>
      <c r="T218">
        <f t="shared" si="14"/>
        <v>16</v>
      </c>
      <c r="U218" t="str" cm="1">
        <f t="array" ref="U218">_xlfn.IFS(M218&lt;=34,"YOUNG",M218&lt;=54,"MIDDLE AGE",M218&gt;=55,"OLD")</f>
        <v>OLD</v>
      </c>
      <c r="V218" t="str">
        <f t="shared" si="15"/>
        <v>NORMAL</v>
      </c>
    </row>
    <row r="219" spans="1:22" x14ac:dyDescent="0.35">
      <c r="A219" t="s">
        <v>916</v>
      </c>
      <c r="B219" t="s">
        <v>667</v>
      </c>
      <c r="C219">
        <v>134.69999999999999</v>
      </c>
      <c r="D219" s="1">
        <v>45159.668958333335</v>
      </c>
      <c r="E219" s="2">
        <f t="shared" si="12"/>
        <v>0.66895833333546761</v>
      </c>
      <c r="F219" s="3">
        <f t="shared" si="13"/>
        <v>45159</v>
      </c>
      <c r="G219" t="s">
        <v>17</v>
      </c>
      <c r="H219" t="s">
        <v>157</v>
      </c>
      <c r="I219" t="s">
        <v>917</v>
      </c>
      <c r="J219" t="s">
        <v>918</v>
      </c>
      <c r="K219" t="s">
        <v>226</v>
      </c>
      <c r="L219" t="s">
        <v>22</v>
      </c>
      <c r="M219">
        <v>50</v>
      </c>
      <c r="N219" t="s">
        <v>23</v>
      </c>
      <c r="O219">
        <v>106</v>
      </c>
      <c r="P219">
        <v>1</v>
      </c>
      <c r="Q219">
        <v>8395.85</v>
      </c>
      <c r="R219" s="4">
        <v>45600</v>
      </c>
      <c r="S219" s="6">
        <v>0.34105324074074073</v>
      </c>
      <c r="T219">
        <f t="shared" si="14"/>
        <v>16</v>
      </c>
      <c r="U219" t="str" cm="1">
        <f t="array" ref="U219">_xlfn.IFS(M219&lt;=34,"YOUNG",M219&lt;=54,"MIDDLE AGE",M219&gt;=55,"OLD")</f>
        <v>MIDDLE AGE</v>
      </c>
      <c r="V219" t="str">
        <f t="shared" si="15"/>
        <v>NORMAL</v>
      </c>
    </row>
    <row r="220" spans="1:22" x14ac:dyDescent="0.35">
      <c r="A220" t="s">
        <v>919</v>
      </c>
      <c r="B220" t="s">
        <v>39</v>
      </c>
      <c r="C220">
        <v>890.24</v>
      </c>
      <c r="D220" s="1">
        <v>45114.752581018518</v>
      </c>
      <c r="E220" s="2">
        <f t="shared" si="12"/>
        <v>0.752581018517958</v>
      </c>
      <c r="F220" s="3">
        <f t="shared" si="13"/>
        <v>45114</v>
      </c>
      <c r="G220" t="s">
        <v>46</v>
      </c>
      <c r="H220" t="s">
        <v>146</v>
      </c>
      <c r="I220" t="s">
        <v>920</v>
      </c>
      <c r="J220" t="s">
        <v>921</v>
      </c>
      <c r="K220" t="s">
        <v>175</v>
      </c>
      <c r="L220" t="s">
        <v>36</v>
      </c>
      <c r="M220">
        <v>33</v>
      </c>
      <c r="N220" t="s">
        <v>77</v>
      </c>
      <c r="O220">
        <v>161</v>
      </c>
      <c r="P220">
        <v>1</v>
      </c>
      <c r="Q220">
        <v>5140.93</v>
      </c>
      <c r="R220" s="4">
        <v>45600</v>
      </c>
      <c r="S220" s="6">
        <v>0.33856481481481482</v>
      </c>
      <c r="T220">
        <f t="shared" si="14"/>
        <v>18</v>
      </c>
      <c r="U220" t="str" cm="1">
        <f t="array" ref="U220">_xlfn.IFS(M220&lt;=34,"YOUNG",M220&lt;=54,"MIDDLE AGE",M220&gt;=55,"OLD")</f>
        <v>YOUNG</v>
      </c>
      <c r="V220" t="str">
        <f t="shared" si="15"/>
        <v>NORMAL</v>
      </c>
    </row>
    <row r="221" spans="1:22" x14ac:dyDescent="0.35">
      <c r="A221" t="s">
        <v>922</v>
      </c>
      <c r="B221" t="s">
        <v>923</v>
      </c>
      <c r="C221">
        <v>361.27</v>
      </c>
      <c r="D221" s="1">
        <v>44932.709641203706</v>
      </c>
      <c r="E221" s="2">
        <f t="shared" si="12"/>
        <v>0.70964120370626915</v>
      </c>
      <c r="F221" s="3">
        <f t="shared" si="13"/>
        <v>44932</v>
      </c>
      <c r="G221" t="s">
        <v>17</v>
      </c>
      <c r="H221" t="s">
        <v>296</v>
      </c>
      <c r="I221" t="s">
        <v>924</v>
      </c>
      <c r="J221" t="s">
        <v>925</v>
      </c>
      <c r="K221" t="s">
        <v>769</v>
      </c>
      <c r="L221" t="s">
        <v>22</v>
      </c>
      <c r="M221">
        <v>63</v>
      </c>
      <c r="N221" t="s">
        <v>23</v>
      </c>
      <c r="O221">
        <v>180</v>
      </c>
      <c r="P221">
        <v>1</v>
      </c>
      <c r="Q221">
        <v>7945.57</v>
      </c>
      <c r="R221" s="4">
        <v>45600</v>
      </c>
      <c r="S221" s="6">
        <v>0.34035879629629628</v>
      </c>
      <c r="T221">
        <f t="shared" si="14"/>
        <v>17</v>
      </c>
      <c r="U221" t="str" cm="1">
        <f t="array" ref="U221">_xlfn.IFS(M221&lt;=34,"YOUNG",M221&lt;=54,"MIDDLE AGE",M221&gt;=55,"OLD")</f>
        <v>OLD</v>
      </c>
      <c r="V221" t="str">
        <f t="shared" si="15"/>
        <v>NORMAL</v>
      </c>
    </row>
    <row r="222" spans="1:22" x14ac:dyDescent="0.35">
      <c r="A222" t="s">
        <v>926</v>
      </c>
      <c r="B222" t="s">
        <v>927</v>
      </c>
      <c r="C222">
        <v>131.56</v>
      </c>
      <c r="D222" s="1">
        <v>45218.696261574078</v>
      </c>
      <c r="E222" s="2">
        <f t="shared" si="12"/>
        <v>0.69626157407765277</v>
      </c>
      <c r="F222" s="3">
        <f t="shared" si="13"/>
        <v>45218</v>
      </c>
      <c r="G222" t="s">
        <v>17</v>
      </c>
      <c r="H222" t="s">
        <v>249</v>
      </c>
      <c r="I222" t="s">
        <v>928</v>
      </c>
      <c r="J222" t="s">
        <v>929</v>
      </c>
      <c r="K222" t="s">
        <v>240</v>
      </c>
      <c r="L222" t="s">
        <v>69</v>
      </c>
      <c r="M222">
        <v>44</v>
      </c>
      <c r="N222" t="s">
        <v>23</v>
      </c>
      <c r="O222">
        <v>42</v>
      </c>
      <c r="P222">
        <v>1</v>
      </c>
      <c r="Q222">
        <v>5873.54</v>
      </c>
      <c r="R222" s="4">
        <v>45600</v>
      </c>
      <c r="S222" s="6">
        <v>0.33833333333333332</v>
      </c>
      <c r="T222">
        <f t="shared" si="14"/>
        <v>16</v>
      </c>
      <c r="U222" t="str" cm="1">
        <f t="array" ref="U222">_xlfn.IFS(M222&lt;=34,"YOUNG",M222&lt;=54,"MIDDLE AGE",M222&gt;=55,"OLD")</f>
        <v>MIDDLE AGE</v>
      </c>
      <c r="V222" t="str">
        <f t="shared" si="15"/>
        <v>NORMAL</v>
      </c>
    </row>
    <row r="223" spans="1:22" x14ac:dyDescent="0.35">
      <c r="A223" t="s">
        <v>930</v>
      </c>
      <c r="B223" t="s">
        <v>931</v>
      </c>
      <c r="C223">
        <v>485.51</v>
      </c>
      <c r="D223" s="1">
        <v>45258.701006944444</v>
      </c>
      <c r="E223" s="2">
        <f t="shared" si="12"/>
        <v>0.70100694444408873</v>
      </c>
      <c r="F223" s="3">
        <f t="shared" si="13"/>
        <v>45258</v>
      </c>
      <c r="G223" t="s">
        <v>46</v>
      </c>
      <c r="H223" t="s">
        <v>178</v>
      </c>
      <c r="I223" t="s">
        <v>932</v>
      </c>
      <c r="J223" t="s">
        <v>933</v>
      </c>
      <c r="K223" t="s">
        <v>348</v>
      </c>
      <c r="L223" t="s">
        <v>36</v>
      </c>
      <c r="M223">
        <v>76</v>
      </c>
      <c r="N223" t="s">
        <v>70</v>
      </c>
      <c r="O223">
        <v>37</v>
      </c>
      <c r="P223">
        <v>1</v>
      </c>
      <c r="Q223">
        <v>3074.45</v>
      </c>
      <c r="R223" s="4">
        <v>45600</v>
      </c>
      <c r="S223" s="6">
        <v>0.33891203703703704</v>
      </c>
      <c r="T223">
        <f t="shared" si="14"/>
        <v>16</v>
      </c>
      <c r="U223" t="str" cm="1">
        <f t="array" ref="U223">_xlfn.IFS(M223&lt;=34,"YOUNG",M223&lt;=54,"MIDDLE AGE",M223&gt;=55,"OLD")</f>
        <v>OLD</v>
      </c>
      <c r="V223" t="str">
        <f t="shared" si="15"/>
        <v>NORMAL</v>
      </c>
    </row>
    <row r="224" spans="1:22" x14ac:dyDescent="0.35">
      <c r="A224" t="s">
        <v>934</v>
      </c>
      <c r="B224" t="s">
        <v>935</v>
      </c>
      <c r="C224">
        <v>547.87</v>
      </c>
      <c r="D224" s="1">
        <v>45117.7190625</v>
      </c>
      <c r="E224" s="2">
        <f t="shared" si="12"/>
        <v>0.71906250000029104</v>
      </c>
      <c r="F224" s="3">
        <f t="shared" si="13"/>
        <v>45117</v>
      </c>
      <c r="G224" t="s">
        <v>17</v>
      </c>
      <c r="H224" t="s">
        <v>125</v>
      </c>
      <c r="I224" t="s">
        <v>936</v>
      </c>
      <c r="J224" t="s">
        <v>937</v>
      </c>
      <c r="K224" t="s">
        <v>331</v>
      </c>
      <c r="L224" t="s">
        <v>22</v>
      </c>
      <c r="M224">
        <v>64</v>
      </c>
      <c r="N224" t="s">
        <v>70</v>
      </c>
      <c r="O224">
        <v>131</v>
      </c>
      <c r="P224">
        <v>1</v>
      </c>
      <c r="Q224">
        <v>6155.76</v>
      </c>
      <c r="R224" s="4">
        <v>45600</v>
      </c>
      <c r="S224" s="6">
        <v>0.34063657407407405</v>
      </c>
      <c r="T224">
        <f t="shared" si="14"/>
        <v>17</v>
      </c>
      <c r="U224" t="str" cm="1">
        <f t="array" ref="U224">_xlfn.IFS(M224&lt;=34,"YOUNG",M224&lt;=54,"MIDDLE AGE",M224&gt;=55,"OLD")</f>
        <v>OLD</v>
      </c>
      <c r="V224" t="str">
        <f t="shared" si="15"/>
        <v>NORMAL</v>
      </c>
    </row>
    <row r="225" spans="1:22" x14ac:dyDescent="0.35">
      <c r="A225" t="s">
        <v>938</v>
      </c>
      <c r="B225" t="s">
        <v>839</v>
      </c>
      <c r="C225">
        <v>457.3</v>
      </c>
      <c r="D225" s="1">
        <v>45103.767604166664</v>
      </c>
      <c r="E225" s="2">
        <f t="shared" si="12"/>
        <v>0.76760416666365927</v>
      </c>
      <c r="F225" s="3">
        <f t="shared" si="13"/>
        <v>45103</v>
      </c>
      <c r="G225" t="s">
        <v>17</v>
      </c>
      <c r="H225" t="s">
        <v>301</v>
      </c>
      <c r="I225" t="s">
        <v>939</v>
      </c>
      <c r="J225" t="s">
        <v>940</v>
      </c>
      <c r="K225" t="s">
        <v>564</v>
      </c>
      <c r="L225" t="s">
        <v>36</v>
      </c>
      <c r="M225">
        <v>28</v>
      </c>
      <c r="N225" t="s">
        <v>77</v>
      </c>
      <c r="O225">
        <v>15</v>
      </c>
      <c r="P225">
        <v>1</v>
      </c>
      <c r="Q225">
        <v>8318.2900000000009</v>
      </c>
      <c r="R225" s="4">
        <v>45600</v>
      </c>
      <c r="S225" s="6">
        <v>0.33880787037037036</v>
      </c>
      <c r="T225">
        <f t="shared" si="14"/>
        <v>18</v>
      </c>
      <c r="U225" t="str" cm="1">
        <f t="array" ref="U225">_xlfn.IFS(M225&lt;=34,"YOUNG",M225&lt;=54,"MIDDLE AGE",M225&gt;=55,"OLD")</f>
        <v>YOUNG</v>
      </c>
      <c r="V225" t="str">
        <f t="shared" si="15"/>
        <v>NORMAL</v>
      </c>
    </row>
    <row r="226" spans="1:22" x14ac:dyDescent="0.35">
      <c r="A226" t="s">
        <v>941</v>
      </c>
      <c r="B226" t="s">
        <v>942</v>
      </c>
      <c r="C226">
        <v>506.24</v>
      </c>
      <c r="D226" s="1">
        <v>44939.697523148148</v>
      </c>
      <c r="E226" s="2">
        <f t="shared" si="12"/>
        <v>0.69752314814832062</v>
      </c>
      <c r="F226" s="3">
        <f t="shared" si="13"/>
        <v>44939</v>
      </c>
      <c r="G226" t="s">
        <v>17</v>
      </c>
      <c r="H226" t="s">
        <v>265</v>
      </c>
      <c r="I226" t="s">
        <v>943</v>
      </c>
      <c r="J226" t="s">
        <v>944</v>
      </c>
      <c r="K226" t="s">
        <v>543</v>
      </c>
      <c r="L226" t="s">
        <v>22</v>
      </c>
      <c r="M226">
        <v>58</v>
      </c>
      <c r="N226" t="s">
        <v>77</v>
      </c>
      <c r="O226">
        <v>64</v>
      </c>
      <c r="P226">
        <v>1</v>
      </c>
      <c r="Q226">
        <v>230.09</v>
      </c>
      <c r="R226" s="4">
        <v>45600</v>
      </c>
      <c r="S226" s="6">
        <v>0.34143518518518517</v>
      </c>
      <c r="T226">
        <f t="shared" si="14"/>
        <v>16</v>
      </c>
      <c r="U226" t="str" cm="1">
        <f t="array" ref="U226">_xlfn.IFS(M226&lt;=34,"YOUNG",M226&lt;=54,"MIDDLE AGE",M226&gt;=55,"OLD")</f>
        <v>OLD</v>
      </c>
      <c r="V226" t="str">
        <f t="shared" si="15"/>
        <v>NORMAL</v>
      </c>
    </row>
    <row r="227" spans="1:22" x14ac:dyDescent="0.35">
      <c r="A227" t="s">
        <v>945</v>
      </c>
      <c r="B227" t="s">
        <v>946</v>
      </c>
      <c r="C227">
        <v>486.59</v>
      </c>
      <c r="D227" s="1">
        <v>45279.705057870371</v>
      </c>
      <c r="E227" s="2">
        <f t="shared" si="12"/>
        <v>0.70505787037109258</v>
      </c>
      <c r="F227" s="3">
        <f t="shared" si="13"/>
        <v>45279</v>
      </c>
      <c r="G227" t="s">
        <v>17</v>
      </c>
      <c r="H227" t="s">
        <v>65</v>
      </c>
      <c r="I227" t="s">
        <v>947</v>
      </c>
      <c r="J227" t="s">
        <v>948</v>
      </c>
      <c r="K227" t="s">
        <v>111</v>
      </c>
      <c r="L227" t="s">
        <v>69</v>
      </c>
      <c r="M227">
        <v>57</v>
      </c>
      <c r="N227" t="s">
        <v>70</v>
      </c>
      <c r="O227">
        <v>119</v>
      </c>
      <c r="P227">
        <v>1</v>
      </c>
      <c r="Q227">
        <v>2513.56</v>
      </c>
      <c r="R227" s="4">
        <v>45600</v>
      </c>
      <c r="S227" s="6">
        <v>0.34030092592592592</v>
      </c>
      <c r="T227">
        <f t="shared" si="14"/>
        <v>16</v>
      </c>
      <c r="U227" t="str" cm="1">
        <f t="array" ref="U227">_xlfn.IFS(M227&lt;=34,"YOUNG",M227&lt;=54,"MIDDLE AGE",M227&gt;=55,"OLD")</f>
        <v>OLD</v>
      </c>
      <c r="V227" t="str">
        <f t="shared" si="15"/>
        <v>NORMAL</v>
      </c>
    </row>
    <row r="228" spans="1:22" x14ac:dyDescent="0.35">
      <c r="A228" t="s">
        <v>949</v>
      </c>
      <c r="B228" t="s">
        <v>950</v>
      </c>
      <c r="C228">
        <v>163.68</v>
      </c>
      <c r="D228" s="1">
        <v>45197.681215277778</v>
      </c>
      <c r="E228" s="2">
        <f t="shared" si="12"/>
        <v>0.68121527777839219</v>
      </c>
      <c r="F228" s="3">
        <f t="shared" si="13"/>
        <v>45197</v>
      </c>
      <c r="G228" t="s">
        <v>17</v>
      </c>
      <c r="H228" t="s">
        <v>18</v>
      </c>
      <c r="I228" t="s">
        <v>951</v>
      </c>
      <c r="J228" t="s">
        <v>194</v>
      </c>
      <c r="K228" t="s">
        <v>343</v>
      </c>
      <c r="L228" t="s">
        <v>69</v>
      </c>
      <c r="M228">
        <v>41</v>
      </c>
      <c r="N228" t="s">
        <v>23</v>
      </c>
      <c r="O228">
        <v>292</v>
      </c>
      <c r="P228">
        <v>1</v>
      </c>
      <c r="Q228">
        <v>10090.049999999999</v>
      </c>
      <c r="R228" s="4">
        <v>45600</v>
      </c>
      <c r="S228" s="6">
        <v>0.34098379629629627</v>
      </c>
      <c r="T228">
        <f t="shared" si="14"/>
        <v>16</v>
      </c>
      <c r="U228" t="str" cm="1">
        <f t="array" ref="U228">_xlfn.IFS(M228&lt;=34,"YOUNG",M228&lt;=54,"MIDDLE AGE",M228&gt;=55,"OLD")</f>
        <v>MIDDLE AGE</v>
      </c>
      <c r="V228" t="str">
        <f t="shared" si="15"/>
        <v>NORMAL</v>
      </c>
    </row>
    <row r="229" spans="1:22" x14ac:dyDescent="0.35">
      <c r="A229" t="s">
        <v>952</v>
      </c>
      <c r="B229" t="s">
        <v>300</v>
      </c>
      <c r="C229">
        <v>581.65</v>
      </c>
      <c r="D229" s="1">
        <v>44935.704837962963</v>
      </c>
      <c r="E229" s="2">
        <f t="shared" si="12"/>
        <v>0.70483796296321088</v>
      </c>
      <c r="F229" s="3">
        <f t="shared" si="13"/>
        <v>44935</v>
      </c>
      <c r="G229" t="s">
        <v>17</v>
      </c>
      <c r="H229" t="s">
        <v>388</v>
      </c>
      <c r="I229" t="s">
        <v>768</v>
      </c>
      <c r="J229" t="s">
        <v>953</v>
      </c>
      <c r="K229" t="s">
        <v>35</v>
      </c>
      <c r="L229" t="s">
        <v>22</v>
      </c>
      <c r="M229">
        <v>22</v>
      </c>
      <c r="N229" t="s">
        <v>37</v>
      </c>
      <c r="O229">
        <v>176</v>
      </c>
      <c r="P229">
        <v>1</v>
      </c>
      <c r="Q229">
        <v>480.19</v>
      </c>
      <c r="R229" s="4">
        <v>45600</v>
      </c>
      <c r="S229" s="6">
        <v>0.3400347222222222</v>
      </c>
      <c r="T229">
        <f t="shared" si="14"/>
        <v>16</v>
      </c>
      <c r="U229" t="str" cm="1">
        <f t="array" ref="U229">_xlfn.IFS(M229&lt;=34,"YOUNG",M229&lt;=54,"MIDDLE AGE",M229&gt;=55,"OLD")</f>
        <v>YOUNG</v>
      </c>
      <c r="V229" t="str">
        <f t="shared" si="15"/>
        <v>NORMAL</v>
      </c>
    </row>
    <row r="230" spans="1:22" x14ac:dyDescent="0.35">
      <c r="A230" t="s">
        <v>954</v>
      </c>
      <c r="B230" t="s">
        <v>305</v>
      </c>
      <c r="C230">
        <v>52.01</v>
      </c>
      <c r="D230" s="1">
        <v>45237.698657407411</v>
      </c>
      <c r="E230" s="2">
        <f t="shared" si="12"/>
        <v>0.69865740741079208</v>
      </c>
      <c r="F230" s="3">
        <f t="shared" si="13"/>
        <v>45237</v>
      </c>
      <c r="G230" t="s">
        <v>17</v>
      </c>
      <c r="H230" t="s">
        <v>32</v>
      </c>
      <c r="I230" t="s">
        <v>955</v>
      </c>
      <c r="J230" t="s">
        <v>956</v>
      </c>
      <c r="K230" t="s">
        <v>62</v>
      </c>
      <c r="L230" t="s">
        <v>22</v>
      </c>
      <c r="M230">
        <v>48</v>
      </c>
      <c r="N230" t="s">
        <v>23</v>
      </c>
      <c r="O230">
        <v>85</v>
      </c>
      <c r="P230">
        <v>1</v>
      </c>
      <c r="Q230">
        <v>1120.8800000000001</v>
      </c>
      <c r="R230" s="4">
        <v>45600</v>
      </c>
      <c r="S230" s="6">
        <v>0.34128472222222223</v>
      </c>
      <c r="T230">
        <f t="shared" si="14"/>
        <v>16</v>
      </c>
      <c r="U230" t="str" cm="1">
        <f t="array" ref="U230">_xlfn.IFS(M230&lt;=34,"YOUNG",M230&lt;=54,"MIDDLE AGE",M230&gt;=55,"OLD")</f>
        <v>MIDDLE AGE</v>
      </c>
      <c r="V230" t="str">
        <f t="shared" si="15"/>
        <v>NORMAL</v>
      </c>
    </row>
    <row r="231" spans="1:22" x14ac:dyDescent="0.35">
      <c r="A231" t="s">
        <v>957</v>
      </c>
      <c r="B231" t="s">
        <v>333</v>
      </c>
      <c r="C231">
        <v>630.24</v>
      </c>
      <c r="D231" s="1">
        <v>45259.757291666669</v>
      </c>
      <c r="E231" s="2">
        <f t="shared" si="12"/>
        <v>0.75729166666860692</v>
      </c>
      <c r="F231" s="3">
        <f t="shared" si="13"/>
        <v>45259</v>
      </c>
      <c r="G231" t="s">
        <v>17</v>
      </c>
      <c r="H231" t="s">
        <v>388</v>
      </c>
      <c r="I231" t="s">
        <v>351</v>
      </c>
      <c r="J231" t="s">
        <v>958</v>
      </c>
      <c r="K231" t="s">
        <v>56</v>
      </c>
      <c r="L231" t="s">
        <v>22</v>
      </c>
      <c r="M231">
        <v>21</v>
      </c>
      <c r="N231" t="s">
        <v>37</v>
      </c>
      <c r="O231">
        <v>62</v>
      </c>
      <c r="P231">
        <v>1</v>
      </c>
      <c r="Q231">
        <v>370.81</v>
      </c>
      <c r="R231" s="4">
        <v>45600</v>
      </c>
      <c r="S231" s="6">
        <v>0.34157407407407409</v>
      </c>
      <c r="T231">
        <f t="shared" si="14"/>
        <v>18</v>
      </c>
      <c r="U231" t="str" cm="1">
        <f t="array" ref="U231">_xlfn.IFS(M231&lt;=34,"YOUNG",M231&lt;=54,"MIDDLE AGE",M231&gt;=55,"OLD")</f>
        <v>YOUNG</v>
      </c>
      <c r="V231" t="str">
        <f t="shared" si="15"/>
        <v>NORMAL</v>
      </c>
    </row>
    <row r="232" spans="1:22" x14ac:dyDescent="0.35">
      <c r="A232" t="s">
        <v>959</v>
      </c>
      <c r="B232" t="s">
        <v>264</v>
      </c>
      <c r="C232">
        <v>523.74</v>
      </c>
      <c r="D232" s="1">
        <v>45232.692094907405</v>
      </c>
      <c r="E232" s="2">
        <f t="shared" si="12"/>
        <v>0.69209490740468027</v>
      </c>
      <c r="F232" s="3">
        <f t="shared" si="13"/>
        <v>45232</v>
      </c>
      <c r="G232" t="s">
        <v>17</v>
      </c>
      <c r="H232" t="s">
        <v>53</v>
      </c>
      <c r="I232" t="s">
        <v>960</v>
      </c>
      <c r="J232" t="s">
        <v>535</v>
      </c>
      <c r="K232" t="s">
        <v>514</v>
      </c>
      <c r="L232" t="s">
        <v>22</v>
      </c>
      <c r="M232">
        <v>43</v>
      </c>
      <c r="N232" t="s">
        <v>23</v>
      </c>
      <c r="O232">
        <v>159</v>
      </c>
      <c r="P232">
        <v>1</v>
      </c>
      <c r="Q232">
        <v>13498.55</v>
      </c>
      <c r="R232" s="4">
        <v>45600</v>
      </c>
      <c r="S232" s="6">
        <v>0.33810185185185188</v>
      </c>
      <c r="T232">
        <f t="shared" si="14"/>
        <v>16</v>
      </c>
      <c r="U232" t="str" cm="1">
        <f t="array" ref="U232">_xlfn.IFS(M232&lt;=34,"YOUNG",M232&lt;=54,"MIDDLE AGE",M232&gt;=55,"OLD")</f>
        <v>MIDDLE AGE</v>
      </c>
      <c r="V232" t="str">
        <f t="shared" si="15"/>
        <v>NORMAL</v>
      </c>
    </row>
    <row r="233" spans="1:22" x14ac:dyDescent="0.35">
      <c r="A233" t="s">
        <v>961</v>
      </c>
      <c r="B233" t="s">
        <v>962</v>
      </c>
      <c r="C233">
        <v>705.6</v>
      </c>
      <c r="D233" s="1">
        <v>44977.778969907406</v>
      </c>
      <c r="E233" s="2">
        <f t="shared" si="12"/>
        <v>0.77896990740555339</v>
      </c>
      <c r="F233" s="3">
        <f t="shared" si="13"/>
        <v>44977</v>
      </c>
      <c r="G233" t="s">
        <v>17</v>
      </c>
      <c r="H233" t="s">
        <v>425</v>
      </c>
      <c r="I233" t="s">
        <v>270</v>
      </c>
      <c r="J233" t="s">
        <v>963</v>
      </c>
      <c r="K233" t="s">
        <v>358</v>
      </c>
      <c r="L233" t="s">
        <v>69</v>
      </c>
      <c r="M233">
        <v>40</v>
      </c>
      <c r="N233" t="s">
        <v>23</v>
      </c>
      <c r="O233">
        <v>124</v>
      </c>
      <c r="P233">
        <v>3</v>
      </c>
      <c r="Q233">
        <v>14804.7</v>
      </c>
      <c r="R233" s="4">
        <v>45600</v>
      </c>
      <c r="S233" s="6">
        <v>0.33962962962962961</v>
      </c>
      <c r="T233">
        <f t="shared" si="14"/>
        <v>18</v>
      </c>
      <c r="U233" t="str" cm="1">
        <f t="array" ref="U233">_xlfn.IFS(M233&lt;=34,"YOUNG",M233&lt;=54,"MIDDLE AGE",M233&gt;=55,"OLD")</f>
        <v>MIDDLE AGE</v>
      </c>
      <c r="V233" t="str">
        <f t="shared" si="15"/>
        <v>HIGH</v>
      </c>
    </row>
    <row r="234" spans="1:22" x14ac:dyDescent="0.35">
      <c r="A234" t="s">
        <v>964</v>
      </c>
      <c r="B234" t="s">
        <v>965</v>
      </c>
      <c r="C234">
        <v>217.5</v>
      </c>
      <c r="D234" s="1">
        <v>45222.788055555553</v>
      </c>
      <c r="E234" s="2">
        <f t="shared" si="12"/>
        <v>0.78805555555300089</v>
      </c>
      <c r="F234" s="3">
        <f t="shared" si="13"/>
        <v>45222</v>
      </c>
      <c r="G234" t="s">
        <v>46</v>
      </c>
      <c r="H234" t="s">
        <v>114</v>
      </c>
      <c r="I234" t="s">
        <v>966</v>
      </c>
      <c r="J234" t="s">
        <v>571</v>
      </c>
      <c r="K234" t="s">
        <v>169</v>
      </c>
      <c r="L234" t="s">
        <v>69</v>
      </c>
      <c r="M234">
        <v>46</v>
      </c>
      <c r="N234" t="s">
        <v>77</v>
      </c>
      <c r="O234">
        <v>35</v>
      </c>
      <c r="P234">
        <v>1</v>
      </c>
      <c r="Q234">
        <v>3057.4</v>
      </c>
      <c r="R234" s="4">
        <v>45600</v>
      </c>
      <c r="S234" s="6">
        <v>0.33817129629629628</v>
      </c>
      <c r="T234">
        <f t="shared" si="14"/>
        <v>18</v>
      </c>
      <c r="U234" t="str" cm="1">
        <f t="array" ref="U234">_xlfn.IFS(M234&lt;=34,"YOUNG",M234&lt;=54,"MIDDLE AGE",M234&gt;=55,"OLD")</f>
        <v>MIDDLE AGE</v>
      </c>
      <c r="V234" t="str">
        <f t="shared" si="15"/>
        <v>NORMAL</v>
      </c>
    </row>
    <row r="235" spans="1:22" x14ac:dyDescent="0.35">
      <c r="A235" t="s">
        <v>967</v>
      </c>
      <c r="B235" t="s">
        <v>968</v>
      </c>
      <c r="C235">
        <v>91.48</v>
      </c>
      <c r="D235" s="1">
        <v>44949.701747685183</v>
      </c>
      <c r="E235" s="2">
        <f t="shared" si="12"/>
        <v>0.7017476851833635</v>
      </c>
      <c r="F235" s="3">
        <f t="shared" si="13"/>
        <v>44949</v>
      </c>
      <c r="G235" t="s">
        <v>17</v>
      </c>
      <c r="H235" t="s">
        <v>157</v>
      </c>
      <c r="I235" t="s">
        <v>393</v>
      </c>
      <c r="J235" t="s">
        <v>969</v>
      </c>
      <c r="K235" t="s">
        <v>427</v>
      </c>
      <c r="L235" t="s">
        <v>22</v>
      </c>
      <c r="M235">
        <v>51</v>
      </c>
      <c r="N235" t="s">
        <v>23</v>
      </c>
      <c r="O235">
        <v>141</v>
      </c>
      <c r="P235">
        <v>1</v>
      </c>
      <c r="Q235">
        <v>14942.78</v>
      </c>
      <c r="R235" s="4">
        <v>45600</v>
      </c>
      <c r="S235" s="6">
        <v>0.33978009259259262</v>
      </c>
      <c r="T235">
        <f t="shared" si="14"/>
        <v>16</v>
      </c>
      <c r="U235" t="str" cm="1">
        <f t="array" ref="U235">_xlfn.IFS(M235&lt;=34,"YOUNG",M235&lt;=54,"MIDDLE AGE",M235&gt;=55,"OLD")</f>
        <v>MIDDLE AGE</v>
      </c>
      <c r="V235" t="str">
        <f t="shared" si="15"/>
        <v>NORMAL</v>
      </c>
    </row>
    <row r="236" spans="1:22" x14ac:dyDescent="0.35">
      <c r="A236" t="s">
        <v>970</v>
      </c>
      <c r="B236" t="s">
        <v>962</v>
      </c>
      <c r="C236">
        <v>5.25</v>
      </c>
      <c r="D236" s="1">
        <v>45243.768333333333</v>
      </c>
      <c r="E236" s="2">
        <f t="shared" si="12"/>
        <v>0.76833333333343035</v>
      </c>
      <c r="F236" s="3">
        <f t="shared" si="13"/>
        <v>45243</v>
      </c>
      <c r="G236" t="s">
        <v>17</v>
      </c>
      <c r="H236" t="s">
        <v>223</v>
      </c>
      <c r="I236" t="s">
        <v>971</v>
      </c>
      <c r="J236" t="s">
        <v>972</v>
      </c>
      <c r="K236" t="s">
        <v>752</v>
      </c>
      <c r="L236" t="s">
        <v>22</v>
      </c>
      <c r="M236">
        <v>39</v>
      </c>
      <c r="N236" t="s">
        <v>23</v>
      </c>
      <c r="O236">
        <v>49</v>
      </c>
      <c r="P236">
        <v>1</v>
      </c>
      <c r="Q236">
        <v>14143.32</v>
      </c>
      <c r="R236" s="4">
        <v>45600</v>
      </c>
      <c r="S236" s="6">
        <v>0.34192129629629631</v>
      </c>
      <c r="T236">
        <f t="shared" si="14"/>
        <v>18</v>
      </c>
      <c r="U236" t="str" cm="1">
        <f t="array" ref="U236">_xlfn.IFS(M236&lt;=34,"YOUNG",M236&lt;=54,"MIDDLE AGE",M236&gt;=55,"OLD")</f>
        <v>MIDDLE AGE</v>
      </c>
      <c r="V236" t="str">
        <f t="shared" si="15"/>
        <v>NORMAL</v>
      </c>
    </row>
    <row r="237" spans="1:22" x14ac:dyDescent="0.35">
      <c r="A237" t="s">
        <v>973</v>
      </c>
      <c r="B237" t="s">
        <v>974</v>
      </c>
      <c r="C237">
        <v>54.03</v>
      </c>
      <c r="D237" s="1">
        <v>45188.719976851855</v>
      </c>
      <c r="E237" s="2">
        <f t="shared" si="12"/>
        <v>0.71997685185488081</v>
      </c>
      <c r="F237" s="3">
        <f t="shared" si="13"/>
        <v>45188</v>
      </c>
      <c r="G237" t="s">
        <v>46</v>
      </c>
      <c r="H237" t="s">
        <v>178</v>
      </c>
      <c r="I237" t="s">
        <v>975</v>
      </c>
      <c r="J237" t="s">
        <v>976</v>
      </c>
      <c r="K237" t="s">
        <v>343</v>
      </c>
      <c r="L237" t="s">
        <v>22</v>
      </c>
      <c r="M237">
        <v>56</v>
      </c>
      <c r="N237" t="s">
        <v>70</v>
      </c>
      <c r="O237">
        <v>161</v>
      </c>
      <c r="P237">
        <v>1</v>
      </c>
      <c r="Q237">
        <v>6736.3</v>
      </c>
      <c r="R237" s="4">
        <v>45600</v>
      </c>
      <c r="S237" s="6">
        <v>0.33861111111111108</v>
      </c>
      <c r="T237">
        <f t="shared" si="14"/>
        <v>17</v>
      </c>
      <c r="U237" t="str" cm="1">
        <f t="array" ref="U237">_xlfn.IFS(M237&lt;=34,"YOUNG",M237&lt;=54,"MIDDLE AGE",M237&gt;=55,"OLD")</f>
        <v>OLD</v>
      </c>
      <c r="V237" t="str">
        <f t="shared" si="15"/>
        <v>NORMAL</v>
      </c>
    </row>
    <row r="238" spans="1:22" x14ac:dyDescent="0.35">
      <c r="A238" t="s">
        <v>977</v>
      </c>
      <c r="B238" t="s">
        <v>641</v>
      </c>
      <c r="C238">
        <v>736.73</v>
      </c>
      <c r="D238" s="1">
        <v>45257.670451388891</v>
      </c>
      <c r="E238" s="2">
        <f t="shared" si="12"/>
        <v>0.67045138889079681</v>
      </c>
      <c r="F238" s="3">
        <f t="shared" si="13"/>
        <v>45257</v>
      </c>
      <c r="G238" t="s">
        <v>17</v>
      </c>
      <c r="H238" t="s">
        <v>92</v>
      </c>
      <c r="I238" t="s">
        <v>978</v>
      </c>
      <c r="J238" t="s">
        <v>979</v>
      </c>
      <c r="K238" t="s">
        <v>980</v>
      </c>
      <c r="L238" t="s">
        <v>69</v>
      </c>
      <c r="M238">
        <v>48</v>
      </c>
      <c r="N238" t="s">
        <v>77</v>
      </c>
      <c r="O238">
        <v>10</v>
      </c>
      <c r="P238">
        <v>1</v>
      </c>
      <c r="Q238">
        <v>3313.07</v>
      </c>
      <c r="R238" s="4">
        <v>45600</v>
      </c>
      <c r="S238" s="6">
        <v>0.34090277777777778</v>
      </c>
      <c r="T238">
        <f t="shared" si="14"/>
        <v>16</v>
      </c>
      <c r="U238" t="str" cm="1">
        <f t="array" ref="U238">_xlfn.IFS(M238&lt;=34,"YOUNG",M238&lt;=54,"MIDDLE AGE",M238&gt;=55,"OLD")</f>
        <v>MIDDLE AGE</v>
      </c>
      <c r="V238" t="str">
        <f t="shared" si="15"/>
        <v>NORMAL</v>
      </c>
    </row>
    <row r="239" spans="1:22" x14ac:dyDescent="0.35">
      <c r="A239" t="s">
        <v>981</v>
      </c>
      <c r="B239" t="s">
        <v>801</v>
      </c>
      <c r="C239">
        <v>368.91</v>
      </c>
      <c r="D239" s="1">
        <v>44995.743020833332</v>
      </c>
      <c r="E239" s="2">
        <f t="shared" si="12"/>
        <v>0.74302083333168412</v>
      </c>
      <c r="F239" s="3">
        <f t="shared" si="13"/>
        <v>44995</v>
      </c>
      <c r="G239" t="s">
        <v>17</v>
      </c>
      <c r="H239" t="s">
        <v>301</v>
      </c>
      <c r="I239" t="s">
        <v>982</v>
      </c>
      <c r="J239" t="s">
        <v>983</v>
      </c>
      <c r="K239" t="s">
        <v>984</v>
      </c>
      <c r="L239" t="s">
        <v>69</v>
      </c>
      <c r="M239">
        <v>54</v>
      </c>
      <c r="N239" t="s">
        <v>23</v>
      </c>
      <c r="O239">
        <v>14</v>
      </c>
      <c r="P239">
        <v>1</v>
      </c>
      <c r="Q239">
        <v>829.71</v>
      </c>
      <c r="R239" s="4">
        <v>45600</v>
      </c>
      <c r="S239" s="6">
        <v>0.34060185185185188</v>
      </c>
      <c r="T239">
        <f t="shared" si="14"/>
        <v>17</v>
      </c>
      <c r="U239" t="str" cm="1">
        <f t="array" ref="U239">_xlfn.IFS(M239&lt;=34,"YOUNG",M239&lt;=54,"MIDDLE AGE",M239&gt;=55,"OLD")</f>
        <v>MIDDLE AGE</v>
      </c>
      <c r="V239" t="str">
        <f t="shared" si="15"/>
        <v>NORMAL</v>
      </c>
    </row>
    <row r="240" spans="1:22" x14ac:dyDescent="0.35">
      <c r="A240" t="s">
        <v>985</v>
      </c>
      <c r="B240" t="s">
        <v>986</v>
      </c>
      <c r="C240">
        <v>33.06</v>
      </c>
      <c r="D240" s="1">
        <v>44943.669224537036</v>
      </c>
      <c r="E240" s="2">
        <f t="shared" si="12"/>
        <v>0.669224537035916</v>
      </c>
      <c r="F240" s="3">
        <f t="shared" si="13"/>
        <v>44943</v>
      </c>
      <c r="G240" t="s">
        <v>46</v>
      </c>
      <c r="H240" t="s">
        <v>157</v>
      </c>
      <c r="I240" t="s">
        <v>987</v>
      </c>
      <c r="J240" t="s">
        <v>602</v>
      </c>
      <c r="K240" t="s">
        <v>414</v>
      </c>
      <c r="L240" t="s">
        <v>36</v>
      </c>
      <c r="M240">
        <v>53</v>
      </c>
      <c r="N240" t="s">
        <v>70</v>
      </c>
      <c r="O240">
        <v>170</v>
      </c>
      <c r="P240">
        <v>1</v>
      </c>
      <c r="Q240">
        <v>1540.87</v>
      </c>
      <c r="R240" s="4">
        <v>45600</v>
      </c>
      <c r="S240" s="6">
        <v>0.33799768518518519</v>
      </c>
      <c r="T240">
        <f t="shared" si="14"/>
        <v>16</v>
      </c>
      <c r="U240" t="str" cm="1">
        <f t="array" ref="U240">_xlfn.IFS(M240&lt;=34,"YOUNG",M240&lt;=54,"MIDDLE AGE",M240&gt;=55,"OLD")</f>
        <v>MIDDLE AGE</v>
      </c>
      <c r="V240" t="str">
        <f t="shared" si="15"/>
        <v>NORMAL</v>
      </c>
    </row>
    <row r="241" spans="1:22" x14ac:dyDescent="0.35">
      <c r="A241" t="s">
        <v>988</v>
      </c>
      <c r="B241" t="s">
        <v>989</v>
      </c>
      <c r="C241">
        <v>66.5</v>
      </c>
      <c r="D241" s="1">
        <v>45050.697870370372</v>
      </c>
      <c r="E241" s="2">
        <f t="shared" si="12"/>
        <v>0.69787037037167465</v>
      </c>
      <c r="F241" s="3">
        <f t="shared" si="13"/>
        <v>45050</v>
      </c>
      <c r="G241" t="s">
        <v>46</v>
      </c>
      <c r="H241" t="s">
        <v>108</v>
      </c>
      <c r="I241" t="s">
        <v>990</v>
      </c>
      <c r="J241" t="s">
        <v>991</v>
      </c>
      <c r="K241" t="s">
        <v>634</v>
      </c>
      <c r="L241" t="s">
        <v>36</v>
      </c>
      <c r="M241">
        <v>32</v>
      </c>
      <c r="N241" t="s">
        <v>77</v>
      </c>
      <c r="O241">
        <v>144</v>
      </c>
      <c r="P241">
        <v>1</v>
      </c>
      <c r="Q241">
        <v>6820.23</v>
      </c>
      <c r="R241" s="4">
        <v>45600</v>
      </c>
      <c r="S241" s="6">
        <v>0.33895833333333331</v>
      </c>
      <c r="T241">
        <f t="shared" si="14"/>
        <v>16</v>
      </c>
      <c r="U241" t="str" cm="1">
        <f t="array" ref="U241">_xlfn.IFS(M241&lt;=34,"YOUNG",M241&lt;=54,"MIDDLE AGE",M241&gt;=55,"OLD")</f>
        <v>YOUNG</v>
      </c>
      <c r="V241" t="str">
        <f t="shared" si="15"/>
        <v>NORMAL</v>
      </c>
    </row>
    <row r="242" spans="1:22" x14ac:dyDescent="0.35">
      <c r="A242" t="s">
        <v>992</v>
      </c>
      <c r="B242" t="s">
        <v>993</v>
      </c>
      <c r="C242">
        <v>177.08</v>
      </c>
      <c r="D242" s="1">
        <v>44932.719953703701</v>
      </c>
      <c r="E242" s="2">
        <f t="shared" si="12"/>
        <v>0.7199537037013215</v>
      </c>
      <c r="F242" s="3">
        <f t="shared" si="13"/>
        <v>44932</v>
      </c>
      <c r="G242" t="s">
        <v>17</v>
      </c>
      <c r="H242" t="s">
        <v>146</v>
      </c>
      <c r="I242" t="s">
        <v>994</v>
      </c>
      <c r="J242" t="s">
        <v>995</v>
      </c>
      <c r="K242" t="s">
        <v>240</v>
      </c>
      <c r="L242" t="s">
        <v>36</v>
      </c>
      <c r="M242">
        <v>35</v>
      </c>
      <c r="N242" t="s">
        <v>23</v>
      </c>
      <c r="O242">
        <v>85</v>
      </c>
      <c r="P242">
        <v>1</v>
      </c>
      <c r="Q242">
        <v>13475.14</v>
      </c>
      <c r="R242" s="4">
        <v>45600</v>
      </c>
      <c r="S242" s="6">
        <v>0.34190972222222221</v>
      </c>
      <c r="T242">
        <f t="shared" si="14"/>
        <v>17</v>
      </c>
      <c r="U242" t="str" cm="1">
        <f t="array" ref="U242">_xlfn.IFS(M242&lt;=34,"YOUNG",M242&lt;=54,"MIDDLE AGE",M242&gt;=55,"OLD")</f>
        <v>MIDDLE AGE</v>
      </c>
      <c r="V242" t="str">
        <f t="shared" si="15"/>
        <v>NORMAL</v>
      </c>
    </row>
    <row r="243" spans="1:22" x14ac:dyDescent="0.35">
      <c r="A243" t="s">
        <v>996</v>
      </c>
      <c r="B243" t="s">
        <v>997</v>
      </c>
      <c r="C243">
        <v>588.54</v>
      </c>
      <c r="D243" s="1">
        <v>44963.748240740744</v>
      </c>
      <c r="E243" s="2">
        <f t="shared" si="12"/>
        <v>0.74824074074422242</v>
      </c>
      <c r="F243" s="3">
        <f t="shared" si="13"/>
        <v>44963</v>
      </c>
      <c r="G243" t="s">
        <v>17</v>
      </c>
      <c r="H243" t="s">
        <v>595</v>
      </c>
      <c r="I243" t="s">
        <v>998</v>
      </c>
      <c r="J243" t="s">
        <v>999</v>
      </c>
      <c r="K243" t="s">
        <v>1000</v>
      </c>
      <c r="L243" t="s">
        <v>69</v>
      </c>
      <c r="M243">
        <v>32</v>
      </c>
      <c r="N243" t="s">
        <v>77</v>
      </c>
      <c r="O243">
        <v>130</v>
      </c>
      <c r="P243">
        <v>1</v>
      </c>
      <c r="Q243">
        <v>714.45</v>
      </c>
      <c r="R243" s="4">
        <v>45600</v>
      </c>
      <c r="S243" s="6">
        <v>0.34070601851851851</v>
      </c>
      <c r="T243">
        <f t="shared" si="14"/>
        <v>17</v>
      </c>
      <c r="U243" t="str" cm="1">
        <f t="array" ref="U243">_xlfn.IFS(M243&lt;=34,"YOUNG",M243&lt;=54,"MIDDLE AGE",M243&gt;=55,"OLD")</f>
        <v>YOUNG</v>
      </c>
      <c r="V243" t="str">
        <f t="shared" si="15"/>
        <v>NORMAL</v>
      </c>
    </row>
    <row r="244" spans="1:22" x14ac:dyDescent="0.35">
      <c r="A244" t="s">
        <v>1001</v>
      </c>
      <c r="B244" t="s">
        <v>222</v>
      </c>
      <c r="C244">
        <v>173.5</v>
      </c>
      <c r="D244" s="1">
        <v>45222.719675925924</v>
      </c>
      <c r="E244" s="2">
        <f t="shared" si="12"/>
        <v>0.71967592592409346</v>
      </c>
      <c r="F244" s="3">
        <f t="shared" si="13"/>
        <v>45222</v>
      </c>
      <c r="G244" t="s">
        <v>17</v>
      </c>
      <c r="H244" t="s">
        <v>80</v>
      </c>
      <c r="I244" t="s">
        <v>33</v>
      </c>
      <c r="J244" t="s">
        <v>1002</v>
      </c>
      <c r="K244" t="s">
        <v>29</v>
      </c>
      <c r="L244" t="s">
        <v>22</v>
      </c>
      <c r="M244">
        <v>21</v>
      </c>
      <c r="N244" t="s">
        <v>37</v>
      </c>
      <c r="O244">
        <v>282</v>
      </c>
      <c r="P244">
        <v>1</v>
      </c>
      <c r="Q244">
        <v>1306.9100000000001</v>
      </c>
      <c r="R244" s="4">
        <v>45600</v>
      </c>
      <c r="S244" s="6">
        <v>0.34157407407407409</v>
      </c>
      <c r="T244">
        <f t="shared" si="14"/>
        <v>17</v>
      </c>
      <c r="U244" t="str" cm="1">
        <f t="array" ref="U244">_xlfn.IFS(M244&lt;=34,"YOUNG",M244&lt;=54,"MIDDLE AGE",M244&gt;=55,"OLD")</f>
        <v>YOUNG</v>
      </c>
      <c r="V244" t="str">
        <f t="shared" si="15"/>
        <v>NORMAL</v>
      </c>
    </row>
    <row r="245" spans="1:22" x14ac:dyDescent="0.35">
      <c r="A245" t="s">
        <v>1003</v>
      </c>
      <c r="B245" t="s">
        <v>1004</v>
      </c>
      <c r="C245">
        <v>78.33</v>
      </c>
      <c r="D245" s="1">
        <v>45138.675833333335</v>
      </c>
      <c r="E245" s="2">
        <f t="shared" si="12"/>
        <v>0.6758333333345945</v>
      </c>
      <c r="F245" s="3">
        <f t="shared" si="13"/>
        <v>45138</v>
      </c>
      <c r="G245" t="s">
        <v>46</v>
      </c>
      <c r="H245" t="s">
        <v>92</v>
      </c>
      <c r="I245" t="s">
        <v>1005</v>
      </c>
      <c r="J245" t="s">
        <v>567</v>
      </c>
      <c r="K245" t="s">
        <v>853</v>
      </c>
      <c r="L245" t="s">
        <v>36</v>
      </c>
      <c r="M245">
        <v>56</v>
      </c>
      <c r="N245" t="s">
        <v>77</v>
      </c>
      <c r="O245">
        <v>189</v>
      </c>
      <c r="P245">
        <v>1</v>
      </c>
      <c r="Q245">
        <v>7255.33</v>
      </c>
      <c r="R245" s="4">
        <v>45600</v>
      </c>
      <c r="S245" s="6">
        <v>0.33909722222222222</v>
      </c>
      <c r="T245">
        <f t="shared" si="14"/>
        <v>16</v>
      </c>
      <c r="U245" t="str" cm="1">
        <f t="array" ref="U245">_xlfn.IFS(M245&lt;=34,"YOUNG",M245&lt;=54,"MIDDLE AGE",M245&gt;=55,"OLD")</f>
        <v>OLD</v>
      </c>
      <c r="V245" t="str">
        <f t="shared" si="15"/>
        <v>NORMAL</v>
      </c>
    </row>
    <row r="246" spans="1:22" x14ac:dyDescent="0.35">
      <c r="A246" t="s">
        <v>1006</v>
      </c>
      <c r="B246" t="s">
        <v>935</v>
      </c>
      <c r="C246">
        <v>40.659999999999997</v>
      </c>
      <c r="D246" s="1">
        <v>45292.672789351855</v>
      </c>
      <c r="E246" s="2">
        <f t="shared" si="12"/>
        <v>0.67278935185458977</v>
      </c>
      <c r="F246" s="3">
        <f t="shared" si="13"/>
        <v>45292</v>
      </c>
      <c r="G246" t="s">
        <v>17</v>
      </c>
      <c r="H246" t="s">
        <v>108</v>
      </c>
      <c r="I246" t="s">
        <v>939</v>
      </c>
      <c r="J246" t="s">
        <v>1007</v>
      </c>
      <c r="K246" t="s">
        <v>885</v>
      </c>
      <c r="L246" t="s">
        <v>69</v>
      </c>
      <c r="M246">
        <v>59</v>
      </c>
      <c r="N246" t="s">
        <v>70</v>
      </c>
      <c r="O246">
        <v>156</v>
      </c>
      <c r="P246">
        <v>1</v>
      </c>
      <c r="Q246">
        <v>1153.8399999999999</v>
      </c>
      <c r="R246" s="4">
        <v>45600</v>
      </c>
      <c r="S246" s="6">
        <v>0.34129629629629632</v>
      </c>
      <c r="T246">
        <f t="shared" si="14"/>
        <v>16</v>
      </c>
      <c r="U246" t="str" cm="1">
        <f t="array" ref="U246">_xlfn.IFS(M246&lt;=34,"YOUNG",M246&lt;=54,"MIDDLE AGE",M246&gt;=55,"OLD")</f>
        <v>OLD</v>
      </c>
      <c r="V246" t="str">
        <f t="shared" si="15"/>
        <v>NORMAL</v>
      </c>
    </row>
    <row r="247" spans="1:22" x14ac:dyDescent="0.35">
      <c r="A247" t="s">
        <v>1008</v>
      </c>
      <c r="B247" t="s">
        <v>1009</v>
      </c>
      <c r="C247">
        <v>97.22</v>
      </c>
      <c r="D247" s="1">
        <v>44977.729386574072</v>
      </c>
      <c r="E247" s="2">
        <f t="shared" si="12"/>
        <v>0.72938657407212304</v>
      </c>
      <c r="F247" s="3">
        <f t="shared" si="13"/>
        <v>44977</v>
      </c>
      <c r="G247" t="s">
        <v>46</v>
      </c>
      <c r="H247" t="s">
        <v>47</v>
      </c>
      <c r="I247" t="s">
        <v>1010</v>
      </c>
      <c r="J247" t="s">
        <v>937</v>
      </c>
      <c r="K247" t="s">
        <v>370</v>
      </c>
      <c r="L247" t="s">
        <v>69</v>
      </c>
      <c r="M247">
        <v>77</v>
      </c>
      <c r="N247" t="s">
        <v>70</v>
      </c>
      <c r="O247">
        <v>55</v>
      </c>
      <c r="P247">
        <v>1</v>
      </c>
      <c r="Q247">
        <v>6647.73</v>
      </c>
      <c r="R247" s="4">
        <v>45600</v>
      </c>
      <c r="S247" s="6">
        <v>0.3411689814814815</v>
      </c>
      <c r="T247">
        <f t="shared" si="14"/>
        <v>17</v>
      </c>
      <c r="U247" t="str" cm="1">
        <f t="array" ref="U247">_xlfn.IFS(M247&lt;=34,"YOUNG",M247&lt;=54,"MIDDLE AGE",M247&gt;=55,"OLD")</f>
        <v>OLD</v>
      </c>
      <c r="V247" t="str">
        <f t="shared" si="15"/>
        <v>NORMAL</v>
      </c>
    </row>
    <row r="248" spans="1:22" x14ac:dyDescent="0.35">
      <c r="A248" t="s">
        <v>1011</v>
      </c>
      <c r="B248" t="s">
        <v>1012</v>
      </c>
      <c r="C248">
        <v>34.07</v>
      </c>
      <c r="D248" s="1">
        <v>45236.724282407406</v>
      </c>
      <c r="E248" s="2">
        <f t="shared" si="12"/>
        <v>0.72428240740555339</v>
      </c>
      <c r="F248" s="3">
        <f t="shared" si="13"/>
        <v>45236</v>
      </c>
      <c r="G248" t="s">
        <v>17</v>
      </c>
      <c r="H248" t="s">
        <v>243</v>
      </c>
      <c r="I248" t="s">
        <v>688</v>
      </c>
      <c r="J248" t="s">
        <v>1013</v>
      </c>
      <c r="K248" t="s">
        <v>1014</v>
      </c>
      <c r="L248" t="s">
        <v>69</v>
      </c>
      <c r="M248">
        <v>22</v>
      </c>
      <c r="N248" t="s">
        <v>37</v>
      </c>
      <c r="O248">
        <v>81</v>
      </c>
      <c r="P248">
        <v>1</v>
      </c>
      <c r="Q248">
        <v>8709.77</v>
      </c>
      <c r="R248" s="4">
        <v>45600</v>
      </c>
      <c r="S248" s="6">
        <v>0.3384375</v>
      </c>
      <c r="T248">
        <f t="shared" si="14"/>
        <v>17</v>
      </c>
      <c r="U248" t="str" cm="1">
        <f t="array" ref="U248">_xlfn.IFS(M248&lt;=34,"YOUNG",M248&lt;=54,"MIDDLE AGE",M248&gt;=55,"OLD")</f>
        <v>YOUNG</v>
      </c>
      <c r="V248" t="str">
        <f t="shared" si="15"/>
        <v>NORMAL</v>
      </c>
    </row>
    <row r="249" spans="1:22" x14ac:dyDescent="0.35">
      <c r="A249" t="s">
        <v>1015</v>
      </c>
      <c r="B249" t="s">
        <v>1016</v>
      </c>
      <c r="C249">
        <v>492.06</v>
      </c>
      <c r="D249" s="1">
        <v>45218.676562499997</v>
      </c>
      <c r="E249" s="2">
        <f t="shared" si="12"/>
        <v>0.67656249999708962</v>
      </c>
      <c r="F249" s="3">
        <f t="shared" si="13"/>
        <v>45218</v>
      </c>
      <c r="G249" t="s">
        <v>17</v>
      </c>
      <c r="H249" t="s">
        <v>558</v>
      </c>
      <c r="I249" t="s">
        <v>1017</v>
      </c>
      <c r="J249" t="s">
        <v>1018</v>
      </c>
      <c r="K249" t="s">
        <v>445</v>
      </c>
      <c r="L249" t="s">
        <v>36</v>
      </c>
      <c r="M249">
        <v>23</v>
      </c>
      <c r="N249" t="s">
        <v>37</v>
      </c>
      <c r="O249">
        <v>74</v>
      </c>
      <c r="P249">
        <v>1</v>
      </c>
      <c r="Q249">
        <v>857.9</v>
      </c>
      <c r="R249" s="4">
        <v>45600</v>
      </c>
      <c r="S249" s="6">
        <v>0.34023148148148147</v>
      </c>
      <c r="T249">
        <f t="shared" si="14"/>
        <v>16</v>
      </c>
      <c r="U249" t="str" cm="1">
        <f t="array" ref="U249">_xlfn.IFS(M249&lt;=34,"YOUNG",M249&lt;=54,"MIDDLE AGE",M249&gt;=55,"OLD")</f>
        <v>YOUNG</v>
      </c>
      <c r="V249" t="str">
        <f t="shared" si="15"/>
        <v>NORMAL</v>
      </c>
    </row>
    <row r="250" spans="1:22" x14ac:dyDescent="0.35">
      <c r="A250" t="s">
        <v>1019</v>
      </c>
      <c r="B250" t="s">
        <v>1020</v>
      </c>
      <c r="C250">
        <v>842.01</v>
      </c>
      <c r="D250" s="1">
        <v>45181.696840277778</v>
      </c>
      <c r="E250" s="2">
        <f t="shared" si="12"/>
        <v>0.69684027777839219</v>
      </c>
      <c r="F250" s="3">
        <f t="shared" si="13"/>
        <v>45181</v>
      </c>
      <c r="G250" t="s">
        <v>46</v>
      </c>
      <c r="H250" t="s">
        <v>301</v>
      </c>
      <c r="I250" t="s">
        <v>1021</v>
      </c>
      <c r="J250" t="s">
        <v>493</v>
      </c>
      <c r="K250" t="s">
        <v>21</v>
      </c>
      <c r="L250" t="s">
        <v>36</v>
      </c>
      <c r="M250">
        <v>53</v>
      </c>
      <c r="N250" t="s">
        <v>23</v>
      </c>
      <c r="O250">
        <v>185</v>
      </c>
      <c r="P250">
        <v>1</v>
      </c>
      <c r="Q250">
        <v>509.45</v>
      </c>
      <c r="R250" s="4">
        <v>45600</v>
      </c>
      <c r="S250" s="6">
        <v>0.33927083333333335</v>
      </c>
      <c r="T250">
        <f t="shared" si="14"/>
        <v>16</v>
      </c>
      <c r="U250" t="str" cm="1">
        <f t="array" ref="U250">_xlfn.IFS(M250&lt;=34,"YOUNG",M250&lt;=54,"MIDDLE AGE",M250&gt;=55,"OLD")</f>
        <v>MIDDLE AGE</v>
      </c>
      <c r="V250" t="str">
        <f t="shared" si="15"/>
        <v>NORMAL</v>
      </c>
    </row>
    <row r="251" spans="1:22" x14ac:dyDescent="0.35">
      <c r="A251" t="s">
        <v>1022</v>
      </c>
      <c r="B251" t="s">
        <v>1023</v>
      </c>
      <c r="C251">
        <v>73.55</v>
      </c>
      <c r="D251" s="1">
        <v>44935.673472222225</v>
      </c>
      <c r="E251" s="2">
        <f t="shared" si="12"/>
        <v>0.67347222222451819</v>
      </c>
      <c r="F251" s="3">
        <f t="shared" si="13"/>
        <v>44935</v>
      </c>
      <c r="G251" t="s">
        <v>17</v>
      </c>
      <c r="H251" t="s">
        <v>47</v>
      </c>
      <c r="I251" t="s">
        <v>1024</v>
      </c>
      <c r="J251" t="s">
        <v>1025</v>
      </c>
      <c r="K251" t="s">
        <v>572</v>
      </c>
      <c r="L251" t="s">
        <v>22</v>
      </c>
      <c r="M251">
        <v>51</v>
      </c>
      <c r="N251" t="s">
        <v>77</v>
      </c>
      <c r="O251">
        <v>158</v>
      </c>
      <c r="P251">
        <v>1</v>
      </c>
      <c r="Q251">
        <v>2812.06</v>
      </c>
      <c r="R251" s="4">
        <v>45600</v>
      </c>
      <c r="S251" s="6">
        <v>0.34121527777777777</v>
      </c>
      <c r="T251">
        <f t="shared" si="14"/>
        <v>16</v>
      </c>
      <c r="U251" t="str" cm="1">
        <f t="array" ref="U251">_xlfn.IFS(M251&lt;=34,"YOUNG",M251&lt;=54,"MIDDLE AGE",M251&gt;=55,"OLD")</f>
        <v>MIDDLE AGE</v>
      </c>
      <c r="V251" t="str">
        <f t="shared" si="15"/>
        <v>NORMAL</v>
      </c>
    </row>
    <row r="252" spans="1:22" x14ac:dyDescent="0.35">
      <c r="A252" t="s">
        <v>1026</v>
      </c>
      <c r="B252" t="s">
        <v>1027</v>
      </c>
      <c r="C252">
        <v>760.53</v>
      </c>
      <c r="D252" s="1">
        <v>45173.759317129632</v>
      </c>
      <c r="E252" s="2">
        <f t="shared" si="12"/>
        <v>0.75931712963210884</v>
      </c>
      <c r="F252" s="3">
        <f t="shared" si="13"/>
        <v>45173</v>
      </c>
      <c r="G252" t="s">
        <v>17</v>
      </c>
      <c r="H252" t="s">
        <v>425</v>
      </c>
      <c r="I252" t="s">
        <v>1028</v>
      </c>
      <c r="J252" t="s">
        <v>793</v>
      </c>
      <c r="K252" t="s">
        <v>262</v>
      </c>
      <c r="L252" t="s">
        <v>36</v>
      </c>
      <c r="M252">
        <v>57</v>
      </c>
      <c r="N252" t="s">
        <v>77</v>
      </c>
      <c r="O252">
        <v>118</v>
      </c>
      <c r="P252">
        <v>1</v>
      </c>
      <c r="Q252">
        <v>6179.91</v>
      </c>
      <c r="R252" s="4">
        <v>45600</v>
      </c>
      <c r="S252" s="6">
        <v>0.33998842592592593</v>
      </c>
      <c r="T252">
        <f t="shared" si="14"/>
        <v>18</v>
      </c>
      <c r="U252" t="str" cm="1">
        <f t="array" ref="U252">_xlfn.IFS(M252&lt;=34,"YOUNG",M252&lt;=54,"MIDDLE AGE",M252&gt;=55,"OLD")</f>
        <v>OLD</v>
      </c>
      <c r="V252" t="str">
        <f t="shared" si="15"/>
        <v>NORMAL</v>
      </c>
    </row>
    <row r="253" spans="1:22" x14ac:dyDescent="0.35">
      <c r="A253" t="s">
        <v>1029</v>
      </c>
      <c r="B253" t="s">
        <v>1030</v>
      </c>
      <c r="C253">
        <v>273.08</v>
      </c>
      <c r="D253" s="1">
        <v>44956.673009259262</v>
      </c>
      <c r="E253" s="2">
        <f t="shared" si="12"/>
        <v>0.67300925926247146</v>
      </c>
      <c r="F253" s="3">
        <f t="shared" si="13"/>
        <v>44956</v>
      </c>
      <c r="G253" t="s">
        <v>46</v>
      </c>
      <c r="H253" t="s">
        <v>26</v>
      </c>
      <c r="I253" t="s">
        <v>1031</v>
      </c>
      <c r="J253" t="s">
        <v>1032</v>
      </c>
      <c r="K253" t="s">
        <v>83</v>
      </c>
      <c r="L253" t="s">
        <v>69</v>
      </c>
      <c r="M253">
        <v>26</v>
      </c>
      <c r="N253" t="s">
        <v>77</v>
      </c>
      <c r="O253">
        <v>134</v>
      </c>
      <c r="P253">
        <v>1</v>
      </c>
      <c r="Q253">
        <v>6609.3</v>
      </c>
      <c r="R253" s="4">
        <v>45600</v>
      </c>
      <c r="S253" s="6">
        <v>0.33885416666666668</v>
      </c>
      <c r="T253">
        <f t="shared" si="14"/>
        <v>16</v>
      </c>
      <c r="U253" t="str" cm="1">
        <f t="array" ref="U253">_xlfn.IFS(M253&lt;=34,"YOUNG",M253&lt;=54,"MIDDLE AGE",M253&gt;=55,"OLD")</f>
        <v>YOUNG</v>
      </c>
      <c r="V253" t="str">
        <f t="shared" si="15"/>
        <v>NORMAL</v>
      </c>
    </row>
    <row r="254" spans="1:22" x14ac:dyDescent="0.35">
      <c r="A254" t="s">
        <v>1033</v>
      </c>
      <c r="B254" t="s">
        <v>167</v>
      </c>
      <c r="C254">
        <v>371.69</v>
      </c>
      <c r="D254" s="1">
        <v>45282.685983796298</v>
      </c>
      <c r="E254" s="2">
        <f t="shared" si="12"/>
        <v>0.68598379629838746</v>
      </c>
      <c r="F254" s="3">
        <f t="shared" si="13"/>
        <v>45282</v>
      </c>
      <c r="G254" t="s">
        <v>17</v>
      </c>
      <c r="H254" t="s">
        <v>212</v>
      </c>
      <c r="I254" t="s">
        <v>873</v>
      </c>
      <c r="J254" t="s">
        <v>1034</v>
      </c>
      <c r="K254" t="s">
        <v>68</v>
      </c>
      <c r="L254" t="s">
        <v>69</v>
      </c>
      <c r="M254">
        <v>67</v>
      </c>
      <c r="N254" t="s">
        <v>70</v>
      </c>
      <c r="O254">
        <v>143</v>
      </c>
      <c r="P254">
        <v>1</v>
      </c>
      <c r="Q254">
        <v>3484.32</v>
      </c>
      <c r="R254" s="4">
        <v>45600</v>
      </c>
      <c r="S254" s="6">
        <v>0.3402662037037037</v>
      </c>
      <c r="T254">
        <f t="shared" si="14"/>
        <v>16</v>
      </c>
      <c r="U254" t="str" cm="1">
        <f t="array" ref="U254">_xlfn.IFS(M254&lt;=34,"YOUNG",M254&lt;=54,"MIDDLE AGE",M254&gt;=55,"OLD")</f>
        <v>OLD</v>
      </c>
      <c r="V254" t="str">
        <f t="shared" si="15"/>
        <v>NORMAL</v>
      </c>
    </row>
    <row r="255" spans="1:22" x14ac:dyDescent="0.35">
      <c r="A255" t="s">
        <v>1035</v>
      </c>
      <c r="B255" t="s">
        <v>698</v>
      </c>
      <c r="C255">
        <v>218.96</v>
      </c>
      <c r="D255" s="1">
        <v>45168.674849537034</v>
      </c>
      <c r="E255" s="2">
        <f t="shared" si="12"/>
        <v>0.67484953703387873</v>
      </c>
      <c r="F255" s="3">
        <f t="shared" si="13"/>
        <v>45168</v>
      </c>
      <c r="G255" t="s">
        <v>17</v>
      </c>
      <c r="H255" t="s">
        <v>59</v>
      </c>
      <c r="I255" t="s">
        <v>658</v>
      </c>
      <c r="J255" t="s">
        <v>1036</v>
      </c>
      <c r="K255" t="s">
        <v>1037</v>
      </c>
      <c r="L255" t="s">
        <v>22</v>
      </c>
      <c r="M255">
        <v>18</v>
      </c>
      <c r="N255" t="s">
        <v>37</v>
      </c>
      <c r="O255">
        <v>13</v>
      </c>
      <c r="P255">
        <v>1</v>
      </c>
      <c r="Q255">
        <v>754.21</v>
      </c>
      <c r="R255" s="4">
        <v>45600</v>
      </c>
      <c r="S255" s="6">
        <v>0.34068287037037037</v>
      </c>
      <c r="T255">
        <f t="shared" si="14"/>
        <v>16</v>
      </c>
      <c r="U255" t="str" cm="1">
        <f t="array" ref="U255">_xlfn.IFS(M255&lt;=34,"YOUNG",M255&lt;=54,"MIDDLE AGE",M255&gt;=55,"OLD")</f>
        <v>YOUNG</v>
      </c>
      <c r="V255" t="str">
        <f t="shared" si="15"/>
        <v>NORMAL</v>
      </c>
    </row>
    <row r="256" spans="1:22" x14ac:dyDescent="0.35">
      <c r="A256" t="s">
        <v>1038</v>
      </c>
      <c r="B256" t="s">
        <v>962</v>
      </c>
      <c r="C256">
        <v>227.39</v>
      </c>
      <c r="D256" s="1">
        <v>45285.70716435185</v>
      </c>
      <c r="E256" s="2">
        <f t="shared" si="12"/>
        <v>0.70716435185022419</v>
      </c>
      <c r="F256" s="3">
        <f t="shared" si="13"/>
        <v>45285</v>
      </c>
      <c r="G256" t="s">
        <v>17</v>
      </c>
      <c r="H256" t="s">
        <v>47</v>
      </c>
      <c r="I256" t="s">
        <v>1039</v>
      </c>
      <c r="J256" t="s">
        <v>523</v>
      </c>
      <c r="K256" t="s">
        <v>752</v>
      </c>
      <c r="L256" t="s">
        <v>36</v>
      </c>
      <c r="M256">
        <v>18</v>
      </c>
      <c r="N256" t="s">
        <v>37</v>
      </c>
      <c r="O256">
        <v>65</v>
      </c>
      <c r="P256">
        <v>1</v>
      </c>
      <c r="Q256">
        <v>751.09</v>
      </c>
      <c r="R256" s="4">
        <v>45600</v>
      </c>
      <c r="S256" s="6">
        <v>0.34138888888888891</v>
      </c>
      <c r="T256">
        <f t="shared" si="14"/>
        <v>16</v>
      </c>
      <c r="U256" t="str" cm="1">
        <f t="array" ref="U256">_xlfn.IFS(M256&lt;=34,"YOUNG",M256&lt;=54,"MIDDLE AGE",M256&gt;=55,"OLD")</f>
        <v>YOUNG</v>
      </c>
      <c r="V256" t="str">
        <f t="shared" si="15"/>
        <v>NORMAL</v>
      </c>
    </row>
    <row r="257" spans="1:22" x14ac:dyDescent="0.35">
      <c r="A257" t="s">
        <v>1040</v>
      </c>
      <c r="B257" t="s">
        <v>817</v>
      </c>
      <c r="C257">
        <v>237.99</v>
      </c>
      <c r="D257" s="1">
        <v>45054.69804398148</v>
      </c>
      <c r="E257" s="2">
        <f t="shared" si="12"/>
        <v>0.69804398147971369</v>
      </c>
      <c r="F257" s="3">
        <f t="shared" si="13"/>
        <v>45054</v>
      </c>
      <c r="G257" t="s">
        <v>46</v>
      </c>
      <c r="H257" t="s">
        <v>291</v>
      </c>
      <c r="I257" t="s">
        <v>1041</v>
      </c>
      <c r="J257" t="s">
        <v>1042</v>
      </c>
      <c r="K257" t="s">
        <v>169</v>
      </c>
      <c r="L257" t="s">
        <v>69</v>
      </c>
      <c r="M257">
        <v>39</v>
      </c>
      <c r="N257" t="s">
        <v>23</v>
      </c>
      <c r="O257">
        <v>86</v>
      </c>
      <c r="P257">
        <v>1</v>
      </c>
      <c r="Q257">
        <v>8510.09</v>
      </c>
      <c r="R257" s="4">
        <v>45600</v>
      </c>
      <c r="S257" s="6">
        <v>0.34138888888888891</v>
      </c>
      <c r="T257">
        <f t="shared" si="14"/>
        <v>16</v>
      </c>
      <c r="U257" t="str" cm="1">
        <f t="array" ref="U257">_xlfn.IFS(M257&lt;=34,"YOUNG",M257&lt;=54,"MIDDLE AGE",M257&gt;=55,"OLD")</f>
        <v>MIDDLE AGE</v>
      </c>
      <c r="V257" t="str">
        <f t="shared" si="15"/>
        <v>NORMAL</v>
      </c>
    </row>
    <row r="258" spans="1:22" x14ac:dyDescent="0.35">
      <c r="A258" t="s">
        <v>1043</v>
      </c>
      <c r="B258" t="s">
        <v>1044</v>
      </c>
      <c r="C258">
        <v>186.6</v>
      </c>
      <c r="D258" s="1">
        <v>45111.685682870368</v>
      </c>
      <c r="E258" s="2">
        <f t="shared" ref="E258:E321" si="16">D258-INT(D258)</f>
        <v>0.68568287036760012</v>
      </c>
      <c r="F258" s="3">
        <f t="shared" ref="F258:F321" si="17">INT(D258)</f>
        <v>45111</v>
      </c>
      <c r="G258" t="s">
        <v>17</v>
      </c>
      <c r="H258" t="s">
        <v>453</v>
      </c>
      <c r="I258" t="s">
        <v>1045</v>
      </c>
      <c r="J258" t="s">
        <v>1046</v>
      </c>
      <c r="K258" t="s">
        <v>980</v>
      </c>
      <c r="L258" t="s">
        <v>36</v>
      </c>
      <c r="M258">
        <v>58</v>
      </c>
      <c r="N258" t="s">
        <v>23</v>
      </c>
      <c r="O258">
        <v>13</v>
      </c>
      <c r="P258">
        <v>1</v>
      </c>
      <c r="Q258">
        <v>1508.72</v>
      </c>
      <c r="R258" s="4">
        <v>45600</v>
      </c>
      <c r="S258" s="6">
        <v>0.33777777777777779</v>
      </c>
      <c r="T258">
        <f t="shared" si="14"/>
        <v>16</v>
      </c>
      <c r="U258" t="str" cm="1">
        <f t="array" ref="U258">_xlfn.IFS(M258&lt;=34,"YOUNG",M258&lt;=54,"MIDDLE AGE",M258&gt;=55,"OLD")</f>
        <v>OLD</v>
      </c>
      <c r="V258" t="str">
        <f t="shared" si="15"/>
        <v>NORMAL</v>
      </c>
    </row>
    <row r="259" spans="1:22" x14ac:dyDescent="0.35">
      <c r="A259" t="s">
        <v>1047</v>
      </c>
      <c r="B259" t="s">
        <v>962</v>
      </c>
      <c r="C259">
        <v>341.15</v>
      </c>
      <c r="D259" s="1">
        <v>44970.721006944441</v>
      </c>
      <c r="E259" s="2">
        <f t="shared" si="16"/>
        <v>0.72100694444088731</v>
      </c>
      <c r="F259" s="3">
        <f t="shared" si="17"/>
        <v>44970</v>
      </c>
      <c r="G259" t="s">
        <v>17</v>
      </c>
      <c r="H259" t="s">
        <v>223</v>
      </c>
      <c r="I259" t="s">
        <v>457</v>
      </c>
      <c r="J259" t="s">
        <v>1048</v>
      </c>
      <c r="K259" t="s">
        <v>564</v>
      </c>
      <c r="L259" t="s">
        <v>36</v>
      </c>
      <c r="M259">
        <v>18</v>
      </c>
      <c r="N259" t="s">
        <v>37</v>
      </c>
      <c r="O259">
        <v>148</v>
      </c>
      <c r="P259">
        <v>1</v>
      </c>
      <c r="Q259">
        <v>511.37</v>
      </c>
      <c r="R259" s="4">
        <v>45600</v>
      </c>
      <c r="S259" s="6">
        <v>0.34038194444444442</v>
      </c>
      <c r="T259">
        <f t="shared" ref="T259:T322" si="18">HOUR(E259)</f>
        <v>17</v>
      </c>
      <c r="U259" t="str" cm="1">
        <f t="array" ref="U259">_xlfn.IFS(M259&lt;=34,"YOUNG",M259&lt;=54,"MIDDLE AGE",M259&gt;=55,"OLD")</f>
        <v>YOUNG</v>
      </c>
      <c r="V259" t="str">
        <f t="shared" ref="V259:V322" si="19">IF(P259&gt;1,"HIGH","NORMAL")</f>
        <v>NORMAL</v>
      </c>
    </row>
    <row r="260" spans="1:22" x14ac:dyDescent="0.35">
      <c r="A260" t="s">
        <v>1049</v>
      </c>
      <c r="B260" t="s">
        <v>781</v>
      </c>
      <c r="C260">
        <v>434.58</v>
      </c>
      <c r="D260" s="1">
        <v>45175.686550925922</v>
      </c>
      <c r="E260" s="2">
        <f t="shared" si="16"/>
        <v>0.68655092592234723</v>
      </c>
      <c r="F260" s="3">
        <f t="shared" si="17"/>
        <v>45175</v>
      </c>
      <c r="G260" t="s">
        <v>17</v>
      </c>
      <c r="H260" t="s">
        <v>92</v>
      </c>
      <c r="I260" t="s">
        <v>1050</v>
      </c>
      <c r="J260" t="s">
        <v>953</v>
      </c>
      <c r="K260" t="s">
        <v>50</v>
      </c>
      <c r="L260" t="s">
        <v>22</v>
      </c>
      <c r="M260">
        <v>59</v>
      </c>
      <c r="N260" t="s">
        <v>23</v>
      </c>
      <c r="O260">
        <v>215</v>
      </c>
      <c r="P260">
        <v>1</v>
      </c>
      <c r="Q260">
        <v>12648.32</v>
      </c>
      <c r="R260" s="4">
        <v>45600</v>
      </c>
      <c r="S260" s="6">
        <v>0.33906249999999999</v>
      </c>
      <c r="T260">
        <f t="shared" si="18"/>
        <v>16</v>
      </c>
      <c r="U260" t="str" cm="1">
        <f t="array" ref="U260">_xlfn.IFS(M260&lt;=34,"YOUNG",M260&lt;=54,"MIDDLE AGE",M260&gt;=55,"OLD")</f>
        <v>OLD</v>
      </c>
      <c r="V260" t="str">
        <f t="shared" si="19"/>
        <v>NORMAL</v>
      </c>
    </row>
    <row r="261" spans="1:22" x14ac:dyDescent="0.35">
      <c r="A261" t="s">
        <v>1051</v>
      </c>
      <c r="B261" t="s">
        <v>1052</v>
      </c>
      <c r="C261">
        <v>312.88</v>
      </c>
      <c r="D261" s="1">
        <v>45072.758912037039</v>
      </c>
      <c r="E261" s="2">
        <f t="shared" si="16"/>
        <v>0.75891203703940846</v>
      </c>
      <c r="F261" s="3">
        <f t="shared" si="17"/>
        <v>45072</v>
      </c>
      <c r="G261" t="s">
        <v>46</v>
      </c>
      <c r="H261" t="s">
        <v>595</v>
      </c>
      <c r="I261" t="s">
        <v>823</v>
      </c>
      <c r="J261" t="s">
        <v>1053</v>
      </c>
      <c r="K261" t="s">
        <v>143</v>
      </c>
      <c r="L261" t="s">
        <v>69</v>
      </c>
      <c r="M261">
        <v>54</v>
      </c>
      <c r="N261" t="s">
        <v>77</v>
      </c>
      <c r="O261">
        <v>44</v>
      </c>
      <c r="P261">
        <v>1</v>
      </c>
      <c r="Q261">
        <v>233.21</v>
      </c>
      <c r="R261" s="4">
        <v>45600</v>
      </c>
      <c r="S261" s="6">
        <v>0.33846064814814814</v>
      </c>
      <c r="T261">
        <f t="shared" si="18"/>
        <v>18</v>
      </c>
      <c r="U261" t="str" cm="1">
        <f t="array" ref="U261">_xlfn.IFS(M261&lt;=34,"YOUNG",M261&lt;=54,"MIDDLE AGE",M261&gt;=55,"OLD")</f>
        <v>MIDDLE AGE</v>
      </c>
      <c r="V261" t="str">
        <f t="shared" si="19"/>
        <v>NORMAL</v>
      </c>
    </row>
    <row r="262" spans="1:22" x14ac:dyDescent="0.35">
      <c r="A262" t="s">
        <v>1054</v>
      </c>
      <c r="B262" t="s">
        <v>107</v>
      </c>
      <c r="C262">
        <v>75.150000000000006</v>
      </c>
      <c r="D262" s="1">
        <v>45187.730127314811</v>
      </c>
      <c r="E262" s="2">
        <f t="shared" si="16"/>
        <v>0.73012731481139781</v>
      </c>
      <c r="F262" s="3">
        <f t="shared" si="17"/>
        <v>45187</v>
      </c>
      <c r="G262" t="s">
        <v>17</v>
      </c>
      <c r="H262" t="s">
        <v>388</v>
      </c>
      <c r="I262" t="s">
        <v>862</v>
      </c>
      <c r="J262" t="s">
        <v>1055</v>
      </c>
      <c r="K262" t="s">
        <v>209</v>
      </c>
      <c r="L262" t="s">
        <v>22</v>
      </c>
      <c r="M262">
        <v>23</v>
      </c>
      <c r="N262" t="s">
        <v>37</v>
      </c>
      <c r="O262">
        <v>154</v>
      </c>
      <c r="P262">
        <v>1</v>
      </c>
      <c r="Q262">
        <v>1092.92</v>
      </c>
      <c r="R262" s="4">
        <v>45600</v>
      </c>
      <c r="S262" s="6">
        <v>0.34097222222222223</v>
      </c>
      <c r="T262">
        <f t="shared" si="18"/>
        <v>17</v>
      </c>
      <c r="U262" t="str" cm="1">
        <f t="array" ref="U262">_xlfn.IFS(M262&lt;=34,"YOUNG",M262&lt;=54,"MIDDLE AGE",M262&gt;=55,"OLD")</f>
        <v>YOUNG</v>
      </c>
      <c r="V262" t="str">
        <f t="shared" si="19"/>
        <v>NORMAL</v>
      </c>
    </row>
    <row r="263" spans="1:22" x14ac:dyDescent="0.35">
      <c r="A263" t="s">
        <v>1056</v>
      </c>
      <c r="B263" t="s">
        <v>1057</v>
      </c>
      <c r="C263">
        <v>23.3</v>
      </c>
      <c r="D263" s="1">
        <v>45152.759467592594</v>
      </c>
      <c r="E263" s="2">
        <f t="shared" si="16"/>
        <v>0.75946759259386454</v>
      </c>
      <c r="F263" s="3">
        <f t="shared" si="17"/>
        <v>45152</v>
      </c>
      <c r="G263" t="s">
        <v>17</v>
      </c>
      <c r="H263" t="s">
        <v>140</v>
      </c>
      <c r="I263" t="s">
        <v>1058</v>
      </c>
      <c r="J263" t="s">
        <v>518</v>
      </c>
      <c r="K263" t="s">
        <v>885</v>
      </c>
      <c r="L263" t="s">
        <v>22</v>
      </c>
      <c r="M263">
        <v>59</v>
      </c>
      <c r="N263" t="s">
        <v>77</v>
      </c>
      <c r="O263">
        <v>161</v>
      </c>
      <c r="P263">
        <v>1</v>
      </c>
      <c r="Q263">
        <v>6711.15</v>
      </c>
      <c r="R263" s="4">
        <v>45600</v>
      </c>
      <c r="S263" s="6">
        <v>0.33895833333333331</v>
      </c>
      <c r="T263">
        <f t="shared" si="18"/>
        <v>18</v>
      </c>
      <c r="U263" t="str" cm="1">
        <f t="array" ref="U263">_xlfn.IFS(M263&lt;=34,"YOUNG",M263&lt;=54,"MIDDLE AGE",M263&gt;=55,"OLD")</f>
        <v>OLD</v>
      </c>
      <c r="V263" t="str">
        <f t="shared" si="19"/>
        <v>NORMAL</v>
      </c>
    </row>
    <row r="264" spans="1:22" x14ac:dyDescent="0.35">
      <c r="A264" t="s">
        <v>1059</v>
      </c>
      <c r="B264" t="s">
        <v>1060</v>
      </c>
      <c r="C264">
        <v>47.38</v>
      </c>
      <c r="D264" s="1">
        <v>44965.76258101852</v>
      </c>
      <c r="E264" s="2">
        <f t="shared" si="16"/>
        <v>0.76258101851999527</v>
      </c>
      <c r="F264" s="3">
        <f t="shared" si="17"/>
        <v>44965</v>
      </c>
      <c r="G264" t="s">
        <v>46</v>
      </c>
      <c r="H264" t="s">
        <v>59</v>
      </c>
      <c r="I264" t="s">
        <v>1061</v>
      </c>
      <c r="J264" t="s">
        <v>1032</v>
      </c>
      <c r="K264" t="s">
        <v>885</v>
      </c>
      <c r="L264" t="s">
        <v>36</v>
      </c>
      <c r="M264">
        <v>25</v>
      </c>
      <c r="N264" t="s">
        <v>37</v>
      </c>
      <c r="O264">
        <v>61</v>
      </c>
      <c r="P264">
        <v>1</v>
      </c>
      <c r="Q264">
        <v>459.37</v>
      </c>
      <c r="R264" s="4">
        <v>45600</v>
      </c>
      <c r="S264" s="6">
        <v>0.33825231481481483</v>
      </c>
      <c r="T264">
        <f t="shared" si="18"/>
        <v>18</v>
      </c>
      <c r="U264" t="str" cm="1">
        <f t="array" ref="U264">_xlfn.IFS(M264&lt;=34,"YOUNG",M264&lt;=54,"MIDDLE AGE",M264&gt;=55,"OLD")</f>
        <v>YOUNG</v>
      </c>
      <c r="V264" t="str">
        <f t="shared" si="19"/>
        <v>NORMAL</v>
      </c>
    </row>
    <row r="265" spans="1:22" x14ac:dyDescent="0.35">
      <c r="A265" t="s">
        <v>1062</v>
      </c>
      <c r="B265" t="s">
        <v>364</v>
      </c>
      <c r="C265">
        <v>512.80999999999995</v>
      </c>
      <c r="D265" s="1">
        <v>45126.706261574072</v>
      </c>
      <c r="E265" s="2">
        <f t="shared" si="16"/>
        <v>0.70626157407241408</v>
      </c>
      <c r="F265" s="3">
        <f t="shared" si="17"/>
        <v>45126</v>
      </c>
      <c r="G265" t="s">
        <v>17</v>
      </c>
      <c r="H265" t="s">
        <v>285</v>
      </c>
      <c r="I265" t="s">
        <v>1063</v>
      </c>
      <c r="J265" t="s">
        <v>1064</v>
      </c>
      <c r="K265" t="s">
        <v>432</v>
      </c>
      <c r="L265" t="s">
        <v>69</v>
      </c>
      <c r="M265">
        <v>79</v>
      </c>
      <c r="N265" t="s">
        <v>70</v>
      </c>
      <c r="O265">
        <v>30</v>
      </c>
      <c r="P265">
        <v>1</v>
      </c>
      <c r="Q265">
        <v>6994.34</v>
      </c>
      <c r="R265" s="4">
        <v>45600</v>
      </c>
      <c r="S265" s="6">
        <v>0.34164351851851854</v>
      </c>
      <c r="T265">
        <f t="shared" si="18"/>
        <v>16</v>
      </c>
      <c r="U265" t="str" cm="1">
        <f t="array" ref="U265">_xlfn.IFS(M265&lt;=34,"YOUNG",M265&lt;=54,"MIDDLE AGE",M265&gt;=55,"OLD")</f>
        <v>OLD</v>
      </c>
      <c r="V265" t="str">
        <f t="shared" si="19"/>
        <v>NORMAL</v>
      </c>
    </row>
    <row r="266" spans="1:22" x14ac:dyDescent="0.35">
      <c r="A266" t="s">
        <v>1065</v>
      </c>
      <c r="B266" t="s">
        <v>1066</v>
      </c>
      <c r="C266">
        <v>488.15</v>
      </c>
      <c r="D266" s="1">
        <v>45138.667361111111</v>
      </c>
      <c r="E266" s="2">
        <f t="shared" si="16"/>
        <v>0.66736111111094942</v>
      </c>
      <c r="F266" s="3">
        <f t="shared" si="17"/>
        <v>45138</v>
      </c>
      <c r="G266" t="s">
        <v>17</v>
      </c>
      <c r="H266" t="s">
        <v>108</v>
      </c>
      <c r="I266" t="s">
        <v>1067</v>
      </c>
      <c r="J266" t="s">
        <v>316</v>
      </c>
      <c r="K266" t="s">
        <v>634</v>
      </c>
      <c r="L266" t="s">
        <v>69</v>
      </c>
      <c r="M266">
        <v>43</v>
      </c>
      <c r="N266" t="s">
        <v>77</v>
      </c>
      <c r="O266">
        <v>168</v>
      </c>
      <c r="P266">
        <v>1</v>
      </c>
      <c r="Q266">
        <v>7071.09</v>
      </c>
      <c r="R266" s="4">
        <v>45600</v>
      </c>
      <c r="S266" s="6">
        <v>0.34112268518518518</v>
      </c>
      <c r="T266">
        <f t="shared" si="18"/>
        <v>16</v>
      </c>
      <c r="U266" t="str" cm="1">
        <f t="array" ref="U266">_xlfn.IFS(M266&lt;=34,"YOUNG",M266&lt;=54,"MIDDLE AGE",M266&gt;=55,"OLD")</f>
        <v>MIDDLE AGE</v>
      </c>
      <c r="V266" t="str">
        <f t="shared" si="19"/>
        <v>NORMAL</v>
      </c>
    </row>
    <row r="267" spans="1:22" x14ac:dyDescent="0.35">
      <c r="A267" t="s">
        <v>1068</v>
      </c>
      <c r="B267" t="s">
        <v>1069</v>
      </c>
      <c r="C267">
        <v>12.82</v>
      </c>
      <c r="D267" s="1">
        <v>45021.775810185187</v>
      </c>
      <c r="E267" s="2">
        <f t="shared" si="16"/>
        <v>0.77581018518685596</v>
      </c>
      <c r="F267" s="3">
        <f t="shared" si="17"/>
        <v>45021</v>
      </c>
      <c r="G267" t="s">
        <v>17</v>
      </c>
      <c r="H267" t="s">
        <v>157</v>
      </c>
      <c r="I267" t="s">
        <v>1070</v>
      </c>
      <c r="J267" t="s">
        <v>185</v>
      </c>
      <c r="K267" t="s">
        <v>288</v>
      </c>
      <c r="L267" t="s">
        <v>22</v>
      </c>
      <c r="M267">
        <v>44</v>
      </c>
      <c r="N267" t="s">
        <v>77</v>
      </c>
      <c r="O267">
        <v>156</v>
      </c>
      <c r="P267">
        <v>1</v>
      </c>
      <c r="Q267">
        <v>9045.19</v>
      </c>
      <c r="R267" s="4">
        <v>45600</v>
      </c>
      <c r="S267" s="6">
        <v>0.33917824074074077</v>
      </c>
      <c r="T267">
        <f t="shared" si="18"/>
        <v>18</v>
      </c>
      <c r="U267" t="str" cm="1">
        <f t="array" ref="U267">_xlfn.IFS(M267&lt;=34,"YOUNG",M267&lt;=54,"MIDDLE AGE",M267&gt;=55,"OLD")</f>
        <v>MIDDLE AGE</v>
      </c>
      <c r="V267" t="str">
        <f t="shared" si="19"/>
        <v>NORMAL</v>
      </c>
    </row>
    <row r="268" spans="1:22" x14ac:dyDescent="0.35">
      <c r="A268" t="s">
        <v>1071</v>
      </c>
      <c r="B268" t="s">
        <v>498</v>
      </c>
      <c r="C268">
        <v>66.900000000000006</v>
      </c>
      <c r="D268" s="1">
        <v>45033.701909722222</v>
      </c>
      <c r="E268" s="2">
        <f t="shared" si="16"/>
        <v>0.70190972222189885</v>
      </c>
      <c r="F268" s="3">
        <f t="shared" si="17"/>
        <v>45033</v>
      </c>
      <c r="G268" t="s">
        <v>46</v>
      </c>
      <c r="H268" t="s">
        <v>249</v>
      </c>
      <c r="I268" t="s">
        <v>982</v>
      </c>
      <c r="J268" t="s">
        <v>1072</v>
      </c>
      <c r="K268" t="s">
        <v>1037</v>
      </c>
      <c r="L268" t="s">
        <v>36</v>
      </c>
      <c r="M268">
        <v>79</v>
      </c>
      <c r="N268" t="s">
        <v>70</v>
      </c>
      <c r="O268">
        <v>129</v>
      </c>
      <c r="P268">
        <v>4</v>
      </c>
      <c r="Q268">
        <v>5238.71</v>
      </c>
      <c r="R268" s="4">
        <v>45600</v>
      </c>
      <c r="S268" s="6">
        <v>0.34072916666666669</v>
      </c>
      <c r="T268">
        <f t="shared" si="18"/>
        <v>16</v>
      </c>
      <c r="U268" t="str" cm="1">
        <f t="array" ref="U268">_xlfn.IFS(M268&lt;=34,"YOUNG",M268&lt;=54,"MIDDLE AGE",M268&gt;=55,"OLD")</f>
        <v>OLD</v>
      </c>
      <c r="V268" t="str">
        <f t="shared" si="19"/>
        <v>HIGH</v>
      </c>
    </row>
    <row r="269" spans="1:22" x14ac:dyDescent="0.35">
      <c r="A269" t="s">
        <v>1073</v>
      </c>
      <c r="B269" t="s">
        <v>1074</v>
      </c>
      <c r="C269">
        <v>535.91</v>
      </c>
      <c r="D269" s="1">
        <v>45114.693194444444</v>
      </c>
      <c r="E269" s="2">
        <f t="shared" si="16"/>
        <v>0.69319444444408873</v>
      </c>
      <c r="F269" s="3">
        <f t="shared" si="17"/>
        <v>45114</v>
      </c>
      <c r="G269" t="s">
        <v>17</v>
      </c>
      <c r="H269" t="s">
        <v>146</v>
      </c>
      <c r="I269" t="s">
        <v>1075</v>
      </c>
      <c r="J269" t="s">
        <v>1076</v>
      </c>
      <c r="K269" t="s">
        <v>348</v>
      </c>
      <c r="L269" t="s">
        <v>36</v>
      </c>
      <c r="M269">
        <v>43</v>
      </c>
      <c r="N269" t="s">
        <v>77</v>
      </c>
      <c r="O269">
        <v>22</v>
      </c>
      <c r="P269">
        <v>1</v>
      </c>
      <c r="Q269">
        <v>9642.1200000000008</v>
      </c>
      <c r="R269" s="4">
        <v>45600</v>
      </c>
      <c r="S269" s="6">
        <v>0.34084490740740742</v>
      </c>
      <c r="T269">
        <f t="shared" si="18"/>
        <v>16</v>
      </c>
      <c r="U269" t="str" cm="1">
        <f t="array" ref="U269">_xlfn.IFS(M269&lt;=34,"YOUNG",M269&lt;=54,"MIDDLE AGE",M269&gt;=55,"OLD")</f>
        <v>MIDDLE AGE</v>
      </c>
      <c r="V269" t="str">
        <f t="shared" si="19"/>
        <v>NORMAL</v>
      </c>
    </row>
    <row r="270" spans="1:22" x14ac:dyDescent="0.35">
      <c r="A270" t="s">
        <v>1077</v>
      </c>
      <c r="B270" t="s">
        <v>1078</v>
      </c>
      <c r="C270">
        <v>270.72000000000003</v>
      </c>
      <c r="D270" s="1">
        <v>45110.750694444447</v>
      </c>
      <c r="E270" s="2">
        <f t="shared" si="16"/>
        <v>0.75069444444670808</v>
      </c>
      <c r="F270" s="3">
        <f t="shared" si="17"/>
        <v>45110</v>
      </c>
      <c r="G270" t="s">
        <v>46</v>
      </c>
      <c r="H270" t="s">
        <v>453</v>
      </c>
      <c r="I270" t="s">
        <v>1079</v>
      </c>
      <c r="J270" t="s">
        <v>597</v>
      </c>
      <c r="K270" t="s">
        <v>209</v>
      </c>
      <c r="L270" t="s">
        <v>36</v>
      </c>
      <c r="M270">
        <v>26</v>
      </c>
      <c r="N270" t="s">
        <v>77</v>
      </c>
      <c r="O270">
        <v>53</v>
      </c>
      <c r="P270">
        <v>1</v>
      </c>
      <c r="Q270">
        <v>6263.96</v>
      </c>
      <c r="R270" s="4">
        <v>45600</v>
      </c>
      <c r="S270" s="6">
        <v>0.34103009259259259</v>
      </c>
      <c r="T270">
        <f t="shared" si="18"/>
        <v>18</v>
      </c>
      <c r="U270" t="str" cm="1">
        <f t="array" ref="U270">_xlfn.IFS(M270&lt;=34,"YOUNG",M270&lt;=54,"MIDDLE AGE",M270&gt;=55,"OLD")</f>
        <v>YOUNG</v>
      </c>
      <c r="V270" t="str">
        <f t="shared" si="19"/>
        <v>NORMAL</v>
      </c>
    </row>
    <row r="271" spans="1:22" x14ac:dyDescent="0.35">
      <c r="A271" t="s">
        <v>1080</v>
      </c>
      <c r="B271" t="s">
        <v>1081</v>
      </c>
      <c r="C271">
        <v>97.98</v>
      </c>
      <c r="D271" s="1">
        <v>44963.673472222225</v>
      </c>
      <c r="E271" s="2">
        <f t="shared" si="16"/>
        <v>0.67347222222451819</v>
      </c>
      <c r="F271" s="3">
        <f t="shared" si="17"/>
        <v>44963</v>
      </c>
      <c r="G271" t="s">
        <v>17</v>
      </c>
      <c r="H271" t="s">
        <v>114</v>
      </c>
      <c r="I271" t="s">
        <v>1082</v>
      </c>
      <c r="J271" t="s">
        <v>1083</v>
      </c>
      <c r="K271" t="s">
        <v>450</v>
      </c>
      <c r="L271" t="s">
        <v>69</v>
      </c>
      <c r="M271">
        <v>72</v>
      </c>
      <c r="N271" t="s">
        <v>70</v>
      </c>
      <c r="O271">
        <v>18</v>
      </c>
      <c r="P271">
        <v>1</v>
      </c>
      <c r="Q271">
        <v>7460.33</v>
      </c>
      <c r="R271" s="4">
        <v>45600</v>
      </c>
      <c r="S271" s="6">
        <v>0.33938657407407408</v>
      </c>
      <c r="T271">
        <f t="shared" si="18"/>
        <v>16</v>
      </c>
      <c r="U271" t="str" cm="1">
        <f t="array" ref="U271">_xlfn.IFS(M271&lt;=34,"YOUNG",M271&lt;=54,"MIDDLE AGE",M271&gt;=55,"OLD")</f>
        <v>OLD</v>
      </c>
      <c r="V271" t="str">
        <f t="shared" si="19"/>
        <v>NORMAL</v>
      </c>
    </row>
    <row r="272" spans="1:22" x14ac:dyDescent="0.35">
      <c r="A272" t="s">
        <v>1084</v>
      </c>
      <c r="B272" t="s">
        <v>1085</v>
      </c>
      <c r="C272">
        <v>196.08</v>
      </c>
      <c r="D272" s="1">
        <v>45163.703101851854</v>
      </c>
      <c r="E272" s="2">
        <f t="shared" si="16"/>
        <v>0.70310185185371665</v>
      </c>
      <c r="F272" s="3">
        <f t="shared" si="17"/>
        <v>45163</v>
      </c>
      <c r="G272" t="s">
        <v>17</v>
      </c>
      <c r="H272" t="s">
        <v>212</v>
      </c>
      <c r="I272" t="s">
        <v>1086</v>
      </c>
      <c r="J272" t="s">
        <v>325</v>
      </c>
      <c r="K272" t="s">
        <v>769</v>
      </c>
      <c r="L272" t="s">
        <v>36</v>
      </c>
      <c r="M272">
        <v>61</v>
      </c>
      <c r="N272" t="s">
        <v>70</v>
      </c>
      <c r="O272">
        <v>98</v>
      </c>
      <c r="P272">
        <v>1</v>
      </c>
      <c r="Q272">
        <v>4233.82</v>
      </c>
      <c r="R272" s="4">
        <v>45600</v>
      </c>
      <c r="S272" s="6">
        <v>0.33785879629629628</v>
      </c>
      <c r="T272">
        <f t="shared" si="18"/>
        <v>16</v>
      </c>
      <c r="U272" t="str" cm="1">
        <f t="array" ref="U272">_xlfn.IFS(M272&lt;=34,"YOUNG",M272&lt;=54,"MIDDLE AGE",M272&gt;=55,"OLD")</f>
        <v>OLD</v>
      </c>
      <c r="V272" t="str">
        <f t="shared" si="19"/>
        <v>NORMAL</v>
      </c>
    </row>
    <row r="273" spans="1:22" x14ac:dyDescent="0.35">
      <c r="A273" t="s">
        <v>1087</v>
      </c>
      <c r="B273" t="s">
        <v>1088</v>
      </c>
      <c r="C273">
        <v>251.18</v>
      </c>
      <c r="D273" s="1">
        <v>45078.702210648145</v>
      </c>
      <c r="E273" s="2">
        <f t="shared" si="16"/>
        <v>0.70221064814541023</v>
      </c>
      <c r="F273" s="3">
        <f t="shared" si="17"/>
        <v>45078</v>
      </c>
      <c r="G273" t="s">
        <v>17</v>
      </c>
      <c r="H273" t="s">
        <v>223</v>
      </c>
      <c r="I273" t="s">
        <v>1089</v>
      </c>
      <c r="J273" t="s">
        <v>500</v>
      </c>
      <c r="K273" t="s">
        <v>707</v>
      </c>
      <c r="L273" t="s">
        <v>22</v>
      </c>
      <c r="M273">
        <v>42</v>
      </c>
      <c r="N273" t="s">
        <v>77</v>
      </c>
      <c r="O273">
        <v>246</v>
      </c>
      <c r="P273">
        <v>1</v>
      </c>
      <c r="Q273">
        <v>8303.9</v>
      </c>
      <c r="R273" s="4">
        <v>45600</v>
      </c>
      <c r="S273" s="6">
        <v>0.33883101851851855</v>
      </c>
      <c r="T273">
        <f t="shared" si="18"/>
        <v>16</v>
      </c>
      <c r="U273" t="str" cm="1">
        <f t="array" ref="U273">_xlfn.IFS(M273&lt;=34,"YOUNG",M273&lt;=54,"MIDDLE AGE",M273&gt;=55,"OLD")</f>
        <v>MIDDLE AGE</v>
      </c>
      <c r="V273" t="str">
        <f t="shared" si="19"/>
        <v>NORMAL</v>
      </c>
    </row>
    <row r="274" spans="1:22" x14ac:dyDescent="0.35">
      <c r="A274" t="s">
        <v>1090</v>
      </c>
      <c r="B274" t="s">
        <v>533</v>
      </c>
      <c r="C274">
        <v>44.52</v>
      </c>
      <c r="D274" s="1">
        <v>45013.771122685182</v>
      </c>
      <c r="E274" s="2">
        <f t="shared" si="16"/>
        <v>0.77112268518249039</v>
      </c>
      <c r="F274" s="3">
        <f t="shared" si="17"/>
        <v>45013</v>
      </c>
      <c r="G274" t="s">
        <v>17</v>
      </c>
      <c r="H274" t="s">
        <v>506</v>
      </c>
      <c r="I274" t="s">
        <v>1091</v>
      </c>
      <c r="J274" t="s">
        <v>1092</v>
      </c>
      <c r="K274" t="s">
        <v>427</v>
      </c>
      <c r="L274" t="s">
        <v>36</v>
      </c>
      <c r="M274">
        <v>28</v>
      </c>
      <c r="N274" t="s">
        <v>37</v>
      </c>
      <c r="O274">
        <v>205</v>
      </c>
      <c r="P274">
        <v>1</v>
      </c>
      <c r="Q274">
        <v>314.27999999999997</v>
      </c>
      <c r="R274" s="4">
        <v>45600</v>
      </c>
      <c r="S274" s="6">
        <v>0.34060185185185188</v>
      </c>
      <c r="T274">
        <f t="shared" si="18"/>
        <v>18</v>
      </c>
      <c r="U274" t="str" cm="1">
        <f t="array" ref="U274">_xlfn.IFS(M274&lt;=34,"YOUNG",M274&lt;=54,"MIDDLE AGE",M274&gt;=55,"OLD")</f>
        <v>YOUNG</v>
      </c>
      <c r="V274" t="str">
        <f t="shared" si="19"/>
        <v>NORMAL</v>
      </c>
    </row>
    <row r="275" spans="1:22" x14ac:dyDescent="0.35">
      <c r="A275" t="s">
        <v>1093</v>
      </c>
      <c r="B275" t="s">
        <v>25</v>
      </c>
      <c r="C275">
        <v>178.87</v>
      </c>
      <c r="D275" s="1">
        <v>45069.669374999998</v>
      </c>
      <c r="E275" s="2">
        <f t="shared" si="16"/>
        <v>0.66937499999767169</v>
      </c>
      <c r="F275" s="3">
        <f t="shared" si="17"/>
        <v>45069</v>
      </c>
      <c r="G275" t="s">
        <v>17</v>
      </c>
      <c r="H275" t="s">
        <v>197</v>
      </c>
      <c r="I275" t="s">
        <v>579</v>
      </c>
      <c r="J275" t="s">
        <v>1094</v>
      </c>
      <c r="K275" t="s">
        <v>353</v>
      </c>
      <c r="L275" t="s">
        <v>36</v>
      </c>
      <c r="M275">
        <v>35</v>
      </c>
      <c r="N275" t="s">
        <v>23</v>
      </c>
      <c r="O275">
        <v>180</v>
      </c>
      <c r="P275">
        <v>1</v>
      </c>
      <c r="Q275">
        <v>5241.2299999999996</v>
      </c>
      <c r="R275" s="4">
        <v>45600</v>
      </c>
      <c r="S275" s="6">
        <v>0.34046296296296297</v>
      </c>
      <c r="T275">
        <f t="shared" si="18"/>
        <v>16</v>
      </c>
      <c r="U275" t="str" cm="1">
        <f t="array" ref="U275">_xlfn.IFS(M275&lt;=34,"YOUNG",M275&lt;=54,"MIDDLE AGE",M275&gt;=55,"OLD")</f>
        <v>MIDDLE AGE</v>
      </c>
      <c r="V275" t="str">
        <f t="shared" si="19"/>
        <v>NORMAL</v>
      </c>
    </row>
    <row r="276" spans="1:22" x14ac:dyDescent="0.35">
      <c r="A276" t="s">
        <v>1095</v>
      </c>
      <c r="B276" t="s">
        <v>1096</v>
      </c>
      <c r="C276">
        <v>1176.28</v>
      </c>
      <c r="D276" s="1">
        <v>45280.67224537037</v>
      </c>
      <c r="E276" s="2">
        <f t="shared" si="16"/>
        <v>0.67224537036963739</v>
      </c>
      <c r="F276" s="3">
        <f t="shared" si="17"/>
        <v>45280</v>
      </c>
      <c r="G276" t="s">
        <v>46</v>
      </c>
      <c r="H276" t="s">
        <v>291</v>
      </c>
      <c r="I276" t="s">
        <v>1097</v>
      </c>
      <c r="J276" t="s">
        <v>1098</v>
      </c>
      <c r="K276" t="s">
        <v>226</v>
      </c>
      <c r="L276" t="s">
        <v>22</v>
      </c>
      <c r="M276">
        <v>54</v>
      </c>
      <c r="N276" t="s">
        <v>77</v>
      </c>
      <c r="O276">
        <v>174</v>
      </c>
      <c r="P276">
        <v>5</v>
      </c>
      <c r="Q276">
        <v>323.69</v>
      </c>
      <c r="R276" s="4">
        <v>45600</v>
      </c>
      <c r="S276" s="6">
        <v>0.3414814814814815</v>
      </c>
      <c r="T276">
        <f t="shared" si="18"/>
        <v>16</v>
      </c>
      <c r="U276" t="str" cm="1">
        <f t="array" ref="U276">_xlfn.IFS(M276&lt;=34,"YOUNG",M276&lt;=54,"MIDDLE AGE",M276&gt;=55,"OLD")</f>
        <v>MIDDLE AGE</v>
      </c>
      <c r="V276" t="str">
        <f t="shared" si="19"/>
        <v>HIGH</v>
      </c>
    </row>
    <row r="277" spans="1:22" x14ac:dyDescent="0.35">
      <c r="A277" t="s">
        <v>1099</v>
      </c>
      <c r="B277" t="s">
        <v>305</v>
      </c>
      <c r="C277">
        <v>386.68</v>
      </c>
      <c r="D277" s="1">
        <v>45230.700011574074</v>
      </c>
      <c r="E277" s="2">
        <f t="shared" si="16"/>
        <v>0.70001157407386927</v>
      </c>
      <c r="F277" s="3">
        <f t="shared" si="17"/>
        <v>45230</v>
      </c>
      <c r="G277" t="s">
        <v>17</v>
      </c>
      <c r="H277" t="s">
        <v>203</v>
      </c>
      <c r="I277" t="s">
        <v>457</v>
      </c>
      <c r="J277" t="s">
        <v>1100</v>
      </c>
      <c r="K277" t="s">
        <v>62</v>
      </c>
      <c r="L277" t="s">
        <v>69</v>
      </c>
      <c r="M277">
        <v>46</v>
      </c>
      <c r="N277" t="s">
        <v>23</v>
      </c>
      <c r="O277">
        <v>128</v>
      </c>
      <c r="P277">
        <v>1</v>
      </c>
      <c r="Q277">
        <v>6863.06</v>
      </c>
      <c r="R277" s="4">
        <v>45600</v>
      </c>
      <c r="S277" s="6">
        <v>0.33782407407407405</v>
      </c>
      <c r="T277">
        <f t="shared" si="18"/>
        <v>16</v>
      </c>
      <c r="U277" t="str" cm="1">
        <f t="array" ref="U277">_xlfn.IFS(M277&lt;=34,"YOUNG",M277&lt;=54,"MIDDLE AGE",M277&gt;=55,"OLD")</f>
        <v>MIDDLE AGE</v>
      </c>
      <c r="V277" t="str">
        <f t="shared" si="19"/>
        <v>NORMAL</v>
      </c>
    </row>
    <row r="278" spans="1:22" x14ac:dyDescent="0.35">
      <c r="A278" t="s">
        <v>1101</v>
      </c>
      <c r="B278" t="s">
        <v>657</v>
      </c>
      <c r="C278">
        <v>167.14</v>
      </c>
      <c r="D278" s="1">
        <v>45040.773252314815</v>
      </c>
      <c r="E278" s="2">
        <f t="shared" si="16"/>
        <v>0.77325231481518131</v>
      </c>
      <c r="F278" s="3">
        <f t="shared" si="17"/>
        <v>45040</v>
      </c>
      <c r="G278" t="s">
        <v>17</v>
      </c>
      <c r="H278" t="s">
        <v>114</v>
      </c>
      <c r="I278" t="s">
        <v>397</v>
      </c>
      <c r="J278" t="s">
        <v>378</v>
      </c>
      <c r="K278" t="s">
        <v>474</v>
      </c>
      <c r="L278" t="s">
        <v>36</v>
      </c>
      <c r="M278">
        <v>76</v>
      </c>
      <c r="N278" t="s">
        <v>70</v>
      </c>
      <c r="O278">
        <v>20</v>
      </c>
      <c r="P278">
        <v>1</v>
      </c>
      <c r="Q278">
        <v>3877.73</v>
      </c>
      <c r="R278" s="4">
        <v>45600</v>
      </c>
      <c r="S278" s="6">
        <v>0.33780092592592592</v>
      </c>
      <c r="T278">
        <f t="shared" si="18"/>
        <v>18</v>
      </c>
      <c r="U278" t="str" cm="1">
        <f t="array" ref="U278">_xlfn.IFS(M278&lt;=34,"YOUNG",M278&lt;=54,"MIDDLE AGE",M278&gt;=55,"OLD")</f>
        <v>OLD</v>
      </c>
      <c r="V278" t="str">
        <f t="shared" si="19"/>
        <v>NORMAL</v>
      </c>
    </row>
    <row r="279" spans="1:22" x14ac:dyDescent="0.35">
      <c r="A279" t="s">
        <v>1102</v>
      </c>
      <c r="B279" t="s">
        <v>434</v>
      </c>
      <c r="C279">
        <v>345.22</v>
      </c>
      <c r="D279" s="1">
        <v>45174.705405092594</v>
      </c>
      <c r="E279" s="2">
        <f t="shared" si="16"/>
        <v>0.70540509259444661</v>
      </c>
      <c r="F279" s="3">
        <f t="shared" si="17"/>
        <v>45174</v>
      </c>
      <c r="G279" t="s">
        <v>17</v>
      </c>
      <c r="H279" t="s">
        <v>558</v>
      </c>
      <c r="I279" t="s">
        <v>1103</v>
      </c>
      <c r="J279" t="s">
        <v>1104</v>
      </c>
      <c r="K279" t="s">
        <v>105</v>
      </c>
      <c r="L279" t="s">
        <v>69</v>
      </c>
      <c r="M279">
        <v>69</v>
      </c>
      <c r="N279" t="s">
        <v>70</v>
      </c>
      <c r="O279">
        <v>253</v>
      </c>
      <c r="P279">
        <v>1</v>
      </c>
      <c r="Q279">
        <v>4046.58</v>
      </c>
      <c r="R279" s="4">
        <v>45600</v>
      </c>
      <c r="S279" s="6">
        <v>0.33861111111111108</v>
      </c>
      <c r="T279">
        <f t="shared" si="18"/>
        <v>16</v>
      </c>
      <c r="U279" t="str" cm="1">
        <f t="array" ref="U279">_xlfn.IFS(M279&lt;=34,"YOUNG",M279&lt;=54,"MIDDLE AGE",M279&gt;=55,"OLD")</f>
        <v>OLD</v>
      </c>
      <c r="V279" t="str">
        <f t="shared" si="19"/>
        <v>NORMAL</v>
      </c>
    </row>
    <row r="280" spans="1:22" x14ac:dyDescent="0.35">
      <c r="A280" t="s">
        <v>1105</v>
      </c>
      <c r="B280" t="s">
        <v>1106</v>
      </c>
      <c r="C280">
        <v>74.849999999999994</v>
      </c>
      <c r="D280" s="1">
        <v>45285.721620370372</v>
      </c>
      <c r="E280" s="2">
        <f t="shared" si="16"/>
        <v>0.72162037037196569</v>
      </c>
      <c r="F280" s="3">
        <f t="shared" si="17"/>
        <v>45285</v>
      </c>
      <c r="G280" t="s">
        <v>17</v>
      </c>
      <c r="H280" t="s">
        <v>40</v>
      </c>
      <c r="I280" t="s">
        <v>472</v>
      </c>
      <c r="J280" t="s">
        <v>159</v>
      </c>
      <c r="K280" t="s">
        <v>50</v>
      </c>
      <c r="L280" t="s">
        <v>22</v>
      </c>
      <c r="M280">
        <v>72</v>
      </c>
      <c r="N280" t="s">
        <v>70</v>
      </c>
      <c r="O280">
        <v>117</v>
      </c>
      <c r="P280">
        <v>1</v>
      </c>
      <c r="Q280">
        <v>2409.73</v>
      </c>
      <c r="R280" s="4">
        <v>45600</v>
      </c>
      <c r="S280" s="6">
        <v>0.34153935185185186</v>
      </c>
      <c r="T280">
        <f t="shared" si="18"/>
        <v>17</v>
      </c>
      <c r="U280" t="str" cm="1">
        <f t="array" ref="U280">_xlfn.IFS(M280&lt;=34,"YOUNG",M280&lt;=54,"MIDDLE AGE",M280&gt;=55,"OLD")</f>
        <v>OLD</v>
      </c>
      <c r="V280" t="str">
        <f t="shared" si="19"/>
        <v>NORMAL</v>
      </c>
    </row>
    <row r="281" spans="1:22" x14ac:dyDescent="0.35">
      <c r="A281" t="s">
        <v>1107</v>
      </c>
      <c r="B281" t="s">
        <v>424</v>
      </c>
      <c r="C281">
        <v>671.73</v>
      </c>
      <c r="D281" s="1">
        <v>45215.677708333336</v>
      </c>
      <c r="E281" s="2">
        <f t="shared" si="16"/>
        <v>0.67770833333634073</v>
      </c>
      <c r="F281" s="3">
        <f t="shared" si="17"/>
        <v>45215</v>
      </c>
      <c r="G281" t="s">
        <v>17</v>
      </c>
      <c r="H281" t="s">
        <v>453</v>
      </c>
      <c r="I281" t="s">
        <v>1108</v>
      </c>
      <c r="J281" t="s">
        <v>1109</v>
      </c>
      <c r="K281" t="s">
        <v>358</v>
      </c>
      <c r="L281" t="s">
        <v>69</v>
      </c>
      <c r="M281">
        <v>58</v>
      </c>
      <c r="N281" t="s">
        <v>77</v>
      </c>
      <c r="O281">
        <v>54</v>
      </c>
      <c r="P281">
        <v>1</v>
      </c>
      <c r="Q281">
        <v>5211.88</v>
      </c>
      <c r="R281" s="4">
        <v>45600</v>
      </c>
      <c r="S281" s="6">
        <v>0.34171296296296294</v>
      </c>
      <c r="T281">
        <f t="shared" si="18"/>
        <v>16</v>
      </c>
      <c r="U281" t="str" cm="1">
        <f t="array" ref="U281">_xlfn.IFS(M281&lt;=34,"YOUNG",M281&lt;=54,"MIDDLE AGE",M281&gt;=55,"OLD")</f>
        <v>OLD</v>
      </c>
      <c r="V281" t="str">
        <f t="shared" si="19"/>
        <v>NORMAL</v>
      </c>
    </row>
    <row r="282" spans="1:22" x14ac:dyDescent="0.35">
      <c r="A282" t="s">
        <v>1110</v>
      </c>
      <c r="B282" t="s">
        <v>1111</v>
      </c>
      <c r="C282">
        <v>255.04</v>
      </c>
      <c r="D282" s="1">
        <v>45253.677766203706</v>
      </c>
      <c r="E282" s="2">
        <f t="shared" si="16"/>
        <v>0.67776620370568708</v>
      </c>
      <c r="F282" s="3">
        <f t="shared" si="17"/>
        <v>45253</v>
      </c>
      <c r="G282" t="s">
        <v>17</v>
      </c>
      <c r="H282" t="s">
        <v>59</v>
      </c>
      <c r="I282" t="s">
        <v>430</v>
      </c>
      <c r="J282" t="s">
        <v>1112</v>
      </c>
      <c r="K282" t="s">
        <v>820</v>
      </c>
      <c r="L282" t="s">
        <v>22</v>
      </c>
      <c r="M282">
        <v>45</v>
      </c>
      <c r="N282" t="s">
        <v>77</v>
      </c>
      <c r="O282">
        <v>152</v>
      </c>
      <c r="P282">
        <v>1</v>
      </c>
      <c r="Q282">
        <v>6217.86</v>
      </c>
      <c r="R282" s="4">
        <v>45600</v>
      </c>
      <c r="S282" s="6">
        <v>0.34141203703703704</v>
      </c>
      <c r="T282">
        <f t="shared" si="18"/>
        <v>16</v>
      </c>
      <c r="U282" t="str" cm="1">
        <f t="array" ref="U282">_xlfn.IFS(M282&lt;=34,"YOUNG",M282&lt;=54,"MIDDLE AGE",M282&gt;=55,"OLD")</f>
        <v>MIDDLE AGE</v>
      </c>
      <c r="V282" t="str">
        <f t="shared" si="19"/>
        <v>NORMAL</v>
      </c>
    </row>
    <row r="283" spans="1:22" x14ac:dyDescent="0.35">
      <c r="A283" t="s">
        <v>1113</v>
      </c>
      <c r="B283" t="s">
        <v>1114</v>
      </c>
      <c r="C283">
        <v>45.77</v>
      </c>
      <c r="D283" s="1">
        <v>44966.743321759262</v>
      </c>
      <c r="E283" s="2">
        <f t="shared" si="16"/>
        <v>0.74332175926247146</v>
      </c>
      <c r="F283" s="3">
        <f t="shared" si="17"/>
        <v>44966</v>
      </c>
      <c r="G283" t="s">
        <v>17</v>
      </c>
      <c r="H283" t="s">
        <v>243</v>
      </c>
      <c r="I283" t="s">
        <v>1115</v>
      </c>
      <c r="J283" t="s">
        <v>1116</v>
      </c>
      <c r="K283" t="s">
        <v>386</v>
      </c>
      <c r="L283" t="s">
        <v>36</v>
      </c>
      <c r="M283">
        <v>25</v>
      </c>
      <c r="N283" t="s">
        <v>37</v>
      </c>
      <c r="O283">
        <v>109</v>
      </c>
      <c r="P283">
        <v>1</v>
      </c>
      <c r="Q283">
        <v>5978.12</v>
      </c>
      <c r="R283" s="4">
        <v>45600</v>
      </c>
      <c r="S283" s="6">
        <v>0.33890046296296295</v>
      </c>
      <c r="T283">
        <f t="shared" si="18"/>
        <v>17</v>
      </c>
      <c r="U283" t="str" cm="1">
        <f t="array" ref="U283">_xlfn.IFS(M283&lt;=34,"YOUNG",M283&lt;=54,"MIDDLE AGE",M283&gt;=55,"OLD")</f>
        <v>YOUNG</v>
      </c>
      <c r="V283" t="str">
        <f t="shared" si="19"/>
        <v>NORMAL</v>
      </c>
    </row>
    <row r="284" spans="1:22" x14ac:dyDescent="0.35">
      <c r="A284" t="s">
        <v>1117</v>
      </c>
      <c r="B284" t="s">
        <v>989</v>
      </c>
      <c r="C284">
        <v>329.69</v>
      </c>
      <c r="D284" s="1">
        <v>44935.704513888886</v>
      </c>
      <c r="E284" s="2">
        <f t="shared" si="16"/>
        <v>0.70451388888614019</v>
      </c>
      <c r="F284" s="3">
        <f t="shared" si="17"/>
        <v>44935</v>
      </c>
      <c r="G284" t="s">
        <v>46</v>
      </c>
      <c r="H284" t="s">
        <v>237</v>
      </c>
      <c r="I284" t="s">
        <v>1118</v>
      </c>
      <c r="J284" t="s">
        <v>1119</v>
      </c>
      <c r="K284" t="s">
        <v>769</v>
      </c>
      <c r="L284" t="s">
        <v>36</v>
      </c>
      <c r="M284">
        <v>26</v>
      </c>
      <c r="N284" t="s">
        <v>37</v>
      </c>
      <c r="O284">
        <v>66</v>
      </c>
      <c r="P284">
        <v>1</v>
      </c>
      <c r="Q284">
        <v>1671.66</v>
      </c>
      <c r="R284" s="4">
        <v>45600</v>
      </c>
      <c r="S284" s="6">
        <v>0.34015046296296297</v>
      </c>
      <c r="T284">
        <f t="shared" si="18"/>
        <v>16</v>
      </c>
      <c r="U284" t="str" cm="1">
        <f t="array" ref="U284">_xlfn.IFS(M284&lt;=34,"YOUNG",M284&lt;=54,"MIDDLE AGE",M284&gt;=55,"OLD")</f>
        <v>YOUNG</v>
      </c>
      <c r="V284" t="str">
        <f t="shared" si="19"/>
        <v>NORMAL</v>
      </c>
    </row>
    <row r="285" spans="1:22" x14ac:dyDescent="0.35">
      <c r="A285" t="s">
        <v>1120</v>
      </c>
      <c r="B285" t="s">
        <v>1121</v>
      </c>
      <c r="C285">
        <v>362.04</v>
      </c>
      <c r="D285" s="1">
        <v>45117.692488425928</v>
      </c>
      <c r="E285" s="2">
        <f t="shared" si="16"/>
        <v>0.69248842592787696</v>
      </c>
      <c r="F285" s="3">
        <f t="shared" si="17"/>
        <v>45117</v>
      </c>
      <c r="G285" t="s">
        <v>46</v>
      </c>
      <c r="H285" t="s">
        <v>243</v>
      </c>
      <c r="I285" t="s">
        <v>329</v>
      </c>
      <c r="J285" t="s">
        <v>1046</v>
      </c>
      <c r="K285" t="s">
        <v>128</v>
      </c>
      <c r="L285" t="s">
        <v>69</v>
      </c>
      <c r="M285">
        <v>58</v>
      </c>
      <c r="N285" t="s">
        <v>23</v>
      </c>
      <c r="O285">
        <v>198</v>
      </c>
      <c r="P285">
        <v>2</v>
      </c>
      <c r="Q285">
        <v>8421.8799999999992</v>
      </c>
      <c r="R285" s="4">
        <v>45600</v>
      </c>
      <c r="S285" s="6">
        <v>0.33943287037037034</v>
      </c>
      <c r="T285">
        <f t="shared" si="18"/>
        <v>16</v>
      </c>
      <c r="U285" t="str" cm="1">
        <f t="array" ref="U285">_xlfn.IFS(M285&lt;=34,"YOUNG",M285&lt;=54,"MIDDLE AGE",M285&gt;=55,"OLD")</f>
        <v>OLD</v>
      </c>
      <c r="V285" t="str">
        <f t="shared" si="19"/>
        <v>HIGH</v>
      </c>
    </row>
    <row r="286" spans="1:22" x14ac:dyDescent="0.35">
      <c r="A286" t="s">
        <v>1122</v>
      </c>
      <c r="B286" t="s">
        <v>1123</v>
      </c>
      <c r="C286">
        <v>11.92</v>
      </c>
      <c r="D286" s="1">
        <v>45208.742303240739</v>
      </c>
      <c r="E286" s="2">
        <f t="shared" si="16"/>
        <v>0.74230324073869269</v>
      </c>
      <c r="F286" s="3">
        <f t="shared" si="17"/>
        <v>45208</v>
      </c>
      <c r="G286" t="s">
        <v>17</v>
      </c>
      <c r="H286" t="s">
        <v>18</v>
      </c>
      <c r="I286" t="s">
        <v>717</v>
      </c>
      <c r="J286" t="s">
        <v>874</v>
      </c>
      <c r="K286" t="s">
        <v>370</v>
      </c>
      <c r="L286" t="s">
        <v>69</v>
      </c>
      <c r="M286">
        <v>53</v>
      </c>
      <c r="N286" t="s">
        <v>23</v>
      </c>
      <c r="O286">
        <v>52</v>
      </c>
      <c r="P286">
        <v>1</v>
      </c>
      <c r="Q286">
        <v>14611.9</v>
      </c>
      <c r="R286" s="4">
        <v>45600</v>
      </c>
      <c r="S286" s="6">
        <v>0.34122685185185186</v>
      </c>
      <c r="T286">
        <f t="shared" si="18"/>
        <v>17</v>
      </c>
      <c r="U286" t="str" cm="1">
        <f t="array" ref="U286">_xlfn.IFS(M286&lt;=34,"YOUNG",M286&lt;=54,"MIDDLE AGE",M286&gt;=55,"OLD")</f>
        <v>MIDDLE AGE</v>
      </c>
      <c r="V286" t="str">
        <f t="shared" si="19"/>
        <v>NORMAL</v>
      </c>
    </row>
    <row r="287" spans="1:22" x14ac:dyDescent="0.35">
      <c r="A287" t="s">
        <v>1124</v>
      </c>
      <c r="B287" t="s">
        <v>1125</v>
      </c>
      <c r="C287">
        <v>47.42</v>
      </c>
      <c r="D287" s="1">
        <v>45279.698703703703</v>
      </c>
      <c r="E287" s="2">
        <f t="shared" si="16"/>
        <v>0.69870370370335877</v>
      </c>
      <c r="F287" s="3">
        <f t="shared" si="17"/>
        <v>45279</v>
      </c>
      <c r="G287" t="s">
        <v>17</v>
      </c>
      <c r="H287" t="s">
        <v>18</v>
      </c>
      <c r="I287" t="s">
        <v>1126</v>
      </c>
      <c r="J287" t="s">
        <v>1127</v>
      </c>
      <c r="K287" t="s">
        <v>445</v>
      </c>
      <c r="L287" t="s">
        <v>22</v>
      </c>
      <c r="M287">
        <v>64</v>
      </c>
      <c r="N287" t="s">
        <v>23</v>
      </c>
      <c r="O287">
        <v>28</v>
      </c>
      <c r="P287">
        <v>1</v>
      </c>
      <c r="Q287">
        <v>8253.52</v>
      </c>
      <c r="R287" s="4">
        <v>45600</v>
      </c>
      <c r="S287" s="6">
        <v>0.33953703703703703</v>
      </c>
      <c r="T287">
        <f t="shared" si="18"/>
        <v>16</v>
      </c>
      <c r="U287" t="str" cm="1">
        <f t="array" ref="U287">_xlfn.IFS(M287&lt;=34,"YOUNG",M287&lt;=54,"MIDDLE AGE",M287&gt;=55,"OLD")</f>
        <v>OLD</v>
      </c>
      <c r="V287" t="str">
        <f t="shared" si="19"/>
        <v>NORMAL</v>
      </c>
    </row>
    <row r="288" spans="1:22" x14ac:dyDescent="0.35">
      <c r="A288" t="s">
        <v>1128</v>
      </c>
      <c r="B288" t="s">
        <v>701</v>
      </c>
      <c r="C288">
        <v>35.99</v>
      </c>
      <c r="D288" s="1">
        <v>44945.676527777781</v>
      </c>
      <c r="E288" s="2">
        <f t="shared" si="16"/>
        <v>0.67652777778130258</v>
      </c>
      <c r="F288" s="3">
        <f t="shared" si="17"/>
        <v>44945</v>
      </c>
      <c r="G288" t="s">
        <v>17</v>
      </c>
      <c r="H288" t="s">
        <v>172</v>
      </c>
      <c r="I288" t="s">
        <v>1129</v>
      </c>
      <c r="J288" t="s">
        <v>1130</v>
      </c>
      <c r="K288" t="s">
        <v>282</v>
      </c>
      <c r="L288" t="s">
        <v>69</v>
      </c>
      <c r="M288">
        <v>63</v>
      </c>
      <c r="N288" t="s">
        <v>70</v>
      </c>
      <c r="O288">
        <v>129</v>
      </c>
      <c r="P288">
        <v>1</v>
      </c>
      <c r="Q288">
        <v>4489.79</v>
      </c>
      <c r="R288" s="4">
        <v>45600</v>
      </c>
      <c r="S288" s="6">
        <v>0.33978009259259262</v>
      </c>
      <c r="T288">
        <f t="shared" si="18"/>
        <v>16</v>
      </c>
      <c r="U288" t="str" cm="1">
        <f t="array" ref="U288">_xlfn.IFS(M288&lt;=34,"YOUNG",M288&lt;=54,"MIDDLE AGE",M288&gt;=55,"OLD")</f>
        <v>OLD</v>
      </c>
      <c r="V288" t="str">
        <f t="shared" si="19"/>
        <v>NORMAL</v>
      </c>
    </row>
    <row r="289" spans="1:22" x14ac:dyDescent="0.35">
      <c r="A289" t="s">
        <v>1131</v>
      </c>
      <c r="B289" t="s">
        <v>290</v>
      </c>
      <c r="C289">
        <v>151.19</v>
      </c>
      <c r="D289" s="1">
        <v>45051.669861111113</v>
      </c>
      <c r="E289" s="2">
        <f t="shared" si="16"/>
        <v>0.66986111111327773</v>
      </c>
      <c r="F289" s="3">
        <f t="shared" si="17"/>
        <v>45051</v>
      </c>
      <c r="G289" t="s">
        <v>46</v>
      </c>
      <c r="H289" t="s">
        <v>203</v>
      </c>
      <c r="I289" t="s">
        <v>1132</v>
      </c>
      <c r="J289" t="s">
        <v>1133</v>
      </c>
      <c r="K289" t="s">
        <v>885</v>
      </c>
      <c r="L289" t="s">
        <v>69</v>
      </c>
      <c r="M289">
        <v>37</v>
      </c>
      <c r="N289" t="s">
        <v>23</v>
      </c>
      <c r="O289">
        <v>96</v>
      </c>
      <c r="P289">
        <v>1</v>
      </c>
      <c r="Q289">
        <v>11903.82</v>
      </c>
      <c r="R289" s="4">
        <v>45600</v>
      </c>
      <c r="S289" s="6">
        <v>0.34115740740740741</v>
      </c>
      <c r="T289">
        <f t="shared" si="18"/>
        <v>16</v>
      </c>
      <c r="U289" t="str" cm="1">
        <f t="array" ref="U289">_xlfn.IFS(M289&lt;=34,"YOUNG",M289&lt;=54,"MIDDLE AGE",M289&gt;=55,"OLD")</f>
        <v>MIDDLE AGE</v>
      </c>
      <c r="V289" t="str">
        <f t="shared" si="19"/>
        <v>NORMAL</v>
      </c>
    </row>
    <row r="290" spans="1:22" x14ac:dyDescent="0.35">
      <c r="A290" t="s">
        <v>1134</v>
      </c>
      <c r="B290" t="s">
        <v>641</v>
      </c>
      <c r="C290">
        <v>242.62</v>
      </c>
      <c r="D290" s="1">
        <v>45117.694618055553</v>
      </c>
      <c r="E290" s="2">
        <f t="shared" si="16"/>
        <v>0.69461805555329192</v>
      </c>
      <c r="F290" s="3">
        <f t="shared" si="17"/>
        <v>45117</v>
      </c>
      <c r="G290" t="s">
        <v>46</v>
      </c>
      <c r="H290" t="s">
        <v>212</v>
      </c>
      <c r="I290" t="s">
        <v>1135</v>
      </c>
      <c r="J290" t="s">
        <v>646</v>
      </c>
      <c r="K290" t="s">
        <v>209</v>
      </c>
      <c r="L290" t="s">
        <v>36</v>
      </c>
      <c r="M290">
        <v>22</v>
      </c>
      <c r="N290" t="s">
        <v>37</v>
      </c>
      <c r="O290">
        <v>234</v>
      </c>
      <c r="P290">
        <v>1</v>
      </c>
      <c r="Q290">
        <v>483.02</v>
      </c>
      <c r="R290" s="4">
        <v>45600</v>
      </c>
      <c r="S290" s="6">
        <v>0.33829861111111109</v>
      </c>
      <c r="T290">
        <f t="shared" si="18"/>
        <v>16</v>
      </c>
      <c r="U290" t="str" cm="1">
        <f t="array" ref="U290">_xlfn.IFS(M290&lt;=34,"YOUNG",M290&lt;=54,"MIDDLE AGE",M290&gt;=55,"OLD")</f>
        <v>YOUNG</v>
      </c>
      <c r="V290" t="str">
        <f t="shared" si="19"/>
        <v>NORMAL</v>
      </c>
    </row>
    <row r="291" spans="1:22" x14ac:dyDescent="0.35">
      <c r="A291" t="s">
        <v>1136</v>
      </c>
      <c r="B291" t="s">
        <v>1137</v>
      </c>
      <c r="C291">
        <v>48.72</v>
      </c>
      <c r="D291" s="1">
        <v>45198.787824074076</v>
      </c>
      <c r="E291" s="2">
        <f t="shared" si="16"/>
        <v>0.7878240740756155</v>
      </c>
      <c r="F291" s="3">
        <f t="shared" si="17"/>
        <v>45198</v>
      </c>
      <c r="G291" t="s">
        <v>17</v>
      </c>
      <c r="H291" t="s">
        <v>301</v>
      </c>
      <c r="I291" t="s">
        <v>1138</v>
      </c>
      <c r="J291" t="s">
        <v>1139</v>
      </c>
      <c r="K291" t="s">
        <v>370</v>
      </c>
      <c r="L291" t="s">
        <v>69</v>
      </c>
      <c r="M291">
        <v>21</v>
      </c>
      <c r="N291" t="s">
        <v>37</v>
      </c>
      <c r="O291">
        <v>17</v>
      </c>
      <c r="P291">
        <v>1</v>
      </c>
      <c r="Q291">
        <v>816.08</v>
      </c>
      <c r="R291" s="4">
        <v>45600</v>
      </c>
      <c r="S291" s="6">
        <v>0.33850694444444446</v>
      </c>
      <c r="T291">
        <f t="shared" si="18"/>
        <v>18</v>
      </c>
      <c r="U291" t="str" cm="1">
        <f t="array" ref="U291">_xlfn.IFS(M291&lt;=34,"YOUNG",M291&lt;=54,"MIDDLE AGE",M291&gt;=55,"OLD")</f>
        <v>YOUNG</v>
      </c>
      <c r="V291" t="str">
        <f t="shared" si="19"/>
        <v>NORMAL</v>
      </c>
    </row>
    <row r="292" spans="1:22" x14ac:dyDescent="0.35">
      <c r="A292" t="s">
        <v>1140</v>
      </c>
      <c r="B292" t="s">
        <v>333</v>
      </c>
      <c r="C292">
        <v>43.46</v>
      </c>
      <c r="D292" s="1">
        <v>45128.71020833333</v>
      </c>
      <c r="E292" s="2">
        <f t="shared" si="16"/>
        <v>0.71020833333022892</v>
      </c>
      <c r="F292" s="3">
        <f t="shared" si="17"/>
        <v>45128</v>
      </c>
      <c r="G292" t="s">
        <v>17</v>
      </c>
      <c r="H292" t="s">
        <v>388</v>
      </c>
      <c r="I292" t="s">
        <v>1141</v>
      </c>
      <c r="J292" t="s">
        <v>894</v>
      </c>
      <c r="K292" t="s">
        <v>68</v>
      </c>
      <c r="L292" t="s">
        <v>22</v>
      </c>
      <c r="M292">
        <v>25</v>
      </c>
      <c r="N292" t="s">
        <v>37</v>
      </c>
      <c r="O292">
        <v>80</v>
      </c>
      <c r="P292">
        <v>1</v>
      </c>
      <c r="Q292">
        <v>578.05999999999995</v>
      </c>
      <c r="R292" s="4">
        <v>45600</v>
      </c>
      <c r="S292" s="6">
        <v>0.34079861111111109</v>
      </c>
      <c r="T292">
        <f t="shared" si="18"/>
        <v>17</v>
      </c>
      <c r="U292" t="str" cm="1">
        <f t="array" ref="U292">_xlfn.IFS(M292&lt;=34,"YOUNG",M292&lt;=54,"MIDDLE AGE",M292&gt;=55,"OLD")</f>
        <v>YOUNG</v>
      </c>
      <c r="V292" t="str">
        <f t="shared" si="19"/>
        <v>NORMAL</v>
      </c>
    </row>
    <row r="293" spans="1:22" x14ac:dyDescent="0.35">
      <c r="A293" t="s">
        <v>1142</v>
      </c>
      <c r="B293" t="s">
        <v>604</v>
      </c>
      <c r="C293">
        <v>1036.21</v>
      </c>
      <c r="D293" s="1">
        <v>45128.787662037037</v>
      </c>
      <c r="E293" s="2">
        <f t="shared" si="16"/>
        <v>0.78766203703708015</v>
      </c>
      <c r="F293" s="3">
        <f t="shared" si="17"/>
        <v>45128</v>
      </c>
      <c r="G293" t="s">
        <v>17</v>
      </c>
      <c r="H293" t="s">
        <v>296</v>
      </c>
      <c r="I293" t="s">
        <v>865</v>
      </c>
      <c r="J293" t="s">
        <v>132</v>
      </c>
      <c r="K293" t="s">
        <v>652</v>
      </c>
      <c r="L293" t="s">
        <v>36</v>
      </c>
      <c r="M293">
        <v>25</v>
      </c>
      <c r="N293" t="s">
        <v>37</v>
      </c>
      <c r="O293">
        <v>126</v>
      </c>
      <c r="P293">
        <v>1</v>
      </c>
      <c r="Q293">
        <v>477.3</v>
      </c>
      <c r="R293" s="4">
        <v>45600</v>
      </c>
      <c r="S293" s="6">
        <v>0.34192129629629631</v>
      </c>
      <c r="T293">
        <f t="shared" si="18"/>
        <v>18</v>
      </c>
      <c r="U293" t="str" cm="1">
        <f t="array" ref="U293">_xlfn.IFS(M293&lt;=34,"YOUNG",M293&lt;=54,"MIDDLE AGE",M293&gt;=55,"OLD")</f>
        <v>YOUNG</v>
      </c>
      <c r="V293" t="str">
        <f t="shared" si="19"/>
        <v>NORMAL</v>
      </c>
    </row>
    <row r="294" spans="1:22" x14ac:dyDescent="0.35">
      <c r="A294" t="s">
        <v>1143</v>
      </c>
      <c r="B294" t="s">
        <v>1144</v>
      </c>
      <c r="C294">
        <v>443.79</v>
      </c>
      <c r="D294" s="1">
        <v>45208.769490740742</v>
      </c>
      <c r="E294" s="2">
        <f t="shared" si="16"/>
        <v>0.76949074074218515</v>
      </c>
      <c r="F294" s="3">
        <f t="shared" si="17"/>
        <v>45208</v>
      </c>
      <c r="G294" t="s">
        <v>17</v>
      </c>
      <c r="H294" t="s">
        <v>146</v>
      </c>
      <c r="I294" t="s">
        <v>1145</v>
      </c>
      <c r="J294" t="s">
        <v>739</v>
      </c>
      <c r="K294" t="s">
        <v>514</v>
      </c>
      <c r="L294" t="s">
        <v>22</v>
      </c>
      <c r="M294">
        <v>53</v>
      </c>
      <c r="N294" t="s">
        <v>70</v>
      </c>
      <c r="O294">
        <v>87</v>
      </c>
      <c r="P294">
        <v>1</v>
      </c>
      <c r="Q294">
        <v>3133.85</v>
      </c>
      <c r="R294" s="4">
        <v>45600</v>
      </c>
      <c r="S294" s="6">
        <v>0.34115740740740741</v>
      </c>
      <c r="T294">
        <f t="shared" si="18"/>
        <v>18</v>
      </c>
      <c r="U294" t="str" cm="1">
        <f t="array" ref="U294">_xlfn.IFS(M294&lt;=34,"YOUNG",M294&lt;=54,"MIDDLE AGE",M294&gt;=55,"OLD")</f>
        <v>MIDDLE AGE</v>
      </c>
      <c r="V294" t="str">
        <f t="shared" si="19"/>
        <v>NORMAL</v>
      </c>
    </row>
    <row r="295" spans="1:22" x14ac:dyDescent="0.35">
      <c r="A295" t="s">
        <v>1146</v>
      </c>
      <c r="B295" t="s">
        <v>1147</v>
      </c>
      <c r="C295">
        <v>365.14</v>
      </c>
      <c r="D295" s="1">
        <v>45261.782268518517</v>
      </c>
      <c r="E295" s="2">
        <f t="shared" si="16"/>
        <v>0.78226851851650281</v>
      </c>
      <c r="F295" s="3">
        <f t="shared" si="17"/>
        <v>45261</v>
      </c>
      <c r="G295" t="s">
        <v>17</v>
      </c>
      <c r="H295" t="s">
        <v>323</v>
      </c>
      <c r="I295" t="s">
        <v>1148</v>
      </c>
      <c r="J295" t="s">
        <v>1149</v>
      </c>
      <c r="K295" t="s">
        <v>43</v>
      </c>
      <c r="L295" t="s">
        <v>36</v>
      </c>
      <c r="M295">
        <v>68</v>
      </c>
      <c r="N295" t="s">
        <v>70</v>
      </c>
      <c r="O295">
        <v>57</v>
      </c>
      <c r="P295">
        <v>1</v>
      </c>
      <c r="Q295">
        <v>5894.09</v>
      </c>
      <c r="R295" s="4">
        <v>45600</v>
      </c>
      <c r="S295" s="6">
        <v>0.33848379629629627</v>
      </c>
      <c r="T295">
        <f t="shared" si="18"/>
        <v>18</v>
      </c>
      <c r="U295" t="str" cm="1">
        <f t="array" ref="U295">_xlfn.IFS(M295&lt;=34,"YOUNG",M295&lt;=54,"MIDDLE AGE",M295&gt;=55,"OLD")</f>
        <v>OLD</v>
      </c>
      <c r="V295" t="str">
        <f t="shared" si="19"/>
        <v>NORMAL</v>
      </c>
    </row>
    <row r="296" spans="1:22" x14ac:dyDescent="0.35">
      <c r="A296" t="s">
        <v>1150</v>
      </c>
      <c r="B296" t="s">
        <v>1151</v>
      </c>
      <c r="C296">
        <v>757.41</v>
      </c>
      <c r="D296" s="1">
        <v>45051.688807870371</v>
      </c>
      <c r="E296" s="2">
        <f t="shared" si="16"/>
        <v>0.6888078703705105</v>
      </c>
      <c r="F296" s="3">
        <f t="shared" si="17"/>
        <v>45051</v>
      </c>
      <c r="G296" t="s">
        <v>17</v>
      </c>
      <c r="H296" t="s">
        <v>140</v>
      </c>
      <c r="I296" t="s">
        <v>1152</v>
      </c>
      <c r="J296" t="s">
        <v>378</v>
      </c>
      <c r="K296" t="s">
        <v>122</v>
      </c>
      <c r="L296" t="s">
        <v>22</v>
      </c>
      <c r="M296">
        <v>22</v>
      </c>
      <c r="N296" t="s">
        <v>37</v>
      </c>
      <c r="O296">
        <v>37</v>
      </c>
      <c r="P296">
        <v>1</v>
      </c>
      <c r="Q296">
        <v>9532.42</v>
      </c>
      <c r="R296" s="4">
        <v>45600</v>
      </c>
      <c r="S296" s="6">
        <v>0.33961805555555558</v>
      </c>
      <c r="T296">
        <f t="shared" si="18"/>
        <v>16</v>
      </c>
      <c r="U296" t="str" cm="1">
        <f t="array" ref="U296">_xlfn.IFS(M296&lt;=34,"YOUNG",M296&lt;=54,"MIDDLE AGE",M296&gt;=55,"OLD")</f>
        <v>YOUNG</v>
      </c>
      <c r="V296" t="str">
        <f t="shared" si="19"/>
        <v>NORMAL</v>
      </c>
    </row>
    <row r="297" spans="1:22" x14ac:dyDescent="0.35">
      <c r="A297" t="s">
        <v>1153</v>
      </c>
      <c r="B297" t="s">
        <v>648</v>
      </c>
      <c r="C297">
        <v>20.54</v>
      </c>
      <c r="D297" s="1">
        <v>45159.756527777776</v>
      </c>
      <c r="E297" s="2">
        <f t="shared" si="16"/>
        <v>0.75652777777577285</v>
      </c>
      <c r="F297" s="3">
        <f t="shared" si="17"/>
        <v>45159</v>
      </c>
      <c r="G297" t="s">
        <v>17</v>
      </c>
      <c r="H297" t="s">
        <v>157</v>
      </c>
      <c r="I297" t="s">
        <v>1154</v>
      </c>
      <c r="J297" t="s">
        <v>1155</v>
      </c>
      <c r="K297" t="s">
        <v>288</v>
      </c>
      <c r="L297" t="s">
        <v>69</v>
      </c>
      <c r="M297">
        <v>51</v>
      </c>
      <c r="N297" t="s">
        <v>77</v>
      </c>
      <c r="O297">
        <v>72</v>
      </c>
      <c r="P297">
        <v>1</v>
      </c>
      <c r="Q297">
        <v>5327.03</v>
      </c>
      <c r="R297" s="4">
        <v>45600</v>
      </c>
      <c r="S297" s="6">
        <v>0.3385185185185185</v>
      </c>
      <c r="T297">
        <f t="shared" si="18"/>
        <v>18</v>
      </c>
      <c r="U297" t="str" cm="1">
        <f t="array" ref="U297">_xlfn.IFS(M297&lt;=34,"YOUNG",M297&lt;=54,"MIDDLE AGE",M297&gt;=55,"OLD")</f>
        <v>MIDDLE AGE</v>
      </c>
      <c r="V297" t="str">
        <f t="shared" si="19"/>
        <v>NORMAL</v>
      </c>
    </row>
    <row r="298" spans="1:22" x14ac:dyDescent="0.35">
      <c r="A298" t="s">
        <v>1156</v>
      </c>
      <c r="B298" t="s">
        <v>1157</v>
      </c>
      <c r="C298">
        <v>475.36</v>
      </c>
      <c r="D298" s="1">
        <v>45201.668854166666</v>
      </c>
      <c r="E298" s="2">
        <f t="shared" si="16"/>
        <v>0.66885416666627862</v>
      </c>
      <c r="F298" s="3">
        <f t="shared" si="17"/>
        <v>45201</v>
      </c>
      <c r="G298" t="s">
        <v>17</v>
      </c>
      <c r="H298" t="s">
        <v>425</v>
      </c>
      <c r="I298" t="s">
        <v>1158</v>
      </c>
      <c r="J298" t="s">
        <v>458</v>
      </c>
      <c r="K298" t="s">
        <v>762</v>
      </c>
      <c r="L298" t="s">
        <v>22</v>
      </c>
      <c r="M298">
        <v>34</v>
      </c>
      <c r="N298" t="s">
        <v>77</v>
      </c>
      <c r="O298">
        <v>105</v>
      </c>
      <c r="P298">
        <v>1</v>
      </c>
      <c r="Q298">
        <v>2000.6</v>
      </c>
      <c r="R298" s="4">
        <v>45600</v>
      </c>
      <c r="S298" s="6">
        <v>0.33818287037037037</v>
      </c>
      <c r="T298">
        <f t="shared" si="18"/>
        <v>16</v>
      </c>
      <c r="U298" t="str" cm="1">
        <f t="array" ref="U298">_xlfn.IFS(M298&lt;=34,"YOUNG",M298&lt;=54,"MIDDLE AGE",M298&gt;=55,"OLD")</f>
        <v>YOUNG</v>
      </c>
      <c r="V298" t="str">
        <f t="shared" si="19"/>
        <v>NORMAL</v>
      </c>
    </row>
    <row r="299" spans="1:22" x14ac:dyDescent="0.35">
      <c r="A299" t="s">
        <v>1159</v>
      </c>
      <c r="B299" t="s">
        <v>391</v>
      </c>
      <c r="C299">
        <v>34.74</v>
      </c>
      <c r="D299" s="1">
        <v>45103.694687499999</v>
      </c>
      <c r="E299" s="2">
        <f t="shared" si="16"/>
        <v>0.69468749999941792</v>
      </c>
      <c r="F299" s="3">
        <f t="shared" si="17"/>
        <v>45103</v>
      </c>
      <c r="G299" t="s">
        <v>17</v>
      </c>
      <c r="H299" t="s">
        <v>212</v>
      </c>
      <c r="I299" t="s">
        <v>1160</v>
      </c>
      <c r="J299" t="s">
        <v>702</v>
      </c>
      <c r="K299" t="s">
        <v>831</v>
      </c>
      <c r="L299" t="s">
        <v>22</v>
      </c>
      <c r="M299">
        <v>56</v>
      </c>
      <c r="N299" t="s">
        <v>70</v>
      </c>
      <c r="O299">
        <v>24</v>
      </c>
      <c r="P299">
        <v>1</v>
      </c>
      <c r="Q299">
        <v>6827.57</v>
      </c>
      <c r="R299" s="4">
        <v>45600</v>
      </c>
      <c r="S299" s="6">
        <v>0.34100694444444446</v>
      </c>
      <c r="T299">
        <f t="shared" si="18"/>
        <v>16</v>
      </c>
      <c r="U299" t="str" cm="1">
        <f t="array" ref="U299">_xlfn.IFS(M299&lt;=34,"YOUNG",M299&lt;=54,"MIDDLE AGE",M299&gt;=55,"OLD")</f>
        <v>OLD</v>
      </c>
      <c r="V299" t="str">
        <f t="shared" si="19"/>
        <v>NORMAL</v>
      </c>
    </row>
    <row r="300" spans="1:22" x14ac:dyDescent="0.35">
      <c r="A300" t="s">
        <v>1161</v>
      </c>
      <c r="B300" t="s">
        <v>1147</v>
      </c>
      <c r="C300">
        <v>689.54</v>
      </c>
      <c r="D300" s="1">
        <v>44991.699270833335</v>
      </c>
      <c r="E300" s="2">
        <f t="shared" si="16"/>
        <v>0.6992708333345945</v>
      </c>
      <c r="F300" s="3">
        <f t="shared" si="17"/>
        <v>44991</v>
      </c>
      <c r="G300" t="s">
        <v>17</v>
      </c>
      <c r="H300" t="s">
        <v>53</v>
      </c>
      <c r="I300" t="s">
        <v>1162</v>
      </c>
      <c r="J300" t="s">
        <v>1163</v>
      </c>
      <c r="K300" t="s">
        <v>858</v>
      </c>
      <c r="L300" t="s">
        <v>69</v>
      </c>
      <c r="M300">
        <v>27</v>
      </c>
      <c r="N300" t="s">
        <v>37</v>
      </c>
      <c r="O300">
        <v>93</v>
      </c>
      <c r="P300">
        <v>1</v>
      </c>
      <c r="Q300">
        <v>1633.76</v>
      </c>
      <c r="R300" s="4">
        <v>45600</v>
      </c>
      <c r="S300" s="6">
        <v>0.3395023148148148</v>
      </c>
      <c r="T300">
        <f t="shared" si="18"/>
        <v>16</v>
      </c>
      <c r="U300" t="str" cm="1">
        <f t="array" ref="U300">_xlfn.IFS(M300&lt;=34,"YOUNG",M300&lt;=54,"MIDDLE AGE",M300&gt;=55,"OLD")</f>
        <v>YOUNG</v>
      </c>
      <c r="V300" t="str">
        <f t="shared" si="19"/>
        <v>NORMAL</v>
      </c>
    </row>
    <row r="301" spans="1:22" x14ac:dyDescent="0.35">
      <c r="A301" t="s">
        <v>1164</v>
      </c>
      <c r="B301" t="s">
        <v>777</v>
      </c>
      <c r="C301">
        <v>211.18</v>
      </c>
      <c r="D301" s="1">
        <v>45215.673460648148</v>
      </c>
      <c r="E301" s="2">
        <f t="shared" si="16"/>
        <v>0.67346064814773854</v>
      </c>
      <c r="F301" s="3">
        <f t="shared" si="17"/>
        <v>45215</v>
      </c>
      <c r="G301" t="s">
        <v>17</v>
      </c>
      <c r="H301" t="s">
        <v>453</v>
      </c>
      <c r="I301" t="s">
        <v>448</v>
      </c>
      <c r="J301" t="s">
        <v>1165</v>
      </c>
      <c r="K301" t="s">
        <v>128</v>
      </c>
      <c r="L301" t="s">
        <v>22</v>
      </c>
      <c r="M301">
        <v>73</v>
      </c>
      <c r="N301" t="s">
        <v>70</v>
      </c>
      <c r="O301">
        <v>90</v>
      </c>
      <c r="P301">
        <v>1</v>
      </c>
      <c r="Q301">
        <v>4069.17</v>
      </c>
      <c r="R301" s="4">
        <v>45600</v>
      </c>
      <c r="S301" s="6">
        <v>0.34155092592592595</v>
      </c>
      <c r="T301">
        <f t="shared" si="18"/>
        <v>16</v>
      </c>
      <c r="U301" t="str" cm="1">
        <f t="array" ref="U301">_xlfn.IFS(M301&lt;=34,"YOUNG",M301&lt;=54,"MIDDLE AGE",M301&gt;=55,"OLD")</f>
        <v>OLD</v>
      </c>
      <c r="V301" t="str">
        <f t="shared" si="19"/>
        <v>NORMAL</v>
      </c>
    </row>
    <row r="302" spans="1:22" x14ac:dyDescent="0.35">
      <c r="A302" t="s">
        <v>1166</v>
      </c>
      <c r="B302" t="s">
        <v>1167</v>
      </c>
      <c r="C302">
        <v>211.36</v>
      </c>
      <c r="D302" s="1">
        <v>45251.683113425926</v>
      </c>
      <c r="E302" s="2">
        <f t="shared" si="16"/>
        <v>0.68311342592642177</v>
      </c>
      <c r="F302" s="3">
        <f t="shared" si="17"/>
        <v>45251</v>
      </c>
      <c r="G302" t="s">
        <v>46</v>
      </c>
      <c r="H302" t="s">
        <v>157</v>
      </c>
      <c r="I302" t="s">
        <v>893</v>
      </c>
      <c r="J302" t="s">
        <v>602</v>
      </c>
      <c r="K302" t="s">
        <v>576</v>
      </c>
      <c r="L302" t="s">
        <v>69</v>
      </c>
      <c r="M302">
        <v>51</v>
      </c>
      <c r="N302" t="s">
        <v>77</v>
      </c>
      <c r="O302">
        <v>286</v>
      </c>
      <c r="P302">
        <v>1</v>
      </c>
      <c r="Q302">
        <v>7943.47</v>
      </c>
      <c r="R302" s="4">
        <v>45600</v>
      </c>
      <c r="S302" s="6">
        <v>0.34108796296296295</v>
      </c>
      <c r="T302">
        <f t="shared" si="18"/>
        <v>16</v>
      </c>
      <c r="U302" t="str" cm="1">
        <f t="array" ref="U302">_xlfn.IFS(M302&lt;=34,"YOUNG",M302&lt;=54,"MIDDLE AGE",M302&gt;=55,"OLD")</f>
        <v>MIDDLE AGE</v>
      </c>
      <c r="V302" t="str">
        <f t="shared" si="19"/>
        <v>NORMAL</v>
      </c>
    </row>
    <row r="303" spans="1:22" x14ac:dyDescent="0.35">
      <c r="A303" t="s">
        <v>1168</v>
      </c>
      <c r="B303" t="s">
        <v>1169</v>
      </c>
      <c r="C303">
        <v>744.41</v>
      </c>
      <c r="D303" s="1">
        <v>45138.691655092596</v>
      </c>
      <c r="E303" s="2">
        <f t="shared" si="16"/>
        <v>0.69165509259619284</v>
      </c>
      <c r="F303" s="3">
        <f t="shared" si="17"/>
        <v>45138</v>
      </c>
      <c r="G303" t="s">
        <v>46</v>
      </c>
      <c r="H303" t="s">
        <v>26</v>
      </c>
      <c r="I303" t="s">
        <v>734</v>
      </c>
      <c r="J303" t="s">
        <v>1170</v>
      </c>
      <c r="K303" t="s">
        <v>312</v>
      </c>
      <c r="L303" t="s">
        <v>36</v>
      </c>
      <c r="M303">
        <v>39</v>
      </c>
      <c r="N303" t="s">
        <v>77</v>
      </c>
      <c r="O303">
        <v>107</v>
      </c>
      <c r="P303">
        <v>1</v>
      </c>
      <c r="Q303">
        <v>8842.4699999999993</v>
      </c>
      <c r="R303" s="4">
        <v>45600</v>
      </c>
      <c r="S303" s="6">
        <v>0.34128472222222223</v>
      </c>
      <c r="T303">
        <f t="shared" si="18"/>
        <v>16</v>
      </c>
      <c r="U303" t="str" cm="1">
        <f t="array" ref="U303">_xlfn.IFS(M303&lt;=34,"YOUNG",M303&lt;=54,"MIDDLE AGE",M303&gt;=55,"OLD")</f>
        <v>MIDDLE AGE</v>
      </c>
      <c r="V303" t="str">
        <f t="shared" si="19"/>
        <v>NORMAL</v>
      </c>
    </row>
    <row r="304" spans="1:22" x14ac:dyDescent="0.35">
      <c r="A304" t="s">
        <v>1171</v>
      </c>
      <c r="B304" t="s">
        <v>1172</v>
      </c>
      <c r="C304">
        <v>61.43</v>
      </c>
      <c r="D304" s="1">
        <v>45106.678206018521</v>
      </c>
      <c r="E304" s="2">
        <f t="shared" si="16"/>
        <v>0.67820601852145046</v>
      </c>
      <c r="F304" s="3">
        <f t="shared" si="17"/>
        <v>45106</v>
      </c>
      <c r="G304" t="s">
        <v>17</v>
      </c>
      <c r="H304" t="s">
        <v>425</v>
      </c>
      <c r="I304" t="s">
        <v>1173</v>
      </c>
      <c r="J304" t="s">
        <v>1174</v>
      </c>
      <c r="K304" t="s">
        <v>76</v>
      </c>
      <c r="L304" t="s">
        <v>36</v>
      </c>
      <c r="M304">
        <v>24</v>
      </c>
      <c r="N304" t="s">
        <v>37</v>
      </c>
      <c r="O304">
        <v>170</v>
      </c>
      <c r="P304">
        <v>1</v>
      </c>
      <c r="Q304">
        <v>1882.77</v>
      </c>
      <c r="R304" s="4">
        <v>45600</v>
      </c>
      <c r="S304" s="6">
        <v>0.33909722222222222</v>
      </c>
      <c r="T304">
        <f t="shared" si="18"/>
        <v>16</v>
      </c>
      <c r="U304" t="str" cm="1">
        <f t="array" ref="U304">_xlfn.IFS(M304&lt;=34,"YOUNG",M304&lt;=54,"MIDDLE AGE",M304&gt;=55,"OLD")</f>
        <v>YOUNG</v>
      </c>
      <c r="V304" t="str">
        <f t="shared" si="19"/>
        <v>NORMAL</v>
      </c>
    </row>
    <row r="305" spans="1:22" x14ac:dyDescent="0.35">
      <c r="A305" t="s">
        <v>1175</v>
      </c>
      <c r="B305" t="s">
        <v>1176</v>
      </c>
      <c r="C305">
        <v>167.44</v>
      </c>
      <c r="D305" s="1">
        <v>45194.674513888887</v>
      </c>
      <c r="E305" s="2">
        <f t="shared" si="16"/>
        <v>0.67451388888730435</v>
      </c>
      <c r="F305" s="3">
        <f t="shared" si="17"/>
        <v>45194</v>
      </c>
      <c r="G305" t="s">
        <v>17</v>
      </c>
      <c r="H305" t="s">
        <v>32</v>
      </c>
      <c r="I305" t="s">
        <v>1177</v>
      </c>
      <c r="J305" t="s">
        <v>887</v>
      </c>
      <c r="K305" t="s">
        <v>343</v>
      </c>
      <c r="L305" t="s">
        <v>69</v>
      </c>
      <c r="M305">
        <v>37</v>
      </c>
      <c r="N305" t="s">
        <v>23</v>
      </c>
      <c r="O305">
        <v>82</v>
      </c>
      <c r="P305">
        <v>1</v>
      </c>
      <c r="Q305">
        <v>12526.71</v>
      </c>
      <c r="R305" s="4">
        <v>45600</v>
      </c>
      <c r="S305" s="6">
        <v>0.34084490740740742</v>
      </c>
      <c r="T305">
        <f t="shared" si="18"/>
        <v>16</v>
      </c>
      <c r="U305" t="str" cm="1">
        <f t="array" ref="U305">_xlfn.IFS(M305&lt;=34,"YOUNG",M305&lt;=54,"MIDDLE AGE",M305&gt;=55,"OLD")</f>
        <v>MIDDLE AGE</v>
      </c>
      <c r="V305" t="str">
        <f t="shared" si="19"/>
        <v>NORMAL</v>
      </c>
    </row>
    <row r="306" spans="1:22" x14ac:dyDescent="0.35">
      <c r="A306" t="s">
        <v>1178</v>
      </c>
      <c r="B306" t="s">
        <v>1179</v>
      </c>
      <c r="C306">
        <v>361.46</v>
      </c>
      <c r="D306" s="1">
        <v>45023.724363425928</v>
      </c>
      <c r="E306" s="2">
        <f t="shared" si="16"/>
        <v>0.72436342592845904</v>
      </c>
      <c r="F306" s="3">
        <f t="shared" si="17"/>
        <v>45023</v>
      </c>
      <c r="G306" t="s">
        <v>17</v>
      </c>
      <c r="H306" t="s">
        <v>80</v>
      </c>
      <c r="I306" t="s">
        <v>1180</v>
      </c>
      <c r="J306" t="s">
        <v>1181</v>
      </c>
      <c r="K306" t="s">
        <v>482</v>
      </c>
      <c r="L306" t="s">
        <v>36</v>
      </c>
      <c r="M306">
        <v>21</v>
      </c>
      <c r="N306" t="s">
        <v>37</v>
      </c>
      <c r="O306">
        <v>83</v>
      </c>
      <c r="P306">
        <v>1</v>
      </c>
      <c r="Q306">
        <v>4737.84</v>
      </c>
      <c r="R306" s="4">
        <v>45600</v>
      </c>
      <c r="S306" s="6">
        <v>0.34076388888888887</v>
      </c>
      <c r="T306">
        <f t="shared" si="18"/>
        <v>17</v>
      </c>
      <c r="U306" t="str" cm="1">
        <f t="array" ref="U306">_xlfn.IFS(M306&lt;=34,"YOUNG",M306&lt;=54,"MIDDLE AGE",M306&gt;=55,"OLD")</f>
        <v>YOUNG</v>
      </c>
      <c r="V306" t="str">
        <f t="shared" si="19"/>
        <v>NORMAL</v>
      </c>
    </row>
    <row r="307" spans="1:22" x14ac:dyDescent="0.35">
      <c r="A307" t="s">
        <v>1182</v>
      </c>
      <c r="B307" t="s">
        <v>1183</v>
      </c>
      <c r="C307">
        <v>378.85</v>
      </c>
      <c r="D307" s="1">
        <v>45093.723090277781</v>
      </c>
      <c r="E307" s="2">
        <f t="shared" si="16"/>
        <v>0.72309027778101154</v>
      </c>
      <c r="F307" s="3">
        <f t="shared" si="17"/>
        <v>45093</v>
      </c>
      <c r="G307" t="s">
        <v>17</v>
      </c>
      <c r="H307" t="s">
        <v>301</v>
      </c>
      <c r="I307" t="s">
        <v>1184</v>
      </c>
      <c r="J307" t="s">
        <v>874</v>
      </c>
      <c r="K307" t="s">
        <v>548</v>
      </c>
      <c r="L307" t="s">
        <v>69</v>
      </c>
      <c r="M307">
        <v>78</v>
      </c>
      <c r="N307" t="s">
        <v>70</v>
      </c>
      <c r="O307">
        <v>126</v>
      </c>
      <c r="P307">
        <v>1</v>
      </c>
      <c r="Q307">
        <v>2300.5300000000002</v>
      </c>
      <c r="R307" s="4">
        <v>45600</v>
      </c>
      <c r="S307" s="6">
        <v>0.33966435185185184</v>
      </c>
      <c r="T307">
        <f t="shared" si="18"/>
        <v>17</v>
      </c>
      <c r="U307" t="str" cm="1">
        <f t="array" ref="U307">_xlfn.IFS(M307&lt;=34,"YOUNG",M307&lt;=54,"MIDDLE AGE",M307&gt;=55,"OLD")</f>
        <v>OLD</v>
      </c>
      <c r="V307" t="str">
        <f t="shared" si="19"/>
        <v>NORMAL</v>
      </c>
    </row>
    <row r="308" spans="1:22" x14ac:dyDescent="0.35">
      <c r="A308" t="s">
        <v>1185</v>
      </c>
      <c r="B308" t="s">
        <v>1186</v>
      </c>
      <c r="C308">
        <v>241.11</v>
      </c>
      <c r="D308" s="1">
        <v>45093.695405092592</v>
      </c>
      <c r="E308" s="2">
        <f t="shared" si="16"/>
        <v>0.69540509259240935</v>
      </c>
      <c r="F308" s="3">
        <f t="shared" si="17"/>
        <v>45093</v>
      </c>
      <c r="G308" t="s">
        <v>17</v>
      </c>
      <c r="H308" t="s">
        <v>125</v>
      </c>
      <c r="I308" t="s">
        <v>1187</v>
      </c>
      <c r="J308" t="s">
        <v>1188</v>
      </c>
      <c r="K308" t="s">
        <v>370</v>
      </c>
      <c r="L308" t="s">
        <v>69</v>
      </c>
      <c r="M308">
        <v>30</v>
      </c>
      <c r="N308" t="s">
        <v>23</v>
      </c>
      <c r="O308">
        <v>55</v>
      </c>
      <c r="P308">
        <v>1</v>
      </c>
      <c r="Q308">
        <v>12385.05</v>
      </c>
      <c r="R308" s="4">
        <v>45600</v>
      </c>
      <c r="S308" s="6">
        <v>0.34084490740740742</v>
      </c>
      <c r="T308">
        <f t="shared" si="18"/>
        <v>16</v>
      </c>
      <c r="U308" t="str" cm="1">
        <f t="array" ref="U308">_xlfn.IFS(M308&lt;=34,"YOUNG",M308&lt;=54,"MIDDLE AGE",M308&gt;=55,"OLD")</f>
        <v>YOUNG</v>
      </c>
      <c r="V308" t="str">
        <f t="shared" si="19"/>
        <v>NORMAL</v>
      </c>
    </row>
    <row r="309" spans="1:22" x14ac:dyDescent="0.35">
      <c r="A309" t="s">
        <v>1189</v>
      </c>
      <c r="B309" t="s">
        <v>1190</v>
      </c>
      <c r="C309">
        <v>131.93</v>
      </c>
      <c r="D309" s="1">
        <v>45180.72997685185</v>
      </c>
      <c r="E309" s="2">
        <f t="shared" si="16"/>
        <v>0.72997685184964212</v>
      </c>
      <c r="F309" s="3">
        <f t="shared" si="17"/>
        <v>45180</v>
      </c>
      <c r="G309" t="s">
        <v>46</v>
      </c>
      <c r="H309" t="s">
        <v>157</v>
      </c>
      <c r="I309" t="s">
        <v>1191</v>
      </c>
      <c r="J309" t="s">
        <v>696</v>
      </c>
      <c r="K309" t="s">
        <v>474</v>
      </c>
      <c r="L309" t="s">
        <v>69</v>
      </c>
      <c r="M309">
        <v>31</v>
      </c>
      <c r="N309" t="s">
        <v>77</v>
      </c>
      <c r="O309">
        <v>13</v>
      </c>
      <c r="P309">
        <v>1</v>
      </c>
      <c r="Q309">
        <v>4547.0600000000004</v>
      </c>
      <c r="R309" s="4">
        <v>45600</v>
      </c>
      <c r="S309" s="6">
        <v>0.33807870370370369</v>
      </c>
      <c r="T309">
        <f t="shared" si="18"/>
        <v>17</v>
      </c>
      <c r="U309" t="str" cm="1">
        <f t="array" ref="U309">_xlfn.IFS(M309&lt;=34,"YOUNG",M309&lt;=54,"MIDDLE AGE",M309&gt;=55,"OLD")</f>
        <v>YOUNG</v>
      </c>
      <c r="V309" t="str">
        <f t="shared" si="19"/>
        <v>NORMAL</v>
      </c>
    </row>
    <row r="310" spans="1:22" x14ac:dyDescent="0.35">
      <c r="A310" t="s">
        <v>1192</v>
      </c>
      <c r="B310" t="s">
        <v>1193</v>
      </c>
      <c r="C310">
        <v>20.28</v>
      </c>
      <c r="D310" s="1">
        <v>45126.737939814811</v>
      </c>
      <c r="E310" s="2">
        <f t="shared" si="16"/>
        <v>0.73793981481139781</v>
      </c>
      <c r="F310" s="3">
        <f t="shared" si="17"/>
        <v>45126</v>
      </c>
      <c r="G310" t="s">
        <v>17</v>
      </c>
      <c r="H310" t="s">
        <v>53</v>
      </c>
      <c r="I310" t="s">
        <v>1194</v>
      </c>
      <c r="J310" t="s">
        <v>1195</v>
      </c>
      <c r="K310" t="s">
        <v>478</v>
      </c>
      <c r="L310" t="s">
        <v>36</v>
      </c>
      <c r="M310">
        <v>36</v>
      </c>
      <c r="N310" t="s">
        <v>77</v>
      </c>
      <c r="O310">
        <v>213</v>
      </c>
      <c r="P310">
        <v>1</v>
      </c>
      <c r="Q310">
        <v>2047.83</v>
      </c>
      <c r="R310" s="4">
        <v>45600</v>
      </c>
      <c r="S310" s="6">
        <v>0.34030092592592592</v>
      </c>
      <c r="T310">
        <f t="shared" si="18"/>
        <v>17</v>
      </c>
      <c r="U310" t="str" cm="1">
        <f t="array" ref="U310">_xlfn.IFS(M310&lt;=34,"YOUNG",M310&lt;=54,"MIDDLE AGE",M310&gt;=55,"OLD")</f>
        <v>MIDDLE AGE</v>
      </c>
      <c r="V310" t="str">
        <f t="shared" si="19"/>
        <v>NORMAL</v>
      </c>
    </row>
    <row r="311" spans="1:22" x14ac:dyDescent="0.35">
      <c r="A311" t="s">
        <v>1196</v>
      </c>
      <c r="B311" t="s">
        <v>1197</v>
      </c>
      <c r="C311">
        <v>415.88</v>
      </c>
      <c r="D311" s="1">
        <v>45043.729351851849</v>
      </c>
      <c r="E311" s="2">
        <f t="shared" si="16"/>
        <v>0.72935185184906004</v>
      </c>
      <c r="F311" s="3">
        <f t="shared" si="17"/>
        <v>45043</v>
      </c>
      <c r="G311" t="s">
        <v>17</v>
      </c>
      <c r="H311" t="s">
        <v>18</v>
      </c>
      <c r="I311" t="s">
        <v>1198</v>
      </c>
      <c r="J311" t="s">
        <v>394</v>
      </c>
      <c r="K311" t="s">
        <v>262</v>
      </c>
      <c r="L311" t="s">
        <v>69</v>
      </c>
      <c r="M311">
        <v>70</v>
      </c>
      <c r="N311" t="s">
        <v>23</v>
      </c>
      <c r="O311">
        <v>170</v>
      </c>
      <c r="P311">
        <v>1</v>
      </c>
      <c r="Q311">
        <v>10008.33</v>
      </c>
      <c r="R311" s="4">
        <v>45600</v>
      </c>
      <c r="S311" s="6">
        <v>0.33890046296296295</v>
      </c>
      <c r="T311">
        <f t="shared" si="18"/>
        <v>17</v>
      </c>
      <c r="U311" t="str" cm="1">
        <f t="array" ref="U311">_xlfn.IFS(M311&lt;=34,"YOUNG",M311&lt;=54,"MIDDLE AGE",M311&gt;=55,"OLD")</f>
        <v>OLD</v>
      </c>
      <c r="V311" t="str">
        <f t="shared" si="19"/>
        <v>NORMAL</v>
      </c>
    </row>
    <row r="312" spans="1:22" x14ac:dyDescent="0.35">
      <c r="A312" t="s">
        <v>1199</v>
      </c>
      <c r="B312" t="s">
        <v>1200</v>
      </c>
      <c r="C312">
        <v>49.99</v>
      </c>
      <c r="D312" s="1">
        <v>44966.745821759258</v>
      </c>
      <c r="E312" s="2">
        <f t="shared" si="16"/>
        <v>0.74582175925752381</v>
      </c>
      <c r="F312" s="3">
        <f t="shared" si="17"/>
        <v>44966</v>
      </c>
      <c r="G312" t="s">
        <v>17</v>
      </c>
      <c r="H312" t="s">
        <v>296</v>
      </c>
      <c r="I312" t="s">
        <v>1201</v>
      </c>
      <c r="J312" t="s">
        <v>1202</v>
      </c>
      <c r="K312" t="s">
        <v>619</v>
      </c>
      <c r="L312" t="s">
        <v>22</v>
      </c>
      <c r="M312">
        <v>62</v>
      </c>
      <c r="N312" t="s">
        <v>70</v>
      </c>
      <c r="O312">
        <v>139</v>
      </c>
      <c r="P312">
        <v>1</v>
      </c>
      <c r="Q312">
        <v>2299.64</v>
      </c>
      <c r="R312" s="4">
        <v>45600</v>
      </c>
      <c r="S312" s="6">
        <v>0.33906249999999999</v>
      </c>
      <c r="T312">
        <f t="shared" si="18"/>
        <v>17</v>
      </c>
      <c r="U312" t="str" cm="1">
        <f t="array" ref="U312">_xlfn.IFS(M312&lt;=34,"YOUNG",M312&lt;=54,"MIDDLE AGE",M312&gt;=55,"OLD")</f>
        <v>OLD</v>
      </c>
      <c r="V312" t="str">
        <f t="shared" si="19"/>
        <v>NORMAL</v>
      </c>
    </row>
    <row r="313" spans="1:22" x14ac:dyDescent="0.35">
      <c r="A313" t="s">
        <v>1203</v>
      </c>
      <c r="B313" t="s">
        <v>134</v>
      </c>
      <c r="C313">
        <v>1221.6500000000001</v>
      </c>
      <c r="D313" s="1">
        <v>45196.705266203702</v>
      </c>
      <c r="E313" s="2">
        <f t="shared" si="16"/>
        <v>0.70526620370219462</v>
      </c>
      <c r="F313" s="3">
        <f t="shared" si="17"/>
        <v>45196</v>
      </c>
      <c r="G313" t="s">
        <v>17</v>
      </c>
      <c r="H313" t="s">
        <v>114</v>
      </c>
      <c r="I313" t="s">
        <v>360</v>
      </c>
      <c r="J313" t="s">
        <v>1204</v>
      </c>
      <c r="K313" t="s">
        <v>50</v>
      </c>
      <c r="L313" t="s">
        <v>36</v>
      </c>
      <c r="M313">
        <v>27</v>
      </c>
      <c r="N313" t="s">
        <v>37</v>
      </c>
      <c r="O313">
        <v>153</v>
      </c>
      <c r="P313">
        <v>1</v>
      </c>
      <c r="Q313">
        <v>243.92</v>
      </c>
      <c r="R313" s="4">
        <v>45600</v>
      </c>
      <c r="S313" s="6">
        <v>0.34075231481481483</v>
      </c>
      <c r="T313">
        <f t="shared" si="18"/>
        <v>16</v>
      </c>
      <c r="U313" t="str" cm="1">
        <f t="array" ref="U313">_xlfn.IFS(M313&lt;=34,"YOUNG",M313&lt;=54,"MIDDLE AGE",M313&gt;=55,"OLD")</f>
        <v>YOUNG</v>
      </c>
      <c r="V313" t="str">
        <f t="shared" si="19"/>
        <v>NORMAL</v>
      </c>
    </row>
    <row r="314" spans="1:22" x14ac:dyDescent="0.35">
      <c r="A314" t="s">
        <v>1205</v>
      </c>
      <c r="B314" t="s">
        <v>1206</v>
      </c>
      <c r="C314">
        <v>100.66</v>
      </c>
      <c r="D314" s="1">
        <v>45093.790856481479</v>
      </c>
      <c r="E314" s="2">
        <f t="shared" si="16"/>
        <v>0.79085648147884058</v>
      </c>
      <c r="F314" s="3">
        <f t="shared" si="17"/>
        <v>45093</v>
      </c>
      <c r="G314" t="s">
        <v>17</v>
      </c>
      <c r="H314" t="s">
        <v>323</v>
      </c>
      <c r="I314" t="s">
        <v>1207</v>
      </c>
      <c r="J314" t="s">
        <v>1208</v>
      </c>
      <c r="K314" t="s">
        <v>1209</v>
      </c>
      <c r="L314" t="s">
        <v>69</v>
      </c>
      <c r="M314">
        <v>50</v>
      </c>
      <c r="N314" t="s">
        <v>23</v>
      </c>
      <c r="O314">
        <v>144</v>
      </c>
      <c r="P314">
        <v>1</v>
      </c>
      <c r="Q314">
        <v>14473.33</v>
      </c>
      <c r="R314" s="4">
        <v>45600</v>
      </c>
      <c r="S314" s="6">
        <v>0.34159722222222222</v>
      </c>
      <c r="T314">
        <f t="shared" si="18"/>
        <v>18</v>
      </c>
      <c r="U314" t="str" cm="1">
        <f t="array" ref="U314">_xlfn.IFS(M314&lt;=34,"YOUNG",M314&lt;=54,"MIDDLE AGE",M314&gt;=55,"OLD")</f>
        <v>MIDDLE AGE</v>
      </c>
      <c r="V314" t="str">
        <f t="shared" si="19"/>
        <v>NORMAL</v>
      </c>
    </row>
    <row r="315" spans="1:22" x14ac:dyDescent="0.35">
      <c r="A315" t="s">
        <v>1210</v>
      </c>
      <c r="B315" t="s">
        <v>424</v>
      </c>
      <c r="C315">
        <v>485.54</v>
      </c>
      <c r="D315" s="1">
        <v>45268.699861111112</v>
      </c>
      <c r="E315" s="2">
        <f t="shared" si="16"/>
        <v>0.69986111111211358</v>
      </c>
      <c r="F315" s="3">
        <f t="shared" si="17"/>
        <v>45268</v>
      </c>
      <c r="G315" t="s">
        <v>17</v>
      </c>
      <c r="H315" t="s">
        <v>108</v>
      </c>
      <c r="I315" t="s">
        <v>1211</v>
      </c>
      <c r="J315" t="s">
        <v>662</v>
      </c>
      <c r="K315" t="s">
        <v>1014</v>
      </c>
      <c r="L315" t="s">
        <v>36</v>
      </c>
      <c r="M315">
        <v>19</v>
      </c>
      <c r="N315" t="s">
        <v>37</v>
      </c>
      <c r="O315">
        <v>148</v>
      </c>
      <c r="P315">
        <v>1</v>
      </c>
      <c r="Q315">
        <v>1533.32</v>
      </c>
      <c r="R315" s="4">
        <v>45600</v>
      </c>
      <c r="S315" s="6">
        <v>0.34107638888888892</v>
      </c>
      <c r="T315">
        <f t="shared" si="18"/>
        <v>16</v>
      </c>
      <c r="U315" t="str" cm="1">
        <f t="array" ref="U315">_xlfn.IFS(M315&lt;=34,"YOUNG",M315&lt;=54,"MIDDLE AGE",M315&gt;=55,"OLD")</f>
        <v>YOUNG</v>
      </c>
      <c r="V315" t="str">
        <f t="shared" si="19"/>
        <v>NORMAL</v>
      </c>
    </row>
    <row r="316" spans="1:22" x14ac:dyDescent="0.35">
      <c r="A316" t="s">
        <v>1212</v>
      </c>
      <c r="B316" t="s">
        <v>1213</v>
      </c>
      <c r="C316">
        <v>321.14999999999998</v>
      </c>
      <c r="D316" s="1">
        <v>44967.712962962964</v>
      </c>
      <c r="E316" s="2">
        <f t="shared" si="16"/>
        <v>0.71296296296350192</v>
      </c>
      <c r="F316" s="3">
        <f t="shared" si="17"/>
        <v>44967</v>
      </c>
      <c r="G316" t="s">
        <v>17</v>
      </c>
      <c r="H316" t="s">
        <v>140</v>
      </c>
      <c r="I316" t="s">
        <v>1214</v>
      </c>
      <c r="J316" t="s">
        <v>1215</v>
      </c>
      <c r="K316" t="s">
        <v>980</v>
      </c>
      <c r="L316" t="s">
        <v>69</v>
      </c>
      <c r="M316">
        <v>46</v>
      </c>
      <c r="N316" t="s">
        <v>23</v>
      </c>
      <c r="O316">
        <v>179</v>
      </c>
      <c r="P316">
        <v>1</v>
      </c>
      <c r="Q316">
        <v>7005.05</v>
      </c>
      <c r="R316" s="4">
        <v>45600</v>
      </c>
      <c r="S316" s="6">
        <v>0.33788194444444447</v>
      </c>
      <c r="T316">
        <f t="shared" si="18"/>
        <v>17</v>
      </c>
      <c r="U316" t="str" cm="1">
        <f t="array" ref="U316">_xlfn.IFS(M316&lt;=34,"YOUNG",M316&lt;=54,"MIDDLE AGE",M316&gt;=55,"OLD")</f>
        <v>MIDDLE AGE</v>
      </c>
      <c r="V316" t="str">
        <f t="shared" si="19"/>
        <v>NORMAL</v>
      </c>
    </row>
    <row r="317" spans="1:22" x14ac:dyDescent="0.35">
      <c r="A317" t="s">
        <v>1216</v>
      </c>
      <c r="B317" t="s">
        <v>1217</v>
      </c>
      <c r="C317">
        <v>711.3</v>
      </c>
      <c r="D317" s="1">
        <v>45103.790011574078</v>
      </c>
      <c r="E317" s="2">
        <f t="shared" si="16"/>
        <v>0.79001157407765277</v>
      </c>
      <c r="F317" s="3">
        <f t="shared" si="17"/>
        <v>45103</v>
      </c>
      <c r="G317" t="s">
        <v>17</v>
      </c>
      <c r="H317" t="s">
        <v>223</v>
      </c>
      <c r="I317" t="s">
        <v>1218</v>
      </c>
      <c r="J317" t="s">
        <v>1219</v>
      </c>
      <c r="K317" t="s">
        <v>592</v>
      </c>
      <c r="L317" t="s">
        <v>69</v>
      </c>
      <c r="M317">
        <v>21</v>
      </c>
      <c r="N317" t="s">
        <v>37</v>
      </c>
      <c r="O317">
        <v>51</v>
      </c>
      <c r="P317">
        <v>1</v>
      </c>
      <c r="Q317">
        <v>955.4</v>
      </c>
      <c r="R317" s="4">
        <v>45600</v>
      </c>
      <c r="S317" s="6">
        <v>0.3399537037037037</v>
      </c>
      <c r="T317">
        <f t="shared" si="18"/>
        <v>18</v>
      </c>
      <c r="U317" t="str" cm="1">
        <f t="array" ref="U317">_xlfn.IFS(M317&lt;=34,"YOUNG",M317&lt;=54,"MIDDLE AGE",M317&gt;=55,"OLD")</f>
        <v>YOUNG</v>
      </c>
      <c r="V317" t="str">
        <f t="shared" si="19"/>
        <v>NORMAL</v>
      </c>
    </row>
    <row r="318" spans="1:22" x14ac:dyDescent="0.35">
      <c r="A318" t="s">
        <v>1220</v>
      </c>
      <c r="B318" t="s">
        <v>1221</v>
      </c>
      <c r="C318">
        <v>12.23</v>
      </c>
      <c r="D318" s="1">
        <v>45211.668206018519</v>
      </c>
      <c r="E318" s="2">
        <f t="shared" si="16"/>
        <v>0.66820601851941319</v>
      </c>
      <c r="F318" s="3">
        <f t="shared" si="17"/>
        <v>45211</v>
      </c>
      <c r="G318" t="s">
        <v>17</v>
      </c>
      <c r="H318" t="s">
        <v>26</v>
      </c>
      <c r="I318" t="s">
        <v>1222</v>
      </c>
      <c r="J318" t="s">
        <v>681</v>
      </c>
      <c r="K318" t="s">
        <v>149</v>
      </c>
      <c r="L318" t="s">
        <v>22</v>
      </c>
      <c r="M318">
        <v>42</v>
      </c>
      <c r="N318" t="s">
        <v>77</v>
      </c>
      <c r="O318">
        <v>139</v>
      </c>
      <c r="P318">
        <v>1</v>
      </c>
      <c r="Q318">
        <v>7844.88</v>
      </c>
      <c r="R318" s="4">
        <v>45600</v>
      </c>
      <c r="S318" s="6">
        <v>0.33853009259259259</v>
      </c>
      <c r="T318">
        <f t="shared" si="18"/>
        <v>16</v>
      </c>
      <c r="U318" t="str" cm="1">
        <f t="array" ref="U318">_xlfn.IFS(M318&lt;=34,"YOUNG",M318&lt;=54,"MIDDLE AGE",M318&gt;=55,"OLD")</f>
        <v>MIDDLE AGE</v>
      </c>
      <c r="V318" t="str">
        <f t="shared" si="19"/>
        <v>NORMAL</v>
      </c>
    </row>
    <row r="319" spans="1:22" x14ac:dyDescent="0.35">
      <c r="A319" t="s">
        <v>1223</v>
      </c>
      <c r="B319" t="s">
        <v>467</v>
      </c>
      <c r="C319">
        <v>350.94</v>
      </c>
      <c r="D319" s="1">
        <v>45229.720729166664</v>
      </c>
      <c r="E319" s="2">
        <f t="shared" si="16"/>
        <v>0.72072916666365927</v>
      </c>
      <c r="F319" s="3">
        <f t="shared" si="17"/>
        <v>45229</v>
      </c>
      <c r="G319" t="s">
        <v>17</v>
      </c>
      <c r="H319" t="s">
        <v>521</v>
      </c>
      <c r="I319" t="s">
        <v>1224</v>
      </c>
      <c r="J319" t="s">
        <v>1225</v>
      </c>
      <c r="K319" t="s">
        <v>759</v>
      </c>
      <c r="L319" t="s">
        <v>22</v>
      </c>
      <c r="M319">
        <v>20</v>
      </c>
      <c r="N319" t="s">
        <v>37</v>
      </c>
      <c r="O319">
        <v>64</v>
      </c>
      <c r="P319">
        <v>1</v>
      </c>
      <c r="Q319">
        <v>221.56</v>
      </c>
      <c r="R319" s="4">
        <v>45600</v>
      </c>
      <c r="S319" s="6">
        <v>0.34068287037037037</v>
      </c>
      <c r="T319">
        <f t="shared" si="18"/>
        <v>17</v>
      </c>
      <c r="U319" t="str" cm="1">
        <f t="array" ref="U319">_xlfn.IFS(M319&lt;=34,"YOUNG",M319&lt;=54,"MIDDLE AGE",M319&gt;=55,"OLD")</f>
        <v>YOUNG</v>
      </c>
      <c r="V319" t="str">
        <f t="shared" si="19"/>
        <v>NORMAL</v>
      </c>
    </row>
    <row r="320" spans="1:22" x14ac:dyDescent="0.35">
      <c r="A320" t="s">
        <v>1226</v>
      </c>
      <c r="B320" t="s">
        <v>463</v>
      </c>
      <c r="C320">
        <v>301.85000000000002</v>
      </c>
      <c r="D320" s="1">
        <v>45034.73877314815</v>
      </c>
      <c r="E320" s="2">
        <f t="shared" si="16"/>
        <v>0.73877314815035788</v>
      </c>
      <c r="F320" s="3">
        <f t="shared" si="17"/>
        <v>45034</v>
      </c>
      <c r="G320" t="s">
        <v>17</v>
      </c>
      <c r="H320" t="s">
        <v>125</v>
      </c>
      <c r="I320" t="s">
        <v>1227</v>
      </c>
      <c r="J320" t="s">
        <v>174</v>
      </c>
      <c r="K320" t="s">
        <v>619</v>
      </c>
      <c r="L320" t="s">
        <v>36</v>
      </c>
      <c r="M320">
        <v>54</v>
      </c>
      <c r="N320" t="s">
        <v>77</v>
      </c>
      <c r="O320">
        <v>25</v>
      </c>
      <c r="P320">
        <v>1</v>
      </c>
      <c r="Q320">
        <v>6586.19</v>
      </c>
      <c r="R320" s="4">
        <v>45600</v>
      </c>
      <c r="S320" s="6">
        <v>0.34033564814814815</v>
      </c>
      <c r="T320">
        <f t="shared" si="18"/>
        <v>17</v>
      </c>
      <c r="U320" t="str" cm="1">
        <f t="array" ref="U320">_xlfn.IFS(M320&lt;=34,"YOUNG",M320&lt;=54,"MIDDLE AGE",M320&gt;=55,"OLD")</f>
        <v>MIDDLE AGE</v>
      </c>
      <c r="V320" t="str">
        <f t="shared" si="19"/>
        <v>NORMAL</v>
      </c>
    </row>
    <row r="321" spans="1:22" x14ac:dyDescent="0.35">
      <c r="A321" t="s">
        <v>1228</v>
      </c>
      <c r="B321" t="s">
        <v>1229</v>
      </c>
      <c r="C321">
        <v>29.34</v>
      </c>
      <c r="D321" s="1">
        <v>44994.734120370369</v>
      </c>
      <c r="E321" s="2">
        <f t="shared" si="16"/>
        <v>0.73412037036905531</v>
      </c>
      <c r="F321" s="3">
        <f t="shared" si="17"/>
        <v>44994</v>
      </c>
      <c r="G321" t="s">
        <v>17</v>
      </c>
      <c r="H321" t="s">
        <v>108</v>
      </c>
      <c r="I321" t="s">
        <v>947</v>
      </c>
      <c r="J321" t="s">
        <v>1230</v>
      </c>
      <c r="K321" t="s">
        <v>343</v>
      </c>
      <c r="L321" t="s">
        <v>36</v>
      </c>
      <c r="M321">
        <v>65</v>
      </c>
      <c r="N321" t="s">
        <v>70</v>
      </c>
      <c r="O321">
        <v>30</v>
      </c>
      <c r="P321">
        <v>1</v>
      </c>
      <c r="Q321">
        <v>3944.82</v>
      </c>
      <c r="R321" s="4">
        <v>45600</v>
      </c>
      <c r="S321" s="6">
        <v>0.34145833333333331</v>
      </c>
      <c r="T321">
        <f t="shared" si="18"/>
        <v>17</v>
      </c>
      <c r="U321" t="str" cm="1">
        <f t="array" ref="U321">_xlfn.IFS(M321&lt;=34,"YOUNG",M321&lt;=54,"MIDDLE AGE",M321&gt;=55,"OLD")</f>
        <v>OLD</v>
      </c>
      <c r="V321" t="str">
        <f t="shared" si="19"/>
        <v>NORMAL</v>
      </c>
    </row>
    <row r="322" spans="1:22" x14ac:dyDescent="0.35">
      <c r="A322" t="s">
        <v>1231</v>
      </c>
      <c r="B322" t="s">
        <v>171</v>
      </c>
      <c r="C322">
        <v>231.71</v>
      </c>
      <c r="D322" s="1">
        <v>45040.709120370368</v>
      </c>
      <c r="E322" s="2">
        <f t="shared" ref="E322:E385" si="20">D322-INT(D322)</f>
        <v>0.70912037036760012</v>
      </c>
      <c r="F322" s="3">
        <f t="shared" ref="F322:F385" si="21">INT(D322)</f>
        <v>45040</v>
      </c>
      <c r="G322" t="s">
        <v>17</v>
      </c>
      <c r="H322" t="s">
        <v>40</v>
      </c>
      <c r="I322" t="s">
        <v>943</v>
      </c>
      <c r="J322" t="s">
        <v>1232</v>
      </c>
      <c r="K322" t="s">
        <v>406</v>
      </c>
      <c r="L322" t="s">
        <v>69</v>
      </c>
      <c r="M322">
        <v>27</v>
      </c>
      <c r="N322" t="s">
        <v>37</v>
      </c>
      <c r="O322">
        <v>148</v>
      </c>
      <c r="P322">
        <v>1</v>
      </c>
      <c r="Q322">
        <v>1127.98</v>
      </c>
      <c r="R322" s="4">
        <v>45600</v>
      </c>
      <c r="S322" s="6">
        <v>0.3382175925925926</v>
      </c>
      <c r="T322">
        <f t="shared" si="18"/>
        <v>17</v>
      </c>
      <c r="U322" t="str" cm="1">
        <f t="array" ref="U322">_xlfn.IFS(M322&lt;=34,"YOUNG",M322&lt;=54,"MIDDLE AGE",M322&gt;=55,"OLD")</f>
        <v>YOUNG</v>
      </c>
      <c r="V322" t="str">
        <f t="shared" si="19"/>
        <v>NORMAL</v>
      </c>
    </row>
    <row r="323" spans="1:22" x14ac:dyDescent="0.35">
      <c r="A323" t="s">
        <v>1233</v>
      </c>
      <c r="B323" t="s">
        <v>1197</v>
      </c>
      <c r="C323">
        <v>179.43</v>
      </c>
      <c r="D323" s="1">
        <v>45149.764444444445</v>
      </c>
      <c r="E323" s="2">
        <f t="shared" si="20"/>
        <v>0.76444444444496185</v>
      </c>
      <c r="F323" s="3">
        <f t="shared" si="21"/>
        <v>45149</v>
      </c>
      <c r="G323" t="s">
        <v>17</v>
      </c>
      <c r="H323" t="s">
        <v>53</v>
      </c>
      <c r="I323" t="s">
        <v>1234</v>
      </c>
      <c r="J323" t="s">
        <v>1235</v>
      </c>
      <c r="K323" t="s">
        <v>432</v>
      </c>
      <c r="L323" t="s">
        <v>22</v>
      </c>
      <c r="M323">
        <v>58</v>
      </c>
      <c r="N323" t="s">
        <v>70</v>
      </c>
      <c r="O323">
        <v>244</v>
      </c>
      <c r="P323">
        <v>1</v>
      </c>
      <c r="Q323">
        <v>2626.63</v>
      </c>
      <c r="R323" s="4">
        <v>45600</v>
      </c>
      <c r="S323" s="6">
        <v>0.34027777777777779</v>
      </c>
      <c r="T323">
        <f t="shared" ref="T323:T386" si="22">HOUR(E323)</f>
        <v>18</v>
      </c>
      <c r="U323" t="str" cm="1">
        <f t="array" ref="U323">_xlfn.IFS(M323&lt;=34,"YOUNG",M323&lt;=54,"MIDDLE AGE",M323&gt;=55,"OLD")</f>
        <v>OLD</v>
      </c>
      <c r="V323" t="str">
        <f t="shared" ref="V323:V386" si="23">IF(P323&gt;1,"HIGH","NORMAL")</f>
        <v>NORMAL</v>
      </c>
    </row>
    <row r="324" spans="1:22" x14ac:dyDescent="0.35">
      <c r="A324" t="s">
        <v>1236</v>
      </c>
      <c r="B324" t="s">
        <v>1060</v>
      </c>
      <c r="C324">
        <v>36.71</v>
      </c>
      <c r="D324" s="1">
        <v>44956.716585648152</v>
      </c>
      <c r="E324" s="2">
        <f t="shared" si="20"/>
        <v>0.71658564815152204</v>
      </c>
      <c r="F324" s="3">
        <f t="shared" si="21"/>
        <v>44956</v>
      </c>
      <c r="G324" t="s">
        <v>17</v>
      </c>
      <c r="H324" t="s">
        <v>392</v>
      </c>
      <c r="I324" t="s">
        <v>120</v>
      </c>
      <c r="J324" t="s">
        <v>887</v>
      </c>
      <c r="K324" t="s">
        <v>312</v>
      </c>
      <c r="L324" t="s">
        <v>69</v>
      </c>
      <c r="M324">
        <v>48</v>
      </c>
      <c r="N324" t="s">
        <v>23</v>
      </c>
      <c r="O324">
        <v>55</v>
      </c>
      <c r="P324">
        <v>1</v>
      </c>
      <c r="Q324">
        <v>6459.38</v>
      </c>
      <c r="R324" s="4">
        <v>45600</v>
      </c>
      <c r="S324" s="6">
        <v>0.3414814814814815</v>
      </c>
      <c r="T324">
        <f t="shared" si="22"/>
        <v>17</v>
      </c>
      <c r="U324" t="str" cm="1">
        <f t="array" ref="U324">_xlfn.IFS(M324&lt;=34,"YOUNG",M324&lt;=54,"MIDDLE AGE",M324&gt;=55,"OLD")</f>
        <v>MIDDLE AGE</v>
      </c>
      <c r="V324" t="str">
        <f t="shared" si="23"/>
        <v>NORMAL</v>
      </c>
    </row>
    <row r="325" spans="1:22" x14ac:dyDescent="0.35">
      <c r="A325" t="s">
        <v>1237</v>
      </c>
      <c r="B325" t="s">
        <v>1238</v>
      </c>
      <c r="C325">
        <v>138.12</v>
      </c>
      <c r="D325" s="1">
        <v>45027.721412037034</v>
      </c>
      <c r="E325" s="2">
        <f t="shared" si="20"/>
        <v>0.72141203703358769</v>
      </c>
      <c r="F325" s="3">
        <f t="shared" si="21"/>
        <v>45027</v>
      </c>
      <c r="G325" t="s">
        <v>46</v>
      </c>
      <c r="H325" t="s">
        <v>140</v>
      </c>
      <c r="I325" t="s">
        <v>526</v>
      </c>
      <c r="J325" t="s">
        <v>655</v>
      </c>
      <c r="K325" t="s">
        <v>652</v>
      </c>
      <c r="L325" t="s">
        <v>69</v>
      </c>
      <c r="M325">
        <v>53</v>
      </c>
      <c r="N325" t="s">
        <v>23</v>
      </c>
      <c r="O325">
        <v>281</v>
      </c>
      <c r="P325">
        <v>1</v>
      </c>
      <c r="Q325">
        <v>1649.69</v>
      </c>
      <c r="R325" s="4">
        <v>45600</v>
      </c>
      <c r="S325" s="6">
        <v>0.3412384259259259</v>
      </c>
      <c r="T325">
        <f t="shared" si="22"/>
        <v>17</v>
      </c>
      <c r="U325" t="str" cm="1">
        <f t="array" ref="U325">_xlfn.IFS(M325&lt;=34,"YOUNG",M325&lt;=54,"MIDDLE AGE",M325&gt;=55,"OLD")</f>
        <v>MIDDLE AGE</v>
      </c>
      <c r="V325" t="str">
        <f t="shared" si="23"/>
        <v>NORMAL</v>
      </c>
    </row>
    <row r="326" spans="1:22" x14ac:dyDescent="0.35">
      <c r="A326" t="s">
        <v>1239</v>
      </c>
      <c r="B326" t="s">
        <v>1240</v>
      </c>
      <c r="C326">
        <v>233.24</v>
      </c>
      <c r="D326" s="1">
        <v>45033.705625000002</v>
      </c>
      <c r="E326" s="2">
        <f t="shared" si="20"/>
        <v>0.70562500000232831</v>
      </c>
      <c r="F326" s="3">
        <f t="shared" si="21"/>
        <v>45033</v>
      </c>
      <c r="G326" t="s">
        <v>17</v>
      </c>
      <c r="H326" t="s">
        <v>108</v>
      </c>
      <c r="I326" t="s">
        <v>1241</v>
      </c>
      <c r="J326" t="s">
        <v>1242</v>
      </c>
      <c r="K326" t="s">
        <v>272</v>
      </c>
      <c r="L326" t="s">
        <v>22</v>
      </c>
      <c r="M326">
        <v>33</v>
      </c>
      <c r="N326" t="s">
        <v>77</v>
      </c>
      <c r="O326">
        <v>72</v>
      </c>
      <c r="P326">
        <v>1</v>
      </c>
      <c r="Q326">
        <v>6939.23</v>
      </c>
      <c r="R326" s="4">
        <v>45600</v>
      </c>
      <c r="S326" s="6">
        <v>0.33864583333333331</v>
      </c>
      <c r="T326">
        <f t="shared" si="22"/>
        <v>16</v>
      </c>
      <c r="U326" t="str" cm="1">
        <f t="array" ref="U326">_xlfn.IFS(M326&lt;=34,"YOUNG",M326&lt;=54,"MIDDLE AGE",M326&gt;=55,"OLD")</f>
        <v>YOUNG</v>
      </c>
      <c r="V326" t="str">
        <f t="shared" si="23"/>
        <v>NORMAL</v>
      </c>
    </row>
    <row r="327" spans="1:22" x14ac:dyDescent="0.35">
      <c r="A327" t="s">
        <v>1243</v>
      </c>
      <c r="B327" t="s">
        <v>1244</v>
      </c>
      <c r="C327">
        <v>609.14</v>
      </c>
      <c r="D327" s="1">
        <v>45253.673368055555</v>
      </c>
      <c r="E327" s="2">
        <f t="shared" si="20"/>
        <v>0.67336805555532919</v>
      </c>
      <c r="F327" s="3">
        <f t="shared" si="21"/>
        <v>45253</v>
      </c>
      <c r="G327" t="s">
        <v>17</v>
      </c>
      <c r="H327" t="s">
        <v>255</v>
      </c>
      <c r="I327" t="s">
        <v>1245</v>
      </c>
      <c r="J327" t="s">
        <v>1246</v>
      </c>
      <c r="K327" t="s">
        <v>572</v>
      </c>
      <c r="L327" t="s">
        <v>22</v>
      </c>
      <c r="M327">
        <v>39</v>
      </c>
      <c r="N327" t="s">
        <v>77</v>
      </c>
      <c r="O327">
        <v>177</v>
      </c>
      <c r="P327">
        <v>1</v>
      </c>
      <c r="Q327">
        <v>9033.8700000000008</v>
      </c>
      <c r="R327" s="4">
        <v>45600</v>
      </c>
      <c r="S327" s="6">
        <v>0.34135416666666668</v>
      </c>
      <c r="T327">
        <f t="shared" si="22"/>
        <v>16</v>
      </c>
      <c r="U327" t="str" cm="1">
        <f t="array" ref="U327">_xlfn.IFS(M327&lt;=34,"YOUNG",M327&lt;=54,"MIDDLE AGE",M327&gt;=55,"OLD")</f>
        <v>MIDDLE AGE</v>
      </c>
      <c r="V327" t="str">
        <f t="shared" si="23"/>
        <v>NORMAL</v>
      </c>
    </row>
    <row r="328" spans="1:22" x14ac:dyDescent="0.35">
      <c r="A328" t="s">
        <v>1247</v>
      </c>
      <c r="B328" t="s">
        <v>284</v>
      </c>
      <c r="C328">
        <v>436.64</v>
      </c>
      <c r="D328" s="1">
        <v>45285.740555555552</v>
      </c>
      <c r="E328" s="2">
        <f t="shared" si="20"/>
        <v>0.74055555555241881</v>
      </c>
      <c r="F328" s="3">
        <f t="shared" si="21"/>
        <v>45285</v>
      </c>
      <c r="G328" t="s">
        <v>17</v>
      </c>
      <c r="H328" t="s">
        <v>140</v>
      </c>
      <c r="I328" t="s">
        <v>1248</v>
      </c>
      <c r="J328" t="s">
        <v>1249</v>
      </c>
      <c r="K328" t="s">
        <v>450</v>
      </c>
      <c r="L328" t="s">
        <v>69</v>
      </c>
      <c r="M328">
        <v>31</v>
      </c>
      <c r="N328" t="s">
        <v>23</v>
      </c>
      <c r="O328">
        <v>111</v>
      </c>
      <c r="P328">
        <v>1</v>
      </c>
      <c r="Q328">
        <v>14365.18</v>
      </c>
      <c r="R328" s="4">
        <v>45600</v>
      </c>
      <c r="S328" s="6">
        <v>0.33915509259259258</v>
      </c>
      <c r="T328">
        <f t="shared" si="22"/>
        <v>17</v>
      </c>
      <c r="U328" t="str" cm="1">
        <f t="array" ref="U328">_xlfn.IFS(M328&lt;=34,"YOUNG",M328&lt;=54,"MIDDLE AGE",M328&gt;=55,"OLD")</f>
        <v>YOUNG</v>
      </c>
      <c r="V328" t="str">
        <f t="shared" si="23"/>
        <v>NORMAL</v>
      </c>
    </row>
    <row r="329" spans="1:22" x14ac:dyDescent="0.35">
      <c r="A329" t="s">
        <v>1250</v>
      </c>
      <c r="B329" t="s">
        <v>355</v>
      </c>
      <c r="C329">
        <v>870.43</v>
      </c>
      <c r="D329" s="1">
        <v>45077.704398148147</v>
      </c>
      <c r="E329" s="2">
        <f t="shared" si="20"/>
        <v>0.7043981481474475</v>
      </c>
      <c r="F329" s="3">
        <f t="shared" si="21"/>
        <v>45077</v>
      </c>
      <c r="G329" t="s">
        <v>17</v>
      </c>
      <c r="H329" t="s">
        <v>140</v>
      </c>
      <c r="I329" t="s">
        <v>1251</v>
      </c>
      <c r="J329" t="s">
        <v>956</v>
      </c>
      <c r="K329" t="s">
        <v>980</v>
      </c>
      <c r="L329" t="s">
        <v>69</v>
      </c>
      <c r="M329">
        <v>29</v>
      </c>
      <c r="N329" t="s">
        <v>23</v>
      </c>
      <c r="O329">
        <v>55</v>
      </c>
      <c r="P329">
        <v>1</v>
      </c>
      <c r="Q329">
        <v>10115.18</v>
      </c>
      <c r="R329" s="4">
        <v>45600</v>
      </c>
      <c r="S329" s="6">
        <v>0.33879629629629632</v>
      </c>
      <c r="T329">
        <f t="shared" si="22"/>
        <v>16</v>
      </c>
      <c r="U329" t="str" cm="1">
        <f t="array" ref="U329">_xlfn.IFS(M329&lt;=34,"YOUNG",M329&lt;=54,"MIDDLE AGE",M329&gt;=55,"OLD")</f>
        <v>YOUNG</v>
      </c>
      <c r="V329" t="str">
        <f t="shared" si="23"/>
        <v>NORMAL</v>
      </c>
    </row>
    <row r="330" spans="1:22" x14ac:dyDescent="0.35">
      <c r="A330" t="s">
        <v>1252</v>
      </c>
      <c r="B330" t="s">
        <v>102</v>
      </c>
      <c r="C330">
        <v>354.4</v>
      </c>
      <c r="D330" s="1">
        <v>45236.724398148152</v>
      </c>
      <c r="E330" s="2">
        <f t="shared" si="20"/>
        <v>0.72439814815152204</v>
      </c>
      <c r="F330" s="3">
        <f t="shared" si="21"/>
        <v>45236</v>
      </c>
      <c r="G330" t="s">
        <v>17</v>
      </c>
      <c r="H330" t="s">
        <v>265</v>
      </c>
      <c r="I330" t="s">
        <v>1253</v>
      </c>
      <c r="J330" t="s">
        <v>1254</v>
      </c>
      <c r="K330" t="s">
        <v>246</v>
      </c>
      <c r="L330" t="s">
        <v>22</v>
      </c>
      <c r="M330">
        <v>74</v>
      </c>
      <c r="N330" t="s">
        <v>70</v>
      </c>
      <c r="O330">
        <v>128</v>
      </c>
      <c r="P330">
        <v>1</v>
      </c>
      <c r="Q330">
        <v>7358.65</v>
      </c>
      <c r="R330" s="4">
        <v>45600</v>
      </c>
      <c r="S330" s="6">
        <v>0.34027777777777779</v>
      </c>
      <c r="T330">
        <f t="shared" si="22"/>
        <v>17</v>
      </c>
      <c r="U330" t="str" cm="1">
        <f t="array" ref="U330">_xlfn.IFS(M330&lt;=34,"YOUNG",M330&lt;=54,"MIDDLE AGE",M330&gt;=55,"OLD")</f>
        <v>OLD</v>
      </c>
      <c r="V330" t="str">
        <f t="shared" si="23"/>
        <v>NORMAL</v>
      </c>
    </row>
    <row r="331" spans="1:22" x14ac:dyDescent="0.35">
      <c r="A331" t="s">
        <v>1255</v>
      </c>
      <c r="B331" t="s">
        <v>1256</v>
      </c>
      <c r="C331">
        <v>22.63</v>
      </c>
      <c r="D331" s="1">
        <v>44977.727951388886</v>
      </c>
      <c r="E331" s="2">
        <f t="shared" si="20"/>
        <v>0.72795138888614019</v>
      </c>
      <c r="F331" s="3">
        <f t="shared" si="21"/>
        <v>44977</v>
      </c>
      <c r="G331" t="s">
        <v>17</v>
      </c>
      <c r="H331" t="s">
        <v>291</v>
      </c>
      <c r="I331" t="s">
        <v>421</v>
      </c>
      <c r="J331" t="s">
        <v>444</v>
      </c>
      <c r="K331" t="s">
        <v>29</v>
      </c>
      <c r="L331" t="s">
        <v>36</v>
      </c>
      <c r="M331">
        <v>53</v>
      </c>
      <c r="N331" t="s">
        <v>77</v>
      </c>
      <c r="O331">
        <v>112</v>
      </c>
      <c r="P331">
        <v>1</v>
      </c>
      <c r="Q331">
        <v>4438.03</v>
      </c>
      <c r="R331" s="4">
        <v>45600</v>
      </c>
      <c r="S331" s="6">
        <v>0.34092592592592591</v>
      </c>
      <c r="T331">
        <f t="shared" si="22"/>
        <v>17</v>
      </c>
      <c r="U331" t="str" cm="1">
        <f t="array" ref="U331">_xlfn.IFS(M331&lt;=34,"YOUNG",M331&lt;=54,"MIDDLE AGE",M331&gt;=55,"OLD")</f>
        <v>MIDDLE AGE</v>
      </c>
      <c r="V331" t="str">
        <f t="shared" si="23"/>
        <v>NORMAL</v>
      </c>
    </row>
    <row r="332" spans="1:22" x14ac:dyDescent="0.35">
      <c r="A332" t="s">
        <v>1257</v>
      </c>
      <c r="B332" t="s">
        <v>701</v>
      </c>
      <c r="C332">
        <v>182.19</v>
      </c>
      <c r="D332" s="1">
        <v>45096.69195601852</v>
      </c>
      <c r="E332" s="2">
        <f t="shared" si="20"/>
        <v>0.69195601851970423</v>
      </c>
      <c r="F332" s="3">
        <f t="shared" si="21"/>
        <v>45096</v>
      </c>
      <c r="G332" t="s">
        <v>17</v>
      </c>
      <c r="H332" t="s">
        <v>32</v>
      </c>
      <c r="I332" t="s">
        <v>1258</v>
      </c>
      <c r="J332" t="s">
        <v>1259</v>
      </c>
      <c r="K332" t="s">
        <v>83</v>
      </c>
      <c r="L332" t="s">
        <v>69</v>
      </c>
      <c r="M332">
        <v>26</v>
      </c>
      <c r="N332" t="s">
        <v>37</v>
      </c>
      <c r="O332">
        <v>53</v>
      </c>
      <c r="P332">
        <v>1</v>
      </c>
      <c r="Q332">
        <v>1176.0999999999999</v>
      </c>
      <c r="R332" s="4">
        <v>45600</v>
      </c>
      <c r="S332" s="6">
        <v>0.33781250000000002</v>
      </c>
      <c r="T332">
        <f t="shared" si="22"/>
        <v>16</v>
      </c>
      <c r="U332" t="str" cm="1">
        <f t="array" ref="U332">_xlfn.IFS(M332&lt;=34,"YOUNG",M332&lt;=54,"MIDDLE AGE",M332&gt;=55,"OLD")</f>
        <v>YOUNG</v>
      </c>
      <c r="V332" t="str">
        <f t="shared" si="23"/>
        <v>NORMAL</v>
      </c>
    </row>
    <row r="333" spans="1:22" x14ac:dyDescent="0.35">
      <c r="A333" t="s">
        <v>1260</v>
      </c>
      <c r="B333" t="s">
        <v>438</v>
      </c>
      <c r="C333">
        <v>126.81</v>
      </c>
      <c r="D333" s="1">
        <v>45229.706956018519</v>
      </c>
      <c r="E333" s="2">
        <f t="shared" si="20"/>
        <v>0.70695601851912215</v>
      </c>
      <c r="F333" s="3">
        <f t="shared" si="21"/>
        <v>45229</v>
      </c>
      <c r="G333" t="s">
        <v>17</v>
      </c>
      <c r="H333" t="s">
        <v>243</v>
      </c>
      <c r="I333" t="s">
        <v>1261</v>
      </c>
      <c r="J333" t="s">
        <v>1262</v>
      </c>
      <c r="K333" t="s">
        <v>308</v>
      </c>
      <c r="L333" t="s">
        <v>69</v>
      </c>
      <c r="M333">
        <v>26</v>
      </c>
      <c r="N333" t="s">
        <v>77</v>
      </c>
      <c r="O333">
        <v>290</v>
      </c>
      <c r="P333">
        <v>1</v>
      </c>
      <c r="Q333">
        <v>5427.98</v>
      </c>
      <c r="R333" s="4">
        <v>45600</v>
      </c>
      <c r="S333" s="6">
        <v>0.34192129629629631</v>
      </c>
      <c r="T333">
        <f t="shared" si="22"/>
        <v>16</v>
      </c>
      <c r="U333" t="str" cm="1">
        <f t="array" ref="U333">_xlfn.IFS(M333&lt;=34,"YOUNG",M333&lt;=54,"MIDDLE AGE",M333&gt;=55,"OLD")</f>
        <v>YOUNG</v>
      </c>
      <c r="V333" t="str">
        <f t="shared" si="23"/>
        <v>NORMAL</v>
      </c>
    </row>
    <row r="334" spans="1:22" x14ac:dyDescent="0.35">
      <c r="A334" t="s">
        <v>1263</v>
      </c>
      <c r="B334" t="s">
        <v>1264</v>
      </c>
      <c r="C334">
        <v>288.17</v>
      </c>
      <c r="D334" s="1">
        <v>45177.700590277775</v>
      </c>
      <c r="E334" s="2">
        <f t="shared" si="20"/>
        <v>0.70059027777460869</v>
      </c>
      <c r="F334" s="3">
        <f t="shared" si="21"/>
        <v>45177</v>
      </c>
      <c r="G334" t="s">
        <v>17</v>
      </c>
      <c r="H334" t="s">
        <v>301</v>
      </c>
      <c r="I334" t="s">
        <v>1265</v>
      </c>
      <c r="J334" t="s">
        <v>552</v>
      </c>
      <c r="K334" t="s">
        <v>445</v>
      </c>
      <c r="L334" t="s">
        <v>36</v>
      </c>
      <c r="M334">
        <v>37</v>
      </c>
      <c r="N334" t="s">
        <v>77</v>
      </c>
      <c r="O334">
        <v>50</v>
      </c>
      <c r="P334">
        <v>1</v>
      </c>
      <c r="Q334">
        <v>3653.11</v>
      </c>
      <c r="R334" s="4">
        <v>45600</v>
      </c>
      <c r="S334" s="6">
        <v>0.34046296296296297</v>
      </c>
      <c r="T334">
        <f t="shared" si="22"/>
        <v>16</v>
      </c>
      <c r="U334" t="str" cm="1">
        <f t="array" ref="U334">_xlfn.IFS(M334&lt;=34,"YOUNG",M334&lt;=54,"MIDDLE AGE",M334&gt;=55,"OLD")</f>
        <v>MIDDLE AGE</v>
      </c>
      <c r="V334" t="str">
        <f t="shared" si="23"/>
        <v>NORMAL</v>
      </c>
    </row>
    <row r="335" spans="1:22" x14ac:dyDescent="0.35">
      <c r="A335" t="s">
        <v>1266</v>
      </c>
      <c r="B335" t="s">
        <v>1267</v>
      </c>
      <c r="C335">
        <v>118.77</v>
      </c>
      <c r="D335" s="1">
        <v>45201.738946759258</v>
      </c>
      <c r="E335" s="2">
        <f t="shared" si="20"/>
        <v>0.73894675925839692</v>
      </c>
      <c r="F335" s="3">
        <f t="shared" si="21"/>
        <v>45201</v>
      </c>
      <c r="G335" t="s">
        <v>17</v>
      </c>
      <c r="H335" t="s">
        <v>47</v>
      </c>
      <c r="I335" t="s">
        <v>179</v>
      </c>
      <c r="J335" t="s">
        <v>1076</v>
      </c>
      <c r="K335" t="s">
        <v>386</v>
      </c>
      <c r="L335" t="s">
        <v>69</v>
      </c>
      <c r="M335">
        <v>55</v>
      </c>
      <c r="N335" t="s">
        <v>77</v>
      </c>
      <c r="O335">
        <v>123</v>
      </c>
      <c r="P335">
        <v>1</v>
      </c>
      <c r="Q335">
        <v>2104.8200000000002</v>
      </c>
      <c r="R335" s="4">
        <v>45600</v>
      </c>
      <c r="S335" s="6">
        <v>0.34061342592592592</v>
      </c>
      <c r="T335">
        <f t="shared" si="22"/>
        <v>17</v>
      </c>
      <c r="U335" t="str" cm="1">
        <f t="array" ref="U335">_xlfn.IFS(M335&lt;=34,"YOUNG",M335&lt;=54,"MIDDLE AGE",M335&gt;=55,"OLD")</f>
        <v>OLD</v>
      </c>
      <c r="V335" t="str">
        <f t="shared" si="23"/>
        <v>NORMAL</v>
      </c>
    </row>
    <row r="336" spans="1:22" x14ac:dyDescent="0.35">
      <c r="A336" t="s">
        <v>1268</v>
      </c>
      <c r="B336" t="s">
        <v>804</v>
      </c>
      <c r="C336">
        <v>651.82000000000005</v>
      </c>
      <c r="D336" s="1">
        <v>45030.749803240738</v>
      </c>
      <c r="E336" s="2">
        <f t="shared" si="20"/>
        <v>0.74980324073840166</v>
      </c>
      <c r="F336" s="3">
        <f t="shared" si="21"/>
        <v>45030</v>
      </c>
      <c r="G336" t="s">
        <v>17</v>
      </c>
      <c r="H336" t="s">
        <v>65</v>
      </c>
      <c r="I336" t="s">
        <v>1269</v>
      </c>
      <c r="J336" t="s">
        <v>1270</v>
      </c>
      <c r="K336" t="s">
        <v>209</v>
      </c>
      <c r="L336" t="s">
        <v>22</v>
      </c>
      <c r="M336">
        <v>21</v>
      </c>
      <c r="N336" t="s">
        <v>37</v>
      </c>
      <c r="O336">
        <v>166</v>
      </c>
      <c r="P336">
        <v>1</v>
      </c>
      <c r="Q336">
        <v>1802.77</v>
      </c>
      <c r="R336" s="4">
        <v>45600</v>
      </c>
      <c r="S336" s="6">
        <v>0.3382175925925926</v>
      </c>
      <c r="T336">
        <f t="shared" si="22"/>
        <v>17</v>
      </c>
      <c r="U336" t="str" cm="1">
        <f t="array" ref="U336">_xlfn.IFS(M336&lt;=34,"YOUNG",M336&lt;=54,"MIDDLE AGE",M336&gt;=55,"OLD")</f>
        <v>YOUNG</v>
      </c>
      <c r="V336" t="str">
        <f t="shared" si="23"/>
        <v>NORMAL</v>
      </c>
    </row>
    <row r="337" spans="1:22" x14ac:dyDescent="0.35">
      <c r="A337" t="s">
        <v>1271</v>
      </c>
      <c r="B337" t="s">
        <v>1272</v>
      </c>
      <c r="C337">
        <v>66.650000000000006</v>
      </c>
      <c r="D337" s="1">
        <v>45216.707627314812</v>
      </c>
      <c r="E337" s="2">
        <f t="shared" si="20"/>
        <v>0.70762731481227092</v>
      </c>
      <c r="F337" s="3">
        <f t="shared" si="21"/>
        <v>45216</v>
      </c>
      <c r="G337" t="s">
        <v>17</v>
      </c>
      <c r="H337" t="s">
        <v>73</v>
      </c>
      <c r="I337" t="s">
        <v>1273</v>
      </c>
      <c r="J337" t="s">
        <v>136</v>
      </c>
      <c r="K337" t="s">
        <v>740</v>
      </c>
      <c r="L337" t="s">
        <v>22</v>
      </c>
      <c r="M337">
        <v>37</v>
      </c>
      <c r="N337" t="s">
        <v>77</v>
      </c>
      <c r="O337">
        <v>33</v>
      </c>
      <c r="P337">
        <v>1</v>
      </c>
      <c r="Q337">
        <v>3559.96</v>
      </c>
      <c r="R337" s="4">
        <v>45600</v>
      </c>
      <c r="S337" s="6">
        <v>0.34097222222222223</v>
      </c>
      <c r="T337">
        <f t="shared" si="22"/>
        <v>16</v>
      </c>
      <c r="U337" t="str" cm="1">
        <f t="array" ref="U337">_xlfn.IFS(M337&lt;=34,"YOUNG",M337&lt;=54,"MIDDLE AGE",M337&gt;=55,"OLD")</f>
        <v>MIDDLE AGE</v>
      </c>
      <c r="V337" t="str">
        <f t="shared" si="23"/>
        <v>NORMAL</v>
      </c>
    </row>
    <row r="338" spans="1:22" x14ac:dyDescent="0.35">
      <c r="A338" t="s">
        <v>1274</v>
      </c>
      <c r="B338" t="s">
        <v>749</v>
      </c>
      <c r="C338">
        <v>98.53</v>
      </c>
      <c r="D338" s="1">
        <v>44942.688750000001</v>
      </c>
      <c r="E338" s="2">
        <f t="shared" si="20"/>
        <v>0.68875000000116415</v>
      </c>
      <c r="F338" s="3">
        <f t="shared" si="21"/>
        <v>44942</v>
      </c>
      <c r="G338" t="s">
        <v>17</v>
      </c>
      <c r="H338" t="s">
        <v>114</v>
      </c>
      <c r="I338" t="s">
        <v>377</v>
      </c>
      <c r="J338" t="s">
        <v>915</v>
      </c>
      <c r="K338" t="s">
        <v>674</v>
      </c>
      <c r="L338" t="s">
        <v>69</v>
      </c>
      <c r="M338">
        <v>69</v>
      </c>
      <c r="N338" t="s">
        <v>70</v>
      </c>
      <c r="O338">
        <v>166</v>
      </c>
      <c r="P338">
        <v>1</v>
      </c>
      <c r="Q338">
        <v>3564.8</v>
      </c>
      <c r="R338" s="4">
        <v>45600</v>
      </c>
      <c r="S338" s="6">
        <v>0.34119212962962964</v>
      </c>
      <c r="T338">
        <f t="shared" si="22"/>
        <v>16</v>
      </c>
      <c r="U338" t="str" cm="1">
        <f t="array" ref="U338">_xlfn.IFS(M338&lt;=34,"YOUNG",M338&lt;=54,"MIDDLE AGE",M338&gt;=55,"OLD")</f>
        <v>OLD</v>
      </c>
      <c r="V338" t="str">
        <f t="shared" si="23"/>
        <v>NORMAL</v>
      </c>
    </row>
    <row r="339" spans="1:22" x14ac:dyDescent="0.35">
      <c r="A339" t="s">
        <v>1275</v>
      </c>
      <c r="B339" t="s">
        <v>274</v>
      </c>
      <c r="C339">
        <v>138.94999999999999</v>
      </c>
      <c r="D339" s="1">
        <v>45079.700497685182</v>
      </c>
      <c r="E339" s="2">
        <f t="shared" si="20"/>
        <v>0.70049768518219935</v>
      </c>
      <c r="F339" s="3">
        <f t="shared" si="21"/>
        <v>45079</v>
      </c>
      <c r="G339" t="s">
        <v>17</v>
      </c>
      <c r="H339" t="s">
        <v>453</v>
      </c>
      <c r="I339" t="s">
        <v>1276</v>
      </c>
      <c r="J339" t="s">
        <v>1277</v>
      </c>
      <c r="K339" t="s">
        <v>277</v>
      </c>
      <c r="L339" t="s">
        <v>36</v>
      </c>
      <c r="M339">
        <v>71</v>
      </c>
      <c r="N339" t="s">
        <v>70</v>
      </c>
      <c r="O339">
        <v>30</v>
      </c>
      <c r="P339">
        <v>1</v>
      </c>
      <c r="Q339">
        <v>6752.92</v>
      </c>
      <c r="R339" s="4">
        <v>45600</v>
      </c>
      <c r="S339" s="6">
        <v>0.33931712962962962</v>
      </c>
      <c r="T339">
        <f t="shared" si="22"/>
        <v>16</v>
      </c>
      <c r="U339" t="str" cm="1">
        <f t="array" ref="U339">_xlfn.IFS(M339&lt;=34,"YOUNG",M339&lt;=54,"MIDDLE AGE",M339&gt;=55,"OLD")</f>
        <v>OLD</v>
      </c>
      <c r="V339" t="str">
        <f t="shared" si="23"/>
        <v>NORMAL</v>
      </c>
    </row>
    <row r="340" spans="1:22" x14ac:dyDescent="0.35">
      <c r="A340" t="s">
        <v>1278</v>
      </c>
      <c r="B340" t="s">
        <v>305</v>
      </c>
      <c r="C340">
        <v>33.89</v>
      </c>
      <c r="D340" s="1">
        <v>45240.674004629633</v>
      </c>
      <c r="E340" s="2">
        <f t="shared" si="20"/>
        <v>0.67400462963269092</v>
      </c>
      <c r="F340" s="3">
        <f t="shared" si="21"/>
        <v>45240</v>
      </c>
      <c r="G340" t="s">
        <v>17</v>
      </c>
      <c r="H340" t="s">
        <v>80</v>
      </c>
      <c r="I340" t="s">
        <v>1279</v>
      </c>
      <c r="J340" t="s">
        <v>1280</v>
      </c>
      <c r="K340" t="s">
        <v>1281</v>
      </c>
      <c r="L340" t="s">
        <v>69</v>
      </c>
      <c r="M340">
        <v>26</v>
      </c>
      <c r="N340" t="s">
        <v>37</v>
      </c>
      <c r="O340">
        <v>177</v>
      </c>
      <c r="P340">
        <v>1</v>
      </c>
      <c r="Q340">
        <v>1444.75</v>
      </c>
      <c r="R340" s="4">
        <v>45600</v>
      </c>
      <c r="S340" s="6">
        <v>0.34138888888888891</v>
      </c>
      <c r="T340">
        <f t="shared" si="22"/>
        <v>16</v>
      </c>
      <c r="U340" t="str" cm="1">
        <f t="array" ref="U340">_xlfn.IFS(M340&lt;=34,"YOUNG",M340&lt;=54,"MIDDLE AGE",M340&gt;=55,"OLD")</f>
        <v>YOUNG</v>
      </c>
      <c r="V340" t="str">
        <f t="shared" si="23"/>
        <v>NORMAL</v>
      </c>
    </row>
    <row r="341" spans="1:22" x14ac:dyDescent="0.35">
      <c r="A341" t="s">
        <v>1282</v>
      </c>
      <c r="B341" t="s">
        <v>965</v>
      </c>
      <c r="C341">
        <v>23.71</v>
      </c>
      <c r="D341" s="1">
        <v>45187.670046296298</v>
      </c>
      <c r="E341" s="2">
        <f t="shared" si="20"/>
        <v>0.67004629629809642</v>
      </c>
      <c r="F341" s="3">
        <f t="shared" si="21"/>
        <v>45187</v>
      </c>
      <c r="G341" t="s">
        <v>17</v>
      </c>
      <c r="H341" t="s">
        <v>47</v>
      </c>
      <c r="I341" t="s">
        <v>280</v>
      </c>
      <c r="J341" t="s">
        <v>1283</v>
      </c>
      <c r="K341" t="s">
        <v>262</v>
      </c>
      <c r="L341" t="s">
        <v>69</v>
      </c>
      <c r="M341">
        <v>58</v>
      </c>
      <c r="N341" t="s">
        <v>23</v>
      </c>
      <c r="O341">
        <v>164</v>
      </c>
      <c r="P341">
        <v>1</v>
      </c>
      <c r="Q341">
        <v>10788.89</v>
      </c>
      <c r="R341" s="4">
        <v>45600</v>
      </c>
      <c r="S341" s="6">
        <v>0.33976851851851853</v>
      </c>
      <c r="T341">
        <f t="shared" si="22"/>
        <v>16</v>
      </c>
      <c r="U341" t="str" cm="1">
        <f t="array" ref="U341">_xlfn.IFS(M341&lt;=34,"YOUNG",M341&lt;=54,"MIDDLE AGE",M341&gt;=55,"OLD")</f>
        <v>OLD</v>
      </c>
      <c r="V341" t="str">
        <f t="shared" si="23"/>
        <v>NORMAL</v>
      </c>
    </row>
    <row r="342" spans="1:22" x14ac:dyDescent="0.35">
      <c r="A342" t="s">
        <v>1284</v>
      </c>
      <c r="B342" t="s">
        <v>851</v>
      </c>
      <c r="C342">
        <v>1830</v>
      </c>
      <c r="D342" s="1">
        <v>44986.68886574074</v>
      </c>
      <c r="E342" s="2">
        <f t="shared" si="20"/>
        <v>0.68886574073985685</v>
      </c>
      <c r="F342" s="3">
        <f t="shared" si="21"/>
        <v>44986</v>
      </c>
      <c r="G342" t="s">
        <v>17</v>
      </c>
      <c r="H342" t="s">
        <v>237</v>
      </c>
      <c r="I342" t="s">
        <v>709</v>
      </c>
      <c r="J342" t="s">
        <v>940</v>
      </c>
      <c r="K342" t="s">
        <v>984</v>
      </c>
      <c r="L342" t="s">
        <v>36</v>
      </c>
      <c r="M342">
        <v>55</v>
      </c>
      <c r="N342" t="s">
        <v>77</v>
      </c>
      <c r="O342">
        <v>238</v>
      </c>
      <c r="P342">
        <v>1</v>
      </c>
      <c r="Q342">
        <v>2235.6999999999998</v>
      </c>
      <c r="R342" s="4">
        <v>45600</v>
      </c>
      <c r="S342" s="6">
        <v>0.34165509259259258</v>
      </c>
      <c r="T342">
        <f t="shared" si="22"/>
        <v>16</v>
      </c>
      <c r="U342" t="str" cm="1">
        <f t="array" ref="U342">_xlfn.IFS(M342&lt;=34,"YOUNG",M342&lt;=54,"MIDDLE AGE",M342&gt;=55,"OLD")</f>
        <v>OLD</v>
      </c>
      <c r="V342" t="str">
        <f t="shared" si="23"/>
        <v>NORMAL</v>
      </c>
    </row>
    <row r="343" spans="1:22" x14ac:dyDescent="0.35">
      <c r="A343" t="s">
        <v>1285</v>
      </c>
      <c r="B343" t="s">
        <v>1081</v>
      </c>
      <c r="C343">
        <v>26.06</v>
      </c>
      <c r="D343" s="1">
        <v>45281.709305555552</v>
      </c>
      <c r="E343" s="2">
        <f t="shared" si="20"/>
        <v>0.70930555555241881</v>
      </c>
      <c r="F343" s="3">
        <f t="shared" si="21"/>
        <v>45281</v>
      </c>
      <c r="G343" t="s">
        <v>17</v>
      </c>
      <c r="H343" t="s">
        <v>18</v>
      </c>
      <c r="I343" t="s">
        <v>1286</v>
      </c>
      <c r="J343" t="s">
        <v>61</v>
      </c>
      <c r="K343" t="s">
        <v>1287</v>
      </c>
      <c r="L343" t="s">
        <v>22</v>
      </c>
      <c r="M343">
        <v>65</v>
      </c>
      <c r="N343" t="s">
        <v>23</v>
      </c>
      <c r="O343">
        <v>283</v>
      </c>
      <c r="P343">
        <v>1</v>
      </c>
      <c r="Q343">
        <v>12893.63</v>
      </c>
      <c r="R343" s="4">
        <v>45600</v>
      </c>
      <c r="S343" s="6">
        <v>0.34166666666666667</v>
      </c>
      <c r="T343">
        <f t="shared" si="22"/>
        <v>17</v>
      </c>
      <c r="U343" t="str" cm="1">
        <f t="array" ref="U343">_xlfn.IFS(M343&lt;=34,"YOUNG",M343&lt;=54,"MIDDLE AGE",M343&gt;=55,"OLD")</f>
        <v>OLD</v>
      </c>
      <c r="V343" t="str">
        <f t="shared" si="23"/>
        <v>NORMAL</v>
      </c>
    </row>
    <row r="344" spans="1:22" x14ac:dyDescent="0.35">
      <c r="A344" t="s">
        <v>1288</v>
      </c>
      <c r="B344" t="s">
        <v>1289</v>
      </c>
      <c r="C344">
        <v>17.07</v>
      </c>
      <c r="D344" s="1">
        <v>45047.720277777778</v>
      </c>
      <c r="E344" s="2">
        <f t="shared" si="20"/>
        <v>0.72027777777839219</v>
      </c>
      <c r="F344" s="3">
        <f t="shared" si="21"/>
        <v>45047</v>
      </c>
      <c r="G344" t="s">
        <v>17</v>
      </c>
      <c r="H344" t="s">
        <v>140</v>
      </c>
      <c r="I344" t="s">
        <v>1290</v>
      </c>
      <c r="J344" t="s">
        <v>1291</v>
      </c>
      <c r="K344" t="s">
        <v>282</v>
      </c>
      <c r="L344" t="s">
        <v>69</v>
      </c>
      <c r="M344">
        <v>27</v>
      </c>
      <c r="N344" t="s">
        <v>77</v>
      </c>
      <c r="O344">
        <v>44</v>
      </c>
      <c r="P344">
        <v>1</v>
      </c>
      <c r="Q344">
        <v>2798.15</v>
      </c>
      <c r="R344" s="4">
        <v>45600</v>
      </c>
      <c r="S344" s="6">
        <v>0.34126157407407409</v>
      </c>
      <c r="T344">
        <f t="shared" si="22"/>
        <v>17</v>
      </c>
      <c r="U344" t="str" cm="1">
        <f t="array" ref="U344">_xlfn.IFS(M344&lt;=34,"YOUNG",M344&lt;=54,"MIDDLE AGE",M344&gt;=55,"OLD")</f>
        <v>YOUNG</v>
      </c>
      <c r="V344" t="str">
        <f t="shared" si="23"/>
        <v>NORMAL</v>
      </c>
    </row>
    <row r="345" spans="1:22" x14ac:dyDescent="0.35">
      <c r="A345" t="s">
        <v>1292</v>
      </c>
      <c r="B345" t="s">
        <v>1293</v>
      </c>
      <c r="C345">
        <v>703.89</v>
      </c>
      <c r="D345" s="1">
        <v>45191.696006944447</v>
      </c>
      <c r="E345" s="2">
        <f t="shared" si="20"/>
        <v>0.69600694444670808</v>
      </c>
      <c r="F345" s="3">
        <f t="shared" si="21"/>
        <v>45191</v>
      </c>
      <c r="G345" t="s">
        <v>17</v>
      </c>
      <c r="H345" t="s">
        <v>237</v>
      </c>
      <c r="I345" t="s">
        <v>1294</v>
      </c>
      <c r="J345" t="s">
        <v>1295</v>
      </c>
      <c r="K345" t="s">
        <v>226</v>
      </c>
      <c r="L345" t="s">
        <v>36</v>
      </c>
      <c r="M345">
        <v>46</v>
      </c>
      <c r="N345" t="s">
        <v>77</v>
      </c>
      <c r="O345">
        <v>62</v>
      </c>
      <c r="P345">
        <v>1</v>
      </c>
      <c r="Q345">
        <v>3583.67</v>
      </c>
      <c r="R345" s="4">
        <v>45600</v>
      </c>
      <c r="S345" s="6">
        <v>0.33800925925925923</v>
      </c>
      <c r="T345">
        <f t="shared" si="22"/>
        <v>16</v>
      </c>
      <c r="U345" t="str" cm="1">
        <f t="array" ref="U345">_xlfn.IFS(M345&lt;=34,"YOUNG",M345&lt;=54,"MIDDLE AGE",M345&gt;=55,"OLD")</f>
        <v>MIDDLE AGE</v>
      </c>
      <c r="V345" t="str">
        <f t="shared" si="23"/>
        <v>NORMAL</v>
      </c>
    </row>
    <row r="346" spans="1:22" x14ac:dyDescent="0.35">
      <c r="A346" t="s">
        <v>1296</v>
      </c>
      <c r="B346" t="s">
        <v>789</v>
      </c>
      <c r="C346">
        <v>1271.9000000000001</v>
      </c>
      <c r="D346" s="1">
        <v>45166.696701388886</v>
      </c>
      <c r="E346" s="2">
        <f t="shared" si="20"/>
        <v>0.69670138888614019</v>
      </c>
      <c r="F346" s="3">
        <f t="shared" si="21"/>
        <v>45166</v>
      </c>
      <c r="G346" t="s">
        <v>17</v>
      </c>
      <c r="H346" t="s">
        <v>26</v>
      </c>
      <c r="I346" t="s">
        <v>1297</v>
      </c>
      <c r="J346" t="s">
        <v>1298</v>
      </c>
      <c r="K346" t="s">
        <v>89</v>
      </c>
      <c r="L346" t="s">
        <v>22</v>
      </c>
      <c r="M346">
        <v>47</v>
      </c>
      <c r="N346" t="s">
        <v>77</v>
      </c>
      <c r="O346">
        <v>155</v>
      </c>
      <c r="P346">
        <v>1</v>
      </c>
      <c r="Q346">
        <v>2120.8000000000002</v>
      </c>
      <c r="R346" s="4">
        <v>45600</v>
      </c>
      <c r="S346" s="6">
        <v>0.33989583333333334</v>
      </c>
      <c r="T346">
        <f t="shared" si="22"/>
        <v>16</v>
      </c>
      <c r="U346" t="str" cm="1">
        <f t="array" ref="U346">_xlfn.IFS(M346&lt;=34,"YOUNG",M346&lt;=54,"MIDDLE AGE",M346&gt;=55,"OLD")</f>
        <v>MIDDLE AGE</v>
      </c>
      <c r="V346" t="str">
        <f t="shared" si="23"/>
        <v>NORMAL</v>
      </c>
    </row>
    <row r="347" spans="1:22" x14ac:dyDescent="0.35">
      <c r="A347" t="s">
        <v>1299</v>
      </c>
      <c r="B347" t="s">
        <v>698</v>
      </c>
      <c r="C347">
        <v>26.55</v>
      </c>
      <c r="D347" s="1">
        <v>45189.725995370369</v>
      </c>
      <c r="E347" s="2">
        <f t="shared" si="20"/>
        <v>0.72599537036876427</v>
      </c>
      <c r="F347" s="3">
        <f t="shared" si="21"/>
        <v>45189</v>
      </c>
      <c r="G347" t="s">
        <v>17</v>
      </c>
      <c r="H347" t="s">
        <v>26</v>
      </c>
      <c r="I347" t="s">
        <v>605</v>
      </c>
      <c r="J347" t="s">
        <v>933</v>
      </c>
      <c r="K347" t="s">
        <v>514</v>
      </c>
      <c r="L347" t="s">
        <v>22</v>
      </c>
      <c r="M347">
        <v>77</v>
      </c>
      <c r="N347" t="s">
        <v>70</v>
      </c>
      <c r="O347">
        <v>228</v>
      </c>
      <c r="P347">
        <v>1</v>
      </c>
      <c r="Q347">
        <v>3085.38</v>
      </c>
      <c r="R347" s="4">
        <v>45600</v>
      </c>
      <c r="S347" s="6">
        <v>0.33846064814814814</v>
      </c>
      <c r="T347">
        <f t="shared" si="22"/>
        <v>17</v>
      </c>
      <c r="U347" t="str" cm="1">
        <f t="array" ref="U347">_xlfn.IFS(M347&lt;=34,"YOUNG",M347&lt;=54,"MIDDLE AGE",M347&gt;=55,"OLD")</f>
        <v>OLD</v>
      </c>
      <c r="V347" t="str">
        <f t="shared" si="23"/>
        <v>NORMAL</v>
      </c>
    </row>
    <row r="348" spans="1:22" x14ac:dyDescent="0.35">
      <c r="A348" t="s">
        <v>1300</v>
      </c>
      <c r="B348" t="s">
        <v>1301</v>
      </c>
      <c r="C348">
        <v>147.4</v>
      </c>
      <c r="D348" s="1">
        <v>45086.674201388887</v>
      </c>
      <c r="E348" s="2">
        <f t="shared" si="20"/>
        <v>0.67420138888701331</v>
      </c>
      <c r="F348" s="3">
        <f t="shared" si="21"/>
        <v>45086</v>
      </c>
      <c r="G348" t="s">
        <v>17</v>
      </c>
      <c r="H348" t="s">
        <v>223</v>
      </c>
      <c r="I348" t="s">
        <v>1302</v>
      </c>
      <c r="J348" t="s">
        <v>67</v>
      </c>
      <c r="K348" t="s">
        <v>652</v>
      </c>
      <c r="L348" t="s">
        <v>69</v>
      </c>
      <c r="M348">
        <v>42</v>
      </c>
      <c r="N348" t="s">
        <v>77</v>
      </c>
      <c r="O348">
        <v>259</v>
      </c>
      <c r="P348">
        <v>1</v>
      </c>
      <c r="Q348">
        <v>6797.71</v>
      </c>
      <c r="R348" s="4">
        <v>45600</v>
      </c>
      <c r="S348" s="6">
        <v>0.33840277777777777</v>
      </c>
      <c r="T348">
        <f t="shared" si="22"/>
        <v>16</v>
      </c>
      <c r="U348" t="str" cm="1">
        <f t="array" ref="U348">_xlfn.IFS(M348&lt;=34,"YOUNG",M348&lt;=54,"MIDDLE AGE",M348&gt;=55,"OLD")</f>
        <v>MIDDLE AGE</v>
      </c>
      <c r="V348" t="str">
        <f t="shared" si="23"/>
        <v>NORMAL</v>
      </c>
    </row>
    <row r="349" spans="1:22" x14ac:dyDescent="0.35">
      <c r="A349" t="s">
        <v>1303</v>
      </c>
      <c r="B349" t="s">
        <v>1304</v>
      </c>
      <c r="C349">
        <v>202.11</v>
      </c>
      <c r="D349" s="1">
        <v>45015.673217592594</v>
      </c>
      <c r="E349" s="2">
        <f t="shared" si="20"/>
        <v>0.6732175925935735</v>
      </c>
      <c r="F349" s="3">
        <f t="shared" si="21"/>
        <v>45015</v>
      </c>
      <c r="G349" t="s">
        <v>17</v>
      </c>
      <c r="H349" t="s">
        <v>92</v>
      </c>
      <c r="I349" t="s">
        <v>1305</v>
      </c>
      <c r="J349" t="s">
        <v>1306</v>
      </c>
      <c r="K349" t="s">
        <v>262</v>
      </c>
      <c r="L349" t="s">
        <v>22</v>
      </c>
      <c r="M349">
        <v>27</v>
      </c>
      <c r="N349" t="s">
        <v>37</v>
      </c>
      <c r="O349">
        <v>18</v>
      </c>
      <c r="P349">
        <v>1</v>
      </c>
      <c r="Q349">
        <v>746.47</v>
      </c>
      <c r="R349" s="4">
        <v>45600</v>
      </c>
      <c r="S349" s="6">
        <v>0.34028935185185183</v>
      </c>
      <c r="T349">
        <f t="shared" si="22"/>
        <v>16</v>
      </c>
      <c r="U349" t="str" cm="1">
        <f t="array" ref="U349">_xlfn.IFS(M349&lt;=34,"YOUNG",M349&lt;=54,"MIDDLE AGE",M349&gt;=55,"OLD")</f>
        <v>YOUNG</v>
      </c>
      <c r="V349" t="str">
        <f t="shared" si="23"/>
        <v>NORMAL</v>
      </c>
    </row>
    <row r="350" spans="1:22" x14ac:dyDescent="0.35">
      <c r="A350" t="s">
        <v>1307</v>
      </c>
      <c r="B350" t="s">
        <v>1308</v>
      </c>
      <c r="C350">
        <v>308.42</v>
      </c>
      <c r="D350" s="1">
        <v>45048.67664351852</v>
      </c>
      <c r="E350" s="2">
        <f t="shared" si="20"/>
        <v>0.67664351851999527</v>
      </c>
      <c r="F350" s="3">
        <f t="shared" si="21"/>
        <v>45048</v>
      </c>
      <c r="G350" t="s">
        <v>17</v>
      </c>
      <c r="H350" t="s">
        <v>80</v>
      </c>
      <c r="I350" t="s">
        <v>612</v>
      </c>
      <c r="J350" t="s">
        <v>1309</v>
      </c>
      <c r="K350" t="s">
        <v>543</v>
      </c>
      <c r="L350" t="s">
        <v>69</v>
      </c>
      <c r="M350">
        <v>75</v>
      </c>
      <c r="N350" t="s">
        <v>70</v>
      </c>
      <c r="O350">
        <v>39</v>
      </c>
      <c r="P350">
        <v>1</v>
      </c>
      <c r="Q350">
        <v>5427.81</v>
      </c>
      <c r="R350" s="4">
        <v>45600</v>
      </c>
      <c r="S350" s="6">
        <v>0.33789351851851851</v>
      </c>
      <c r="T350">
        <f t="shared" si="22"/>
        <v>16</v>
      </c>
      <c r="U350" t="str" cm="1">
        <f t="array" ref="U350">_xlfn.IFS(M350&lt;=34,"YOUNG",M350&lt;=54,"MIDDLE AGE",M350&gt;=55,"OLD")</f>
        <v>OLD</v>
      </c>
      <c r="V350" t="str">
        <f t="shared" si="23"/>
        <v>NORMAL</v>
      </c>
    </row>
    <row r="351" spans="1:22" x14ac:dyDescent="0.35">
      <c r="A351" t="s">
        <v>1310</v>
      </c>
      <c r="B351" t="s">
        <v>1311</v>
      </c>
      <c r="C351">
        <v>11.18</v>
      </c>
      <c r="D351" s="1">
        <v>44984.694074074076</v>
      </c>
      <c r="E351" s="2">
        <f t="shared" si="20"/>
        <v>0.6940740740756155</v>
      </c>
      <c r="F351" s="3">
        <f t="shared" si="21"/>
        <v>44984</v>
      </c>
      <c r="G351" t="s">
        <v>17</v>
      </c>
      <c r="H351" t="s">
        <v>172</v>
      </c>
      <c r="I351" t="s">
        <v>998</v>
      </c>
      <c r="J351" t="s">
        <v>995</v>
      </c>
      <c r="K351" t="s">
        <v>76</v>
      </c>
      <c r="L351" t="s">
        <v>22</v>
      </c>
      <c r="M351">
        <v>53</v>
      </c>
      <c r="N351" t="s">
        <v>77</v>
      </c>
      <c r="O351">
        <v>144</v>
      </c>
      <c r="P351">
        <v>1</v>
      </c>
      <c r="Q351">
        <v>7467.3</v>
      </c>
      <c r="R351" s="4">
        <v>45600</v>
      </c>
      <c r="S351" s="6">
        <v>0.3409375</v>
      </c>
      <c r="T351">
        <f t="shared" si="22"/>
        <v>16</v>
      </c>
      <c r="U351" t="str" cm="1">
        <f t="array" ref="U351">_xlfn.IFS(M351&lt;=34,"YOUNG",M351&lt;=54,"MIDDLE AGE",M351&gt;=55,"OLD")</f>
        <v>MIDDLE AGE</v>
      </c>
      <c r="V351" t="str">
        <f t="shared" si="23"/>
        <v>NORMAL</v>
      </c>
    </row>
    <row r="352" spans="1:22" x14ac:dyDescent="0.35">
      <c r="A352" t="s">
        <v>1312</v>
      </c>
      <c r="B352" t="s">
        <v>1313</v>
      </c>
      <c r="C352">
        <v>294.14999999999998</v>
      </c>
      <c r="D352" s="1">
        <v>44959.680219907408</v>
      </c>
      <c r="E352" s="2">
        <f t="shared" si="20"/>
        <v>0.68021990740817273</v>
      </c>
      <c r="F352" s="3">
        <f t="shared" si="21"/>
        <v>44959</v>
      </c>
      <c r="G352" t="s">
        <v>17</v>
      </c>
      <c r="H352" t="s">
        <v>558</v>
      </c>
      <c r="I352" t="s">
        <v>1314</v>
      </c>
      <c r="J352" t="s">
        <v>1315</v>
      </c>
      <c r="K352" t="s">
        <v>68</v>
      </c>
      <c r="L352" t="s">
        <v>36</v>
      </c>
      <c r="M352">
        <v>38</v>
      </c>
      <c r="N352" t="s">
        <v>77</v>
      </c>
      <c r="O352">
        <v>136</v>
      </c>
      <c r="P352">
        <v>1</v>
      </c>
      <c r="Q352">
        <v>6362.16</v>
      </c>
      <c r="R352" s="4">
        <v>45600</v>
      </c>
      <c r="S352" s="6">
        <v>0.33842592592592591</v>
      </c>
      <c r="T352">
        <f t="shared" si="22"/>
        <v>16</v>
      </c>
      <c r="U352" t="str" cm="1">
        <f t="array" ref="U352">_xlfn.IFS(M352&lt;=34,"YOUNG",M352&lt;=54,"MIDDLE AGE",M352&gt;=55,"OLD")</f>
        <v>MIDDLE AGE</v>
      </c>
      <c r="V352" t="str">
        <f t="shared" si="23"/>
        <v>NORMAL</v>
      </c>
    </row>
    <row r="353" spans="1:22" x14ac:dyDescent="0.35">
      <c r="A353" t="s">
        <v>1316</v>
      </c>
      <c r="B353" t="s">
        <v>295</v>
      </c>
      <c r="C353">
        <v>29.58</v>
      </c>
      <c r="D353" s="1">
        <v>45229.746053240742</v>
      </c>
      <c r="E353" s="2">
        <f t="shared" si="20"/>
        <v>0.74605324074218515</v>
      </c>
      <c r="F353" s="3">
        <f t="shared" si="21"/>
        <v>45229</v>
      </c>
      <c r="G353" t="s">
        <v>17</v>
      </c>
      <c r="H353" t="s">
        <v>521</v>
      </c>
      <c r="I353" t="s">
        <v>1317</v>
      </c>
      <c r="J353" t="s">
        <v>1318</v>
      </c>
      <c r="K353" t="s">
        <v>386</v>
      </c>
      <c r="L353" t="s">
        <v>69</v>
      </c>
      <c r="M353">
        <v>54</v>
      </c>
      <c r="N353" t="s">
        <v>77</v>
      </c>
      <c r="O353">
        <v>121</v>
      </c>
      <c r="P353">
        <v>1</v>
      </c>
      <c r="Q353">
        <v>8345.26</v>
      </c>
      <c r="R353" s="4">
        <v>45600</v>
      </c>
      <c r="S353" s="6">
        <v>0.34098379629629627</v>
      </c>
      <c r="T353">
        <f t="shared" si="22"/>
        <v>17</v>
      </c>
      <c r="U353" t="str" cm="1">
        <f t="array" ref="U353">_xlfn.IFS(M353&lt;=34,"YOUNG",M353&lt;=54,"MIDDLE AGE",M353&gt;=55,"OLD")</f>
        <v>MIDDLE AGE</v>
      </c>
      <c r="V353" t="str">
        <f t="shared" si="23"/>
        <v>NORMAL</v>
      </c>
    </row>
    <row r="354" spans="1:22" x14ac:dyDescent="0.35">
      <c r="A354" t="s">
        <v>1319</v>
      </c>
      <c r="B354" t="s">
        <v>211</v>
      </c>
      <c r="C354">
        <v>139.44999999999999</v>
      </c>
      <c r="D354" s="1">
        <v>45117.696585648147</v>
      </c>
      <c r="E354" s="2">
        <f t="shared" si="20"/>
        <v>0.6965856481474475</v>
      </c>
      <c r="F354" s="3">
        <f t="shared" si="21"/>
        <v>45117</v>
      </c>
      <c r="G354" t="s">
        <v>17</v>
      </c>
      <c r="H354" t="s">
        <v>388</v>
      </c>
      <c r="I354" t="s">
        <v>910</v>
      </c>
      <c r="J354" t="s">
        <v>542</v>
      </c>
      <c r="K354" t="s">
        <v>432</v>
      </c>
      <c r="L354" t="s">
        <v>36</v>
      </c>
      <c r="M354">
        <v>27</v>
      </c>
      <c r="N354" t="s">
        <v>37</v>
      </c>
      <c r="O354">
        <v>31</v>
      </c>
      <c r="P354">
        <v>1</v>
      </c>
      <c r="Q354">
        <v>1305.76</v>
      </c>
      <c r="R354" s="4">
        <v>45600</v>
      </c>
      <c r="S354" s="6">
        <v>0.34037037037037038</v>
      </c>
      <c r="T354">
        <f t="shared" si="22"/>
        <v>16</v>
      </c>
      <c r="U354" t="str" cm="1">
        <f t="array" ref="U354">_xlfn.IFS(M354&lt;=34,"YOUNG",M354&lt;=54,"MIDDLE AGE",M354&gt;=55,"OLD")</f>
        <v>YOUNG</v>
      </c>
      <c r="V354" t="str">
        <f t="shared" si="23"/>
        <v>NORMAL</v>
      </c>
    </row>
    <row r="355" spans="1:22" x14ac:dyDescent="0.35">
      <c r="A355" t="s">
        <v>1320</v>
      </c>
      <c r="B355" t="s">
        <v>600</v>
      </c>
      <c r="C355">
        <v>432.63</v>
      </c>
      <c r="D355" s="1">
        <v>45107.715717592589</v>
      </c>
      <c r="E355" s="2">
        <f t="shared" si="20"/>
        <v>0.71571759258949896</v>
      </c>
      <c r="F355" s="3">
        <f t="shared" si="21"/>
        <v>45107</v>
      </c>
      <c r="G355" t="s">
        <v>17</v>
      </c>
      <c r="H355" t="s">
        <v>521</v>
      </c>
      <c r="I355" t="s">
        <v>538</v>
      </c>
      <c r="J355" t="s">
        <v>1321</v>
      </c>
      <c r="K355" t="s">
        <v>1209</v>
      </c>
      <c r="L355" t="s">
        <v>22</v>
      </c>
      <c r="M355">
        <v>29</v>
      </c>
      <c r="N355" t="s">
        <v>23</v>
      </c>
      <c r="O355">
        <v>137</v>
      </c>
      <c r="P355">
        <v>1</v>
      </c>
      <c r="Q355">
        <v>13648.36</v>
      </c>
      <c r="R355" s="4">
        <v>45600</v>
      </c>
      <c r="S355" s="6">
        <v>0.34055555555555556</v>
      </c>
      <c r="T355">
        <f t="shared" si="22"/>
        <v>17</v>
      </c>
      <c r="U355" t="str" cm="1">
        <f t="array" ref="U355">_xlfn.IFS(M355&lt;=34,"YOUNG",M355&lt;=54,"MIDDLE AGE",M355&gt;=55,"OLD")</f>
        <v>YOUNG</v>
      </c>
      <c r="V355" t="str">
        <f t="shared" si="23"/>
        <v>NORMAL</v>
      </c>
    </row>
    <row r="356" spans="1:22" x14ac:dyDescent="0.35">
      <c r="A356" t="s">
        <v>1322</v>
      </c>
      <c r="B356" t="s">
        <v>636</v>
      </c>
      <c r="C356">
        <v>131.43</v>
      </c>
      <c r="D356" s="1">
        <v>44958.782870370371</v>
      </c>
      <c r="E356" s="2">
        <f t="shared" si="20"/>
        <v>0.78287037037080154</v>
      </c>
      <c r="F356" s="3">
        <f t="shared" si="21"/>
        <v>44958</v>
      </c>
      <c r="G356" t="s">
        <v>17</v>
      </c>
      <c r="H356" t="s">
        <v>249</v>
      </c>
      <c r="I356" t="s">
        <v>1323</v>
      </c>
      <c r="J356" t="s">
        <v>542</v>
      </c>
      <c r="K356" t="s">
        <v>200</v>
      </c>
      <c r="L356" t="s">
        <v>36</v>
      </c>
      <c r="M356">
        <v>43</v>
      </c>
      <c r="N356" t="s">
        <v>23</v>
      </c>
      <c r="O356">
        <v>65</v>
      </c>
      <c r="P356">
        <v>1</v>
      </c>
      <c r="Q356">
        <v>1337.5</v>
      </c>
      <c r="R356" s="4">
        <v>45600</v>
      </c>
      <c r="S356" s="6">
        <v>0.34180555555555553</v>
      </c>
      <c r="T356">
        <f t="shared" si="22"/>
        <v>18</v>
      </c>
      <c r="U356" t="str" cm="1">
        <f t="array" ref="U356">_xlfn.IFS(M356&lt;=34,"YOUNG",M356&lt;=54,"MIDDLE AGE",M356&gt;=55,"OLD")</f>
        <v>MIDDLE AGE</v>
      </c>
      <c r="V356" t="str">
        <f t="shared" si="23"/>
        <v>NORMAL</v>
      </c>
    </row>
    <row r="357" spans="1:22" x14ac:dyDescent="0.35">
      <c r="A357" t="s">
        <v>1324</v>
      </c>
      <c r="B357" t="s">
        <v>314</v>
      </c>
      <c r="C357">
        <v>516.72</v>
      </c>
      <c r="D357" s="1">
        <v>45208.779907407406</v>
      </c>
      <c r="E357" s="2">
        <f t="shared" si="20"/>
        <v>0.7799074074064265</v>
      </c>
      <c r="F357" s="3">
        <f t="shared" si="21"/>
        <v>45208</v>
      </c>
      <c r="G357" t="s">
        <v>17</v>
      </c>
      <c r="H357" t="s">
        <v>32</v>
      </c>
      <c r="I357" t="s">
        <v>582</v>
      </c>
      <c r="J357" t="s">
        <v>1325</v>
      </c>
      <c r="K357" t="s">
        <v>105</v>
      </c>
      <c r="L357" t="s">
        <v>22</v>
      </c>
      <c r="M357">
        <v>42</v>
      </c>
      <c r="N357" t="s">
        <v>77</v>
      </c>
      <c r="O357">
        <v>128</v>
      </c>
      <c r="P357">
        <v>1</v>
      </c>
      <c r="Q357">
        <v>2015.69</v>
      </c>
      <c r="R357" s="4">
        <v>45600</v>
      </c>
      <c r="S357" s="6">
        <v>0.34137731481481481</v>
      </c>
      <c r="T357">
        <f t="shared" si="22"/>
        <v>18</v>
      </c>
      <c r="U357" t="str" cm="1">
        <f t="array" ref="U357">_xlfn.IFS(M357&lt;=34,"YOUNG",M357&lt;=54,"MIDDLE AGE",M357&gt;=55,"OLD")</f>
        <v>MIDDLE AGE</v>
      </c>
      <c r="V357" t="str">
        <f t="shared" si="23"/>
        <v>NORMAL</v>
      </c>
    </row>
    <row r="358" spans="1:22" x14ac:dyDescent="0.35">
      <c r="A358" t="s">
        <v>1326</v>
      </c>
      <c r="B358" t="s">
        <v>1327</v>
      </c>
      <c r="C358">
        <v>121.82</v>
      </c>
      <c r="D358" s="1">
        <v>44964.722500000003</v>
      </c>
      <c r="E358" s="2">
        <f t="shared" si="20"/>
        <v>0.72250000000349246</v>
      </c>
      <c r="F358" s="3">
        <f t="shared" si="21"/>
        <v>44964</v>
      </c>
      <c r="G358" t="s">
        <v>17</v>
      </c>
      <c r="H358" t="s">
        <v>521</v>
      </c>
      <c r="I358" t="s">
        <v>1328</v>
      </c>
      <c r="J358" t="s">
        <v>330</v>
      </c>
      <c r="K358" t="s">
        <v>209</v>
      </c>
      <c r="L358" t="s">
        <v>36</v>
      </c>
      <c r="M358">
        <v>69</v>
      </c>
      <c r="N358" t="s">
        <v>23</v>
      </c>
      <c r="O358">
        <v>123</v>
      </c>
      <c r="P358">
        <v>3</v>
      </c>
      <c r="Q358">
        <v>8354.5400000000009</v>
      </c>
      <c r="R358" s="4">
        <v>45600</v>
      </c>
      <c r="S358" s="6">
        <v>0.3389699074074074</v>
      </c>
      <c r="T358">
        <f t="shared" si="22"/>
        <v>17</v>
      </c>
      <c r="U358" t="str" cm="1">
        <f t="array" ref="U358">_xlfn.IFS(M358&lt;=34,"YOUNG",M358&lt;=54,"MIDDLE AGE",M358&gt;=55,"OLD")</f>
        <v>OLD</v>
      </c>
      <c r="V358" t="str">
        <f t="shared" si="23"/>
        <v>HIGH</v>
      </c>
    </row>
    <row r="359" spans="1:22" x14ac:dyDescent="0.35">
      <c r="A359" t="s">
        <v>1329</v>
      </c>
      <c r="B359" t="s">
        <v>91</v>
      </c>
      <c r="C359">
        <v>374.5</v>
      </c>
      <c r="D359" s="1">
        <v>45131.698275462964</v>
      </c>
      <c r="E359" s="2">
        <f t="shared" si="20"/>
        <v>0.69827546296437504</v>
      </c>
      <c r="F359" s="3">
        <f t="shared" si="21"/>
        <v>45131</v>
      </c>
      <c r="G359" t="s">
        <v>46</v>
      </c>
      <c r="H359" t="s">
        <v>212</v>
      </c>
      <c r="I359" t="s">
        <v>1330</v>
      </c>
      <c r="J359" t="s">
        <v>347</v>
      </c>
      <c r="K359" t="s">
        <v>43</v>
      </c>
      <c r="L359" t="s">
        <v>69</v>
      </c>
      <c r="M359">
        <v>26</v>
      </c>
      <c r="N359" t="s">
        <v>37</v>
      </c>
      <c r="O359">
        <v>178</v>
      </c>
      <c r="P359">
        <v>1</v>
      </c>
      <c r="Q359">
        <v>1671.51</v>
      </c>
      <c r="R359" s="4">
        <v>45600</v>
      </c>
      <c r="S359" s="6">
        <v>0.33931712962962962</v>
      </c>
      <c r="T359">
        <f t="shared" si="22"/>
        <v>16</v>
      </c>
      <c r="U359" t="str" cm="1">
        <f t="array" ref="U359">_xlfn.IFS(M359&lt;=34,"YOUNG",M359&lt;=54,"MIDDLE AGE",M359&gt;=55,"OLD")</f>
        <v>YOUNG</v>
      </c>
      <c r="V359" t="str">
        <f t="shared" si="23"/>
        <v>NORMAL</v>
      </c>
    </row>
    <row r="360" spans="1:22" x14ac:dyDescent="0.35">
      <c r="A360" t="s">
        <v>1331</v>
      </c>
      <c r="B360" t="s">
        <v>756</v>
      </c>
      <c r="C360">
        <v>166.13</v>
      </c>
      <c r="D360" s="1">
        <v>45175.709606481483</v>
      </c>
      <c r="E360" s="2">
        <f t="shared" si="20"/>
        <v>0.70960648148320615</v>
      </c>
      <c r="F360" s="3">
        <f t="shared" si="21"/>
        <v>45175</v>
      </c>
      <c r="G360" t="s">
        <v>17</v>
      </c>
      <c r="H360" t="s">
        <v>296</v>
      </c>
      <c r="I360" t="s">
        <v>1294</v>
      </c>
      <c r="J360" t="s">
        <v>1013</v>
      </c>
      <c r="K360" t="s">
        <v>759</v>
      </c>
      <c r="L360" t="s">
        <v>22</v>
      </c>
      <c r="M360">
        <v>68</v>
      </c>
      <c r="N360" t="s">
        <v>23</v>
      </c>
      <c r="O360">
        <v>227</v>
      </c>
      <c r="P360">
        <v>1</v>
      </c>
      <c r="Q360">
        <v>11822.53</v>
      </c>
      <c r="R360" s="4">
        <v>45600</v>
      </c>
      <c r="S360" s="6">
        <v>0.34175925925925926</v>
      </c>
      <c r="T360">
        <f t="shared" si="22"/>
        <v>17</v>
      </c>
      <c r="U360" t="str" cm="1">
        <f t="array" ref="U360">_xlfn.IFS(M360&lt;=34,"YOUNG",M360&lt;=54,"MIDDLE AGE",M360&gt;=55,"OLD")</f>
        <v>OLD</v>
      </c>
      <c r="V360" t="str">
        <f t="shared" si="23"/>
        <v>NORMAL</v>
      </c>
    </row>
    <row r="361" spans="1:22" x14ac:dyDescent="0.35">
      <c r="A361" t="s">
        <v>1332</v>
      </c>
      <c r="B361" t="s">
        <v>1333</v>
      </c>
      <c r="C361">
        <v>626.9</v>
      </c>
      <c r="D361" s="1">
        <v>45209.695937500001</v>
      </c>
      <c r="E361" s="2">
        <f t="shared" si="20"/>
        <v>0.69593750000058208</v>
      </c>
      <c r="F361" s="3">
        <f t="shared" si="21"/>
        <v>45209</v>
      </c>
      <c r="G361" t="s">
        <v>17</v>
      </c>
      <c r="H361" t="s">
        <v>265</v>
      </c>
      <c r="I361" t="s">
        <v>1334</v>
      </c>
      <c r="J361" t="s">
        <v>1335</v>
      </c>
      <c r="K361" t="s">
        <v>111</v>
      </c>
      <c r="L361" t="s">
        <v>22</v>
      </c>
      <c r="M361">
        <v>23</v>
      </c>
      <c r="N361" t="s">
        <v>37</v>
      </c>
      <c r="O361">
        <v>146</v>
      </c>
      <c r="P361">
        <v>1</v>
      </c>
      <c r="Q361">
        <v>587.11</v>
      </c>
      <c r="R361" s="4">
        <v>45600</v>
      </c>
      <c r="S361" s="6">
        <v>0.34131944444444445</v>
      </c>
      <c r="T361">
        <f t="shared" si="22"/>
        <v>16</v>
      </c>
      <c r="U361" t="str" cm="1">
        <f t="array" ref="U361">_xlfn.IFS(M361&lt;=34,"YOUNG",M361&lt;=54,"MIDDLE AGE",M361&gt;=55,"OLD")</f>
        <v>YOUNG</v>
      </c>
      <c r="V361" t="str">
        <f t="shared" si="23"/>
        <v>NORMAL</v>
      </c>
    </row>
    <row r="362" spans="1:22" x14ac:dyDescent="0.35">
      <c r="A362" t="s">
        <v>1336</v>
      </c>
      <c r="B362" t="s">
        <v>529</v>
      </c>
      <c r="C362">
        <v>466.85</v>
      </c>
      <c r="D362" s="1">
        <v>45124.706412037034</v>
      </c>
      <c r="E362" s="2">
        <f t="shared" si="20"/>
        <v>0.70641203703416977</v>
      </c>
      <c r="F362" s="3">
        <f t="shared" si="21"/>
        <v>45124</v>
      </c>
      <c r="G362" t="s">
        <v>17</v>
      </c>
      <c r="H362" t="s">
        <v>119</v>
      </c>
      <c r="I362" t="s">
        <v>1337</v>
      </c>
      <c r="J362" t="s">
        <v>944</v>
      </c>
      <c r="K362" t="s">
        <v>83</v>
      </c>
      <c r="L362" t="s">
        <v>69</v>
      </c>
      <c r="M362">
        <v>56</v>
      </c>
      <c r="N362" t="s">
        <v>70</v>
      </c>
      <c r="O362">
        <v>165</v>
      </c>
      <c r="P362">
        <v>1</v>
      </c>
      <c r="Q362">
        <v>5422.53</v>
      </c>
      <c r="R362" s="4">
        <v>45600</v>
      </c>
      <c r="S362" s="6">
        <v>0.33998842592592593</v>
      </c>
      <c r="T362">
        <f t="shared" si="22"/>
        <v>16</v>
      </c>
      <c r="U362" t="str" cm="1">
        <f t="array" ref="U362">_xlfn.IFS(M362&lt;=34,"YOUNG",M362&lt;=54,"MIDDLE AGE",M362&gt;=55,"OLD")</f>
        <v>OLD</v>
      </c>
      <c r="V362" t="str">
        <f t="shared" si="23"/>
        <v>NORMAL</v>
      </c>
    </row>
    <row r="363" spans="1:22" x14ac:dyDescent="0.35">
      <c r="A363" t="s">
        <v>1338</v>
      </c>
      <c r="B363" t="s">
        <v>1339</v>
      </c>
      <c r="C363">
        <v>788.84</v>
      </c>
      <c r="D363" s="1">
        <v>45063.708726851852</v>
      </c>
      <c r="E363" s="2">
        <f t="shared" si="20"/>
        <v>0.70872685185167938</v>
      </c>
      <c r="F363" s="3">
        <f t="shared" si="21"/>
        <v>45063</v>
      </c>
      <c r="G363" t="s">
        <v>17</v>
      </c>
      <c r="H363" t="s">
        <v>425</v>
      </c>
      <c r="I363" t="s">
        <v>1340</v>
      </c>
      <c r="J363" t="s">
        <v>1341</v>
      </c>
      <c r="K363" t="s">
        <v>288</v>
      </c>
      <c r="L363" t="s">
        <v>36</v>
      </c>
      <c r="M363">
        <v>58</v>
      </c>
      <c r="N363" t="s">
        <v>70</v>
      </c>
      <c r="O363">
        <v>231</v>
      </c>
      <c r="P363">
        <v>1</v>
      </c>
      <c r="Q363">
        <v>1913.73</v>
      </c>
      <c r="R363" s="4">
        <v>45600</v>
      </c>
      <c r="S363" s="6">
        <v>0.34006944444444442</v>
      </c>
      <c r="T363">
        <f t="shared" si="22"/>
        <v>17</v>
      </c>
      <c r="U363" t="str" cm="1">
        <f t="array" ref="U363">_xlfn.IFS(M363&lt;=34,"YOUNG",M363&lt;=54,"MIDDLE AGE",M363&gt;=55,"OLD")</f>
        <v>OLD</v>
      </c>
      <c r="V363" t="str">
        <f t="shared" si="23"/>
        <v>NORMAL</v>
      </c>
    </row>
    <row r="364" spans="1:22" x14ac:dyDescent="0.35">
      <c r="A364" t="s">
        <v>1342</v>
      </c>
      <c r="B364" t="s">
        <v>1343</v>
      </c>
      <c r="C364">
        <v>873.65</v>
      </c>
      <c r="D364" s="1">
        <v>45008.693518518521</v>
      </c>
      <c r="E364" s="2">
        <f t="shared" si="20"/>
        <v>0.69351851852115942</v>
      </c>
      <c r="F364" s="3">
        <f t="shared" si="21"/>
        <v>45008</v>
      </c>
      <c r="G364" t="s">
        <v>46</v>
      </c>
      <c r="H364" t="s">
        <v>53</v>
      </c>
      <c r="I364" t="s">
        <v>827</v>
      </c>
      <c r="J364" t="s">
        <v>1344</v>
      </c>
      <c r="K364" t="s">
        <v>1345</v>
      </c>
      <c r="L364" t="s">
        <v>36</v>
      </c>
      <c r="M364">
        <v>37</v>
      </c>
      <c r="N364" t="s">
        <v>23</v>
      </c>
      <c r="O364">
        <v>59</v>
      </c>
      <c r="P364">
        <v>1</v>
      </c>
      <c r="Q364">
        <v>12139.83</v>
      </c>
      <c r="R364" s="4">
        <v>45600</v>
      </c>
      <c r="S364" s="6">
        <v>0.34024305555555556</v>
      </c>
      <c r="T364">
        <f t="shared" si="22"/>
        <v>16</v>
      </c>
      <c r="U364" t="str" cm="1">
        <f t="array" ref="U364">_xlfn.IFS(M364&lt;=34,"YOUNG",M364&lt;=54,"MIDDLE AGE",M364&gt;=55,"OLD")</f>
        <v>MIDDLE AGE</v>
      </c>
      <c r="V364" t="str">
        <f t="shared" si="23"/>
        <v>NORMAL</v>
      </c>
    </row>
    <row r="365" spans="1:22" x14ac:dyDescent="0.35">
      <c r="A365" t="s">
        <v>1346</v>
      </c>
      <c r="B365" t="s">
        <v>228</v>
      </c>
      <c r="C365">
        <v>525.28</v>
      </c>
      <c r="D365" s="1">
        <v>45019.69263888889</v>
      </c>
      <c r="E365" s="2">
        <f t="shared" si="20"/>
        <v>0.69263888888963265</v>
      </c>
      <c r="F365" s="3">
        <f t="shared" si="21"/>
        <v>45019</v>
      </c>
      <c r="G365" t="s">
        <v>17</v>
      </c>
      <c r="H365" t="s">
        <v>521</v>
      </c>
      <c r="I365" t="s">
        <v>1347</v>
      </c>
      <c r="J365" t="s">
        <v>1348</v>
      </c>
      <c r="K365" t="s">
        <v>1349</v>
      </c>
      <c r="L365" t="s">
        <v>22</v>
      </c>
      <c r="M365">
        <v>69</v>
      </c>
      <c r="N365" t="s">
        <v>70</v>
      </c>
      <c r="O365">
        <v>134</v>
      </c>
      <c r="P365">
        <v>1</v>
      </c>
      <c r="Q365">
        <v>4693.6000000000004</v>
      </c>
      <c r="R365" s="4">
        <v>45600</v>
      </c>
      <c r="S365" s="6">
        <v>0.3400347222222222</v>
      </c>
      <c r="T365">
        <f t="shared" si="22"/>
        <v>16</v>
      </c>
      <c r="U365" t="str" cm="1">
        <f t="array" ref="U365">_xlfn.IFS(M365&lt;=34,"YOUNG",M365&lt;=54,"MIDDLE AGE",M365&gt;=55,"OLD")</f>
        <v>OLD</v>
      </c>
      <c r="V365" t="str">
        <f t="shared" si="23"/>
        <v>NORMAL</v>
      </c>
    </row>
    <row r="366" spans="1:22" x14ac:dyDescent="0.35">
      <c r="A366" t="s">
        <v>1350</v>
      </c>
      <c r="B366" t="s">
        <v>648</v>
      </c>
      <c r="C366">
        <v>110.17</v>
      </c>
      <c r="D366" s="1">
        <v>45176.672361111108</v>
      </c>
      <c r="E366" s="2">
        <f t="shared" si="20"/>
        <v>0.67236111110833008</v>
      </c>
      <c r="F366" s="3">
        <f t="shared" si="21"/>
        <v>45176</v>
      </c>
      <c r="G366" t="s">
        <v>17</v>
      </c>
      <c r="H366" t="s">
        <v>40</v>
      </c>
      <c r="I366" t="s">
        <v>173</v>
      </c>
      <c r="J366" t="s">
        <v>1351</v>
      </c>
      <c r="K366" t="s">
        <v>56</v>
      </c>
      <c r="L366" t="s">
        <v>22</v>
      </c>
      <c r="M366">
        <v>30</v>
      </c>
      <c r="N366" t="s">
        <v>77</v>
      </c>
      <c r="O366">
        <v>137</v>
      </c>
      <c r="P366">
        <v>1</v>
      </c>
      <c r="Q366">
        <v>464.2</v>
      </c>
      <c r="R366" s="4">
        <v>45600</v>
      </c>
      <c r="S366" s="6">
        <v>0.34179398148148149</v>
      </c>
      <c r="T366">
        <f t="shared" si="22"/>
        <v>16</v>
      </c>
      <c r="U366" t="str" cm="1">
        <f t="array" ref="U366">_xlfn.IFS(M366&lt;=34,"YOUNG",M366&lt;=54,"MIDDLE AGE",M366&gt;=55,"OLD")</f>
        <v>YOUNG</v>
      </c>
      <c r="V366" t="str">
        <f t="shared" si="23"/>
        <v>NORMAL</v>
      </c>
    </row>
    <row r="367" spans="1:22" x14ac:dyDescent="0.35">
      <c r="A367" t="s">
        <v>1352</v>
      </c>
      <c r="B367" t="s">
        <v>578</v>
      </c>
      <c r="C367">
        <v>632.69000000000005</v>
      </c>
      <c r="D367" s="1">
        <v>45181.686550925922</v>
      </c>
      <c r="E367" s="2">
        <f t="shared" si="20"/>
        <v>0.68655092592234723</v>
      </c>
      <c r="F367" s="3">
        <f t="shared" si="21"/>
        <v>45181</v>
      </c>
      <c r="G367" t="s">
        <v>17</v>
      </c>
      <c r="H367" t="s">
        <v>114</v>
      </c>
      <c r="I367" t="s">
        <v>790</v>
      </c>
      <c r="J367" t="s">
        <v>999</v>
      </c>
      <c r="K367" t="s">
        <v>478</v>
      </c>
      <c r="L367" t="s">
        <v>22</v>
      </c>
      <c r="M367">
        <v>80</v>
      </c>
      <c r="N367" t="s">
        <v>70</v>
      </c>
      <c r="O367">
        <v>76</v>
      </c>
      <c r="P367">
        <v>1</v>
      </c>
      <c r="Q367">
        <v>4363.74</v>
      </c>
      <c r="R367" s="4">
        <v>45600</v>
      </c>
      <c r="S367" s="6">
        <v>0.33988425925925925</v>
      </c>
      <c r="T367">
        <f t="shared" si="22"/>
        <v>16</v>
      </c>
      <c r="U367" t="str" cm="1">
        <f t="array" ref="U367">_xlfn.IFS(M367&lt;=34,"YOUNG",M367&lt;=54,"MIDDLE AGE",M367&gt;=55,"OLD")</f>
        <v>OLD</v>
      </c>
      <c r="V367" t="str">
        <f t="shared" si="23"/>
        <v>NORMAL</v>
      </c>
    </row>
    <row r="368" spans="1:22" x14ac:dyDescent="0.35">
      <c r="A368" t="s">
        <v>1353</v>
      </c>
      <c r="B368" t="s">
        <v>749</v>
      </c>
      <c r="C368">
        <v>124.35</v>
      </c>
      <c r="D368" s="1">
        <v>45268.693923611114</v>
      </c>
      <c r="E368" s="2">
        <f t="shared" si="20"/>
        <v>0.69392361111385981</v>
      </c>
      <c r="F368" s="3">
        <f t="shared" si="21"/>
        <v>45268</v>
      </c>
      <c r="G368" t="s">
        <v>17</v>
      </c>
      <c r="H368" t="s">
        <v>53</v>
      </c>
      <c r="I368" t="s">
        <v>852</v>
      </c>
      <c r="J368" t="s">
        <v>234</v>
      </c>
      <c r="K368" t="s">
        <v>21</v>
      </c>
      <c r="L368" t="s">
        <v>22</v>
      </c>
      <c r="M368">
        <v>72</v>
      </c>
      <c r="N368" t="s">
        <v>70</v>
      </c>
      <c r="O368">
        <v>90</v>
      </c>
      <c r="P368">
        <v>1</v>
      </c>
      <c r="Q368">
        <v>3319.76</v>
      </c>
      <c r="R368" s="4">
        <v>45600</v>
      </c>
      <c r="S368" s="6">
        <v>0.34137731481481481</v>
      </c>
      <c r="T368">
        <f t="shared" si="22"/>
        <v>16</v>
      </c>
      <c r="U368" t="str" cm="1">
        <f t="array" ref="U368">_xlfn.IFS(M368&lt;=34,"YOUNG",M368&lt;=54,"MIDDLE AGE",M368&gt;=55,"OLD")</f>
        <v>OLD</v>
      </c>
      <c r="V368" t="str">
        <f t="shared" si="23"/>
        <v>NORMAL</v>
      </c>
    </row>
    <row r="369" spans="1:22" x14ac:dyDescent="0.35">
      <c r="A369" t="s">
        <v>1354</v>
      </c>
      <c r="B369" t="s">
        <v>701</v>
      </c>
      <c r="C369">
        <v>43.85</v>
      </c>
      <c r="D369" s="1">
        <v>44998.684421296297</v>
      </c>
      <c r="E369" s="2">
        <f t="shared" si="20"/>
        <v>0.68442129629693227</v>
      </c>
      <c r="F369" s="3">
        <f t="shared" si="21"/>
        <v>44998</v>
      </c>
      <c r="G369" t="s">
        <v>17</v>
      </c>
      <c r="H369" t="s">
        <v>558</v>
      </c>
      <c r="I369" t="s">
        <v>1355</v>
      </c>
      <c r="J369" t="s">
        <v>55</v>
      </c>
      <c r="K369" t="s">
        <v>759</v>
      </c>
      <c r="L369" t="s">
        <v>22</v>
      </c>
      <c r="M369">
        <v>62</v>
      </c>
      <c r="N369" t="s">
        <v>70</v>
      </c>
      <c r="O369">
        <v>122</v>
      </c>
      <c r="P369">
        <v>1</v>
      </c>
      <c r="Q369">
        <v>4356.9799999999996</v>
      </c>
      <c r="R369" s="4">
        <v>45600</v>
      </c>
      <c r="S369" s="6">
        <v>0.33840277777777777</v>
      </c>
      <c r="T369">
        <f t="shared" si="22"/>
        <v>16</v>
      </c>
      <c r="U369" t="str" cm="1">
        <f t="array" ref="U369">_xlfn.IFS(M369&lt;=34,"YOUNG",M369&lt;=54,"MIDDLE AGE",M369&gt;=55,"OLD")</f>
        <v>OLD</v>
      </c>
      <c r="V369" t="str">
        <f t="shared" si="23"/>
        <v>NORMAL</v>
      </c>
    </row>
    <row r="370" spans="1:22" x14ac:dyDescent="0.35">
      <c r="A370" t="s">
        <v>1356</v>
      </c>
      <c r="B370" t="s">
        <v>1357</v>
      </c>
      <c r="C370">
        <v>283.81</v>
      </c>
      <c r="D370" s="1">
        <v>44994.688819444447</v>
      </c>
      <c r="E370" s="2">
        <f t="shared" si="20"/>
        <v>0.68881944444729015</v>
      </c>
      <c r="F370" s="3">
        <f t="shared" si="21"/>
        <v>44994</v>
      </c>
      <c r="G370" t="s">
        <v>17</v>
      </c>
      <c r="H370" t="s">
        <v>18</v>
      </c>
      <c r="I370" t="s">
        <v>1358</v>
      </c>
      <c r="J370" t="s">
        <v>1359</v>
      </c>
      <c r="K370" t="s">
        <v>246</v>
      </c>
      <c r="L370" t="s">
        <v>69</v>
      </c>
      <c r="M370">
        <v>28</v>
      </c>
      <c r="N370" t="s">
        <v>37</v>
      </c>
      <c r="O370">
        <v>29</v>
      </c>
      <c r="P370">
        <v>1</v>
      </c>
      <c r="Q370">
        <v>1519.35</v>
      </c>
      <c r="R370" s="4">
        <v>45600</v>
      </c>
      <c r="S370" s="6">
        <v>0.34081018518518519</v>
      </c>
      <c r="T370">
        <f t="shared" si="22"/>
        <v>16</v>
      </c>
      <c r="U370" t="str" cm="1">
        <f t="array" ref="U370">_xlfn.IFS(M370&lt;=34,"YOUNG",M370&lt;=54,"MIDDLE AGE",M370&gt;=55,"OLD")</f>
        <v>YOUNG</v>
      </c>
      <c r="V370" t="str">
        <f t="shared" si="23"/>
        <v>NORMAL</v>
      </c>
    </row>
    <row r="371" spans="1:22" x14ac:dyDescent="0.35">
      <c r="A371" t="s">
        <v>1360</v>
      </c>
      <c r="B371" t="s">
        <v>1361</v>
      </c>
      <c r="C371">
        <v>168.53</v>
      </c>
      <c r="D371" s="1">
        <v>45091.687986111108</v>
      </c>
      <c r="E371" s="2">
        <f t="shared" si="20"/>
        <v>0.68798611110833008</v>
      </c>
      <c r="F371" s="3">
        <f t="shared" si="21"/>
        <v>45091</v>
      </c>
      <c r="G371" t="s">
        <v>17</v>
      </c>
      <c r="H371" t="s">
        <v>212</v>
      </c>
      <c r="I371" t="s">
        <v>1362</v>
      </c>
      <c r="J371" t="s">
        <v>1363</v>
      </c>
      <c r="K371" t="s">
        <v>740</v>
      </c>
      <c r="L371" t="s">
        <v>22</v>
      </c>
      <c r="M371">
        <v>71</v>
      </c>
      <c r="N371" t="s">
        <v>70</v>
      </c>
      <c r="O371">
        <v>112</v>
      </c>
      <c r="P371">
        <v>1</v>
      </c>
      <c r="Q371">
        <v>5962.58</v>
      </c>
      <c r="R371" s="4">
        <v>45600</v>
      </c>
      <c r="S371" s="6">
        <v>0.34177083333333336</v>
      </c>
      <c r="T371">
        <f t="shared" si="22"/>
        <v>16</v>
      </c>
      <c r="U371" t="str" cm="1">
        <f t="array" ref="U371">_xlfn.IFS(M371&lt;=34,"YOUNG",M371&lt;=54,"MIDDLE AGE",M371&gt;=55,"OLD")</f>
        <v>OLD</v>
      </c>
      <c r="V371" t="str">
        <f t="shared" si="23"/>
        <v>NORMAL</v>
      </c>
    </row>
    <row r="372" spans="1:22" x14ac:dyDescent="0.35">
      <c r="A372" t="s">
        <v>1364</v>
      </c>
      <c r="B372" t="s">
        <v>641</v>
      </c>
      <c r="C372">
        <v>218.59</v>
      </c>
      <c r="D372" s="1">
        <v>45257.696851851855</v>
      </c>
      <c r="E372" s="2">
        <f t="shared" si="20"/>
        <v>0.69685185185517184</v>
      </c>
      <c r="F372" s="3">
        <f t="shared" si="21"/>
        <v>45257</v>
      </c>
      <c r="G372" t="s">
        <v>46</v>
      </c>
      <c r="H372" t="s">
        <v>114</v>
      </c>
      <c r="I372" t="s">
        <v>1365</v>
      </c>
      <c r="J372" t="s">
        <v>1366</v>
      </c>
      <c r="K372" t="s">
        <v>769</v>
      </c>
      <c r="L372" t="s">
        <v>69</v>
      </c>
      <c r="M372">
        <v>40</v>
      </c>
      <c r="N372" t="s">
        <v>77</v>
      </c>
      <c r="O372">
        <v>123</v>
      </c>
      <c r="P372">
        <v>1</v>
      </c>
      <c r="Q372">
        <v>6699.23</v>
      </c>
      <c r="R372" s="4">
        <v>45600</v>
      </c>
      <c r="S372" s="6">
        <v>0.33833333333333332</v>
      </c>
      <c r="T372">
        <f t="shared" si="22"/>
        <v>16</v>
      </c>
      <c r="U372" t="str" cm="1">
        <f t="array" ref="U372">_xlfn.IFS(M372&lt;=34,"YOUNG",M372&lt;=54,"MIDDLE AGE",M372&gt;=55,"OLD")</f>
        <v>MIDDLE AGE</v>
      </c>
      <c r="V372" t="str">
        <f t="shared" si="23"/>
        <v>NORMAL</v>
      </c>
    </row>
    <row r="373" spans="1:22" x14ac:dyDescent="0.35">
      <c r="A373" t="s">
        <v>1367</v>
      </c>
      <c r="B373" t="s">
        <v>1368</v>
      </c>
      <c r="C373">
        <v>132.84</v>
      </c>
      <c r="D373" s="1">
        <v>45159.686307870368</v>
      </c>
      <c r="E373" s="2">
        <f t="shared" si="20"/>
        <v>0.68630787036818219</v>
      </c>
      <c r="F373" s="3">
        <f t="shared" si="21"/>
        <v>45159</v>
      </c>
      <c r="G373" t="s">
        <v>17</v>
      </c>
      <c r="H373" t="s">
        <v>53</v>
      </c>
      <c r="I373" t="s">
        <v>1369</v>
      </c>
      <c r="J373" t="s">
        <v>1370</v>
      </c>
      <c r="K373" t="s">
        <v>406</v>
      </c>
      <c r="L373" t="s">
        <v>22</v>
      </c>
      <c r="M373">
        <v>21</v>
      </c>
      <c r="N373" t="s">
        <v>37</v>
      </c>
      <c r="O373">
        <v>143</v>
      </c>
      <c r="P373">
        <v>1</v>
      </c>
      <c r="Q373">
        <v>822.73</v>
      </c>
      <c r="R373" s="4">
        <v>45600</v>
      </c>
      <c r="S373" s="6">
        <v>0.33935185185185185</v>
      </c>
      <c r="T373">
        <f t="shared" si="22"/>
        <v>16</v>
      </c>
      <c r="U373" t="str" cm="1">
        <f t="array" ref="U373">_xlfn.IFS(M373&lt;=34,"YOUNG",M373&lt;=54,"MIDDLE AGE",M373&gt;=55,"OLD")</f>
        <v>YOUNG</v>
      </c>
      <c r="V373" t="str">
        <f t="shared" si="23"/>
        <v>NORMAL</v>
      </c>
    </row>
    <row r="374" spans="1:22" x14ac:dyDescent="0.35">
      <c r="A374" t="s">
        <v>1371</v>
      </c>
      <c r="B374" t="s">
        <v>64</v>
      </c>
      <c r="C374">
        <v>157.37</v>
      </c>
      <c r="D374" s="1">
        <v>45245.704675925925</v>
      </c>
      <c r="E374" s="2">
        <f t="shared" si="20"/>
        <v>0.70467592592467554</v>
      </c>
      <c r="F374" s="3">
        <f t="shared" si="21"/>
        <v>45245</v>
      </c>
      <c r="G374" t="s">
        <v>46</v>
      </c>
      <c r="H374" t="s">
        <v>323</v>
      </c>
      <c r="I374" t="s">
        <v>746</v>
      </c>
      <c r="J374" t="s">
        <v>1372</v>
      </c>
      <c r="K374" t="s">
        <v>240</v>
      </c>
      <c r="L374" t="s">
        <v>69</v>
      </c>
      <c r="M374">
        <v>42</v>
      </c>
      <c r="N374" t="s">
        <v>23</v>
      </c>
      <c r="O374">
        <v>289</v>
      </c>
      <c r="P374">
        <v>1</v>
      </c>
      <c r="Q374">
        <v>13964.31</v>
      </c>
      <c r="R374" s="4">
        <v>45600</v>
      </c>
      <c r="S374" s="6">
        <v>0.34062500000000001</v>
      </c>
      <c r="T374">
        <f t="shared" si="22"/>
        <v>16</v>
      </c>
      <c r="U374" t="str" cm="1">
        <f t="array" ref="U374">_xlfn.IFS(M374&lt;=34,"YOUNG",M374&lt;=54,"MIDDLE AGE",M374&gt;=55,"OLD")</f>
        <v>MIDDLE AGE</v>
      </c>
      <c r="V374" t="str">
        <f t="shared" si="23"/>
        <v>NORMAL</v>
      </c>
    </row>
    <row r="375" spans="1:22" x14ac:dyDescent="0.35">
      <c r="A375" t="s">
        <v>1373</v>
      </c>
      <c r="B375" t="s">
        <v>102</v>
      </c>
      <c r="C375">
        <v>144.77000000000001</v>
      </c>
      <c r="D375" s="1">
        <v>45124.700266203705</v>
      </c>
      <c r="E375" s="2">
        <f t="shared" si="20"/>
        <v>0.70026620370481396</v>
      </c>
      <c r="F375" s="3">
        <f t="shared" si="21"/>
        <v>45124</v>
      </c>
      <c r="G375" t="s">
        <v>17</v>
      </c>
      <c r="H375" t="s">
        <v>86</v>
      </c>
      <c r="I375" t="s">
        <v>1374</v>
      </c>
      <c r="J375" t="s">
        <v>1375</v>
      </c>
      <c r="K375" t="s">
        <v>83</v>
      </c>
      <c r="L375" t="s">
        <v>36</v>
      </c>
      <c r="M375">
        <v>20</v>
      </c>
      <c r="N375" t="s">
        <v>37</v>
      </c>
      <c r="O375">
        <v>159</v>
      </c>
      <c r="P375">
        <v>1</v>
      </c>
      <c r="Q375">
        <v>867.32</v>
      </c>
      <c r="R375" s="4">
        <v>45600</v>
      </c>
      <c r="S375" s="6">
        <v>0.34090277777777778</v>
      </c>
      <c r="T375">
        <f t="shared" si="22"/>
        <v>16</v>
      </c>
      <c r="U375" t="str" cm="1">
        <f t="array" ref="U375">_xlfn.IFS(M375&lt;=34,"YOUNG",M375&lt;=54,"MIDDLE AGE",M375&gt;=55,"OLD")</f>
        <v>YOUNG</v>
      </c>
      <c r="V375" t="str">
        <f t="shared" si="23"/>
        <v>NORMAL</v>
      </c>
    </row>
    <row r="376" spans="1:22" x14ac:dyDescent="0.35">
      <c r="A376" t="s">
        <v>1376</v>
      </c>
      <c r="B376" t="s">
        <v>145</v>
      </c>
      <c r="C376">
        <v>643.22</v>
      </c>
      <c r="D376" s="1">
        <v>45049.711481481485</v>
      </c>
      <c r="E376" s="2">
        <f t="shared" si="20"/>
        <v>0.71148148148495238</v>
      </c>
      <c r="F376" s="3">
        <f t="shared" si="21"/>
        <v>45049</v>
      </c>
      <c r="G376" t="s">
        <v>17</v>
      </c>
      <c r="H376" t="s">
        <v>47</v>
      </c>
      <c r="I376" t="s">
        <v>906</v>
      </c>
      <c r="J376" t="s">
        <v>1377</v>
      </c>
      <c r="K376" t="s">
        <v>89</v>
      </c>
      <c r="L376" t="s">
        <v>22</v>
      </c>
      <c r="M376">
        <v>64</v>
      </c>
      <c r="N376" t="s">
        <v>23</v>
      </c>
      <c r="O376">
        <v>93</v>
      </c>
      <c r="P376">
        <v>1</v>
      </c>
      <c r="Q376">
        <v>1035.8599999999999</v>
      </c>
      <c r="R376" s="4">
        <v>45600</v>
      </c>
      <c r="S376" s="6">
        <v>0.33872685185185186</v>
      </c>
      <c r="T376">
        <f t="shared" si="22"/>
        <v>17</v>
      </c>
      <c r="U376" t="str" cm="1">
        <f t="array" ref="U376">_xlfn.IFS(M376&lt;=34,"YOUNG",M376&lt;=54,"MIDDLE AGE",M376&gt;=55,"OLD")</f>
        <v>OLD</v>
      </c>
      <c r="V376" t="str">
        <f t="shared" si="23"/>
        <v>NORMAL</v>
      </c>
    </row>
    <row r="377" spans="1:22" x14ac:dyDescent="0.35">
      <c r="A377" t="s">
        <v>1378</v>
      </c>
      <c r="B377" t="s">
        <v>1256</v>
      </c>
      <c r="C377">
        <v>1392.54</v>
      </c>
      <c r="D377" s="1">
        <v>45250.702245370368</v>
      </c>
      <c r="E377" s="2">
        <f t="shared" si="20"/>
        <v>0.70224537036847323</v>
      </c>
      <c r="F377" s="3">
        <f t="shared" si="21"/>
        <v>45250</v>
      </c>
      <c r="G377" t="s">
        <v>17</v>
      </c>
      <c r="H377" t="s">
        <v>506</v>
      </c>
      <c r="I377" t="s">
        <v>1379</v>
      </c>
      <c r="J377" t="s">
        <v>602</v>
      </c>
      <c r="K377" t="s">
        <v>759</v>
      </c>
      <c r="L377" t="s">
        <v>69</v>
      </c>
      <c r="M377">
        <v>41</v>
      </c>
      <c r="N377" t="s">
        <v>23</v>
      </c>
      <c r="O377">
        <v>297</v>
      </c>
      <c r="P377">
        <v>1</v>
      </c>
      <c r="Q377">
        <v>13347.69</v>
      </c>
      <c r="R377" s="4">
        <v>45600</v>
      </c>
      <c r="S377" s="6">
        <v>0.33975694444444443</v>
      </c>
      <c r="T377">
        <f t="shared" si="22"/>
        <v>16</v>
      </c>
      <c r="U377" t="str" cm="1">
        <f t="array" ref="U377">_xlfn.IFS(M377&lt;=34,"YOUNG",M377&lt;=54,"MIDDLE AGE",M377&gt;=55,"OLD")</f>
        <v>MIDDLE AGE</v>
      </c>
      <c r="V377" t="str">
        <f t="shared" si="23"/>
        <v>NORMAL</v>
      </c>
    </row>
    <row r="378" spans="1:22" x14ac:dyDescent="0.35">
      <c r="A378" t="s">
        <v>1380</v>
      </c>
      <c r="B378" t="s">
        <v>1381</v>
      </c>
      <c r="C378">
        <v>208.07</v>
      </c>
      <c r="D378" s="1">
        <v>45117.702222222222</v>
      </c>
      <c r="E378" s="2">
        <f t="shared" si="20"/>
        <v>0.70222222222218988</v>
      </c>
      <c r="F378" s="3">
        <f t="shared" si="21"/>
        <v>45117</v>
      </c>
      <c r="G378" t="s">
        <v>17</v>
      </c>
      <c r="H378" t="s">
        <v>53</v>
      </c>
      <c r="I378" t="s">
        <v>1173</v>
      </c>
      <c r="J378" t="s">
        <v>1363</v>
      </c>
      <c r="K378" t="s">
        <v>740</v>
      </c>
      <c r="L378" t="s">
        <v>36</v>
      </c>
      <c r="M378">
        <v>32</v>
      </c>
      <c r="N378" t="s">
        <v>23</v>
      </c>
      <c r="O378">
        <v>36</v>
      </c>
      <c r="P378">
        <v>1</v>
      </c>
      <c r="Q378">
        <v>8478.9</v>
      </c>
      <c r="R378" s="4">
        <v>45600</v>
      </c>
      <c r="S378" s="6">
        <v>0.3414699074074074</v>
      </c>
      <c r="T378">
        <f t="shared" si="22"/>
        <v>16</v>
      </c>
      <c r="U378" t="str" cm="1">
        <f t="array" ref="U378">_xlfn.IFS(M378&lt;=34,"YOUNG",M378&lt;=54,"MIDDLE AGE",M378&gt;=55,"OLD")</f>
        <v>YOUNG</v>
      </c>
      <c r="V378" t="str">
        <f t="shared" si="23"/>
        <v>NORMAL</v>
      </c>
    </row>
    <row r="379" spans="1:22" x14ac:dyDescent="0.35">
      <c r="A379" t="s">
        <v>1382</v>
      </c>
      <c r="B379" t="s">
        <v>1293</v>
      </c>
      <c r="C379">
        <v>94.3</v>
      </c>
      <c r="D379" s="1">
        <v>45285.745787037034</v>
      </c>
      <c r="E379" s="2">
        <f t="shared" si="20"/>
        <v>0.74578703703446081</v>
      </c>
      <c r="F379" s="3">
        <f t="shared" si="21"/>
        <v>45285</v>
      </c>
      <c r="G379" t="s">
        <v>17</v>
      </c>
      <c r="H379" t="s">
        <v>425</v>
      </c>
      <c r="I379" t="s">
        <v>1383</v>
      </c>
      <c r="J379" t="s">
        <v>739</v>
      </c>
      <c r="K379" t="s">
        <v>564</v>
      </c>
      <c r="L379" t="s">
        <v>69</v>
      </c>
      <c r="M379">
        <v>57</v>
      </c>
      <c r="N379" t="s">
        <v>23</v>
      </c>
      <c r="O379">
        <v>57</v>
      </c>
      <c r="P379">
        <v>1</v>
      </c>
      <c r="Q379">
        <v>11088.95</v>
      </c>
      <c r="R379" s="4">
        <v>45600</v>
      </c>
      <c r="S379" s="6">
        <v>0.33905092592592595</v>
      </c>
      <c r="T379">
        <f t="shared" si="22"/>
        <v>17</v>
      </c>
      <c r="U379" t="str" cm="1">
        <f t="array" ref="U379">_xlfn.IFS(M379&lt;=34,"YOUNG",M379&lt;=54,"MIDDLE AGE",M379&gt;=55,"OLD")</f>
        <v>OLD</v>
      </c>
      <c r="V379" t="str">
        <f t="shared" si="23"/>
        <v>NORMAL</v>
      </c>
    </row>
    <row r="380" spans="1:22" x14ac:dyDescent="0.35">
      <c r="A380" t="s">
        <v>1384</v>
      </c>
      <c r="B380" t="s">
        <v>1385</v>
      </c>
      <c r="C380">
        <v>295.5</v>
      </c>
      <c r="D380" s="1">
        <v>45253.75</v>
      </c>
      <c r="E380" s="2">
        <f t="shared" si="20"/>
        <v>0.75</v>
      </c>
      <c r="F380" s="3">
        <f t="shared" si="21"/>
        <v>45253</v>
      </c>
      <c r="G380" t="s">
        <v>17</v>
      </c>
      <c r="H380" t="s">
        <v>32</v>
      </c>
      <c r="I380" t="s">
        <v>1386</v>
      </c>
      <c r="J380" t="s">
        <v>1387</v>
      </c>
      <c r="K380" t="s">
        <v>312</v>
      </c>
      <c r="L380" t="s">
        <v>22</v>
      </c>
      <c r="M380">
        <v>59</v>
      </c>
      <c r="N380" t="s">
        <v>70</v>
      </c>
      <c r="O380">
        <v>36</v>
      </c>
      <c r="P380">
        <v>1</v>
      </c>
      <c r="Q380">
        <v>6280.66</v>
      </c>
      <c r="R380" s="4">
        <v>45600</v>
      </c>
      <c r="S380" s="6">
        <v>0.33828703703703705</v>
      </c>
      <c r="T380">
        <f t="shared" si="22"/>
        <v>18</v>
      </c>
      <c r="U380" t="str" cm="1">
        <f t="array" ref="U380">_xlfn.IFS(M380&lt;=34,"YOUNG",M380&lt;=54,"MIDDLE AGE",M380&gt;=55,"OLD")</f>
        <v>OLD</v>
      </c>
      <c r="V380" t="str">
        <f t="shared" si="23"/>
        <v>NORMAL</v>
      </c>
    </row>
    <row r="381" spans="1:22" x14ac:dyDescent="0.35">
      <c r="A381" t="s">
        <v>1388</v>
      </c>
      <c r="B381" t="s">
        <v>1169</v>
      </c>
      <c r="C381">
        <v>30.23</v>
      </c>
      <c r="D381" s="1">
        <v>45236.745428240742</v>
      </c>
      <c r="E381" s="2">
        <f t="shared" si="20"/>
        <v>0.74542824074160308</v>
      </c>
      <c r="F381" s="3">
        <f t="shared" si="21"/>
        <v>45236</v>
      </c>
      <c r="G381" t="s">
        <v>17</v>
      </c>
      <c r="H381" t="s">
        <v>119</v>
      </c>
      <c r="I381" t="s">
        <v>1389</v>
      </c>
      <c r="J381" t="s">
        <v>1094</v>
      </c>
      <c r="K381" t="s">
        <v>474</v>
      </c>
      <c r="L381" t="s">
        <v>22</v>
      </c>
      <c r="M381">
        <v>44</v>
      </c>
      <c r="N381" t="s">
        <v>23</v>
      </c>
      <c r="O381">
        <v>99</v>
      </c>
      <c r="P381">
        <v>1</v>
      </c>
      <c r="Q381">
        <v>481.13</v>
      </c>
      <c r="R381" s="4">
        <v>45600</v>
      </c>
      <c r="S381" s="6">
        <v>0.34173611111111113</v>
      </c>
      <c r="T381">
        <f t="shared" si="22"/>
        <v>17</v>
      </c>
      <c r="U381" t="str" cm="1">
        <f t="array" ref="U381">_xlfn.IFS(M381&lt;=34,"YOUNG",M381&lt;=54,"MIDDLE AGE",M381&gt;=55,"OLD")</f>
        <v>MIDDLE AGE</v>
      </c>
      <c r="V381" t="str">
        <f t="shared" si="23"/>
        <v>NORMAL</v>
      </c>
    </row>
    <row r="382" spans="1:22" x14ac:dyDescent="0.35">
      <c r="A382" t="s">
        <v>1390</v>
      </c>
      <c r="B382" t="s">
        <v>1391</v>
      </c>
      <c r="C382">
        <v>112.05</v>
      </c>
      <c r="D382" s="1">
        <v>45225.677916666667</v>
      </c>
      <c r="E382" s="2">
        <f t="shared" si="20"/>
        <v>0.67791666666744277</v>
      </c>
      <c r="F382" s="3">
        <f t="shared" si="21"/>
        <v>45225</v>
      </c>
      <c r="G382" t="s">
        <v>46</v>
      </c>
      <c r="H382" t="s">
        <v>425</v>
      </c>
      <c r="I382" t="s">
        <v>1392</v>
      </c>
      <c r="J382" t="s">
        <v>142</v>
      </c>
      <c r="K382" t="s">
        <v>303</v>
      </c>
      <c r="L382" t="s">
        <v>22</v>
      </c>
      <c r="M382">
        <v>26</v>
      </c>
      <c r="N382" t="s">
        <v>37</v>
      </c>
      <c r="O382">
        <v>159</v>
      </c>
      <c r="P382">
        <v>1</v>
      </c>
      <c r="Q382">
        <v>1122.8800000000001</v>
      </c>
      <c r="R382" s="4">
        <v>45600</v>
      </c>
      <c r="S382" s="6">
        <v>0.33924768518518517</v>
      </c>
      <c r="T382">
        <f t="shared" si="22"/>
        <v>16</v>
      </c>
      <c r="U382" t="str" cm="1">
        <f t="array" ref="U382">_xlfn.IFS(M382&lt;=34,"YOUNG",M382&lt;=54,"MIDDLE AGE",M382&gt;=55,"OLD")</f>
        <v>YOUNG</v>
      </c>
      <c r="V382" t="str">
        <f t="shared" si="23"/>
        <v>NORMAL</v>
      </c>
    </row>
    <row r="383" spans="1:22" x14ac:dyDescent="0.35">
      <c r="A383" t="s">
        <v>1393</v>
      </c>
      <c r="B383" t="s">
        <v>1394</v>
      </c>
      <c r="C383">
        <v>180.24</v>
      </c>
      <c r="D383" s="1">
        <v>45110.710972222223</v>
      </c>
      <c r="E383" s="2">
        <f t="shared" si="20"/>
        <v>0.710972222223063</v>
      </c>
      <c r="F383" s="3">
        <f t="shared" si="21"/>
        <v>45110</v>
      </c>
      <c r="G383" t="s">
        <v>17</v>
      </c>
      <c r="H383" t="s">
        <v>425</v>
      </c>
      <c r="I383" t="s">
        <v>1395</v>
      </c>
      <c r="J383" t="s">
        <v>1396</v>
      </c>
      <c r="K383" t="s">
        <v>634</v>
      </c>
      <c r="L383" t="s">
        <v>69</v>
      </c>
      <c r="M383">
        <v>58</v>
      </c>
      <c r="N383" t="s">
        <v>77</v>
      </c>
      <c r="O383">
        <v>144</v>
      </c>
      <c r="P383">
        <v>1</v>
      </c>
      <c r="Q383">
        <v>8431.23</v>
      </c>
      <c r="R383" s="4">
        <v>45600</v>
      </c>
      <c r="S383" s="6">
        <v>0.33978009259259262</v>
      </c>
      <c r="T383">
        <f t="shared" si="22"/>
        <v>17</v>
      </c>
      <c r="U383" t="str" cm="1">
        <f t="array" ref="U383">_xlfn.IFS(M383&lt;=34,"YOUNG",M383&lt;=54,"MIDDLE AGE",M383&gt;=55,"OLD")</f>
        <v>OLD</v>
      </c>
      <c r="V383" t="str">
        <f t="shared" si="23"/>
        <v>NORMAL</v>
      </c>
    </row>
    <row r="384" spans="1:22" x14ac:dyDescent="0.35">
      <c r="A384" t="s">
        <v>1397</v>
      </c>
      <c r="B384" t="s">
        <v>1398</v>
      </c>
      <c r="C384">
        <v>13.71</v>
      </c>
      <c r="D384" s="1">
        <v>45076.746087962965</v>
      </c>
      <c r="E384" s="2">
        <f t="shared" si="20"/>
        <v>0.74608796296524815</v>
      </c>
      <c r="F384" s="3">
        <f t="shared" si="21"/>
        <v>45076</v>
      </c>
      <c r="G384" t="s">
        <v>46</v>
      </c>
      <c r="H384" t="s">
        <v>114</v>
      </c>
      <c r="I384" t="s">
        <v>1177</v>
      </c>
      <c r="J384" t="s">
        <v>1399</v>
      </c>
      <c r="K384" t="s">
        <v>820</v>
      </c>
      <c r="L384" t="s">
        <v>36</v>
      </c>
      <c r="M384">
        <v>38</v>
      </c>
      <c r="N384" t="s">
        <v>77</v>
      </c>
      <c r="O384">
        <v>148</v>
      </c>
      <c r="P384">
        <v>1</v>
      </c>
      <c r="Q384">
        <v>8342.7900000000009</v>
      </c>
      <c r="R384" s="4">
        <v>45600</v>
      </c>
      <c r="S384" s="6">
        <v>0.3411689814814815</v>
      </c>
      <c r="T384">
        <f t="shared" si="22"/>
        <v>17</v>
      </c>
      <c r="U384" t="str" cm="1">
        <f t="array" ref="U384">_xlfn.IFS(M384&lt;=34,"YOUNG",M384&lt;=54,"MIDDLE AGE",M384&gt;=55,"OLD")</f>
        <v>MIDDLE AGE</v>
      </c>
      <c r="V384" t="str">
        <f t="shared" si="23"/>
        <v>NORMAL</v>
      </c>
    </row>
    <row r="385" spans="1:22" x14ac:dyDescent="0.35">
      <c r="A385" t="s">
        <v>1400</v>
      </c>
      <c r="B385" t="s">
        <v>1401</v>
      </c>
      <c r="C385">
        <v>96.54</v>
      </c>
      <c r="D385" s="1">
        <v>44998.726585648146</v>
      </c>
      <c r="E385" s="2">
        <f t="shared" si="20"/>
        <v>0.72658564814628335</v>
      </c>
      <c r="F385" s="3">
        <f t="shared" si="21"/>
        <v>44998</v>
      </c>
      <c r="G385" t="s">
        <v>17</v>
      </c>
      <c r="H385" t="s">
        <v>203</v>
      </c>
      <c r="I385" t="s">
        <v>1402</v>
      </c>
      <c r="J385" t="s">
        <v>1403</v>
      </c>
      <c r="K385" t="s">
        <v>68</v>
      </c>
      <c r="L385" t="s">
        <v>69</v>
      </c>
      <c r="M385">
        <v>58</v>
      </c>
      <c r="N385" t="s">
        <v>70</v>
      </c>
      <c r="O385">
        <v>95</v>
      </c>
      <c r="P385">
        <v>1</v>
      </c>
      <c r="Q385">
        <v>7182.22</v>
      </c>
      <c r="R385" s="4">
        <v>45600</v>
      </c>
      <c r="S385" s="6">
        <v>0.34063657407407405</v>
      </c>
      <c r="T385">
        <f t="shared" si="22"/>
        <v>17</v>
      </c>
      <c r="U385" t="str" cm="1">
        <f t="array" ref="U385">_xlfn.IFS(M385&lt;=34,"YOUNG",M385&lt;=54,"MIDDLE AGE",M385&gt;=55,"OLD")</f>
        <v>OLD</v>
      </c>
      <c r="V385" t="str">
        <f t="shared" si="23"/>
        <v>NORMAL</v>
      </c>
    </row>
    <row r="386" spans="1:22" x14ac:dyDescent="0.35">
      <c r="A386" t="s">
        <v>1404</v>
      </c>
      <c r="B386" t="s">
        <v>1405</v>
      </c>
      <c r="C386">
        <v>79.349999999999994</v>
      </c>
      <c r="D386" s="1">
        <v>45075.710092592592</v>
      </c>
      <c r="E386" s="2">
        <f t="shared" ref="E386:E449" si="24">D386-INT(D386)</f>
        <v>0.71009259259153623</v>
      </c>
      <c r="F386" s="3">
        <f t="shared" ref="F386:F449" si="25">INT(D386)</f>
        <v>45075</v>
      </c>
      <c r="G386" t="s">
        <v>17</v>
      </c>
      <c r="H386" t="s">
        <v>140</v>
      </c>
      <c r="I386" t="s">
        <v>1406</v>
      </c>
      <c r="J386" t="s">
        <v>911</v>
      </c>
      <c r="K386" t="s">
        <v>267</v>
      </c>
      <c r="L386" t="s">
        <v>36</v>
      </c>
      <c r="M386">
        <v>67</v>
      </c>
      <c r="N386" t="s">
        <v>70</v>
      </c>
      <c r="O386">
        <v>70</v>
      </c>
      <c r="P386">
        <v>1</v>
      </c>
      <c r="Q386">
        <v>1692.15</v>
      </c>
      <c r="R386" s="4">
        <v>45600</v>
      </c>
      <c r="S386" s="6">
        <v>0.34013888888888888</v>
      </c>
      <c r="T386">
        <f t="shared" si="22"/>
        <v>17</v>
      </c>
      <c r="U386" t="str" cm="1">
        <f t="array" ref="U386">_xlfn.IFS(M386&lt;=34,"YOUNG",M386&lt;=54,"MIDDLE AGE",M386&gt;=55,"OLD")</f>
        <v>OLD</v>
      </c>
      <c r="V386" t="str">
        <f t="shared" si="23"/>
        <v>NORMAL</v>
      </c>
    </row>
    <row r="387" spans="1:22" x14ac:dyDescent="0.35">
      <c r="A387" t="s">
        <v>1407</v>
      </c>
      <c r="B387" t="s">
        <v>322</v>
      </c>
      <c r="C387">
        <v>101.04</v>
      </c>
      <c r="D387" s="1">
        <v>45117.761192129627</v>
      </c>
      <c r="E387" s="2">
        <f t="shared" si="24"/>
        <v>0.76119212962657912</v>
      </c>
      <c r="F387" s="3">
        <f t="shared" si="25"/>
        <v>45117</v>
      </c>
      <c r="G387" t="s">
        <v>17</v>
      </c>
      <c r="H387" t="s">
        <v>237</v>
      </c>
      <c r="I387" t="s">
        <v>1408</v>
      </c>
      <c r="J387" t="s">
        <v>552</v>
      </c>
      <c r="K387" t="s">
        <v>652</v>
      </c>
      <c r="L387" t="s">
        <v>22</v>
      </c>
      <c r="M387">
        <v>27</v>
      </c>
      <c r="N387" t="s">
        <v>37</v>
      </c>
      <c r="O387">
        <v>160</v>
      </c>
      <c r="P387">
        <v>1</v>
      </c>
      <c r="Q387">
        <v>1695.57</v>
      </c>
      <c r="R387" s="4">
        <v>45600</v>
      </c>
      <c r="S387" s="6">
        <v>0.33799768518518519</v>
      </c>
      <c r="T387">
        <f t="shared" ref="T387:T450" si="26">HOUR(E387)</f>
        <v>18</v>
      </c>
      <c r="U387" t="str" cm="1">
        <f t="array" ref="U387">_xlfn.IFS(M387&lt;=34,"YOUNG",M387&lt;=54,"MIDDLE AGE",M387&gt;=55,"OLD")</f>
        <v>YOUNG</v>
      </c>
      <c r="V387" t="str">
        <f t="shared" ref="V387:V450" si="27">IF(P387&gt;1,"HIGH","NORMAL")</f>
        <v>NORMAL</v>
      </c>
    </row>
    <row r="388" spans="1:22" x14ac:dyDescent="0.35">
      <c r="A388" t="s">
        <v>1409</v>
      </c>
      <c r="B388" t="s">
        <v>1368</v>
      </c>
      <c r="C388">
        <v>74.42</v>
      </c>
      <c r="D388" s="1">
        <v>45253.724490740744</v>
      </c>
      <c r="E388" s="2">
        <f t="shared" si="24"/>
        <v>0.72449074074393138</v>
      </c>
      <c r="F388" s="3">
        <f t="shared" si="25"/>
        <v>45253</v>
      </c>
      <c r="G388" t="s">
        <v>17</v>
      </c>
      <c r="H388" t="s">
        <v>506</v>
      </c>
      <c r="I388" t="s">
        <v>1410</v>
      </c>
      <c r="J388" t="s">
        <v>1411</v>
      </c>
      <c r="K388" t="s">
        <v>362</v>
      </c>
      <c r="L388" t="s">
        <v>36</v>
      </c>
      <c r="M388">
        <v>49</v>
      </c>
      <c r="N388" t="s">
        <v>77</v>
      </c>
      <c r="O388">
        <v>68</v>
      </c>
      <c r="P388">
        <v>1</v>
      </c>
      <c r="Q388">
        <v>6264.21</v>
      </c>
      <c r="R388" s="4">
        <v>45600</v>
      </c>
      <c r="S388" s="6">
        <v>0.3412384259259259</v>
      </c>
      <c r="T388">
        <f t="shared" si="26"/>
        <v>17</v>
      </c>
      <c r="U388" t="str" cm="1">
        <f t="array" ref="U388">_xlfn.IFS(M388&lt;=34,"YOUNG",M388&lt;=54,"MIDDLE AGE",M388&gt;=55,"OLD")</f>
        <v>MIDDLE AGE</v>
      </c>
      <c r="V388" t="str">
        <f t="shared" si="27"/>
        <v>NORMAL</v>
      </c>
    </row>
    <row r="389" spans="1:22" x14ac:dyDescent="0.35">
      <c r="A389" t="s">
        <v>1412</v>
      </c>
      <c r="B389" t="s">
        <v>72</v>
      </c>
      <c r="C389">
        <v>39.659999999999997</v>
      </c>
      <c r="D389" s="1">
        <v>45064.678391203706</v>
      </c>
      <c r="E389" s="2">
        <f t="shared" si="24"/>
        <v>0.67839120370626915</v>
      </c>
      <c r="F389" s="3">
        <f t="shared" si="25"/>
        <v>45064</v>
      </c>
      <c r="G389" t="s">
        <v>17</v>
      </c>
      <c r="H389" t="s">
        <v>301</v>
      </c>
      <c r="I389" t="s">
        <v>1413</v>
      </c>
      <c r="J389" t="s">
        <v>1414</v>
      </c>
      <c r="K389" t="s">
        <v>414</v>
      </c>
      <c r="L389" t="s">
        <v>69</v>
      </c>
      <c r="M389">
        <v>52</v>
      </c>
      <c r="N389" t="s">
        <v>77</v>
      </c>
      <c r="O389">
        <v>169</v>
      </c>
      <c r="P389">
        <v>1</v>
      </c>
      <c r="Q389">
        <v>8497.34</v>
      </c>
      <c r="R389" s="4">
        <v>45600</v>
      </c>
      <c r="S389" s="6">
        <v>0.33842592592592591</v>
      </c>
      <c r="T389">
        <f t="shared" si="26"/>
        <v>16</v>
      </c>
      <c r="U389" t="str" cm="1">
        <f t="array" ref="U389">_xlfn.IFS(M389&lt;=34,"YOUNG",M389&lt;=54,"MIDDLE AGE",M389&gt;=55,"OLD")</f>
        <v>MIDDLE AGE</v>
      </c>
      <c r="V389" t="str">
        <f t="shared" si="27"/>
        <v>NORMAL</v>
      </c>
    </row>
    <row r="390" spans="1:22" x14ac:dyDescent="0.35">
      <c r="A390" t="s">
        <v>1415</v>
      </c>
      <c r="B390" t="s">
        <v>687</v>
      </c>
      <c r="C390">
        <v>99.36</v>
      </c>
      <c r="D390" s="1">
        <v>45055.70548611111</v>
      </c>
      <c r="E390" s="2">
        <f t="shared" si="24"/>
        <v>0.70548611111007631</v>
      </c>
      <c r="F390" s="3">
        <f t="shared" si="25"/>
        <v>45055</v>
      </c>
      <c r="G390" t="s">
        <v>17</v>
      </c>
      <c r="H390" t="s">
        <v>59</v>
      </c>
      <c r="I390" t="s">
        <v>489</v>
      </c>
      <c r="J390" t="s">
        <v>1416</v>
      </c>
      <c r="K390" t="s">
        <v>432</v>
      </c>
      <c r="L390" t="s">
        <v>22</v>
      </c>
      <c r="M390">
        <v>40</v>
      </c>
      <c r="N390" t="s">
        <v>23</v>
      </c>
      <c r="O390">
        <v>46</v>
      </c>
      <c r="P390">
        <v>1</v>
      </c>
      <c r="Q390">
        <v>1272.1199999999999</v>
      </c>
      <c r="R390" s="4">
        <v>45600</v>
      </c>
      <c r="S390" s="6">
        <v>0.33975694444444443</v>
      </c>
      <c r="T390">
        <f t="shared" si="26"/>
        <v>16</v>
      </c>
      <c r="U390" t="str" cm="1">
        <f t="array" ref="U390">_xlfn.IFS(M390&lt;=34,"YOUNG",M390&lt;=54,"MIDDLE AGE",M390&gt;=55,"OLD")</f>
        <v>MIDDLE AGE</v>
      </c>
      <c r="V390" t="str">
        <f t="shared" si="27"/>
        <v>NORMAL</v>
      </c>
    </row>
    <row r="391" spans="1:22" x14ac:dyDescent="0.35">
      <c r="A391" t="s">
        <v>1417</v>
      </c>
      <c r="B391" t="s">
        <v>1418</v>
      </c>
      <c r="C391">
        <v>123.85</v>
      </c>
      <c r="D391" s="1">
        <v>45163.782962962963</v>
      </c>
      <c r="E391" s="2">
        <f t="shared" si="24"/>
        <v>0.78296296296321088</v>
      </c>
      <c r="F391" s="3">
        <f t="shared" si="25"/>
        <v>45163</v>
      </c>
      <c r="G391" t="s">
        <v>17</v>
      </c>
      <c r="H391" t="s">
        <v>146</v>
      </c>
      <c r="I391" t="s">
        <v>1419</v>
      </c>
      <c r="J391" t="s">
        <v>1420</v>
      </c>
      <c r="K391" t="s">
        <v>478</v>
      </c>
      <c r="L391" t="s">
        <v>36</v>
      </c>
      <c r="M391">
        <v>56</v>
      </c>
      <c r="N391" t="s">
        <v>77</v>
      </c>
      <c r="O391">
        <v>244</v>
      </c>
      <c r="P391">
        <v>1</v>
      </c>
      <c r="Q391">
        <v>3959.62</v>
      </c>
      <c r="R391" s="4">
        <v>45600</v>
      </c>
      <c r="S391" s="6">
        <v>0.33791666666666664</v>
      </c>
      <c r="T391">
        <f t="shared" si="26"/>
        <v>18</v>
      </c>
      <c r="U391" t="str" cm="1">
        <f t="array" ref="U391">_xlfn.IFS(M391&lt;=34,"YOUNG",M391&lt;=54,"MIDDLE AGE",M391&gt;=55,"OLD")</f>
        <v>OLD</v>
      </c>
      <c r="V391" t="str">
        <f t="shared" si="27"/>
        <v>NORMAL</v>
      </c>
    </row>
    <row r="392" spans="1:22" x14ac:dyDescent="0.35">
      <c r="A392" t="s">
        <v>1421</v>
      </c>
      <c r="B392" t="s">
        <v>1422</v>
      </c>
      <c r="C392">
        <v>426.93</v>
      </c>
      <c r="D392" s="1">
        <v>45285.711805555555</v>
      </c>
      <c r="E392" s="2">
        <f t="shared" si="24"/>
        <v>0.71180555555474712</v>
      </c>
      <c r="F392" s="3">
        <f t="shared" si="25"/>
        <v>45285</v>
      </c>
      <c r="G392" t="s">
        <v>17</v>
      </c>
      <c r="H392" t="s">
        <v>296</v>
      </c>
      <c r="I392" t="s">
        <v>865</v>
      </c>
      <c r="J392" t="s">
        <v>1423</v>
      </c>
      <c r="K392" t="s">
        <v>56</v>
      </c>
      <c r="L392" t="s">
        <v>22</v>
      </c>
      <c r="M392">
        <v>19</v>
      </c>
      <c r="N392" t="s">
        <v>37</v>
      </c>
      <c r="O392">
        <v>248</v>
      </c>
      <c r="P392">
        <v>1</v>
      </c>
      <c r="Q392">
        <v>476.19</v>
      </c>
      <c r="R392" s="4">
        <v>45600</v>
      </c>
      <c r="S392" s="6">
        <v>0.3397222222222222</v>
      </c>
      <c r="T392">
        <f t="shared" si="26"/>
        <v>17</v>
      </c>
      <c r="U392" t="str" cm="1">
        <f t="array" ref="U392">_xlfn.IFS(M392&lt;=34,"YOUNG",M392&lt;=54,"MIDDLE AGE",M392&gt;=55,"OLD")</f>
        <v>YOUNG</v>
      </c>
      <c r="V392" t="str">
        <f t="shared" si="27"/>
        <v>NORMAL</v>
      </c>
    </row>
    <row r="393" spans="1:22" x14ac:dyDescent="0.35">
      <c r="A393" t="s">
        <v>1424</v>
      </c>
      <c r="B393" t="s">
        <v>1425</v>
      </c>
      <c r="C393">
        <v>133.72999999999999</v>
      </c>
      <c r="D393" s="1">
        <v>45062.68173611111</v>
      </c>
      <c r="E393" s="2">
        <f t="shared" si="24"/>
        <v>0.68173611110978527</v>
      </c>
      <c r="F393" s="3">
        <f t="shared" si="25"/>
        <v>45062</v>
      </c>
      <c r="G393" t="s">
        <v>46</v>
      </c>
      <c r="H393" t="s">
        <v>223</v>
      </c>
      <c r="I393" t="s">
        <v>1426</v>
      </c>
      <c r="J393" t="s">
        <v>1427</v>
      </c>
      <c r="K393" t="s">
        <v>353</v>
      </c>
      <c r="L393" t="s">
        <v>36</v>
      </c>
      <c r="M393">
        <v>25</v>
      </c>
      <c r="N393" t="s">
        <v>37</v>
      </c>
      <c r="O393">
        <v>123</v>
      </c>
      <c r="P393">
        <v>1</v>
      </c>
      <c r="Q393">
        <v>1872.22</v>
      </c>
      <c r="R393" s="4">
        <v>45600</v>
      </c>
      <c r="S393" s="6">
        <v>0.33983796296296298</v>
      </c>
      <c r="T393">
        <f t="shared" si="26"/>
        <v>16</v>
      </c>
      <c r="U393" t="str" cm="1">
        <f t="array" ref="U393">_xlfn.IFS(M393&lt;=34,"YOUNG",M393&lt;=54,"MIDDLE AGE",M393&gt;=55,"OLD")</f>
        <v>YOUNG</v>
      </c>
      <c r="V393" t="str">
        <f t="shared" si="27"/>
        <v>NORMAL</v>
      </c>
    </row>
    <row r="394" spans="1:22" x14ac:dyDescent="0.35">
      <c r="A394" t="s">
        <v>1428</v>
      </c>
      <c r="B394" t="s">
        <v>1381</v>
      </c>
      <c r="C394">
        <v>222.39</v>
      </c>
      <c r="D394" s="1">
        <v>45161.689571759256</v>
      </c>
      <c r="E394" s="2">
        <f t="shared" si="24"/>
        <v>0.68957175925606862</v>
      </c>
      <c r="F394" s="3">
        <f t="shared" si="25"/>
        <v>45161</v>
      </c>
      <c r="G394" t="s">
        <v>17</v>
      </c>
      <c r="H394" t="s">
        <v>301</v>
      </c>
      <c r="I394" t="s">
        <v>1429</v>
      </c>
      <c r="J394" t="s">
        <v>1430</v>
      </c>
      <c r="K394" t="s">
        <v>769</v>
      </c>
      <c r="L394" t="s">
        <v>36</v>
      </c>
      <c r="M394">
        <v>49</v>
      </c>
      <c r="N394" t="s">
        <v>77</v>
      </c>
      <c r="O394">
        <v>73</v>
      </c>
      <c r="P394">
        <v>1</v>
      </c>
      <c r="Q394">
        <v>3117.39</v>
      </c>
      <c r="R394" s="4">
        <v>45600</v>
      </c>
      <c r="S394" s="6">
        <v>0.34087962962962964</v>
      </c>
      <c r="T394">
        <f t="shared" si="26"/>
        <v>16</v>
      </c>
      <c r="U394" t="str" cm="1">
        <f t="array" ref="U394">_xlfn.IFS(M394&lt;=34,"YOUNG",M394&lt;=54,"MIDDLE AGE",M394&gt;=55,"OLD")</f>
        <v>MIDDLE AGE</v>
      </c>
      <c r="V394" t="str">
        <f t="shared" si="27"/>
        <v>NORMAL</v>
      </c>
    </row>
    <row r="395" spans="1:22" x14ac:dyDescent="0.35">
      <c r="A395" t="s">
        <v>1431</v>
      </c>
      <c r="B395" t="s">
        <v>396</v>
      </c>
      <c r="C395">
        <v>215.94</v>
      </c>
      <c r="D395" s="1">
        <v>45082.671331018515</v>
      </c>
      <c r="E395" s="2">
        <f t="shared" si="24"/>
        <v>0.67133101851504762</v>
      </c>
      <c r="F395" s="3">
        <f t="shared" si="25"/>
        <v>45082</v>
      </c>
      <c r="G395" t="s">
        <v>46</v>
      </c>
      <c r="H395" t="s">
        <v>301</v>
      </c>
      <c r="I395" t="s">
        <v>596</v>
      </c>
      <c r="J395" t="s">
        <v>121</v>
      </c>
      <c r="K395" t="s">
        <v>1037</v>
      </c>
      <c r="L395" t="s">
        <v>36</v>
      </c>
      <c r="M395">
        <v>22</v>
      </c>
      <c r="N395" t="s">
        <v>37</v>
      </c>
      <c r="O395">
        <v>140</v>
      </c>
      <c r="P395">
        <v>1</v>
      </c>
      <c r="Q395">
        <v>1841.69</v>
      </c>
      <c r="R395" s="4">
        <v>45600</v>
      </c>
      <c r="S395" s="6">
        <v>0.34079861111111109</v>
      </c>
      <c r="T395">
        <f t="shared" si="26"/>
        <v>16</v>
      </c>
      <c r="U395" t="str" cm="1">
        <f t="array" ref="U395">_xlfn.IFS(M395&lt;=34,"YOUNG",M395&lt;=54,"MIDDLE AGE",M395&gt;=55,"OLD")</f>
        <v>YOUNG</v>
      </c>
      <c r="V395" t="str">
        <f t="shared" si="27"/>
        <v>NORMAL</v>
      </c>
    </row>
    <row r="396" spans="1:22" x14ac:dyDescent="0.35">
      <c r="A396" t="s">
        <v>1432</v>
      </c>
      <c r="B396" t="s">
        <v>1433</v>
      </c>
      <c r="C396">
        <v>6.3</v>
      </c>
      <c r="D396" s="1">
        <v>45274.786736111113</v>
      </c>
      <c r="E396" s="2">
        <f t="shared" si="24"/>
        <v>0.78673611111298669</v>
      </c>
      <c r="F396" s="3">
        <f t="shared" si="25"/>
        <v>45274</v>
      </c>
      <c r="G396" t="s">
        <v>17</v>
      </c>
      <c r="H396" t="s">
        <v>125</v>
      </c>
      <c r="I396" t="s">
        <v>1434</v>
      </c>
      <c r="J396" t="s">
        <v>699</v>
      </c>
      <c r="K396" t="s">
        <v>111</v>
      </c>
      <c r="L396" t="s">
        <v>69</v>
      </c>
      <c r="M396">
        <v>80</v>
      </c>
      <c r="N396" t="s">
        <v>70</v>
      </c>
      <c r="O396">
        <v>283</v>
      </c>
      <c r="P396">
        <v>5</v>
      </c>
      <c r="Q396">
        <v>7697.68</v>
      </c>
      <c r="R396" s="4">
        <v>45600</v>
      </c>
      <c r="S396" s="6">
        <v>0.34181712962962962</v>
      </c>
      <c r="T396">
        <f t="shared" si="26"/>
        <v>18</v>
      </c>
      <c r="U396" t="str" cm="1">
        <f t="array" ref="U396">_xlfn.IFS(M396&lt;=34,"YOUNG",M396&lt;=54,"MIDDLE AGE",M396&gt;=55,"OLD")</f>
        <v>OLD</v>
      </c>
      <c r="V396" t="str">
        <f t="shared" si="27"/>
        <v>HIGH</v>
      </c>
    </row>
    <row r="397" spans="1:22" x14ac:dyDescent="0.35">
      <c r="A397" t="s">
        <v>1435</v>
      </c>
      <c r="B397" t="s">
        <v>45</v>
      </c>
      <c r="C397">
        <v>826.23</v>
      </c>
      <c r="D397" s="1">
        <v>45077.684247685182</v>
      </c>
      <c r="E397" s="2">
        <f t="shared" si="24"/>
        <v>0.68424768518161727</v>
      </c>
      <c r="F397" s="3">
        <f t="shared" si="25"/>
        <v>45077</v>
      </c>
      <c r="G397" t="s">
        <v>17</v>
      </c>
      <c r="H397" t="s">
        <v>521</v>
      </c>
      <c r="I397" t="s">
        <v>1089</v>
      </c>
      <c r="J397" t="s">
        <v>1436</v>
      </c>
      <c r="K397" t="s">
        <v>564</v>
      </c>
      <c r="L397" t="s">
        <v>22</v>
      </c>
      <c r="M397">
        <v>29</v>
      </c>
      <c r="N397" t="s">
        <v>23</v>
      </c>
      <c r="O397">
        <v>209</v>
      </c>
      <c r="P397">
        <v>1</v>
      </c>
      <c r="Q397">
        <v>7580.59</v>
      </c>
      <c r="R397" s="4">
        <v>45600</v>
      </c>
      <c r="S397" s="6">
        <v>0.33856481481481482</v>
      </c>
      <c r="T397">
        <f t="shared" si="26"/>
        <v>16</v>
      </c>
      <c r="U397" t="str" cm="1">
        <f t="array" ref="U397">_xlfn.IFS(M397&lt;=34,"YOUNG",M397&lt;=54,"MIDDLE AGE",M397&gt;=55,"OLD")</f>
        <v>YOUNG</v>
      </c>
      <c r="V397" t="str">
        <f t="shared" si="27"/>
        <v>NORMAL</v>
      </c>
    </row>
    <row r="398" spans="1:22" x14ac:dyDescent="0.35">
      <c r="A398" t="s">
        <v>1437</v>
      </c>
      <c r="B398" t="s">
        <v>1438</v>
      </c>
      <c r="C398">
        <v>416.37</v>
      </c>
      <c r="D398" s="1">
        <v>45210.676712962966</v>
      </c>
      <c r="E398" s="2">
        <f t="shared" si="24"/>
        <v>0.67671296296612127</v>
      </c>
      <c r="F398" s="3">
        <f t="shared" si="25"/>
        <v>45210</v>
      </c>
      <c r="G398" t="s">
        <v>17</v>
      </c>
      <c r="H398" t="s">
        <v>125</v>
      </c>
      <c r="I398" t="s">
        <v>1334</v>
      </c>
      <c r="J398" t="s">
        <v>844</v>
      </c>
      <c r="K398" t="s">
        <v>21</v>
      </c>
      <c r="L398" t="s">
        <v>36</v>
      </c>
      <c r="M398">
        <v>35</v>
      </c>
      <c r="N398" t="s">
        <v>77</v>
      </c>
      <c r="O398">
        <v>67</v>
      </c>
      <c r="P398">
        <v>1</v>
      </c>
      <c r="Q398">
        <v>7936.91</v>
      </c>
      <c r="R398" s="4">
        <v>45600</v>
      </c>
      <c r="S398" s="6">
        <v>0.33946759259259257</v>
      </c>
      <c r="T398">
        <f t="shared" si="26"/>
        <v>16</v>
      </c>
      <c r="U398" t="str" cm="1">
        <f t="array" ref="U398">_xlfn.IFS(M398&lt;=34,"YOUNG",M398&lt;=54,"MIDDLE AGE",M398&gt;=55,"OLD")</f>
        <v>MIDDLE AGE</v>
      </c>
      <c r="V398" t="str">
        <f t="shared" si="27"/>
        <v>NORMAL</v>
      </c>
    </row>
    <row r="399" spans="1:22" x14ac:dyDescent="0.35">
      <c r="A399" t="s">
        <v>1439</v>
      </c>
      <c r="B399" t="s">
        <v>1440</v>
      </c>
      <c r="C399">
        <v>131.46</v>
      </c>
      <c r="D399" s="1">
        <v>45061.692499999997</v>
      </c>
      <c r="E399" s="2">
        <f t="shared" si="24"/>
        <v>0.69249999999738066</v>
      </c>
      <c r="F399" s="3">
        <f t="shared" si="25"/>
        <v>45061</v>
      </c>
      <c r="G399" t="s">
        <v>17</v>
      </c>
      <c r="H399" t="s">
        <v>249</v>
      </c>
      <c r="I399" t="s">
        <v>1441</v>
      </c>
      <c r="J399" t="s">
        <v>1119</v>
      </c>
      <c r="K399" t="s">
        <v>598</v>
      </c>
      <c r="L399" t="s">
        <v>69</v>
      </c>
      <c r="M399">
        <v>67</v>
      </c>
      <c r="N399" t="s">
        <v>70</v>
      </c>
      <c r="O399">
        <v>258</v>
      </c>
      <c r="P399">
        <v>1</v>
      </c>
      <c r="Q399">
        <v>6642.33</v>
      </c>
      <c r="R399" s="4">
        <v>45600</v>
      </c>
      <c r="S399" s="6">
        <v>0.34131944444444445</v>
      </c>
      <c r="T399">
        <f t="shared" si="26"/>
        <v>16</v>
      </c>
      <c r="U399" t="str" cm="1">
        <f t="array" ref="U399">_xlfn.IFS(M399&lt;=34,"YOUNG",M399&lt;=54,"MIDDLE AGE",M399&gt;=55,"OLD")</f>
        <v>OLD</v>
      </c>
      <c r="V399" t="str">
        <f t="shared" si="27"/>
        <v>NORMAL</v>
      </c>
    </row>
    <row r="400" spans="1:22" x14ac:dyDescent="0.35">
      <c r="A400" t="s">
        <v>1442</v>
      </c>
      <c r="B400" t="s">
        <v>1179</v>
      </c>
      <c r="C400">
        <v>202.86</v>
      </c>
      <c r="D400" s="1">
        <v>45068.725532407407</v>
      </c>
      <c r="E400" s="2">
        <f t="shared" si="24"/>
        <v>0.72553240740671754</v>
      </c>
      <c r="F400" s="3">
        <f t="shared" si="25"/>
        <v>45068</v>
      </c>
      <c r="G400" t="s">
        <v>46</v>
      </c>
      <c r="H400" t="s">
        <v>92</v>
      </c>
      <c r="I400" t="s">
        <v>93</v>
      </c>
      <c r="J400" t="s">
        <v>1443</v>
      </c>
      <c r="K400" t="s">
        <v>769</v>
      </c>
      <c r="L400" t="s">
        <v>69</v>
      </c>
      <c r="M400">
        <v>61</v>
      </c>
      <c r="N400" t="s">
        <v>23</v>
      </c>
      <c r="O400">
        <v>149</v>
      </c>
      <c r="P400">
        <v>1</v>
      </c>
      <c r="Q400">
        <v>7642.25</v>
      </c>
      <c r="R400" s="4">
        <v>45600</v>
      </c>
      <c r="S400" s="6">
        <v>0.33951388888888889</v>
      </c>
      <c r="T400">
        <f t="shared" si="26"/>
        <v>17</v>
      </c>
      <c r="U400" t="str" cm="1">
        <f t="array" ref="U400">_xlfn.IFS(M400&lt;=34,"YOUNG",M400&lt;=54,"MIDDLE AGE",M400&gt;=55,"OLD")</f>
        <v>OLD</v>
      </c>
      <c r="V400" t="str">
        <f t="shared" si="27"/>
        <v>NORMAL</v>
      </c>
    </row>
    <row r="401" spans="1:22" x14ac:dyDescent="0.35">
      <c r="A401" t="s">
        <v>1444</v>
      </c>
      <c r="B401" t="s">
        <v>134</v>
      </c>
      <c r="C401">
        <v>268.39</v>
      </c>
      <c r="D401" s="1">
        <v>45103.767523148148</v>
      </c>
      <c r="E401" s="2">
        <f t="shared" si="24"/>
        <v>0.76752314814802958</v>
      </c>
      <c r="F401" s="3">
        <f t="shared" si="25"/>
        <v>45103</v>
      </c>
      <c r="G401" t="s">
        <v>17</v>
      </c>
      <c r="H401" t="s">
        <v>172</v>
      </c>
      <c r="I401" t="s">
        <v>618</v>
      </c>
      <c r="J401" t="s">
        <v>49</v>
      </c>
      <c r="K401" t="s">
        <v>111</v>
      </c>
      <c r="L401" t="s">
        <v>22</v>
      </c>
      <c r="M401">
        <v>26</v>
      </c>
      <c r="N401" t="s">
        <v>37</v>
      </c>
      <c r="O401">
        <v>171</v>
      </c>
      <c r="P401">
        <v>1</v>
      </c>
      <c r="Q401">
        <v>136.74</v>
      </c>
      <c r="R401" s="4">
        <v>45600</v>
      </c>
      <c r="S401" s="6">
        <v>0.33796296296296297</v>
      </c>
      <c r="T401">
        <f t="shared" si="26"/>
        <v>18</v>
      </c>
      <c r="U401" t="str" cm="1">
        <f t="array" ref="U401">_xlfn.IFS(M401&lt;=34,"YOUNG",M401&lt;=54,"MIDDLE AGE",M401&gt;=55,"OLD")</f>
        <v>YOUNG</v>
      </c>
      <c r="V401" t="str">
        <f t="shared" si="27"/>
        <v>NORMAL</v>
      </c>
    </row>
    <row r="402" spans="1:22" x14ac:dyDescent="0.35">
      <c r="A402" t="s">
        <v>1445</v>
      </c>
      <c r="B402" t="s">
        <v>1446</v>
      </c>
      <c r="C402">
        <v>194.85</v>
      </c>
      <c r="D402" s="1">
        <v>45181.701631944445</v>
      </c>
      <c r="E402" s="2">
        <f t="shared" si="24"/>
        <v>0.70163194444467081</v>
      </c>
      <c r="F402" s="3">
        <f t="shared" si="25"/>
        <v>45181</v>
      </c>
      <c r="G402" t="s">
        <v>17</v>
      </c>
      <c r="H402" t="s">
        <v>392</v>
      </c>
      <c r="I402" t="s">
        <v>1447</v>
      </c>
      <c r="J402" t="s">
        <v>1448</v>
      </c>
      <c r="K402" t="s">
        <v>1287</v>
      </c>
      <c r="L402" t="s">
        <v>36</v>
      </c>
      <c r="M402">
        <v>23</v>
      </c>
      <c r="N402" t="s">
        <v>37</v>
      </c>
      <c r="O402">
        <v>130</v>
      </c>
      <c r="P402">
        <v>4</v>
      </c>
      <c r="Q402">
        <v>319.83999999999997</v>
      </c>
      <c r="R402" s="4">
        <v>45600</v>
      </c>
      <c r="S402" s="6">
        <v>0.33890046296296295</v>
      </c>
      <c r="T402">
        <f t="shared" si="26"/>
        <v>16</v>
      </c>
      <c r="U402" t="str" cm="1">
        <f t="array" ref="U402">_xlfn.IFS(M402&lt;=34,"YOUNG",M402&lt;=54,"MIDDLE AGE",M402&gt;=55,"OLD")</f>
        <v>YOUNG</v>
      </c>
      <c r="V402" t="str">
        <f t="shared" si="27"/>
        <v>HIGH</v>
      </c>
    </row>
    <row r="403" spans="1:22" x14ac:dyDescent="0.35">
      <c r="A403" t="s">
        <v>1449</v>
      </c>
      <c r="B403" t="s">
        <v>16</v>
      </c>
      <c r="C403">
        <v>137.35</v>
      </c>
      <c r="D403" s="1">
        <v>45014.758530092593</v>
      </c>
      <c r="E403" s="2">
        <f t="shared" si="24"/>
        <v>0.75853009259299142</v>
      </c>
      <c r="F403" s="3">
        <f t="shared" si="25"/>
        <v>45014</v>
      </c>
      <c r="G403" t="s">
        <v>46</v>
      </c>
      <c r="H403" t="s">
        <v>285</v>
      </c>
      <c r="I403" t="s">
        <v>27</v>
      </c>
      <c r="J403" t="s">
        <v>1450</v>
      </c>
      <c r="K403" t="s">
        <v>165</v>
      </c>
      <c r="L403" t="s">
        <v>36</v>
      </c>
      <c r="M403">
        <v>40</v>
      </c>
      <c r="N403" t="s">
        <v>23</v>
      </c>
      <c r="O403">
        <v>220</v>
      </c>
      <c r="P403">
        <v>1</v>
      </c>
      <c r="Q403">
        <v>12662.66</v>
      </c>
      <c r="R403" s="4">
        <v>45600</v>
      </c>
      <c r="S403" s="6">
        <v>0.34054398148148146</v>
      </c>
      <c r="T403">
        <f t="shared" si="26"/>
        <v>18</v>
      </c>
      <c r="U403" t="str" cm="1">
        <f t="array" ref="U403">_xlfn.IFS(M403&lt;=34,"YOUNG",M403&lt;=54,"MIDDLE AGE",M403&gt;=55,"OLD")</f>
        <v>MIDDLE AGE</v>
      </c>
      <c r="V403" t="str">
        <f t="shared" si="27"/>
        <v>NORMAL</v>
      </c>
    </row>
    <row r="404" spans="1:22" x14ac:dyDescent="0.35">
      <c r="A404" t="s">
        <v>1451</v>
      </c>
      <c r="B404" t="s">
        <v>1452</v>
      </c>
      <c r="C404">
        <v>712.75</v>
      </c>
      <c r="D404" s="1">
        <v>45072.713842592595</v>
      </c>
      <c r="E404" s="2">
        <f t="shared" si="24"/>
        <v>0.71384259259502869</v>
      </c>
      <c r="F404" s="3">
        <f t="shared" si="25"/>
        <v>45072</v>
      </c>
      <c r="G404" t="s">
        <v>17</v>
      </c>
      <c r="H404" t="s">
        <v>243</v>
      </c>
      <c r="I404" t="s">
        <v>1453</v>
      </c>
      <c r="J404" t="s">
        <v>1375</v>
      </c>
      <c r="K404" t="s">
        <v>226</v>
      </c>
      <c r="L404" t="s">
        <v>69</v>
      </c>
      <c r="M404">
        <v>44</v>
      </c>
      <c r="N404" t="s">
        <v>23</v>
      </c>
      <c r="O404">
        <v>25</v>
      </c>
      <c r="P404">
        <v>1</v>
      </c>
      <c r="Q404">
        <v>8126.06</v>
      </c>
      <c r="R404" s="4">
        <v>45600</v>
      </c>
      <c r="S404" s="6">
        <v>0.3401851851851852</v>
      </c>
      <c r="T404">
        <f t="shared" si="26"/>
        <v>17</v>
      </c>
      <c r="U404" t="str" cm="1">
        <f t="array" ref="U404">_xlfn.IFS(M404&lt;=34,"YOUNG",M404&lt;=54,"MIDDLE AGE",M404&gt;=55,"OLD")</f>
        <v>MIDDLE AGE</v>
      </c>
      <c r="V404" t="str">
        <f t="shared" si="27"/>
        <v>NORMAL</v>
      </c>
    </row>
    <row r="405" spans="1:22" x14ac:dyDescent="0.35">
      <c r="A405" t="s">
        <v>1454</v>
      </c>
      <c r="B405" t="s">
        <v>876</v>
      </c>
      <c r="C405">
        <v>353.82</v>
      </c>
      <c r="D405" s="1">
        <v>45026.748599537037</v>
      </c>
      <c r="E405" s="2">
        <f t="shared" si="24"/>
        <v>0.74859953703708015</v>
      </c>
      <c r="F405" s="3">
        <f t="shared" si="25"/>
        <v>45026</v>
      </c>
      <c r="G405" t="s">
        <v>17</v>
      </c>
      <c r="H405" t="s">
        <v>178</v>
      </c>
      <c r="I405" t="s">
        <v>1184</v>
      </c>
      <c r="J405" t="s">
        <v>1455</v>
      </c>
      <c r="K405" t="s">
        <v>76</v>
      </c>
      <c r="L405" t="s">
        <v>22</v>
      </c>
      <c r="M405">
        <v>42</v>
      </c>
      <c r="N405" t="s">
        <v>23</v>
      </c>
      <c r="O405">
        <v>143</v>
      </c>
      <c r="P405">
        <v>1</v>
      </c>
      <c r="Q405">
        <v>705.75</v>
      </c>
      <c r="R405" s="4">
        <v>45600</v>
      </c>
      <c r="S405" s="6">
        <v>0.33796296296296297</v>
      </c>
      <c r="T405">
        <f t="shared" si="26"/>
        <v>17</v>
      </c>
      <c r="U405" t="str" cm="1">
        <f t="array" ref="U405">_xlfn.IFS(M405&lt;=34,"YOUNG",M405&lt;=54,"MIDDLE AGE",M405&gt;=55,"OLD")</f>
        <v>MIDDLE AGE</v>
      </c>
      <c r="V405" t="str">
        <f t="shared" si="27"/>
        <v>NORMAL</v>
      </c>
    </row>
    <row r="406" spans="1:22" x14ac:dyDescent="0.35">
      <c r="A406" t="s">
        <v>1456</v>
      </c>
      <c r="B406" t="s">
        <v>1457</v>
      </c>
      <c r="C406">
        <v>507.25</v>
      </c>
      <c r="D406" s="1">
        <v>45229.723356481481</v>
      </c>
      <c r="E406" s="2">
        <f t="shared" si="24"/>
        <v>0.72335648148145992</v>
      </c>
      <c r="F406" s="3">
        <f t="shared" si="25"/>
        <v>45229</v>
      </c>
      <c r="G406" t="s">
        <v>17</v>
      </c>
      <c r="H406" t="s">
        <v>453</v>
      </c>
      <c r="I406" t="s">
        <v>1458</v>
      </c>
      <c r="J406" t="s">
        <v>1459</v>
      </c>
      <c r="K406" t="s">
        <v>370</v>
      </c>
      <c r="L406" t="s">
        <v>69</v>
      </c>
      <c r="M406">
        <v>73</v>
      </c>
      <c r="N406" t="s">
        <v>70</v>
      </c>
      <c r="O406">
        <v>143</v>
      </c>
      <c r="P406">
        <v>1</v>
      </c>
      <c r="Q406">
        <v>5331.57</v>
      </c>
      <c r="R406" s="4">
        <v>45600</v>
      </c>
      <c r="S406" s="6">
        <v>0.34108796296296295</v>
      </c>
      <c r="T406">
        <f t="shared" si="26"/>
        <v>17</v>
      </c>
      <c r="U406" t="str" cm="1">
        <f t="array" ref="U406">_xlfn.IFS(M406&lt;=34,"YOUNG",M406&lt;=54,"MIDDLE AGE",M406&gt;=55,"OLD")</f>
        <v>OLD</v>
      </c>
      <c r="V406" t="str">
        <f t="shared" si="27"/>
        <v>NORMAL</v>
      </c>
    </row>
    <row r="407" spans="1:22" x14ac:dyDescent="0.35">
      <c r="A407" t="s">
        <v>1460</v>
      </c>
      <c r="B407" t="s">
        <v>384</v>
      </c>
      <c r="C407">
        <v>212.74</v>
      </c>
      <c r="D407" s="1">
        <v>45274.787199074075</v>
      </c>
      <c r="E407" s="2">
        <f t="shared" si="24"/>
        <v>0.78719907407503342</v>
      </c>
      <c r="F407" s="3">
        <f t="shared" si="25"/>
        <v>45274</v>
      </c>
      <c r="G407" t="s">
        <v>17</v>
      </c>
      <c r="H407" t="s">
        <v>59</v>
      </c>
      <c r="I407" t="s">
        <v>1461</v>
      </c>
      <c r="J407" t="s">
        <v>1462</v>
      </c>
      <c r="K407" t="s">
        <v>1345</v>
      </c>
      <c r="L407" t="s">
        <v>69</v>
      </c>
      <c r="M407">
        <v>27</v>
      </c>
      <c r="N407" t="s">
        <v>77</v>
      </c>
      <c r="O407">
        <v>128</v>
      </c>
      <c r="P407">
        <v>1</v>
      </c>
      <c r="Q407">
        <v>7645.47</v>
      </c>
      <c r="R407" s="4">
        <v>45600</v>
      </c>
      <c r="S407" s="6">
        <v>0.33876157407407409</v>
      </c>
      <c r="T407">
        <f t="shared" si="26"/>
        <v>18</v>
      </c>
      <c r="U407" t="str" cm="1">
        <f t="array" ref="U407">_xlfn.IFS(M407&lt;=34,"YOUNG",M407&lt;=54,"MIDDLE AGE",M407&gt;=55,"OLD")</f>
        <v>YOUNG</v>
      </c>
      <c r="V407" t="str">
        <f t="shared" si="27"/>
        <v>NORMAL</v>
      </c>
    </row>
    <row r="408" spans="1:22" x14ac:dyDescent="0.35">
      <c r="A408" t="s">
        <v>1463</v>
      </c>
      <c r="B408" t="s">
        <v>264</v>
      </c>
      <c r="C408">
        <v>364.42</v>
      </c>
      <c r="D408" s="1">
        <v>45209.713506944441</v>
      </c>
      <c r="E408" s="2">
        <f t="shared" si="24"/>
        <v>0.71350694444117835</v>
      </c>
      <c r="F408" s="3">
        <f t="shared" si="25"/>
        <v>45209</v>
      </c>
      <c r="G408" t="s">
        <v>17</v>
      </c>
      <c r="H408" t="s">
        <v>521</v>
      </c>
      <c r="I408" t="s">
        <v>538</v>
      </c>
      <c r="J408" t="s">
        <v>1464</v>
      </c>
      <c r="K408" t="s">
        <v>303</v>
      </c>
      <c r="L408" t="s">
        <v>22</v>
      </c>
      <c r="M408">
        <v>51</v>
      </c>
      <c r="N408" t="s">
        <v>77</v>
      </c>
      <c r="O408">
        <v>146</v>
      </c>
      <c r="P408">
        <v>1</v>
      </c>
      <c r="Q408">
        <v>8119.73</v>
      </c>
      <c r="R408" s="4">
        <v>45600</v>
      </c>
      <c r="S408" s="6">
        <v>0.33976851851851853</v>
      </c>
      <c r="T408">
        <f t="shared" si="26"/>
        <v>17</v>
      </c>
      <c r="U408" t="str" cm="1">
        <f t="array" ref="U408">_xlfn.IFS(M408&lt;=34,"YOUNG",M408&lt;=54,"MIDDLE AGE",M408&gt;=55,"OLD")</f>
        <v>MIDDLE AGE</v>
      </c>
      <c r="V408" t="str">
        <f t="shared" si="27"/>
        <v>NORMAL</v>
      </c>
    </row>
    <row r="409" spans="1:22" x14ac:dyDescent="0.35">
      <c r="A409" t="s">
        <v>1465</v>
      </c>
      <c r="B409" t="s">
        <v>609</v>
      </c>
      <c r="C409">
        <v>195.12</v>
      </c>
      <c r="D409" s="1">
        <v>45132.738020833334</v>
      </c>
      <c r="E409" s="2">
        <f t="shared" si="24"/>
        <v>0.73802083333430346</v>
      </c>
      <c r="F409" s="3">
        <f t="shared" si="25"/>
        <v>45132</v>
      </c>
      <c r="G409" t="s">
        <v>17</v>
      </c>
      <c r="H409" t="s">
        <v>108</v>
      </c>
      <c r="I409" t="s">
        <v>1466</v>
      </c>
      <c r="J409" t="s">
        <v>1467</v>
      </c>
      <c r="K409" t="s">
        <v>169</v>
      </c>
      <c r="L409" t="s">
        <v>22</v>
      </c>
      <c r="M409">
        <v>46</v>
      </c>
      <c r="N409" t="s">
        <v>23</v>
      </c>
      <c r="O409">
        <v>144</v>
      </c>
      <c r="P409">
        <v>1</v>
      </c>
      <c r="Q409">
        <v>6101.15</v>
      </c>
      <c r="R409" s="4">
        <v>45600</v>
      </c>
      <c r="S409" s="6">
        <v>0.34074074074074073</v>
      </c>
      <c r="T409">
        <f t="shared" si="26"/>
        <v>17</v>
      </c>
      <c r="U409" t="str" cm="1">
        <f t="array" ref="U409">_xlfn.IFS(M409&lt;=34,"YOUNG",M409&lt;=54,"MIDDLE AGE",M409&gt;=55,"OLD")</f>
        <v>MIDDLE AGE</v>
      </c>
      <c r="V409" t="str">
        <f t="shared" si="27"/>
        <v>NORMAL</v>
      </c>
    </row>
    <row r="410" spans="1:22" x14ac:dyDescent="0.35">
      <c r="A410" t="s">
        <v>1468</v>
      </c>
      <c r="B410" t="s">
        <v>641</v>
      </c>
      <c r="C410">
        <v>230.61</v>
      </c>
      <c r="D410" s="1">
        <v>45173.6953587963</v>
      </c>
      <c r="E410" s="2">
        <f t="shared" si="24"/>
        <v>0.69535879629984265</v>
      </c>
      <c r="F410" s="3">
        <f t="shared" si="25"/>
        <v>45173</v>
      </c>
      <c r="G410" t="s">
        <v>17</v>
      </c>
      <c r="H410" t="s">
        <v>40</v>
      </c>
      <c r="I410" t="s">
        <v>1469</v>
      </c>
      <c r="J410" t="s">
        <v>1470</v>
      </c>
      <c r="K410" t="s">
        <v>592</v>
      </c>
      <c r="L410" t="s">
        <v>69</v>
      </c>
      <c r="M410">
        <v>80</v>
      </c>
      <c r="N410" t="s">
        <v>70</v>
      </c>
      <c r="O410">
        <v>204</v>
      </c>
      <c r="P410">
        <v>1</v>
      </c>
      <c r="Q410">
        <v>2561.42</v>
      </c>
      <c r="R410" s="4">
        <v>45600</v>
      </c>
      <c r="S410" s="6">
        <v>0.34011574074074075</v>
      </c>
      <c r="T410">
        <f t="shared" si="26"/>
        <v>16</v>
      </c>
      <c r="U410" t="str" cm="1">
        <f t="array" ref="U410">_xlfn.IFS(M410&lt;=34,"YOUNG",M410&lt;=54,"MIDDLE AGE",M410&gt;=55,"OLD")</f>
        <v>OLD</v>
      </c>
      <c r="V410" t="str">
        <f t="shared" si="27"/>
        <v>NORMAL</v>
      </c>
    </row>
    <row r="411" spans="1:22" x14ac:dyDescent="0.35">
      <c r="A411" t="s">
        <v>1471</v>
      </c>
      <c r="B411" t="s">
        <v>1472</v>
      </c>
      <c r="C411">
        <v>739.28</v>
      </c>
      <c r="D411" s="1">
        <v>45096.698738425926</v>
      </c>
      <c r="E411" s="2">
        <f t="shared" si="24"/>
        <v>0.69873842592642177</v>
      </c>
      <c r="F411" s="3">
        <f t="shared" si="25"/>
        <v>45096</v>
      </c>
      <c r="G411" t="s">
        <v>46</v>
      </c>
      <c r="H411" t="s">
        <v>255</v>
      </c>
      <c r="I411" t="s">
        <v>1473</v>
      </c>
      <c r="J411" t="s">
        <v>1474</v>
      </c>
      <c r="K411" t="s">
        <v>607</v>
      </c>
      <c r="L411" t="s">
        <v>69</v>
      </c>
      <c r="M411">
        <v>58</v>
      </c>
      <c r="N411" t="s">
        <v>23</v>
      </c>
      <c r="O411">
        <v>47</v>
      </c>
      <c r="P411">
        <v>1</v>
      </c>
      <c r="Q411">
        <v>11905.64</v>
      </c>
      <c r="R411" s="4">
        <v>45600</v>
      </c>
      <c r="S411" s="6">
        <v>0.34112268518518518</v>
      </c>
      <c r="T411">
        <f t="shared" si="26"/>
        <v>16</v>
      </c>
      <c r="U411" t="str" cm="1">
        <f t="array" ref="U411">_xlfn.IFS(M411&lt;=34,"YOUNG",M411&lt;=54,"MIDDLE AGE",M411&gt;=55,"OLD")</f>
        <v>OLD</v>
      </c>
      <c r="V411" t="str">
        <f t="shared" si="27"/>
        <v>NORMAL</v>
      </c>
    </row>
    <row r="412" spans="1:22" x14ac:dyDescent="0.35">
      <c r="A412" t="s">
        <v>1475</v>
      </c>
      <c r="B412" t="s">
        <v>1311</v>
      </c>
      <c r="C412">
        <v>390.35</v>
      </c>
      <c r="D412" s="1">
        <v>45195.77553240741</v>
      </c>
      <c r="E412" s="2">
        <f t="shared" si="24"/>
        <v>0.77553240740962792</v>
      </c>
      <c r="F412" s="3">
        <f t="shared" si="25"/>
        <v>45195</v>
      </c>
      <c r="G412" t="s">
        <v>46</v>
      </c>
      <c r="H412" t="s">
        <v>296</v>
      </c>
      <c r="I412" t="s">
        <v>1419</v>
      </c>
      <c r="J412" t="s">
        <v>465</v>
      </c>
      <c r="K412" t="s">
        <v>62</v>
      </c>
      <c r="L412" t="s">
        <v>22</v>
      </c>
      <c r="M412">
        <v>64</v>
      </c>
      <c r="N412" t="s">
        <v>23</v>
      </c>
      <c r="O412">
        <v>61</v>
      </c>
      <c r="P412">
        <v>1</v>
      </c>
      <c r="Q412">
        <v>7095.88</v>
      </c>
      <c r="R412" s="4">
        <v>45600</v>
      </c>
      <c r="S412" s="6">
        <v>0.34028935185185183</v>
      </c>
      <c r="T412">
        <f t="shared" si="26"/>
        <v>18</v>
      </c>
      <c r="U412" t="str" cm="1">
        <f t="array" ref="U412">_xlfn.IFS(M412&lt;=34,"YOUNG",M412&lt;=54,"MIDDLE AGE",M412&gt;=55,"OLD")</f>
        <v>OLD</v>
      </c>
      <c r="V412" t="str">
        <f t="shared" si="27"/>
        <v>NORMAL</v>
      </c>
    </row>
    <row r="413" spans="1:22" x14ac:dyDescent="0.35">
      <c r="A413" t="s">
        <v>1476</v>
      </c>
      <c r="B413" t="s">
        <v>1418</v>
      </c>
      <c r="C413">
        <v>242.03</v>
      </c>
      <c r="D413" s="1">
        <v>44998.672696759262</v>
      </c>
      <c r="E413" s="2">
        <f t="shared" si="24"/>
        <v>0.67269675926218042</v>
      </c>
      <c r="F413" s="3">
        <f t="shared" si="25"/>
        <v>44998</v>
      </c>
      <c r="G413" t="s">
        <v>17</v>
      </c>
      <c r="H413" t="s">
        <v>323</v>
      </c>
      <c r="I413" t="s">
        <v>695</v>
      </c>
      <c r="J413" t="s">
        <v>1477</v>
      </c>
      <c r="K413" t="s">
        <v>240</v>
      </c>
      <c r="L413" t="s">
        <v>36</v>
      </c>
      <c r="M413">
        <v>58</v>
      </c>
      <c r="N413" t="s">
        <v>77</v>
      </c>
      <c r="O413">
        <v>124</v>
      </c>
      <c r="P413">
        <v>1</v>
      </c>
      <c r="Q413">
        <v>4382.7299999999996</v>
      </c>
      <c r="R413" s="4">
        <v>45600</v>
      </c>
      <c r="S413" s="6">
        <v>0.33833333333333332</v>
      </c>
      <c r="T413">
        <f t="shared" si="26"/>
        <v>16</v>
      </c>
      <c r="U413" t="str" cm="1">
        <f t="array" ref="U413">_xlfn.IFS(M413&lt;=34,"YOUNG",M413&lt;=54,"MIDDLE AGE",M413&gt;=55,"OLD")</f>
        <v>OLD</v>
      </c>
      <c r="V413" t="str">
        <f t="shared" si="27"/>
        <v>NORMAL</v>
      </c>
    </row>
    <row r="414" spans="1:22" x14ac:dyDescent="0.35">
      <c r="A414" t="s">
        <v>1478</v>
      </c>
      <c r="B414" t="s">
        <v>236</v>
      </c>
      <c r="C414">
        <v>242.39</v>
      </c>
      <c r="D414" s="1">
        <v>45250.68712962963</v>
      </c>
      <c r="E414" s="2">
        <f t="shared" si="24"/>
        <v>0.68712962963036261</v>
      </c>
      <c r="F414" s="3">
        <f t="shared" si="25"/>
        <v>45250</v>
      </c>
      <c r="G414" t="s">
        <v>46</v>
      </c>
      <c r="H414" t="s">
        <v>237</v>
      </c>
      <c r="I414" t="s">
        <v>1479</v>
      </c>
      <c r="J414" t="s">
        <v>1232</v>
      </c>
      <c r="K414" t="s">
        <v>181</v>
      </c>
      <c r="L414" t="s">
        <v>22</v>
      </c>
      <c r="M414">
        <v>18</v>
      </c>
      <c r="N414" t="s">
        <v>37</v>
      </c>
      <c r="O414">
        <v>271</v>
      </c>
      <c r="P414">
        <v>1</v>
      </c>
      <c r="Q414">
        <v>1328.73</v>
      </c>
      <c r="R414" s="4">
        <v>45600</v>
      </c>
      <c r="S414" s="6">
        <v>0.33805555555555555</v>
      </c>
      <c r="T414">
        <f t="shared" si="26"/>
        <v>16</v>
      </c>
      <c r="U414" t="str" cm="1">
        <f t="array" ref="U414">_xlfn.IFS(M414&lt;=34,"YOUNG",M414&lt;=54,"MIDDLE AGE",M414&gt;=55,"OLD")</f>
        <v>YOUNG</v>
      </c>
      <c r="V414" t="str">
        <f t="shared" si="27"/>
        <v>NORMAL</v>
      </c>
    </row>
    <row r="415" spans="1:22" x14ac:dyDescent="0.35">
      <c r="A415" t="s">
        <v>1480</v>
      </c>
      <c r="B415" t="s">
        <v>1004</v>
      </c>
      <c r="C415">
        <v>135.03</v>
      </c>
      <c r="D415" s="1">
        <v>44981.708634259259</v>
      </c>
      <c r="E415" s="2">
        <f t="shared" si="24"/>
        <v>0.70863425925927004</v>
      </c>
      <c r="F415" s="3">
        <f t="shared" si="25"/>
        <v>44981</v>
      </c>
      <c r="G415" t="s">
        <v>17</v>
      </c>
      <c r="H415" t="s">
        <v>212</v>
      </c>
      <c r="I415" t="s">
        <v>947</v>
      </c>
      <c r="J415" t="s">
        <v>1481</v>
      </c>
      <c r="K415" t="s">
        <v>348</v>
      </c>
      <c r="L415" t="s">
        <v>22</v>
      </c>
      <c r="M415">
        <v>23</v>
      </c>
      <c r="N415" t="s">
        <v>37</v>
      </c>
      <c r="O415">
        <v>180</v>
      </c>
      <c r="P415">
        <v>1</v>
      </c>
      <c r="Q415">
        <v>1278</v>
      </c>
      <c r="R415" s="4">
        <v>45600</v>
      </c>
      <c r="S415" s="6">
        <v>0.33909722222222222</v>
      </c>
      <c r="T415">
        <f t="shared" si="26"/>
        <v>17</v>
      </c>
      <c r="U415" t="str" cm="1">
        <f t="array" ref="U415">_xlfn.IFS(M415&lt;=34,"YOUNG",M415&lt;=54,"MIDDLE AGE",M415&gt;=55,"OLD")</f>
        <v>YOUNG</v>
      </c>
      <c r="V415" t="str">
        <f t="shared" si="27"/>
        <v>NORMAL</v>
      </c>
    </row>
    <row r="416" spans="1:22" x14ac:dyDescent="0.35">
      <c r="A416" t="s">
        <v>1482</v>
      </c>
      <c r="B416" t="s">
        <v>1147</v>
      </c>
      <c r="C416">
        <v>83.5</v>
      </c>
      <c r="D416" s="1">
        <v>45061.783043981479</v>
      </c>
      <c r="E416" s="2">
        <f t="shared" si="24"/>
        <v>0.78304398147884058</v>
      </c>
      <c r="F416" s="3">
        <f t="shared" si="25"/>
        <v>45061</v>
      </c>
      <c r="G416" t="s">
        <v>17</v>
      </c>
      <c r="H416" t="s">
        <v>323</v>
      </c>
      <c r="I416" t="s">
        <v>1383</v>
      </c>
      <c r="J416" t="s">
        <v>706</v>
      </c>
      <c r="K416" t="s">
        <v>740</v>
      </c>
      <c r="L416" t="s">
        <v>69</v>
      </c>
      <c r="M416">
        <v>61</v>
      </c>
      <c r="N416" t="s">
        <v>70</v>
      </c>
      <c r="O416">
        <v>91</v>
      </c>
      <c r="P416">
        <v>5</v>
      </c>
      <c r="Q416">
        <v>1749.79</v>
      </c>
      <c r="R416" s="4">
        <v>45600</v>
      </c>
      <c r="S416" s="6">
        <v>0.3384490740740741</v>
      </c>
      <c r="T416">
        <f t="shared" si="26"/>
        <v>18</v>
      </c>
      <c r="U416" t="str" cm="1">
        <f t="array" ref="U416">_xlfn.IFS(M416&lt;=34,"YOUNG",M416&lt;=54,"MIDDLE AGE",M416&gt;=55,"OLD")</f>
        <v>OLD</v>
      </c>
      <c r="V416" t="str">
        <f t="shared" si="27"/>
        <v>HIGH</v>
      </c>
    </row>
    <row r="417" spans="1:22" x14ac:dyDescent="0.35">
      <c r="A417" t="s">
        <v>1483</v>
      </c>
      <c r="B417" t="s">
        <v>899</v>
      </c>
      <c r="C417">
        <v>193.54</v>
      </c>
      <c r="D417" s="1">
        <v>45223.696562500001</v>
      </c>
      <c r="E417" s="2">
        <f t="shared" si="24"/>
        <v>0.69656250000116415</v>
      </c>
      <c r="F417" s="3">
        <f t="shared" si="25"/>
        <v>45223</v>
      </c>
      <c r="G417" t="s">
        <v>17</v>
      </c>
      <c r="H417" t="s">
        <v>53</v>
      </c>
      <c r="I417" t="s">
        <v>798</v>
      </c>
      <c r="J417" t="s">
        <v>1484</v>
      </c>
      <c r="K417" t="s">
        <v>769</v>
      </c>
      <c r="L417" t="s">
        <v>69</v>
      </c>
      <c r="M417">
        <v>80</v>
      </c>
      <c r="N417" t="s">
        <v>70</v>
      </c>
      <c r="O417">
        <v>267</v>
      </c>
      <c r="P417">
        <v>1</v>
      </c>
      <c r="Q417">
        <v>2929.51</v>
      </c>
      <c r="R417" s="4">
        <v>45600</v>
      </c>
      <c r="S417" s="6">
        <v>0.33918981481481481</v>
      </c>
      <c r="T417">
        <f t="shared" si="26"/>
        <v>16</v>
      </c>
      <c r="U417" t="str" cm="1">
        <f t="array" ref="U417">_xlfn.IFS(M417&lt;=34,"YOUNG",M417&lt;=54,"MIDDLE AGE",M417&gt;=55,"OLD")</f>
        <v>OLD</v>
      </c>
      <c r="V417" t="str">
        <f t="shared" si="27"/>
        <v>NORMAL</v>
      </c>
    </row>
    <row r="418" spans="1:22" x14ac:dyDescent="0.35">
      <c r="A418" t="s">
        <v>1485</v>
      </c>
      <c r="B418" t="s">
        <v>355</v>
      </c>
      <c r="C418">
        <v>617.36</v>
      </c>
      <c r="D418" s="1">
        <v>45251.712002314816</v>
      </c>
      <c r="E418" s="2">
        <f t="shared" si="24"/>
        <v>0.71200231481634546</v>
      </c>
      <c r="F418" s="3">
        <f t="shared" si="25"/>
        <v>45251</v>
      </c>
      <c r="G418" t="s">
        <v>17</v>
      </c>
      <c r="H418" t="s">
        <v>291</v>
      </c>
      <c r="I418" t="s">
        <v>1486</v>
      </c>
      <c r="J418" t="s">
        <v>307</v>
      </c>
      <c r="K418" t="s">
        <v>76</v>
      </c>
      <c r="L418" t="s">
        <v>69</v>
      </c>
      <c r="M418">
        <v>29</v>
      </c>
      <c r="N418" t="s">
        <v>77</v>
      </c>
      <c r="O418">
        <v>61</v>
      </c>
      <c r="P418">
        <v>1</v>
      </c>
      <c r="Q418">
        <v>8926.3799999999992</v>
      </c>
      <c r="R418" s="4">
        <v>45600</v>
      </c>
      <c r="S418" s="6">
        <v>0.33984953703703702</v>
      </c>
      <c r="T418">
        <f t="shared" si="26"/>
        <v>17</v>
      </c>
      <c r="U418" t="str" cm="1">
        <f t="array" ref="U418">_xlfn.IFS(M418&lt;=34,"YOUNG",M418&lt;=54,"MIDDLE AGE",M418&gt;=55,"OLD")</f>
        <v>YOUNG</v>
      </c>
      <c r="V418" t="str">
        <f t="shared" si="27"/>
        <v>NORMAL</v>
      </c>
    </row>
    <row r="419" spans="1:22" x14ac:dyDescent="0.35">
      <c r="A419" t="s">
        <v>1487</v>
      </c>
      <c r="B419" t="s">
        <v>1488</v>
      </c>
      <c r="C419">
        <v>775.23</v>
      </c>
      <c r="D419" s="1">
        <v>45145.694467592592</v>
      </c>
      <c r="E419" s="2">
        <f t="shared" si="24"/>
        <v>0.69446759259153623</v>
      </c>
      <c r="F419" s="3">
        <f t="shared" si="25"/>
        <v>45145</v>
      </c>
      <c r="G419" t="s">
        <v>46</v>
      </c>
      <c r="H419" t="s">
        <v>86</v>
      </c>
      <c r="I419" t="s">
        <v>1489</v>
      </c>
      <c r="J419" t="s">
        <v>1490</v>
      </c>
      <c r="K419" t="s">
        <v>308</v>
      </c>
      <c r="L419" t="s">
        <v>36</v>
      </c>
      <c r="M419">
        <v>59</v>
      </c>
      <c r="N419" t="s">
        <v>23</v>
      </c>
      <c r="O419">
        <v>38</v>
      </c>
      <c r="P419">
        <v>1</v>
      </c>
      <c r="Q419">
        <v>5977.59</v>
      </c>
      <c r="R419" s="4">
        <v>45600</v>
      </c>
      <c r="S419" s="6">
        <v>0.3382060185185185</v>
      </c>
      <c r="T419">
        <f t="shared" si="26"/>
        <v>16</v>
      </c>
      <c r="U419" t="str" cm="1">
        <f t="array" ref="U419">_xlfn.IFS(M419&lt;=34,"YOUNG",M419&lt;=54,"MIDDLE AGE",M419&gt;=55,"OLD")</f>
        <v>OLD</v>
      </c>
      <c r="V419" t="str">
        <f t="shared" si="27"/>
        <v>NORMAL</v>
      </c>
    </row>
    <row r="420" spans="1:22" x14ac:dyDescent="0.35">
      <c r="A420" t="s">
        <v>1491</v>
      </c>
      <c r="B420" t="s">
        <v>211</v>
      </c>
      <c r="C420">
        <v>266.57</v>
      </c>
      <c r="D420" s="1">
        <v>45195.713263888887</v>
      </c>
      <c r="E420" s="2">
        <f t="shared" si="24"/>
        <v>0.71326388888701331</v>
      </c>
      <c r="F420" s="3">
        <f t="shared" si="25"/>
        <v>45195</v>
      </c>
      <c r="G420" t="s">
        <v>17</v>
      </c>
      <c r="H420" t="s">
        <v>506</v>
      </c>
      <c r="I420" t="s">
        <v>920</v>
      </c>
      <c r="J420" t="s">
        <v>933</v>
      </c>
      <c r="K420" t="s">
        <v>1000</v>
      </c>
      <c r="L420" t="s">
        <v>22</v>
      </c>
      <c r="M420">
        <v>72</v>
      </c>
      <c r="N420" t="s">
        <v>70</v>
      </c>
      <c r="O420">
        <v>100</v>
      </c>
      <c r="P420">
        <v>1</v>
      </c>
      <c r="Q420">
        <v>7676.92</v>
      </c>
      <c r="R420" s="4">
        <v>45600</v>
      </c>
      <c r="S420" s="6">
        <v>0.33978009259259262</v>
      </c>
      <c r="T420">
        <f t="shared" si="26"/>
        <v>17</v>
      </c>
      <c r="U420" t="str" cm="1">
        <f t="array" ref="U420">_xlfn.IFS(M420&lt;=34,"YOUNG",M420&lt;=54,"MIDDLE AGE",M420&gt;=55,"OLD")</f>
        <v>OLD</v>
      </c>
      <c r="V420" t="str">
        <f t="shared" si="27"/>
        <v>NORMAL</v>
      </c>
    </row>
    <row r="421" spans="1:22" x14ac:dyDescent="0.35">
      <c r="A421" t="s">
        <v>1492</v>
      </c>
      <c r="B421" t="s">
        <v>242</v>
      </c>
      <c r="C421">
        <v>153.4</v>
      </c>
      <c r="D421" s="1">
        <v>45016.733993055554</v>
      </c>
      <c r="E421" s="2">
        <f t="shared" si="24"/>
        <v>0.73399305555358296</v>
      </c>
      <c r="F421" s="3">
        <f t="shared" si="25"/>
        <v>45016</v>
      </c>
      <c r="G421" t="s">
        <v>17</v>
      </c>
      <c r="H421" t="s">
        <v>32</v>
      </c>
      <c r="I421" t="s">
        <v>1493</v>
      </c>
      <c r="J421" t="s">
        <v>1494</v>
      </c>
      <c r="K421" t="s">
        <v>100</v>
      </c>
      <c r="L421" t="s">
        <v>22</v>
      </c>
      <c r="M421">
        <v>45</v>
      </c>
      <c r="N421" t="s">
        <v>77</v>
      </c>
      <c r="O421">
        <v>144</v>
      </c>
      <c r="P421">
        <v>1</v>
      </c>
      <c r="Q421">
        <v>4657.7</v>
      </c>
      <c r="R421" s="4">
        <v>45600</v>
      </c>
      <c r="S421" s="6">
        <v>0.33898148148148149</v>
      </c>
      <c r="T421">
        <f t="shared" si="26"/>
        <v>17</v>
      </c>
      <c r="U421" t="str" cm="1">
        <f t="array" ref="U421">_xlfn.IFS(M421&lt;=34,"YOUNG",M421&lt;=54,"MIDDLE AGE",M421&gt;=55,"OLD")</f>
        <v>MIDDLE AGE</v>
      </c>
      <c r="V421" t="str">
        <f t="shared" si="27"/>
        <v>NORMAL</v>
      </c>
    </row>
    <row r="422" spans="1:22" x14ac:dyDescent="0.35">
      <c r="A422" t="s">
        <v>1495</v>
      </c>
      <c r="B422" t="s">
        <v>545</v>
      </c>
      <c r="C422">
        <v>946.94</v>
      </c>
      <c r="D422" s="1">
        <v>45271.721608796295</v>
      </c>
      <c r="E422" s="2">
        <f t="shared" si="24"/>
        <v>0.72160879629518604</v>
      </c>
      <c r="F422" s="3">
        <f t="shared" si="25"/>
        <v>45271</v>
      </c>
      <c r="G422" t="s">
        <v>17</v>
      </c>
      <c r="H422" t="s">
        <v>249</v>
      </c>
      <c r="I422" t="s">
        <v>489</v>
      </c>
      <c r="J422" t="s">
        <v>1496</v>
      </c>
      <c r="K422" t="s">
        <v>762</v>
      </c>
      <c r="L422" t="s">
        <v>69</v>
      </c>
      <c r="M422">
        <v>53</v>
      </c>
      <c r="N422" t="s">
        <v>70</v>
      </c>
      <c r="O422">
        <v>251</v>
      </c>
      <c r="P422">
        <v>1</v>
      </c>
      <c r="Q422">
        <v>5579.11</v>
      </c>
      <c r="R422" s="4">
        <v>45600</v>
      </c>
      <c r="S422" s="6">
        <v>0.33832175925925928</v>
      </c>
      <c r="T422">
        <f t="shared" si="26"/>
        <v>17</v>
      </c>
      <c r="U422" t="str" cm="1">
        <f t="array" ref="U422">_xlfn.IFS(M422&lt;=34,"YOUNG",M422&lt;=54,"MIDDLE AGE",M422&gt;=55,"OLD")</f>
        <v>MIDDLE AGE</v>
      </c>
      <c r="V422" t="str">
        <f t="shared" si="27"/>
        <v>NORMAL</v>
      </c>
    </row>
    <row r="423" spans="1:22" x14ac:dyDescent="0.35">
      <c r="A423" t="s">
        <v>1497</v>
      </c>
      <c r="B423" t="s">
        <v>520</v>
      </c>
      <c r="C423">
        <v>5.12</v>
      </c>
      <c r="D423" s="1">
        <v>45212.672523148147</v>
      </c>
      <c r="E423" s="2">
        <f t="shared" si="24"/>
        <v>0.67252314814686542</v>
      </c>
      <c r="F423" s="3">
        <f t="shared" si="25"/>
        <v>45212</v>
      </c>
      <c r="G423" t="s">
        <v>17</v>
      </c>
      <c r="H423" t="s">
        <v>203</v>
      </c>
      <c r="I423" t="s">
        <v>1498</v>
      </c>
      <c r="J423" t="s">
        <v>937</v>
      </c>
      <c r="K423" t="s">
        <v>43</v>
      </c>
      <c r="L423" t="s">
        <v>69</v>
      </c>
      <c r="M423">
        <v>34</v>
      </c>
      <c r="N423" t="s">
        <v>77</v>
      </c>
      <c r="O423">
        <v>90</v>
      </c>
      <c r="P423">
        <v>1</v>
      </c>
      <c r="Q423">
        <v>3293.01</v>
      </c>
      <c r="R423" s="4">
        <v>45600</v>
      </c>
      <c r="S423" s="6">
        <v>0.34063657407407405</v>
      </c>
      <c r="T423">
        <f t="shared" si="26"/>
        <v>16</v>
      </c>
      <c r="U423" t="str" cm="1">
        <f t="array" ref="U423">_xlfn.IFS(M423&lt;=34,"YOUNG",M423&lt;=54,"MIDDLE AGE",M423&gt;=55,"OLD")</f>
        <v>YOUNG</v>
      </c>
      <c r="V423" t="str">
        <f t="shared" si="27"/>
        <v>NORMAL</v>
      </c>
    </row>
    <row r="424" spans="1:22" x14ac:dyDescent="0.35">
      <c r="A424" t="s">
        <v>1499</v>
      </c>
      <c r="B424" t="s">
        <v>684</v>
      </c>
      <c r="C424">
        <v>119.11</v>
      </c>
      <c r="D424" s="1">
        <v>45107.688726851855</v>
      </c>
      <c r="E424" s="2">
        <f t="shared" si="24"/>
        <v>0.68872685185488081</v>
      </c>
      <c r="F424" s="3">
        <f t="shared" si="25"/>
        <v>45107</v>
      </c>
      <c r="G424" t="s">
        <v>17</v>
      </c>
      <c r="H424" t="s">
        <v>73</v>
      </c>
      <c r="I424" t="s">
        <v>522</v>
      </c>
      <c r="J424" t="s">
        <v>42</v>
      </c>
      <c r="K424" t="s">
        <v>272</v>
      </c>
      <c r="L424" t="s">
        <v>22</v>
      </c>
      <c r="M424">
        <v>57</v>
      </c>
      <c r="N424" t="s">
        <v>77</v>
      </c>
      <c r="O424">
        <v>131</v>
      </c>
      <c r="P424">
        <v>1</v>
      </c>
      <c r="Q424">
        <v>7998.25</v>
      </c>
      <c r="R424" s="4">
        <v>45600</v>
      </c>
      <c r="S424" s="6">
        <v>0.34013888888888888</v>
      </c>
      <c r="T424">
        <f t="shared" si="26"/>
        <v>16</v>
      </c>
      <c r="U424" t="str" cm="1">
        <f t="array" ref="U424">_xlfn.IFS(M424&lt;=34,"YOUNG",M424&lt;=54,"MIDDLE AGE",M424&gt;=55,"OLD")</f>
        <v>OLD</v>
      </c>
      <c r="V424" t="str">
        <f t="shared" si="27"/>
        <v>NORMAL</v>
      </c>
    </row>
    <row r="425" spans="1:22" x14ac:dyDescent="0.35">
      <c r="A425" t="s">
        <v>1500</v>
      </c>
      <c r="B425" t="s">
        <v>1501</v>
      </c>
      <c r="C425">
        <v>1096.7</v>
      </c>
      <c r="D425" s="1">
        <v>45012.702314814815</v>
      </c>
      <c r="E425" s="2">
        <f t="shared" si="24"/>
        <v>0.70231481481459923</v>
      </c>
      <c r="F425" s="3">
        <f t="shared" si="25"/>
        <v>45012</v>
      </c>
      <c r="G425" t="s">
        <v>17</v>
      </c>
      <c r="H425" t="s">
        <v>521</v>
      </c>
      <c r="I425" t="s">
        <v>1502</v>
      </c>
      <c r="J425" t="s">
        <v>1503</v>
      </c>
      <c r="K425" t="s">
        <v>262</v>
      </c>
      <c r="L425" t="s">
        <v>36</v>
      </c>
      <c r="M425">
        <v>24</v>
      </c>
      <c r="N425" t="s">
        <v>37</v>
      </c>
      <c r="O425">
        <v>147</v>
      </c>
      <c r="P425">
        <v>1</v>
      </c>
      <c r="Q425">
        <v>1093.8900000000001</v>
      </c>
      <c r="R425" s="4">
        <v>45600</v>
      </c>
      <c r="S425" s="6">
        <v>0.34129629629629632</v>
      </c>
      <c r="T425">
        <f t="shared" si="26"/>
        <v>16</v>
      </c>
      <c r="U425" t="str" cm="1">
        <f t="array" ref="U425">_xlfn.IFS(M425&lt;=34,"YOUNG",M425&lt;=54,"MIDDLE AGE",M425&gt;=55,"OLD")</f>
        <v>YOUNG</v>
      </c>
      <c r="V425" t="str">
        <f t="shared" si="27"/>
        <v>NORMAL</v>
      </c>
    </row>
    <row r="426" spans="1:22" x14ac:dyDescent="0.35">
      <c r="A426" t="s">
        <v>1504</v>
      </c>
      <c r="B426" t="s">
        <v>215</v>
      </c>
      <c r="C426">
        <v>119.72</v>
      </c>
      <c r="D426" s="1">
        <v>44960.76059027778</v>
      </c>
      <c r="E426" s="2">
        <f t="shared" si="24"/>
        <v>0.76059027777955635</v>
      </c>
      <c r="F426" s="3">
        <f t="shared" si="25"/>
        <v>44960</v>
      </c>
      <c r="G426" t="s">
        <v>17</v>
      </c>
      <c r="H426" t="s">
        <v>255</v>
      </c>
      <c r="I426" t="s">
        <v>1386</v>
      </c>
      <c r="J426" t="s">
        <v>1505</v>
      </c>
      <c r="K426" t="s">
        <v>1349</v>
      </c>
      <c r="L426" t="s">
        <v>69</v>
      </c>
      <c r="M426">
        <v>30</v>
      </c>
      <c r="N426" t="s">
        <v>77</v>
      </c>
      <c r="O426">
        <v>123</v>
      </c>
      <c r="P426">
        <v>1</v>
      </c>
      <c r="Q426">
        <v>3435.34</v>
      </c>
      <c r="R426" s="4">
        <v>45600</v>
      </c>
      <c r="S426" s="6">
        <v>0.34050925925925923</v>
      </c>
      <c r="T426">
        <f t="shared" si="26"/>
        <v>18</v>
      </c>
      <c r="U426" t="str" cm="1">
        <f t="array" ref="U426">_xlfn.IFS(M426&lt;=34,"YOUNG",M426&lt;=54,"MIDDLE AGE",M426&gt;=55,"OLD")</f>
        <v>YOUNG</v>
      </c>
      <c r="V426" t="str">
        <f t="shared" si="27"/>
        <v>NORMAL</v>
      </c>
    </row>
    <row r="427" spans="1:22" x14ac:dyDescent="0.35">
      <c r="A427" t="s">
        <v>1506</v>
      </c>
      <c r="B427" t="s">
        <v>1507</v>
      </c>
      <c r="C427">
        <v>107.4</v>
      </c>
      <c r="D427" s="1">
        <v>45099.699849537035</v>
      </c>
      <c r="E427" s="2">
        <f t="shared" si="24"/>
        <v>0.69984953703533392</v>
      </c>
      <c r="F427" s="3">
        <f t="shared" si="25"/>
        <v>45099</v>
      </c>
      <c r="G427" t="s">
        <v>17</v>
      </c>
      <c r="H427" t="s">
        <v>301</v>
      </c>
      <c r="I427" t="s">
        <v>1508</v>
      </c>
      <c r="J427" t="s">
        <v>1119</v>
      </c>
      <c r="K427" t="s">
        <v>1281</v>
      </c>
      <c r="L427" t="s">
        <v>36</v>
      </c>
      <c r="M427">
        <v>58</v>
      </c>
      <c r="N427" t="s">
        <v>23</v>
      </c>
      <c r="O427">
        <v>32</v>
      </c>
      <c r="P427">
        <v>1</v>
      </c>
      <c r="Q427">
        <v>344.07</v>
      </c>
      <c r="R427" s="4">
        <v>45600</v>
      </c>
      <c r="S427" s="6">
        <v>0.33892361111111113</v>
      </c>
      <c r="T427">
        <f t="shared" si="26"/>
        <v>16</v>
      </c>
      <c r="U427" t="str" cm="1">
        <f t="array" ref="U427">_xlfn.IFS(M427&lt;=34,"YOUNG",M427&lt;=54,"MIDDLE AGE",M427&gt;=55,"OLD")</f>
        <v>OLD</v>
      </c>
      <c r="V427" t="str">
        <f t="shared" si="27"/>
        <v>NORMAL</v>
      </c>
    </row>
    <row r="428" spans="1:22" x14ac:dyDescent="0.35">
      <c r="A428" t="s">
        <v>1509</v>
      </c>
      <c r="B428" t="s">
        <v>1457</v>
      </c>
      <c r="C428">
        <v>115.92</v>
      </c>
      <c r="D428" s="1">
        <v>44943.779490740744</v>
      </c>
      <c r="E428" s="2">
        <f t="shared" si="24"/>
        <v>0.77949074074422242</v>
      </c>
      <c r="F428" s="3">
        <f t="shared" si="25"/>
        <v>44943</v>
      </c>
      <c r="G428" t="s">
        <v>17</v>
      </c>
      <c r="H428" t="s">
        <v>40</v>
      </c>
      <c r="I428" t="s">
        <v>1510</v>
      </c>
      <c r="J428" t="s">
        <v>513</v>
      </c>
      <c r="K428" t="s">
        <v>450</v>
      </c>
      <c r="L428" t="s">
        <v>22</v>
      </c>
      <c r="M428">
        <v>53</v>
      </c>
      <c r="N428" t="s">
        <v>70</v>
      </c>
      <c r="O428">
        <v>57</v>
      </c>
      <c r="P428">
        <v>1</v>
      </c>
      <c r="Q428">
        <v>3897.17</v>
      </c>
      <c r="R428" s="4">
        <v>45600</v>
      </c>
      <c r="S428" s="6">
        <v>0.33960648148148148</v>
      </c>
      <c r="T428">
        <f t="shared" si="26"/>
        <v>18</v>
      </c>
      <c r="U428" t="str" cm="1">
        <f t="array" ref="U428">_xlfn.IFS(M428&lt;=34,"YOUNG",M428&lt;=54,"MIDDLE AGE",M428&gt;=55,"OLD")</f>
        <v>MIDDLE AGE</v>
      </c>
      <c r="V428" t="str">
        <f t="shared" si="27"/>
        <v>NORMAL</v>
      </c>
    </row>
    <row r="429" spans="1:22" x14ac:dyDescent="0.35">
      <c r="A429" t="s">
        <v>1511</v>
      </c>
      <c r="B429" t="s">
        <v>1512</v>
      </c>
      <c r="C429">
        <v>438.04</v>
      </c>
      <c r="D429" s="1">
        <v>45162.787569444445</v>
      </c>
      <c r="E429" s="2">
        <f t="shared" si="24"/>
        <v>0.78756944444467081</v>
      </c>
      <c r="F429" s="3">
        <f t="shared" si="25"/>
        <v>45162</v>
      </c>
      <c r="G429" t="s">
        <v>17</v>
      </c>
      <c r="H429" t="s">
        <v>243</v>
      </c>
      <c r="I429" t="s">
        <v>1513</v>
      </c>
      <c r="J429" t="s">
        <v>953</v>
      </c>
      <c r="K429" t="s">
        <v>105</v>
      </c>
      <c r="L429" t="s">
        <v>22</v>
      </c>
      <c r="M429">
        <v>67</v>
      </c>
      <c r="N429" t="s">
        <v>70</v>
      </c>
      <c r="O429">
        <v>247</v>
      </c>
      <c r="P429">
        <v>1</v>
      </c>
      <c r="Q429">
        <v>5358.95</v>
      </c>
      <c r="R429" s="4">
        <v>45600</v>
      </c>
      <c r="S429" s="6">
        <v>0.33788194444444447</v>
      </c>
      <c r="T429">
        <f t="shared" si="26"/>
        <v>18</v>
      </c>
      <c r="U429" t="str" cm="1">
        <f t="array" ref="U429">_xlfn.IFS(M429&lt;=34,"YOUNG",M429&lt;=54,"MIDDLE AGE",M429&gt;=55,"OLD")</f>
        <v>OLD</v>
      </c>
      <c r="V429" t="str">
        <f t="shared" si="27"/>
        <v>NORMAL</v>
      </c>
    </row>
    <row r="430" spans="1:22" x14ac:dyDescent="0.35">
      <c r="A430" t="s">
        <v>1514</v>
      </c>
      <c r="B430" t="s">
        <v>742</v>
      </c>
      <c r="C430">
        <v>677.29</v>
      </c>
      <c r="D430" s="1">
        <v>45047.769444444442</v>
      </c>
      <c r="E430" s="2">
        <f t="shared" si="24"/>
        <v>0.7694444444423425</v>
      </c>
      <c r="F430" s="3">
        <f t="shared" si="25"/>
        <v>45047</v>
      </c>
      <c r="G430" t="s">
        <v>17</v>
      </c>
      <c r="H430" t="s">
        <v>26</v>
      </c>
      <c r="I430" t="s">
        <v>1337</v>
      </c>
      <c r="J430" t="s">
        <v>1515</v>
      </c>
      <c r="K430" t="s">
        <v>21</v>
      </c>
      <c r="L430" t="s">
        <v>36</v>
      </c>
      <c r="M430">
        <v>27</v>
      </c>
      <c r="N430" t="s">
        <v>77</v>
      </c>
      <c r="O430">
        <v>287</v>
      </c>
      <c r="P430">
        <v>1</v>
      </c>
      <c r="Q430">
        <v>627.79</v>
      </c>
      <c r="R430" s="4">
        <v>45600</v>
      </c>
      <c r="S430" s="6">
        <v>0.33837962962962964</v>
      </c>
      <c r="T430">
        <f t="shared" si="26"/>
        <v>18</v>
      </c>
      <c r="U430" t="str" cm="1">
        <f t="array" ref="U430">_xlfn.IFS(M430&lt;=34,"YOUNG",M430&lt;=54,"MIDDLE AGE",M430&gt;=55,"OLD")</f>
        <v>YOUNG</v>
      </c>
      <c r="V430" t="str">
        <f t="shared" si="27"/>
        <v>NORMAL</v>
      </c>
    </row>
    <row r="431" spans="1:22" x14ac:dyDescent="0.35">
      <c r="A431" t="s">
        <v>1516</v>
      </c>
      <c r="B431" t="s">
        <v>1517</v>
      </c>
      <c r="C431">
        <v>296</v>
      </c>
      <c r="D431" s="1">
        <v>45061.684363425928</v>
      </c>
      <c r="E431" s="2">
        <f t="shared" si="24"/>
        <v>0.68436342592758592</v>
      </c>
      <c r="F431" s="3">
        <f t="shared" si="25"/>
        <v>45061</v>
      </c>
      <c r="G431" t="s">
        <v>17</v>
      </c>
      <c r="H431" t="s">
        <v>146</v>
      </c>
      <c r="I431" t="s">
        <v>1086</v>
      </c>
      <c r="J431" t="s">
        <v>1518</v>
      </c>
      <c r="K431" t="s">
        <v>674</v>
      </c>
      <c r="L431" t="s">
        <v>69</v>
      </c>
      <c r="M431">
        <v>35</v>
      </c>
      <c r="N431" t="s">
        <v>23</v>
      </c>
      <c r="O431">
        <v>248</v>
      </c>
      <c r="P431">
        <v>1</v>
      </c>
      <c r="Q431">
        <v>7418.82</v>
      </c>
      <c r="R431" s="4">
        <v>45600</v>
      </c>
      <c r="S431" s="6">
        <v>0.33812500000000001</v>
      </c>
      <c r="T431">
        <f t="shared" si="26"/>
        <v>16</v>
      </c>
      <c r="U431" t="str" cm="1">
        <f t="array" ref="U431">_xlfn.IFS(M431&lt;=34,"YOUNG",M431&lt;=54,"MIDDLE AGE",M431&gt;=55,"OLD")</f>
        <v>MIDDLE AGE</v>
      </c>
      <c r="V431" t="str">
        <f t="shared" si="27"/>
        <v>NORMAL</v>
      </c>
    </row>
    <row r="432" spans="1:22" x14ac:dyDescent="0.35">
      <c r="A432" t="s">
        <v>1519</v>
      </c>
      <c r="B432" t="s">
        <v>1520</v>
      </c>
      <c r="C432">
        <v>299.08999999999997</v>
      </c>
      <c r="D432" s="1">
        <v>44942.67690972222</v>
      </c>
      <c r="E432" s="2">
        <f t="shared" si="24"/>
        <v>0.67690972222044365</v>
      </c>
      <c r="F432" s="3">
        <f t="shared" si="25"/>
        <v>44942</v>
      </c>
      <c r="G432" t="s">
        <v>46</v>
      </c>
      <c r="H432" t="s">
        <v>388</v>
      </c>
      <c r="I432" t="s">
        <v>1158</v>
      </c>
      <c r="J432" t="s">
        <v>271</v>
      </c>
      <c r="K432" t="s">
        <v>639</v>
      </c>
      <c r="L432" t="s">
        <v>69</v>
      </c>
      <c r="M432">
        <v>36</v>
      </c>
      <c r="N432" t="s">
        <v>77</v>
      </c>
      <c r="O432">
        <v>84</v>
      </c>
      <c r="P432">
        <v>1</v>
      </c>
      <c r="Q432">
        <v>5615.26</v>
      </c>
      <c r="R432" s="4">
        <v>45600</v>
      </c>
      <c r="S432" s="6">
        <v>0.33890046296296295</v>
      </c>
      <c r="T432">
        <f t="shared" si="26"/>
        <v>16</v>
      </c>
      <c r="U432" t="str" cm="1">
        <f t="array" ref="U432">_xlfn.IFS(M432&lt;=34,"YOUNG",M432&lt;=54,"MIDDLE AGE",M432&gt;=55,"OLD")</f>
        <v>MIDDLE AGE</v>
      </c>
      <c r="V432" t="str">
        <f t="shared" si="27"/>
        <v>NORMAL</v>
      </c>
    </row>
    <row r="433" spans="1:22" x14ac:dyDescent="0.35">
      <c r="A433" t="s">
        <v>1521</v>
      </c>
      <c r="B433" t="s">
        <v>868</v>
      </c>
      <c r="C433">
        <v>461.52</v>
      </c>
      <c r="D433" s="1">
        <v>45061.694722222222</v>
      </c>
      <c r="E433" s="2">
        <f t="shared" si="24"/>
        <v>0.69472222222248092</v>
      </c>
      <c r="F433" s="3">
        <f t="shared" si="25"/>
        <v>45061</v>
      </c>
      <c r="G433" t="s">
        <v>46</v>
      </c>
      <c r="H433" t="s">
        <v>114</v>
      </c>
      <c r="I433" t="s">
        <v>1522</v>
      </c>
      <c r="J433" t="s">
        <v>1523</v>
      </c>
      <c r="K433" t="s">
        <v>1524</v>
      </c>
      <c r="L433" t="s">
        <v>69</v>
      </c>
      <c r="M433">
        <v>24</v>
      </c>
      <c r="N433" t="s">
        <v>37</v>
      </c>
      <c r="O433">
        <v>44</v>
      </c>
      <c r="P433">
        <v>1</v>
      </c>
      <c r="Q433">
        <v>1995.18</v>
      </c>
      <c r="R433" s="4">
        <v>45600</v>
      </c>
      <c r="S433" s="6">
        <v>0.3395023148148148</v>
      </c>
      <c r="T433">
        <f t="shared" si="26"/>
        <v>16</v>
      </c>
      <c r="U433" t="str" cm="1">
        <f t="array" ref="U433">_xlfn.IFS(M433&lt;=34,"YOUNG",M433&lt;=54,"MIDDLE AGE",M433&gt;=55,"OLD")</f>
        <v>YOUNG</v>
      </c>
      <c r="V433" t="str">
        <f t="shared" si="27"/>
        <v>NORMAL</v>
      </c>
    </row>
    <row r="434" spans="1:22" x14ac:dyDescent="0.35">
      <c r="A434" t="s">
        <v>1525</v>
      </c>
      <c r="B434" t="s">
        <v>134</v>
      </c>
      <c r="C434">
        <v>100.52</v>
      </c>
      <c r="D434" s="1">
        <v>44956.727777777778</v>
      </c>
      <c r="E434" s="2">
        <f t="shared" si="24"/>
        <v>0.72777777777810115</v>
      </c>
      <c r="F434" s="3">
        <f t="shared" si="25"/>
        <v>44956</v>
      </c>
      <c r="G434" t="s">
        <v>17</v>
      </c>
      <c r="H434" t="s">
        <v>146</v>
      </c>
      <c r="I434" t="s">
        <v>1526</v>
      </c>
      <c r="J434" t="s">
        <v>271</v>
      </c>
      <c r="K434" t="s">
        <v>858</v>
      </c>
      <c r="L434" t="s">
        <v>22</v>
      </c>
      <c r="M434">
        <v>50</v>
      </c>
      <c r="N434" t="s">
        <v>77</v>
      </c>
      <c r="O434">
        <v>110</v>
      </c>
      <c r="P434">
        <v>1</v>
      </c>
      <c r="Q434">
        <v>453.39</v>
      </c>
      <c r="R434" s="4">
        <v>45600</v>
      </c>
      <c r="S434" s="6">
        <v>0.34129629629629632</v>
      </c>
      <c r="T434">
        <f t="shared" si="26"/>
        <v>17</v>
      </c>
      <c r="U434" t="str" cm="1">
        <f t="array" ref="U434">_xlfn.IFS(M434&lt;=34,"YOUNG",M434&lt;=54,"MIDDLE AGE",M434&gt;=55,"OLD")</f>
        <v>MIDDLE AGE</v>
      </c>
      <c r="V434" t="str">
        <f t="shared" si="27"/>
        <v>NORMAL</v>
      </c>
    </row>
    <row r="435" spans="1:22" x14ac:dyDescent="0.35">
      <c r="A435" t="s">
        <v>1527</v>
      </c>
      <c r="B435" t="s">
        <v>1528</v>
      </c>
      <c r="C435">
        <v>85.35</v>
      </c>
      <c r="D435" s="1">
        <v>45112.672511574077</v>
      </c>
      <c r="E435" s="2">
        <f t="shared" si="24"/>
        <v>0.67251157407736173</v>
      </c>
      <c r="F435" s="3">
        <f t="shared" si="25"/>
        <v>45112</v>
      </c>
      <c r="G435" t="s">
        <v>17</v>
      </c>
      <c r="H435" t="s">
        <v>453</v>
      </c>
      <c r="I435" t="s">
        <v>1529</v>
      </c>
      <c r="J435" t="s">
        <v>651</v>
      </c>
      <c r="K435" t="s">
        <v>226</v>
      </c>
      <c r="L435" t="s">
        <v>22</v>
      </c>
      <c r="M435">
        <v>66</v>
      </c>
      <c r="N435" t="s">
        <v>70</v>
      </c>
      <c r="O435">
        <v>166</v>
      </c>
      <c r="P435">
        <v>1</v>
      </c>
      <c r="Q435">
        <v>2173.7600000000002</v>
      </c>
      <c r="R435" s="4">
        <v>45600</v>
      </c>
      <c r="S435" s="6">
        <v>0.33778935185185183</v>
      </c>
      <c r="T435">
        <f t="shared" si="26"/>
        <v>16</v>
      </c>
      <c r="U435" t="str" cm="1">
        <f t="array" ref="U435">_xlfn.IFS(M435&lt;=34,"YOUNG",M435&lt;=54,"MIDDLE AGE",M435&gt;=55,"OLD")</f>
        <v>OLD</v>
      </c>
      <c r="V435" t="str">
        <f t="shared" si="27"/>
        <v>NORMAL</v>
      </c>
    </row>
    <row r="436" spans="1:22" x14ac:dyDescent="0.35">
      <c r="A436" t="s">
        <v>1530</v>
      </c>
      <c r="B436" t="s">
        <v>380</v>
      </c>
      <c r="C436">
        <v>79.760000000000005</v>
      </c>
      <c r="D436" s="1">
        <v>44963.685057870367</v>
      </c>
      <c r="E436" s="2">
        <f t="shared" si="24"/>
        <v>0.68505787036701804</v>
      </c>
      <c r="F436" s="3">
        <f t="shared" si="25"/>
        <v>44963</v>
      </c>
      <c r="G436" t="s">
        <v>17</v>
      </c>
      <c r="H436" t="s">
        <v>40</v>
      </c>
      <c r="I436" t="s">
        <v>147</v>
      </c>
      <c r="J436" t="s">
        <v>1259</v>
      </c>
      <c r="K436" t="s">
        <v>288</v>
      </c>
      <c r="L436" t="s">
        <v>69</v>
      </c>
      <c r="M436">
        <v>39</v>
      </c>
      <c r="N436" t="s">
        <v>77</v>
      </c>
      <c r="O436">
        <v>170</v>
      </c>
      <c r="P436">
        <v>1</v>
      </c>
      <c r="Q436">
        <v>6452.14</v>
      </c>
      <c r="R436" s="4">
        <v>45600</v>
      </c>
      <c r="S436" s="6">
        <v>0.33997685185185184</v>
      </c>
      <c r="T436">
        <f t="shared" si="26"/>
        <v>16</v>
      </c>
      <c r="U436" t="str" cm="1">
        <f t="array" ref="U436">_xlfn.IFS(M436&lt;=34,"YOUNG",M436&lt;=54,"MIDDLE AGE",M436&gt;=55,"OLD")</f>
        <v>MIDDLE AGE</v>
      </c>
      <c r="V436" t="str">
        <f t="shared" si="27"/>
        <v>NORMAL</v>
      </c>
    </row>
    <row r="437" spans="1:22" x14ac:dyDescent="0.35">
      <c r="A437" t="s">
        <v>1531</v>
      </c>
      <c r="B437" t="s">
        <v>872</v>
      </c>
      <c r="C437">
        <v>778.49</v>
      </c>
      <c r="D437" s="1">
        <v>45110.700243055559</v>
      </c>
      <c r="E437" s="2">
        <f t="shared" si="24"/>
        <v>0.70024305555853061</v>
      </c>
      <c r="F437" s="3">
        <f t="shared" si="25"/>
        <v>45110</v>
      </c>
      <c r="G437" t="s">
        <v>46</v>
      </c>
      <c r="H437" t="s">
        <v>296</v>
      </c>
      <c r="I437" t="s">
        <v>1532</v>
      </c>
      <c r="J437" t="s">
        <v>744</v>
      </c>
      <c r="K437" t="s">
        <v>56</v>
      </c>
      <c r="L437" t="s">
        <v>36</v>
      </c>
      <c r="M437">
        <v>75</v>
      </c>
      <c r="N437" t="s">
        <v>70</v>
      </c>
      <c r="O437">
        <v>107</v>
      </c>
      <c r="P437">
        <v>1</v>
      </c>
      <c r="Q437">
        <v>7713.67</v>
      </c>
      <c r="R437" s="4">
        <v>45600</v>
      </c>
      <c r="S437" s="6">
        <v>0.33982638888888889</v>
      </c>
      <c r="T437">
        <f t="shared" si="26"/>
        <v>16</v>
      </c>
      <c r="U437" t="str" cm="1">
        <f t="array" ref="U437">_xlfn.IFS(M437&lt;=34,"YOUNG",M437&lt;=54,"MIDDLE AGE",M437&gt;=55,"OLD")</f>
        <v>OLD</v>
      </c>
      <c r="V437" t="str">
        <f t="shared" si="27"/>
        <v>NORMAL</v>
      </c>
    </row>
    <row r="438" spans="1:22" x14ac:dyDescent="0.35">
      <c r="A438" t="s">
        <v>1533</v>
      </c>
      <c r="B438" t="s">
        <v>1517</v>
      </c>
      <c r="C438">
        <v>386.38</v>
      </c>
      <c r="D438" s="1">
        <v>44950.666828703703</v>
      </c>
      <c r="E438" s="2">
        <f t="shared" si="24"/>
        <v>0.66682870370277669</v>
      </c>
      <c r="F438" s="3">
        <f t="shared" si="25"/>
        <v>44950</v>
      </c>
      <c r="G438" t="s">
        <v>17</v>
      </c>
      <c r="H438" t="s">
        <v>425</v>
      </c>
      <c r="I438" t="s">
        <v>356</v>
      </c>
      <c r="J438" t="s">
        <v>1534</v>
      </c>
      <c r="K438" t="s">
        <v>707</v>
      </c>
      <c r="L438" t="s">
        <v>36</v>
      </c>
      <c r="M438">
        <v>42</v>
      </c>
      <c r="N438" t="s">
        <v>77</v>
      </c>
      <c r="O438">
        <v>135</v>
      </c>
      <c r="P438">
        <v>1</v>
      </c>
      <c r="Q438">
        <v>5528.36</v>
      </c>
      <c r="R438" s="4">
        <v>45600</v>
      </c>
      <c r="S438" s="6">
        <v>0.34034722222222225</v>
      </c>
      <c r="T438">
        <f t="shared" si="26"/>
        <v>16</v>
      </c>
      <c r="U438" t="str" cm="1">
        <f t="array" ref="U438">_xlfn.IFS(M438&lt;=34,"YOUNG",M438&lt;=54,"MIDDLE AGE",M438&gt;=55,"OLD")</f>
        <v>MIDDLE AGE</v>
      </c>
      <c r="V438" t="str">
        <f t="shared" si="27"/>
        <v>NORMAL</v>
      </c>
    </row>
    <row r="439" spans="1:22" x14ac:dyDescent="0.35">
      <c r="A439" t="s">
        <v>1535</v>
      </c>
      <c r="B439" t="s">
        <v>1536</v>
      </c>
      <c r="C439">
        <v>165.25</v>
      </c>
      <c r="D439" s="1">
        <v>45254.716284722221</v>
      </c>
      <c r="E439" s="2">
        <f t="shared" si="24"/>
        <v>0.71628472222073469</v>
      </c>
      <c r="F439" s="3">
        <f t="shared" si="25"/>
        <v>45254</v>
      </c>
      <c r="G439" t="s">
        <v>17</v>
      </c>
      <c r="H439" t="s">
        <v>285</v>
      </c>
      <c r="I439" t="s">
        <v>1537</v>
      </c>
      <c r="J439" t="s">
        <v>1348</v>
      </c>
      <c r="K439" t="s">
        <v>105</v>
      </c>
      <c r="L439" t="s">
        <v>36</v>
      </c>
      <c r="M439">
        <v>35</v>
      </c>
      <c r="N439" t="s">
        <v>23</v>
      </c>
      <c r="O439">
        <v>106</v>
      </c>
      <c r="P439">
        <v>1</v>
      </c>
      <c r="Q439">
        <v>9939.94</v>
      </c>
      <c r="R439" s="4">
        <v>45600</v>
      </c>
      <c r="S439" s="6">
        <v>0.34137731481481481</v>
      </c>
      <c r="T439">
        <f t="shared" si="26"/>
        <v>17</v>
      </c>
      <c r="U439" t="str" cm="1">
        <f t="array" ref="U439">_xlfn.IFS(M439&lt;=34,"YOUNG",M439&lt;=54,"MIDDLE AGE",M439&gt;=55,"OLD")</f>
        <v>MIDDLE AGE</v>
      </c>
      <c r="V439" t="str">
        <f t="shared" si="27"/>
        <v>NORMAL</v>
      </c>
    </row>
    <row r="440" spans="1:22" x14ac:dyDescent="0.35">
      <c r="A440" t="s">
        <v>1538</v>
      </c>
      <c r="B440" t="s">
        <v>1289</v>
      </c>
      <c r="C440">
        <v>14.29</v>
      </c>
      <c r="D440" s="1">
        <v>44985.686400462961</v>
      </c>
      <c r="E440" s="2">
        <f t="shared" si="24"/>
        <v>0.68640046296059154</v>
      </c>
      <c r="F440" s="3">
        <f t="shared" si="25"/>
        <v>44985</v>
      </c>
      <c r="G440" t="s">
        <v>17</v>
      </c>
      <c r="H440" t="s">
        <v>140</v>
      </c>
      <c r="I440" t="s">
        <v>1539</v>
      </c>
      <c r="J440" t="s">
        <v>1540</v>
      </c>
      <c r="K440" t="s">
        <v>272</v>
      </c>
      <c r="L440" t="s">
        <v>22</v>
      </c>
      <c r="M440">
        <v>34</v>
      </c>
      <c r="N440" t="s">
        <v>77</v>
      </c>
      <c r="O440">
        <v>150</v>
      </c>
      <c r="P440">
        <v>1</v>
      </c>
      <c r="Q440">
        <v>7016.99</v>
      </c>
      <c r="R440" s="4">
        <v>45600</v>
      </c>
      <c r="S440" s="6">
        <v>0.33949074074074076</v>
      </c>
      <c r="T440">
        <f t="shared" si="26"/>
        <v>16</v>
      </c>
      <c r="U440" t="str" cm="1">
        <f t="array" ref="U440">_xlfn.IFS(M440&lt;=34,"YOUNG",M440&lt;=54,"MIDDLE AGE",M440&gt;=55,"OLD")</f>
        <v>YOUNG</v>
      </c>
      <c r="V440" t="str">
        <f t="shared" si="27"/>
        <v>NORMAL</v>
      </c>
    </row>
    <row r="441" spans="1:22" x14ac:dyDescent="0.35">
      <c r="A441" t="s">
        <v>1541</v>
      </c>
      <c r="B441" t="s">
        <v>1542</v>
      </c>
      <c r="C441">
        <v>232.79</v>
      </c>
      <c r="D441" s="1">
        <v>45189.733402777776</v>
      </c>
      <c r="E441" s="2">
        <f t="shared" si="24"/>
        <v>0.73340277777606389</v>
      </c>
      <c r="F441" s="3">
        <f t="shared" si="25"/>
        <v>45189</v>
      </c>
      <c r="G441" t="s">
        <v>46</v>
      </c>
      <c r="H441" t="s">
        <v>65</v>
      </c>
      <c r="I441" t="s">
        <v>1543</v>
      </c>
      <c r="J441" t="s">
        <v>239</v>
      </c>
      <c r="K441" t="s">
        <v>62</v>
      </c>
      <c r="L441" t="s">
        <v>69</v>
      </c>
      <c r="M441">
        <v>55</v>
      </c>
      <c r="N441" t="s">
        <v>70</v>
      </c>
      <c r="O441">
        <v>145</v>
      </c>
      <c r="P441">
        <v>1</v>
      </c>
      <c r="Q441">
        <v>2661.3</v>
      </c>
      <c r="R441" s="4">
        <v>45600</v>
      </c>
      <c r="S441" s="6">
        <v>0.34143518518518517</v>
      </c>
      <c r="T441">
        <f t="shared" si="26"/>
        <v>17</v>
      </c>
      <c r="U441" t="str" cm="1">
        <f t="array" ref="U441">_xlfn.IFS(M441&lt;=34,"YOUNG",M441&lt;=54,"MIDDLE AGE",M441&gt;=55,"OLD")</f>
        <v>OLD</v>
      </c>
      <c r="V441" t="str">
        <f t="shared" si="27"/>
        <v>NORMAL</v>
      </c>
    </row>
    <row r="442" spans="1:22" x14ac:dyDescent="0.35">
      <c r="A442" t="s">
        <v>1544</v>
      </c>
      <c r="B442" t="s">
        <v>1313</v>
      </c>
      <c r="C442">
        <v>1237.56</v>
      </c>
      <c r="D442" s="1">
        <v>45243.742407407408</v>
      </c>
      <c r="E442" s="2">
        <f t="shared" si="24"/>
        <v>0.74240740740788169</v>
      </c>
      <c r="F442" s="3">
        <f t="shared" si="25"/>
        <v>45243</v>
      </c>
      <c r="G442" t="s">
        <v>46</v>
      </c>
      <c r="H442" t="s">
        <v>119</v>
      </c>
      <c r="I442" t="s">
        <v>229</v>
      </c>
      <c r="J442" t="s">
        <v>1545</v>
      </c>
      <c r="K442" t="s">
        <v>406</v>
      </c>
      <c r="L442" t="s">
        <v>69</v>
      </c>
      <c r="M442">
        <v>60</v>
      </c>
      <c r="N442" t="s">
        <v>77</v>
      </c>
      <c r="O442">
        <v>159</v>
      </c>
      <c r="P442">
        <v>1</v>
      </c>
      <c r="Q442">
        <v>9410.17</v>
      </c>
      <c r="R442" s="4">
        <v>45600</v>
      </c>
      <c r="S442" s="6">
        <v>0.34149305555555554</v>
      </c>
      <c r="T442">
        <f t="shared" si="26"/>
        <v>17</v>
      </c>
      <c r="U442" t="str" cm="1">
        <f t="array" ref="U442">_xlfn.IFS(M442&lt;=34,"YOUNG",M442&lt;=54,"MIDDLE AGE",M442&gt;=55,"OLD")</f>
        <v>OLD</v>
      </c>
      <c r="V442" t="str">
        <f t="shared" si="27"/>
        <v>NORMAL</v>
      </c>
    </row>
    <row r="443" spans="1:22" x14ac:dyDescent="0.35">
      <c r="A443" t="s">
        <v>1546</v>
      </c>
      <c r="B443" t="s">
        <v>1547</v>
      </c>
      <c r="C443">
        <v>92.29</v>
      </c>
      <c r="D443" s="1">
        <v>44972.679155092592</v>
      </c>
      <c r="E443" s="2">
        <f t="shared" si="24"/>
        <v>0.67915509259182727</v>
      </c>
      <c r="F443" s="3">
        <f t="shared" si="25"/>
        <v>44972</v>
      </c>
      <c r="G443" t="s">
        <v>17</v>
      </c>
      <c r="H443" t="s">
        <v>86</v>
      </c>
      <c r="I443" t="s">
        <v>1548</v>
      </c>
      <c r="J443" t="s">
        <v>1298</v>
      </c>
      <c r="K443" t="s">
        <v>21</v>
      </c>
      <c r="L443" t="s">
        <v>69</v>
      </c>
      <c r="M443">
        <v>54</v>
      </c>
      <c r="N443" t="s">
        <v>77</v>
      </c>
      <c r="O443">
        <v>115</v>
      </c>
      <c r="P443">
        <v>1</v>
      </c>
      <c r="Q443">
        <v>2026.32</v>
      </c>
      <c r="R443" s="4">
        <v>45600</v>
      </c>
      <c r="S443" s="6">
        <v>0.34126157407407409</v>
      </c>
      <c r="T443">
        <f t="shared" si="26"/>
        <v>16</v>
      </c>
      <c r="U443" t="str" cm="1">
        <f t="array" ref="U443">_xlfn.IFS(M443&lt;=34,"YOUNG",M443&lt;=54,"MIDDLE AGE",M443&gt;=55,"OLD")</f>
        <v>MIDDLE AGE</v>
      </c>
      <c r="V443" t="str">
        <f t="shared" si="27"/>
        <v>NORMAL</v>
      </c>
    </row>
    <row r="444" spans="1:22" x14ac:dyDescent="0.35">
      <c r="A444" t="s">
        <v>1549</v>
      </c>
      <c r="B444" t="s">
        <v>39</v>
      </c>
      <c r="C444">
        <v>293.97000000000003</v>
      </c>
      <c r="D444" s="1">
        <v>45243.732118055559</v>
      </c>
      <c r="E444" s="2">
        <f t="shared" si="24"/>
        <v>0.73211805555911269</v>
      </c>
      <c r="F444" s="3">
        <f t="shared" si="25"/>
        <v>45243</v>
      </c>
      <c r="G444" t="s">
        <v>17</v>
      </c>
      <c r="H444" t="s">
        <v>425</v>
      </c>
      <c r="I444" t="s">
        <v>1550</v>
      </c>
      <c r="J444" t="s">
        <v>1551</v>
      </c>
      <c r="K444" t="s">
        <v>478</v>
      </c>
      <c r="L444" t="s">
        <v>69</v>
      </c>
      <c r="M444">
        <v>68</v>
      </c>
      <c r="N444" t="s">
        <v>70</v>
      </c>
      <c r="O444">
        <v>153</v>
      </c>
      <c r="P444">
        <v>1</v>
      </c>
      <c r="Q444">
        <v>7371.85</v>
      </c>
      <c r="R444" s="4">
        <v>45600</v>
      </c>
      <c r="S444" s="6">
        <v>0.33954861111111112</v>
      </c>
      <c r="T444">
        <f t="shared" si="26"/>
        <v>17</v>
      </c>
      <c r="U444" t="str" cm="1">
        <f t="array" ref="U444">_xlfn.IFS(M444&lt;=34,"YOUNG",M444&lt;=54,"MIDDLE AGE",M444&gt;=55,"OLD")</f>
        <v>OLD</v>
      </c>
      <c r="V444" t="str">
        <f t="shared" si="27"/>
        <v>NORMAL</v>
      </c>
    </row>
    <row r="445" spans="1:22" x14ac:dyDescent="0.35">
      <c r="A445" t="s">
        <v>1552</v>
      </c>
      <c r="B445" t="s">
        <v>785</v>
      </c>
      <c r="C445">
        <v>136.32</v>
      </c>
      <c r="D445" s="1">
        <v>45210.785000000003</v>
      </c>
      <c r="E445" s="2">
        <f t="shared" si="24"/>
        <v>0.78500000000349246</v>
      </c>
      <c r="F445" s="3">
        <f t="shared" si="25"/>
        <v>45210</v>
      </c>
      <c r="G445" t="s">
        <v>17</v>
      </c>
      <c r="H445" t="s">
        <v>172</v>
      </c>
      <c r="I445" t="s">
        <v>351</v>
      </c>
      <c r="J445" t="s">
        <v>1133</v>
      </c>
      <c r="K445" t="s">
        <v>406</v>
      </c>
      <c r="L445" t="s">
        <v>36</v>
      </c>
      <c r="M445">
        <v>19</v>
      </c>
      <c r="N445" t="s">
        <v>37</v>
      </c>
      <c r="O445">
        <v>113</v>
      </c>
      <c r="P445">
        <v>1</v>
      </c>
      <c r="Q445">
        <v>264.83</v>
      </c>
      <c r="R445" s="4">
        <v>45600</v>
      </c>
      <c r="S445" s="6">
        <v>0.33986111111111111</v>
      </c>
      <c r="T445">
        <f t="shared" si="26"/>
        <v>18</v>
      </c>
      <c r="U445" t="str" cm="1">
        <f t="array" ref="U445">_xlfn.IFS(M445&lt;=34,"YOUNG",M445&lt;=54,"MIDDLE AGE",M445&gt;=55,"OLD")</f>
        <v>YOUNG</v>
      </c>
      <c r="V445" t="str">
        <f t="shared" si="27"/>
        <v>NORMAL</v>
      </c>
    </row>
    <row r="446" spans="1:22" x14ac:dyDescent="0.35">
      <c r="A446" t="s">
        <v>1553</v>
      </c>
      <c r="B446" t="s">
        <v>1554</v>
      </c>
      <c r="C446">
        <v>251.06</v>
      </c>
      <c r="D446" s="1">
        <v>45266.72724537037</v>
      </c>
      <c r="E446" s="2">
        <f t="shared" si="24"/>
        <v>0.72724537036992842</v>
      </c>
      <c r="F446" s="3">
        <f t="shared" si="25"/>
        <v>45266</v>
      </c>
      <c r="G446" t="s">
        <v>17</v>
      </c>
      <c r="H446" t="s">
        <v>521</v>
      </c>
      <c r="I446" t="s">
        <v>1555</v>
      </c>
      <c r="J446" t="s">
        <v>1556</v>
      </c>
      <c r="K446" t="s">
        <v>362</v>
      </c>
      <c r="L446" t="s">
        <v>36</v>
      </c>
      <c r="M446">
        <v>36</v>
      </c>
      <c r="N446" t="s">
        <v>23</v>
      </c>
      <c r="O446">
        <v>34</v>
      </c>
      <c r="P446">
        <v>1</v>
      </c>
      <c r="Q446">
        <v>10001.66</v>
      </c>
      <c r="R446" s="4">
        <v>45600</v>
      </c>
      <c r="S446" s="6">
        <v>0.34042824074074074</v>
      </c>
      <c r="T446">
        <f t="shared" si="26"/>
        <v>17</v>
      </c>
      <c r="U446" t="str" cm="1">
        <f t="array" ref="U446">_xlfn.IFS(M446&lt;=34,"YOUNG",M446&lt;=54,"MIDDLE AGE",M446&gt;=55,"OLD")</f>
        <v>MIDDLE AGE</v>
      </c>
      <c r="V446" t="str">
        <f t="shared" si="27"/>
        <v>NORMAL</v>
      </c>
    </row>
    <row r="447" spans="1:22" x14ac:dyDescent="0.35">
      <c r="A447" t="s">
        <v>1557</v>
      </c>
      <c r="B447" t="s">
        <v>242</v>
      </c>
      <c r="C447">
        <v>50.17</v>
      </c>
      <c r="D447" s="1">
        <v>45187.706759259258</v>
      </c>
      <c r="E447" s="2">
        <f t="shared" si="24"/>
        <v>0.70675925925752381</v>
      </c>
      <c r="F447" s="3">
        <f t="shared" si="25"/>
        <v>45187</v>
      </c>
      <c r="G447" t="s">
        <v>46</v>
      </c>
      <c r="H447" t="s">
        <v>285</v>
      </c>
      <c r="I447" t="s">
        <v>1558</v>
      </c>
      <c r="J447" t="s">
        <v>1559</v>
      </c>
      <c r="K447" t="s">
        <v>137</v>
      </c>
      <c r="L447" t="s">
        <v>22</v>
      </c>
      <c r="M447">
        <v>77</v>
      </c>
      <c r="N447" t="s">
        <v>70</v>
      </c>
      <c r="O447">
        <v>35</v>
      </c>
      <c r="P447">
        <v>1</v>
      </c>
      <c r="Q447">
        <v>7752.14</v>
      </c>
      <c r="R447" s="4">
        <v>45600</v>
      </c>
      <c r="S447" s="6">
        <v>0.34096064814814814</v>
      </c>
      <c r="T447">
        <f t="shared" si="26"/>
        <v>16</v>
      </c>
      <c r="U447" t="str" cm="1">
        <f t="array" ref="U447">_xlfn.IFS(M447&lt;=34,"YOUNG",M447&lt;=54,"MIDDLE AGE",M447&gt;=55,"OLD")</f>
        <v>OLD</v>
      </c>
      <c r="V447" t="str">
        <f t="shared" si="27"/>
        <v>NORMAL</v>
      </c>
    </row>
    <row r="448" spans="1:22" x14ac:dyDescent="0.35">
      <c r="A448" t="s">
        <v>1560</v>
      </c>
      <c r="B448" t="s">
        <v>1561</v>
      </c>
      <c r="C448">
        <v>21.4</v>
      </c>
      <c r="D448" s="1">
        <v>45286.671851851854</v>
      </c>
      <c r="E448" s="2">
        <f t="shared" si="24"/>
        <v>0.67185185185371665</v>
      </c>
      <c r="F448" s="3">
        <f t="shared" si="25"/>
        <v>45286</v>
      </c>
      <c r="G448" t="s">
        <v>17</v>
      </c>
      <c r="H448" t="s">
        <v>558</v>
      </c>
      <c r="I448" t="s">
        <v>890</v>
      </c>
      <c r="J448" t="s">
        <v>335</v>
      </c>
      <c r="K448" t="s">
        <v>1562</v>
      </c>
      <c r="L448" t="s">
        <v>69</v>
      </c>
      <c r="M448">
        <v>34</v>
      </c>
      <c r="N448" t="s">
        <v>77</v>
      </c>
      <c r="O448">
        <v>258</v>
      </c>
      <c r="P448">
        <v>1</v>
      </c>
      <c r="Q448">
        <v>9594.11</v>
      </c>
      <c r="R448" s="4">
        <v>45600</v>
      </c>
      <c r="S448" s="6">
        <v>0.34143518518518517</v>
      </c>
      <c r="T448">
        <f t="shared" si="26"/>
        <v>16</v>
      </c>
      <c r="U448" t="str" cm="1">
        <f t="array" ref="U448">_xlfn.IFS(M448&lt;=34,"YOUNG",M448&lt;=54,"MIDDLE AGE",M448&gt;=55,"OLD")</f>
        <v>YOUNG</v>
      </c>
      <c r="V448" t="str">
        <f t="shared" si="27"/>
        <v>NORMAL</v>
      </c>
    </row>
    <row r="449" spans="1:22" x14ac:dyDescent="0.35">
      <c r="A449" t="s">
        <v>1563</v>
      </c>
      <c r="B449" t="s">
        <v>691</v>
      </c>
      <c r="C449">
        <v>73.28</v>
      </c>
      <c r="D449" s="1">
        <v>44995.731388888889</v>
      </c>
      <c r="E449" s="2">
        <f t="shared" si="24"/>
        <v>0.73138888888934162</v>
      </c>
      <c r="F449" s="3">
        <f t="shared" si="25"/>
        <v>44995</v>
      </c>
      <c r="G449" t="s">
        <v>17</v>
      </c>
      <c r="H449" t="s">
        <v>388</v>
      </c>
      <c r="I449" t="s">
        <v>1486</v>
      </c>
      <c r="J449" t="s">
        <v>1564</v>
      </c>
      <c r="K449" t="s">
        <v>1287</v>
      </c>
      <c r="L449" t="s">
        <v>69</v>
      </c>
      <c r="M449">
        <v>21</v>
      </c>
      <c r="N449" t="s">
        <v>37</v>
      </c>
      <c r="O449">
        <v>21</v>
      </c>
      <c r="P449">
        <v>1</v>
      </c>
      <c r="Q449">
        <v>1329.41</v>
      </c>
      <c r="R449" s="4">
        <v>45600</v>
      </c>
      <c r="S449" s="6">
        <v>0.3409375</v>
      </c>
      <c r="T449">
        <f t="shared" si="26"/>
        <v>17</v>
      </c>
      <c r="U449" t="str" cm="1">
        <f t="array" ref="U449">_xlfn.IFS(M449&lt;=34,"YOUNG",M449&lt;=54,"MIDDLE AGE",M449&gt;=55,"OLD")</f>
        <v>YOUNG</v>
      </c>
      <c r="V449" t="str">
        <f t="shared" si="27"/>
        <v>NORMAL</v>
      </c>
    </row>
    <row r="450" spans="1:22" x14ac:dyDescent="0.35">
      <c r="A450" t="s">
        <v>1565</v>
      </c>
      <c r="B450" t="s">
        <v>1137</v>
      </c>
      <c r="C450">
        <v>70.23</v>
      </c>
      <c r="D450" s="1">
        <v>45182.679247685184</v>
      </c>
      <c r="E450" s="2">
        <f t="shared" ref="E450:E513" si="28">D450-INT(D450)</f>
        <v>0.67924768518423662</v>
      </c>
      <c r="F450" s="3">
        <f t="shared" ref="F450:F513" si="29">INT(D450)</f>
        <v>45182</v>
      </c>
      <c r="G450" t="s">
        <v>17</v>
      </c>
      <c r="H450" t="s">
        <v>92</v>
      </c>
      <c r="I450" t="s">
        <v>1566</v>
      </c>
      <c r="J450" t="s">
        <v>1567</v>
      </c>
      <c r="K450" t="s">
        <v>386</v>
      </c>
      <c r="L450" t="s">
        <v>22</v>
      </c>
      <c r="M450">
        <v>38</v>
      </c>
      <c r="N450" t="s">
        <v>23</v>
      </c>
      <c r="O450">
        <v>260</v>
      </c>
      <c r="P450">
        <v>1</v>
      </c>
      <c r="Q450">
        <v>11624.93</v>
      </c>
      <c r="R450" s="4">
        <v>45600</v>
      </c>
      <c r="S450" s="6">
        <v>0.33837962962962964</v>
      </c>
      <c r="T450">
        <f t="shared" si="26"/>
        <v>16</v>
      </c>
      <c r="U450" t="str" cm="1">
        <f t="array" ref="U450">_xlfn.IFS(M450&lt;=34,"YOUNG",M450&lt;=54,"MIDDLE AGE",M450&gt;=55,"OLD")</f>
        <v>MIDDLE AGE</v>
      </c>
      <c r="V450" t="str">
        <f t="shared" si="27"/>
        <v>NORMAL</v>
      </c>
    </row>
    <row r="451" spans="1:22" x14ac:dyDescent="0.35">
      <c r="A451" t="s">
        <v>1568</v>
      </c>
      <c r="B451" t="s">
        <v>1569</v>
      </c>
      <c r="C451">
        <v>689.29</v>
      </c>
      <c r="D451" s="1">
        <v>44932.729247685187</v>
      </c>
      <c r="E451" s="2">
        <f t="shared" si="28"/>
        <v>0.729247685187147</v>
      </c>
      <c r="F451" s="3">
        <f t="shared" si="29"/>
        <v>44932</v>
      </c>
      <c r="G451" t="s">
        <v>17</v>
      </c>
      <c r="H451" t="s">
        <v>506</v>
      </c>
      <c r="I451" t="s">
        <v>1570</v>
      </c>
      <c r="J451" t="s">
        <v>1571</v>
      </c>
      <c r="K451" t="s">
        <v>639</v>
      </c>
      <c r="L451" t="s">
        <v>22</v>
      </c>
      <c r="M451">
        <v>22</v>
      </c>
      <c r="N451" t="s">
        <v>37</v>
      </c>
      <c r="O451">
        <v>100</v>
      </c>
      <c r="P451">
        <v>1</v>
      </c>
      <c r="Q451">
        <v>168.84</v>
      </c>
      <c r="R451" s="4">
        <v>45600</v>
      </c>
      <c r="S451" s="6">
        <v>0.33876157407407409</v>
      </c>
      <c r="T451">
        <f t="shared" ref="T451:T514" si="30">HOUR(E451)</f>
        <v>17</v>
      </c>
      <c r="U451" t="str" cm="1">
        <f t="array" ref="U451">_xlfn.IFS(M451&lt;=34,"YOUNG",M451&lt;=54,"MIDDLE AGE",M451&gt;=55,"OLD")</f>
        <v>YOUNG</v>
      </c>
      <c r="V451" t="str">
        <f t="shared" ref="V451:V514" si="31">IF(P451&gt;1,"HIGH","NORMAL")</f>
        <v>NORMAL</v>
      </c>
    </row>
    <row r="452" spans="1:22" x14ac:dyDescent="0.35">
      <c r="A452" t="s">
        <v>1572</v>
      </c>
      <c r="B452" t="s">
        <v>1147</v>
      </c>
      <c r="C452">
        <v>745.03</v>
      </c>
      <c r="D452" s="1">
        <v>45141.737523148149</v>
      </c>
      <c r="E452" s="2">
        <f t="shared" si="28"/>
        <v>0.73752314814919373</v>
      </c>
      <c r="F452" s="3">
        <f t="shared" si="29"/>
        <v>45141</v>
      </c>
      <c r="G452" t="s">
        <v>17</v>
      </c>
      <c r="H452" t="s">
        <v>157</v>
      </c>
      <c r="I452" t="s">
        <v>1573</v>
      </c>
      <c r="J452" t="s">
        <v>1496</v>
      </c>
      <c r="K452" t="s">
        <v>326</v>
      </c>
      <c r="L452" t="s">
        <v>36</v>
      </c>
      <c r="M452">
        <v>28</v>
      </c>
      <c r="N452" t="s">
        <v>37</v>
      </c>
      <c r="O452">
        <v>231</v>
      </c>
      <c r="P452">
        <v>1</v>
      </c>
      <c r="Q452">
        <v>160.57</v>
      </c>
      <c r="R452" s="4">
        <v>45600</v>
      </c>
      <c r="S452" s="6">
        <v>0.33975694444444443</v>
      </c>
      <c r="T452">
        <f t="shared" si="30"/>
        <v>17</v>
      </c>
      <c r="U452" t="str" cm="1">
        <f t="array" ref="U452">_xlfn.IFS(M452&lt;=34,"YOUNG",M452&lt;=54,"MIDDLE AGE",M452&gt;=55,"OLD")</f>
        <v>YOUNG</v>
      </c>
      <c r="V452" t="str">
        <f t="shared" si="31"/>
        <v>NORMAL</v>
      </c>
    </row>
    <row r="453" spans="1:22" x14ac:dyDescent="0.35">
      <c r="A453" t="s">
        <v>1574</v>
      </c>
      <c r="B453" t="s">
        <v>1167</v>
      </c>
      <c r="C453">
        <v>54.61</v>
      </c>
      <c r="D453" s="1">
        <v>45264.673657407409</v>
      </c>
      <c r="E453" s="2">
        <f t="shared" si="28"/>
        <v>0.67365740740933688</v>
      </c>
      <c r="F453" s="3">
        <f t="shared" si="29"/>
        <v>45264</v>
      </c>
      <c r="G453" t="s">
        <v>17</v>
      </c>
      <c r="H453" t="s">
        <v>178</v>
      </c>
      <c r="I453" t="s">
        <v>1575</v>
      </c>
      <c r="J453" t="s">
        <v>1576</v>
      </c>
      <c r="K453" t="s">
        <v>169</v>
      </c>
      <c r="L453" t="s">
        <v>22</v>
      </c>
      <c r="M453">
        <v>58</v>
      </c>
      <c r="N453" t="s">
        <v>77</v>
      </c>
      <c r="O453">
        <v>160</v>
      </c>
      <c r="P453">
        <v>1</v>
      </c>
      <c r="Q453">
        <v>7135.64</v>
      </c>
      <c r="R453" s="4">
        <v>45600</v>
      </c>
      <c r="S453" s="6">
        <v>0.33841435185185187</v>
      </c>
      <c r="T453">
        <f t="shared" si="30"/>
        <v>16</v>
      </c>
      <c r="U453" t="str" cm="1">
        <f t="array" ref="U453">_xlfn.IFS(M453&lt;=34,"YOUNG",M453&lt;=54,"MIDDLE AGE",M453&gt;=55,"OLD")</f>
        <v>OLD</v>
      </c>
      <c r="V453" t="str">
        <f t="shared" si="31"/>
        <v>NORMAL</v>
      </c>
    </row>
    <row r="454" spans="1:22" x14ac:dyDescent="0.35">
      <c r="A454" t="s">
        <v>1577</v>
      </c>
      <c r="B454" t="s">
        <v>318</v>
      </c>
      <c r="C454">
        <v>54.05</v>
      </c>
      <c r="D454" s="1">
        <v>45041.703726851854</v>
      </c>
      <c r="E454" s="2">
        <f t="shared" si="28"/>
        <v>0.70372685185429873</v>
      </c>
      <c r="F454" s="3">
        <f t="shared" si="29"/>
        <v>45041</v>
      </c>
      <c r="G454" t="s">
        <v>17</v>
      </c>
      <c r="H454" t="s">
        <v>108</v>
      </c>
      <c r="I454" t="s">
        <v>1578</v>
      </c>
      <c r="J454" t="s">
        <v>440</v>
      </c>
      <c r="K454" t="s">
        <v>181</v>
      </c>
      <c r="L454" t="s">
        <v>69</v>
      </c>
      <c r="M454">
        <v>27</v>
      </c>
      <c r="N454" t="s">
        <v>37</v>
      </c>
      <c r="O454">
        <v>146</v>
      </c>
      <c r="P454">
        <v>1</v>
      </c>
      <c r="Q454">
        <v>469.14</v>
      </c>
      <c r="R454" s="4">
        <v>45600</v>
      </c>
      <c r="S454" s="6">
        <v>0.34136574074074072</v>
      </c>
      <c r="T454">
        <f t="shared" si="30"/>
        <v>16</v>
      </c>
      <c r="U454" t="str" cm="1">
        <f t="array" ref="U454">_xlfn.IFS(M454&lt;=34,"YOUNG",M454&lt;=54,"MIDDLE AGE",M454&gt;=55,"OLD")</f>
        <v>YOUNG</v>
      </c>
      <c r="V454" t="str">
        <f t="shared" si="31"/>
        <v>NORMAL</v>
      </c>
    </row>
    <row r="455" spans="1:22" x14ac:dyDescent="0.35">
      <c r="A455" t="s">
        <v>1579</v>
      </c>
      <c r="B455" t="s">
        <v>520</v>
      </c>
      <c r="C455">
        <v>107.47</v>
      </c>
      <c r="D455" s="1">
        <v>45028.735752314817</v>
      </c>
      <c r="E455" s="2">
        <f t="shared" si="28"/>
        <v>0.7357523148166365</v>
      </c>
      <c r="F455" s="3">
        <f t="shared" si="29"/>
        <v>45028</v>
      </c>
      <c r="G455" t="s">
        <v>17</v>
      </c>
      <c r="H455" t="s">
        <v>119</v>
      </c>
      <c r="I455" t="s">
        <v>750</v>
      </c>
      <c r="J455" t="s">
        <v>1306</v>
      </c>
      <c r="K455" t="s">
        <v>980</v>
      </c>
      <c r="L455" t="s">
        <v>36</v>
      </c>
      <c r="M455">
        <v>67</v>
      </c>
      <c r="N455" t="s">
        <v>70</v>
      </c>
      <c r="O455">
        <v>144</v>
      </c>
      <c r="P455">
        <v>1</v>
      </c>
      <c r="Q455">
        <v>7517.5</v>
      </c>
      <c r="R455" s="4">
        <v>45600</v>
      </c>
      <c r="S455" s="6">
        <v>0.34177083333333336</v>
      </c>
      <c r="T455">
        <f t="shared" si="30"/>
        <v>17</v>
      </c>
      <c r="U455" t="str" cm="1">
        <f t="array" ref="U455">_xlfn.IFS(M455&lt;=34,"YOUNG",M455&lt;=54,"MIDDLE AGE",M455&gt;=55,"OLD")</f>
        <v>OLD</v>
      </c>
      <c r="V455" t="str">
        <f t="shared" si="31"/>
        <v>NORMAL</v>
      </c>
    </row>
    <row r="456" spans="1:22" x14ac:dyDescent="0.35">
      <c r="A456" t="s">
        <v>1580</v>
      </c>
      <c r="B456" t="s">
        <v>102</v>
      </c>
      <c r="C456">
        <v>611.11</v>
      </c>
      <c r="D456" s="1">
        <v>45217.772581018522</v>
      </c>
      <c r="E456" s="2">
        <f t="shared" si="28"/>
        <v>0.77258101852203254</v>
      </c>
      <c r="F456" s="3">
        <f t="shared" si="29"/>
        <v>45217</v>
      </c>
      <c r="G456" t="s">
        <v>17</v>
      </c>
      <c r="H456" t="s">
        <v>73</v>
      </c>
      <c r="I456" t="s">
        <v>846</v>
      </c>
      <c r="J456" t="s">
        <v>1581</v>
      </c>
      <c r="K456" t="s">
        <v>414</v>
      </c>
      <c r="L456" t="s">
        <v>22</v>
      </c>
      <c r="M456">
        <v>20</v>
      </c>
      <c r="N456" t="s">
        <v>37</v>
      </c>
      <c r="O456">
        <v>282</v>
      </c>
      <c r="P456">
        <v>4</v>
      </c>
      <c r="Q456">
        <v>919.84</v>
      </c>
      <c r="R456" s="4">
        <v>45600</v>
      </c>
      <c r="S456" s="6">
        <v>0.34111111111111109</v>
      </c>
      <c r="T456">
        <f t="shared" si="30"/>
        <v>18</v>
      </c>
      <c r="U456" t="str" cm="1">
        <f t="array" ref="U456">_xlfn.IFS(M456&lt;=34,"YOUNG",M456&lt;=54,"MIDDLE AGE",M456&gt;=55,"OLD")</f>
        <v>YOUNG</v>
      </c>
      <c r="V456" t="str">
        <f t="shared" si="31"/>
        <v>HIGH</v>
      </c>
    </row>
    <row r="457" spans="1:22" x14ac:dyDescent="0.35">
      <c r="A457" t="s">
        <v>1582</v>
      </c>
      <c r="B457" t="s">
        <v>1052</v>
      </c>
      <c r="C457">
        <v>219.63</v>
      </c>
      <c r="D457" s="1">
        <v>45240.67114583333</v>
      </c>
      <c r="E457" s="2">
        <f t="shared" si="28"/>
        <v>0.67114583333022892</v>
      </c>
      <c r="F457" s="3">
        <f t="shared" si="29"/>
        <v>45240</v>
      </c>
      <c r="G457" t="s">
        <v>17</v>
      </c>
      <c r="H457" t="s">
        <v>249</v>
      </c>
      <c r="I457" t="s">
        <v>1489</v>
      </c>
      <c r="J457" t="s">
        <v>1567</v>
      </c>
      <c r="K457" t="s">
        <v>43</v>
      </c>
      <c r="L457" t="s">
        <v>22</v>
      </c>
      <c r="M457">
        <v>48</v>
      </c>
      <c r="N457" t="s">
        <v>23</v>
      </c>
      <c r="O457">
        <v>44</v>
      </c>
      <c r="P457">
        <v>1</v>
      </c>
      <c r="Q457">
        <v>8013.63</v>
      </c>
      <c r="R457" s="4">
        <v>45600</v>
      </c>
      <c r="S457" s="6">
        <v>0.33853009259259259</v>
      </c>
      <c r="T457">
        <f t="shared" si="30"/>
        <v>16</v>
      </c>
      <c r="U457" t="str" cm="1">
        <f t="array" ref="U457">_xlfn.IFS(M457&lt;=34,"YOUNG",M457&lt;=54,"MIDDLE AGE",M457&gt;=55,"OLD")</f>
        <v>MIDDLE AGE</v>
      </c>
      <c r="V457" t="str">
        <f t="shared" si="31"/>
        <v>NORMAL</v>
      </c>
    </row>
    <row r="458" spans="1:22" x14ac:dyDescent="0.35">
      <c r="A458" t="s">
        <v>1583</v>
      </c>
      <c r="B458" t="s">
        <v>355</v>
      </c>
      <c r="C458">
        <v>188.7</v>
      </c>
      <c r="D458" s="1">
        <v>44967.667407407411</v>
      </c>
      <c r="E458" s="2">
        <f t="shared" si="28"/>
        <v>0.66740740741079208</v>
      </c>
      <c r="F458" s="3">
        <f t="shared" si="29"/>
        <v>44967</v>
      </c>
      <c r="G458" t="s">
        <v>17</v>
      </c>
      <c r="H458" t="s">
        <v>203</v>
      </c>
      <c r="I458" t="s">
        <v>1584</v>
      </c>
      <c r="J458" t="s">
        <v>1585</v>
      </c>
      <c r="K458" t="s">
        <v>514</v>
      </c>
      <c r="L458" t="s">
        <v>69</v>
      </c>
      <c r="M458">
        <v>54</v>
      </c>
      <c r="N458" t="s">
        <v>70</v>
      </c>
      <c r="O458">
        <v>123</v>
      </c>
      <c r="P458">
        <v>1</v>
      </c>
      <c r="Q458">
        <v>5077.0600000000004</v>
      </c>
      <c r="R458" s="4">
        <v>45600</v>
      </c>
      <c r="S458" s="6">
        <v>0.3402662037037037</v>
      </c>
      <c r="T458">
        <f t="shared" si="30"/>
        <v>16</v>
      </c>
      <c r="U458" t="str" cm="1">
        <f t="array" ref="U458">_xlfn.IFS(M458&lt;=34,"YOUNG",M458&lt;=54,"MIDDLE AGE",M458&gt;=55,"OLD")</f>
        <v>MIDDLE AGE</v>
      </c>
      <c r="V458" t="str">
        <f t="shared" si="31"/>
        <v>NORMAL</v>
      </c>
    </row>
    <row r="459" spans="1:22" x14ac:dyDescent="0.35">
      <c r="A459" t="s">
        <v>1586</v>
      </c>
      <c r="B459" t="s">
        <v>1587</v>
      </c>
      <c r="C459">
        <v>93.52</v>
      </c>
      <c r="D459" s="1">
        <v>45152.737083333333</v>
      </c>
      <c r="E459" s="2">
        <f t="shared" si="28"/>
        <v>0.73708333333343035</v>
      </c>
      <c r="F459" s="3">
        <f t="shared" si="29"/>
        <v>45152</v>
      </c>
      <c r="G459" t="s">
        <v>17</v>
      </c>
      <c r="H459" t="s">
        <v>243</v>
      </c>
      <c r="I459" t="s">
        <v>1588</v>
      </c>
      <c r="J459" t="s">
        <v>1589</v>
      </c>
      <c r="K459" t="s">
        <v>1349</v>
      </c>
      <c r="L459" t="s">
        <v>36</v>
      </c>
      <c r="M459">
        <v>51</v>
      </c>
      <c r="N459" t="s">
        <v>77</v>
      </c>
      <c r="O459">
        <v>97</v>
      </c>
      <c r="P459">
        <v>1</v>
      </c>
      <c r="Q459">
        <v>2791.2</v>
      </c>
      <c r="R459" s="4">
        <v>45600</v>
      </c>
      <c r="S459" s="6">
        <v>0.33893518518518517</v>
      </c>
      <c r="T459">
        <f t="shared" si="30"/>
        <v>17</v>
      </c>
      <c r="U459" t="str" cm="1">
        <f t="array" ref="U459">_xlfn.IFS(M459&lt;=34,"YOUNG",M459&lt;=54,"MIDDLE AGE",M459&gt;=55,"OLD")</f>
        <v>MIDDLE AGE</v>
      </c>
      <c r="V459" t="str">
        <f t="shared" si="31"/>
        <v>NORMAL</v>
      </c>
    </row>
    <row r="460" spans="1:22" x14ac:dyDescent="0.35">
      <c r="A460" t="s">
        <v>1590</v>
      </c>
      <c r="B460" t="s">
        <v>1394</v>
      </c>
      <c r="C460">
        <v>275.92</v>
      </c>
      <c r="D460" s="1">
        <v>45187.78324074074</v>
      </c>
      <c r="E460" s="2">
        <f t="shared" si="28"/>
        <v>0.78324074074043892</v>
      </c>
      <c r="F460" s="3">
        <f t="shared" si="29"/>
        <v>45187</v>
      </c>
      <c r="G460" t="s">
        <v>46</v>
      </c>
      <c r="H460" t="s">
        <v>80</v>
      </c>
      <c r="I460" t="s">
        <v>943</v>
      </c>
      <c r="J460" t="s">
        <v>1459</v>
      </c>
      <c r="K460" t="s">
        <v>564</v>
      </c>
      <c r="L460" t="s">
        <v>69</v>
      </c>
      <c r="M460">
        <v>62</v>
      </c>
      <c r="N460" t="s">
        <v>70</v>
      </c>
      <c r="O460">
        <v>107</v>
      </c>
      <c r="P460">
        <v>1</v>
      </c>
      <c r="Q460">
        <v>1777.38</v>
      </c>
      <c r="R460" s="4">
        <v>45600</v>
      </c>
      <c r="S460" s="6">
        <v>0.33864583333333331</v>
      </c>
      <c r="T460">
        <f t="shared" si="30"/>
        <v>18</v>
      </c>
      <c r="U460" t="str" cm="1">
        <f t="array" ref="U460">_xlfn.IFS(M460&lt;=34,"YOUNG",M460&lt;=54,"MIDDLE AGE",M460&gt;=55,"OLD")</f>
        <v>OLD</v>
      </c>
      <c r="V460" t="str">
        <f t="shared" si="31"/>
        <v>NORMAL</v>
      </c>
    </row>
    <row r="461" spans="1:22" x14ac:dyDescent="0.35">
      <c r="A461" t="s">
        <v>1591</v>
      </c>
      <c r="B461" t="s">
        <v>868</v>
      </c>
      <c r="C461">
        <v>376.79</v>
      </c>
      <c r="D461" s="1">
        <v>44956.741180555553</v>
      </c>
      <c r="E461" s="2">
        <f t="shared" si="28"/>
        <v>0.74118055555300089</v>
      </c>
      <c r="F461" s="3">
        <f t="shared" si="29"/>
        <v>44956</v>
      </c>
      <c r="G461" t="s">
        <v>17</v>
      </c>
      <c r="H461" t="s">
        <v>178</v>
      </c>
      <c r="I461" t="s">
        <v>1592</v>
      </c>
      <c r="J461" t="s">
        <v>552</v>
      </c>
      <c r="K461" t="s">
        <v>137</v>
      </c>
      <c r="L461" t="s">
        <v>69</v>
      </c>
      <c r="M461">
        <v>68</v>
      </c>
      <c r="N461" t="s">
        <v>70</v>
      </c>
      <c r="O461">
        <v>265</v>
      </c>
      <c r="P461">
        <v>1</v>
      </c>
      <c r="Q461">
        <v>7749.14</v>
      </c>
      <c r="R461" s="4">
        <v>45600</v>
      </c>
      <c r="S461" s="6">
        <v>0.33939814814814817</v>
      </c>
      <c r="T461">
        <f t="shared" si="30"/>
        <v>17</v>
      </c>
      <c r="U461" t="str" cm="1">
        <f t="array" ref="U461">_xlfn.IFS(M461&lt;=34,"YOUNG",M461&lt;=54,"MIDDLE AGE",M461&gt;=55,"OLD")</f>
        <v>OLD</v>
      </c>
      <c r="V461" t="str">
        <f t="shared" si="31"/>
        <v>NORMAL</v>
      </c>
    </row>
    <row r="462" spans="1:22" x14ac:dyDescent="0.35">
      <c r="A462" t="s">
        <v>1593</v>
      </c>
      <c r="B462" t="s">
        <v>1151</v>
      </c>
      <c r="C462">
        <v>8.98</v>
      </c>
      <c r="D462" s="1">
        <v>45159.671678240738</v>
      </c>
      <c r="E462" s="2">
        <f t="shared" si="28"/>
        <v>0.67167824073840166</v>
      </c>
      <c r="F462" s="3">
        <f t="shared" si="29"/>
        <v>45159</v>
      </c>
      <c r="G462" t="s">
        <v>17</v>
      </c>
      <c r="H462" t="s">
        <v>73</v>
      </c>
      <c r="I462" t="s">
        <v>1594</v>
      </c>
      <c r="J462" t="s">
        <v>1595</v>
      </c>
      <c r="K462" t="s">
        <v>370</v>
      </c>
      <c r="L462" t="s">
        <v>36</v>
      </c>
      <c r="M462">
        <v>66</v>
      </c>
      <c r="N462" t="s">
        <v>70</v>
      </c>
      <c r="O462">
        <v>56</v>
      </c>
      <c r="P462">
        <v>1</v>
      </c>
      <c r="Q462">
        <v>4516.76</v>
      </c>
      <c r="R462" s="4">
        <v>45600</v>
      </c>
      <c r="S462" s="6">
        <v>0.34089120370370368</v>
      </c>
      <c r="T462">
        <f t="shared" si="30"/>
        <v>16</v>
      </c>
      <c r="U462" t="str" cm="1">
        <f t="array" ref="U462">_xlfn.IFS(M462&lt;=34,"YOUNG",M462&lt;=54,"MIDDLE AGE",M462&gt;=55,"OLD")</f>
        <v>OLD</v>
      </c>
      <c r="V462" t="str">
        <f t="shared" si="31"/>
        <v>NORMAL</v>
      </c>
    </row>
    <row r="463" spans="1:22" x14ac:dyDescent="0.35">
      <c r="A463" t="s">
        <v>1596</v>
      </c>
      <c r="B463" t="s">
        <v>1221</v>
      </c>
      <c r="C463">
        <v>697.32</v>
      </c>
      <c r="D463" s="1">
        <v>45057.6875462963</v>
      </c>
      <c r="E463" s="2">
        <f t="shared" si="28"/>
        <v>0.68754629629984265</v>
      </c>
      <c r="F463" s="3">
        <f t="shared" si="29"/>
        <v>45057</v>
      </c>
      <c r="G463" t="s">
        <v>17</v>
      </c>
      <c r="H463" t="s">
        <v>47</v>
      </c>
      <c r="I463" t="s">
        <v>1406</v>
      </c>
      <c r="J463" t="s">
        <v>1597</v>
      </c>
      <c r="K463" t="s">
        <v>1014</v>
      </c>
      <c r="L463" t="s">
        <v>36</v>
      </c>
      <c r="M463">
        <v>68</v>
      </c>
      <c r="N463" t="s">
        <v>70</v>
      </c>
      <c r="O463">
        <v>91</v>
      </c>
      <c r="P463">
        <v>1</v>
      </c>
      <c r="Q463">
        <v>2016.02</v>
      </c>
      <c r="R463" s="4">
        <v>45600</v>
      </c>
      <c r="S463" s="6">
        <v>0.34118055555555554</v>
      </c>
      <c r="T463">
        <f t="shared" si="30"/>
        <v>16</v>
      </c>
      <c r="U463" t="str" cm="1">
        <f t="array" ref="U463">_xlfn.IFS(M463&lt;=34,"YOUNG",M463&lt;=54,"MIDDLE AGE",M463&gt;=55,"OLD")</f>
        <v>OLD</v>
      </c>
      <c r="V463" t="str">
        <f t="shared" si="31"/>
        <v>NORMAL</v>
      </c>
    </row>
    <row r="464" spans="1:22" x14ac:dyDescent="0.35">
      <c r="A464" t="s">
        <v>1598</v>
      </c>
      <c r="B464" t="s">
        <v>1599</v>
      </c>
      <c r="C464">
        <v>17.45</v>
      </c>
      <c r="D464" s="1">
        <v>45182.6953587963</v>
      </c>
      <c r="E464" s="2">
        <f t="shared" si="28"/>
        <v>0.69535879629984265</v>
      </c>
      <c r="F464" s="3">
        <f t="shared" si="29"/>
        <v>45182</v>
      </c>
      <c r="G464" t="s">
        <v>17</v>
      </c>
      <c r="H464" t="s">
        <v>296</v>
      </c>
      <c r="I464" t="s">
        <v>1600</v>
      </c>
      <c r="J464" t="s">
        <v>921</v>
      </c>
      <c r="K464" t="s">
        <v>128</v>
      </c>
      <c r="L464" t="s">
        <v>22</v>
      </c>
      <c r="M464">
        <v>18</v>
      </c>
      <c r="N464" t="s">
        <v>37</v>
      </c>
      <c r="O464">
        <v>88</v>
      </c>
      <c r="P464">
        <v>1</v>
      </c>
      <c r="Q464">
        <v>1959.52</v>
      </c>
      <c r="R464" s="4">
        <v>45600</v>
      </c>
      <c r="S464" s="6">
        <v>0.3400347222222222</v>
      </c>
      <c r="T464">
        <f t="shared" si="30"/>
        <v>16</v>
      </c>
      <c r="U464" t="str" cm="1">
        <f t="array" ref="U464">_xlfn.IFS(M464&lt;=34,"YOUNG",M464&lt;=54,"MIDDLE AGE",M464&gt;=55,"OLD")</f>
        <v>YOUNG</v>
      </c>
      <c r="V464" t="str">
        <f t="shared" si="31"/>
        <v>NORMAL</v>
      </c>
    </row>
    <row r="465" spans="1:22" x14ac:dyDescent="0.35">
      <c r="A465" t="s">
        <v>1601</v>
      </c>
      <c r="B465" t="s">
        <v>923</v>
      </c>
      <c r="C465">
        <v>302.16000000000003</v>
      </c>
      <c r="D465" s="1">
        <v>45217.741574074076</v>
      </c>
      <c r="E465" s="2">
        <f t="shared" si="28"/>
        <v>0.74157407407619758</v>
      </c>
      <c r="F465" s="3">
        <f t="shared" si="29"/>
        <v>45217</v>
      </c>
      <c r="G465" t="s">
        <v>17</v>
      </c>
      <c r="H465" t="s">
        <v>291</v>
      </c>
      <c r="I465" t="s">
        <v>1602</v>
      </c>
      <c r="J465" t="s">
        <v>1603</v>
      </c>
      <c r="K465" t="s">
        <v>240</v>
      </c>
      <c r="L465" t="s">
        <v>36</v>
      </c>
      <c r="M465">
        <v>80</v>
      </c>
      <c r="N465" t="s">
        <v>70</v>
      </c>
      <c r="O465">
        <v>138</v>
      </c>
      <c r="P465">
        <v>5</v>
      </c>
      <c r="Q465">
        <v>3876.61</v>
      </c>
      <c r="R465" s="4">
        <v>45600</v>
      </c>
      <c r="S465" s="6">
        <v>0.33863425925925927</v>
      </c>
      <c r="T465">
        <f t="shared" si="30"/>
        <v>17</v>
      </c>
      <c r="U465" t="str" cm="1">
        <f t="array" ref="U465">_xlfn.IFS(M465&lt;=34,"YOUNG",M465&lt;=54,"MIDDLE AGE",M465&gt;=55,"OLD")</f>
        <v>OLD</v>
      </c>
      <c r="V465" t="str">
        <f t="shared" si="31"/>
        <v>HIGH</v>
      </c>
    </row>
    <row r="466" spans="1:22" x14ac:dyDescent="0.35">
      <c r="A466" t="s">
        <v>1604</v>
      </c>
      <c r="B466" t="s">
        <v>742</v>
      </c>
      <c r="C466">
        <v>442.74</v>
      </c>
      <c r="D466" s="1">
        <v>45215.741446759261</v>
      </c>
      <c r="E466" s="2">
        <f t="shared" si="28"/>
        <v>0.74144675926072523</v>
      </c>
      <c r="F466" s="3">
        <f t="shared" si="29"/>
        <v>45215</v>
      </c>
      <c r="G466" t="s">
        <v>17</v>
      </c>
      <c r="H466" t="s">
        <v>18</v>
      </c>
      <c r="I466" t="s">
        <v>1041</v>
      </c>
      <c r="J466" t="s">
        <v>1605</v>
      </c>
      <c r="K466" t="s">
        <v>62</v>
      </c>
      <c r="L466" t="s">
        <v>69</v>
      </c>
      <c r="M466">
        <v>23</v>
      </c>
      <c r="N466" t="s">
        <v>37</v>
      </c>
      <c r="O466">
        <v>136</v>
      </c>
      <c r="P466">
        <v>1</v>
      </c>
      <c r="Q466">
        <v>1790.27</v>
      </c>
      <c r="R466" s="4">
        <v>45600</v>
      </c>
      <c r="S466" s="6">
        <v>0.34010416666666665</v>
      </c>
      <c r="T466">
        <f t="shared" si="30"/>
        <v>17</v>
      </c>
      <c r="U466" t="str" cm="1">
        <f t="array" ref="U466">_xlfn.IFS(M466&lt;=34,"YOUNG",M466&lt;=54,"MIDDLE AGE",M466&gt;=55,"OLD")</f>
        <v>YOUNG</v>
      </c>
      <c r="V466" t="str">
        <f t="shared" si="31"/>
        <v>NORMAL</v>
      </c>
    </row>
    <row r="467" spans="1:22" x14ac:dyDescent="0.35">
      <c r="A467" t="s">
        <v>1606</v>
      </c>
      <c r="B467" t="s">
        <v>641</v>
      </c>
      <c r="C467">
        <v>623.9</v>
      </c>
      <c r="D467" s="1">
        <v>45146.739131944443</v>
      </c>
      <c r="E467" s="2">
        <f t="shared" si="28"/>
        <v>0.73913194444321562</v>
      </c>
      <c r="F467" s="3">
        <f t="shared" si="29"/>
        <v>45146</v>
      </c>
      <c r="G467" t="s">
        <v>17</v>
      </c>
      <c r="H467" t="s">
        <v>223</v>
      </c>
      <c r="I467" t="s">
        <v>158</v>
      </c>
      <c r="J467" t="s">
        <v>1564</v>
      </c>
      <c r="K467" t="s">
        <v>262</v>
      </c>
      <c r="L467" t="s">
        <v>22</v>
      </c>
      <c r="M467">
        <v>27</v>
      </c>
      <c r="N467" t="s">
        <v>37</v>
      </c>
      <c r="O467">
        <v>249</v>
      </c>
      <c r="P467">
        <v>1</v>
      </c>
      <c r="Q467">
        <v>711.47</v>
      </c>
      <c r="R467" s="4">
        <v>45600</v>
      </c>
      <c r="S467" s="6">
        <v>0.34045138888888887</v>
      </c>
      <c r="T467">
        <f t="shared" si="30"/>
        <v>17</v>
      </c>
      <c r="U467" t="str" cm="1">
        <f t="array" ref="U467">_xlfn.IFS(M467&lt;=34,"YOUNG",M467&lt;=54,"MIDDLE AGE",M467&gt;=55,"OLD")</f>
        <v>YOUNG</v>
      </c>
      <c r="V467" t="str">
        <f t="shared" si="31"/>
        <v>NORMAL</v>
      </c>
    </row>
    <row r="468" spans="1:22" x14ac:dyDescent="0.35">
      <c r="A468" t="s">
        <v>1607</v>
      </c>
      <c r="B468" t="s">
        <v>1343</v>
      </c>
      <c r="C468">
        <v>445.41</v>
      </c>
      <c r="D468" s="1">
        <v>45250.68577546296</v>
      </c>
      <c r="E468" s="2">
        <f t="shared" si="28"/>
        <v>0.68577546296000946</v>
      </c>
      <c r="F468" s="3">
        <f t="shared" si="29"/>
        <v>45250</v>
      </c>
      <c r="G468" t="s">
        <v>17</v>
      </c>
      <c r="H468" t="s">
        <v>558</v>
      </c>
      <c r="I468" t="s">
        <v>135</v>
      </c>
      <c r="J468" t="s">
        <v>1608</v>
      </c>
      <c r="K468" t="s">
        <v>21</v>
      </c>
      <c r="L468" t="s">
        <v>22</v>
      </c>
      <c r="M468">
        <v>35</v>
      </c>
      <c r="N468" t="s">
        <v>23</v>
      </c>
      <c r="O468">
        <v>235</v>
      </c>
      <c r="P468">
        <v>3</v>
      </c>
      <c r="Q468">
        <v>12154.66</v>
      </c>
      <c r="R468" s="4">
        <v>45600</v>
      </c>
      <c r="S468" s="6">
        <v>0.33898148148148149</v>
      </c>
      <c r="T468">
        <f t="shared" si="30"/>
        <v>16</v>
      </c>
      <c r="U468" t="str" cm="1">
        <f t="array" ref="U468">_xlfn.IFS(M468&lt;=34,"YOUNG",M468&lt;=54,"MIDDLE AGE",M468&gt;=55,"OLD")</f>
        <v>MIDDLE AGE</v>
      </c>
      <c r="V468" t="str">
        <f t="shared" si="31"/>
        <v>HIGH</v>
      </c>
    </row>
    <row r="469" spans="1:22" x14ac:dyDescent="0.35">
      <c r="A469" t="s">
        <v>1609</v>
      </c>
      <c r="B469" t="s">
        <v>1197</v>
      </c>
      <c r="C469">
        <v>63.41</v>
      </c>
      <c r="D469" s="1">
        <v>45254.728541666664</v>
      </c>
      <c r="E469" s="2">
        <f t="shared" si="28"/>
        <v>0.72854166666365927</v>
      </c>
      <c r="F469" s="3">
        <f t="shared" si="29"/>
        <v>45254</v>
      </c>
      <c r="G469" t="s">
        <v>17</v>
      </c>
      <c r="H469" t="s">
        <v>157</v>
      </c>
      <c r="I469" t="s">
        <v>1610</v>
      </c>
      <c r="J469" t="s">
        <v>1605</v>
      </c>
      <c r="K469" t="s">
        <v>76</v>
      </c>
      <c r="L469" t="s">
        <v>22</v>
      </c>
      <c r="M469">
        <v>26</v>
      </c>
      <c r="N469" t="s">
        <v>37</v>
      </c>
      <c r="O469">
        <v>36</v>
      </c>
      <c r="P469">
        <v>1</v>
      </c>
      <c r="Q469">
        <v>1546.22</v>
      </c>
      <c r="R469" s="4">
        <v>45600</v>
      </c>
      <c r="S469" s="6">
        <v>0.33836805555555555</v>
      </c>
      <c r="T469">
        <f t="shared" si="30"/>
        <v>17</v>
      </c>
      <c r="U469" t="str" cm="1">
        <f t="array" ref="U469">_xlfn.IFS(M469&lt;=34,"YOUNG",M469&lt;=54,"MIDDLE AGE",M469&gt;=55,"OLD")</f>
        <v>YOUNG</v>
      </c>
      <c r="V469" t="str">
        <f t="shared" si="31"/>
        <v>NORMAL</v>
      </c>
    </row>
    <row r="470" spans="1:22" x14ac:dyDescent="0.35">
      <c r="A470" t="s">
        <v>1611</v>
      </c>
      <c r="B470" t="s">
        <v>1612</v>
      </c>
      <c r="C470">
        <v>346.85</v>
      </c>
      <c r="D470" s="1">
        <v>45233.773495370369</v>
      </c>
      <c r="E470" s="2">
        <f t="shared" si="28"/>
        <v>0.77349537036934635</v>
      </c>
      <c r="F470" s="3">
        <f t="shared" si="29"/>
        <v>45233</v>
      </c>
      <c r="G470" t="s">
        <v>17</v>
      </c>
      <c r="H470" t="s">
        <v>291</v>
      </c>
      <c r="I470" t="s">
        <v>373</v>
      </c>
      <c r="J470" t="s">
        <v>28</v>
      </c>
      <c r="K470" t="s">
        <v>105</v>
      </c>
      <c r="L470" t="s">
        <v>22</v>
      </c>
      <c r="M470">
        <v>44</v>
      </c>
      <c r="N470" t="s">
        <v>23</v>
      </c>
      <c r="O470">
        <v>88</v>
      </c>
      <c r="P470">
        <v>1</v>
      </c>
      <c r="Q470">
        <v>7208.15</v>
      </c>
      <c r="R470" s="4">
        <v>45600</v>
      </c>
      <c r="S470" s="6">
        <v>0.34056712962962965</v>
      </c>
      <c r="T470">
        <f t="shared" si="30"/>
        <v>18</v>
      </c>
      <c r="U470" t="str" cm="1">
        <f t="array" ref="U470">_xlfn.IFS(M470&lt;=34,"YOUNG",M470&lt;=54,"MIDDLE AGE",M470&gt;=55,"OLD")</f>
        <v>MIDDLE AGE</v>
      </c>
      <c r="V470" t="str">
        <f t="shared" si="31"/>
        <v>NORMAL</v>
      </c>
    </row>
    <row r="471" spans="1:22" x14ac:dyDescent="0.35">
      <c r="A471" t="s">
        <v>1613</v>
      </c>
      <c r="B471" t="s">
        <v>795</v>
      </c>
      <c r="C471">
        <v>71.95</v>
      </c>
      <c r="D471" s="1">
        <v>44970.694351851853</v>
      </c>
      <c r="E471" s="2">
        <f t="shared" si="28"/>
        <v>0.69435185185284354</v>
      </c>
      <c r="F471" s="3">
        <f t="shared" si="29"/>
        <v>44970</v>
      </c>
      <c r="G471" t="s">
        <v>46</v>
      </c>
      <c r="H471" t="s">
        <v>296</v>
      </c>
      <c r="I471" t="s">
        <v>385</v>
      </c>
      <c r="J471" t="s">
        <v>1494</v>
      </c>
      <c r="K471" t="s">
        <v>740</v>
      </c>
      <c r="L471" t="s">
        <v>36</v>
      </c>
      <c r="M471">
        <v>59</v>
      </c>
      <c r="N471" t="s">
        <v>77</v>
      </c>
      <c r="O471">
        <v>53</v>
      </c>
      <c r="P471">
        <v>1</v>
      </c>
      <c r="Q471">
        <v>9267.32</v>
      </c>
      <c r="R471" s="4">
        <v>45600</v>
      </c>
      <c r="S471" s="6">
        <v>0.33776620370370369</v>
      </c>
      <c r="T471">
        <f t="shared" si="30"/>
        <v>16</v>
      </c>
      <c r="U471" t="str" cm="1">
        <f t="array" ref="U471">_xlfn.IFS(M471&lt;=34,"YOUNG",M471&lt;=54,"MIDDLE AGE",M471&gt;=55,"OLD")</f>
        <v>OLD</v>
      </c>
      <c r="V471" t="str">
        <f t="shared" si="31"/>
        <v>NORMAL</v>
      </c>
    </row>
    <row r="472" spans="1:22" x14ac:dyDescent="0.35">
      <c r="A472" t="s">
        <v>1614</v>
      </c>
      <c r="B472" t="s">
        <v>1213</v>
      </c>
      <c r="C472">
        <v>7.5</v>
      </c>
      <c r="D472" s="1">
        <v>44974.672847222224</v>
      </c>
      <c r="E472" s="2">
        <f t="shared" si="28"/>
        <v>0.67284722222393611</v>
      </c>
      <c r="F472" s="3">
        <f t="shared" si="29"/>
        <v>44974</v>
      </c>
      <c r="G472" t="s">
        <v>17</v>
      </c>
      <c r="H472" t="s">
        <v>323</v>
      </c>
      <c r="I472" t="s">
        <v>1615</v>
      </c>
      <c r="J472" t="s">
        <v>1534</v>
      </c>
      <c r="K472" t="s">
        <v>56</v>
      </c>
      <c r="L472" t="s">
        <v>36</v>
      </c>
      <c r="M472">
        <v>63</v>
      </c>
      <c r="N472" t="s">
        <v>70</v>
      </c>
      <c r="O472">
        <v>36</v>
      </c>
      <c r="P472">
        <v>1</v>
      </c>
      <c r="Q472">
        <v>6485.78</v>
      </c>
      <c r="R472" s="4">
        <v>45600</v>
      </c>
      <c r="S472" s="6">
        <v>0.34129629629629632</v>
      </c>
      <c r="T472">
        <f t="shared" si="30"/>
        <v>16</v>
      </c>
      <c r="U472" t="str" cm="1">
        <f t="array" ref="U472">_xlfn.IFS(M472&lt;=34,"YOUNG",M472&lt;=54,"MIDDLE AGE",M472&gt;=55,"OLD")</f>
        <v>OLD</v>
      </c>
      <c r="V472" t="str">
        <f t="shared" si="31"/>
        <v>NORMAL</v>
      </c>
    </row>
    <row r="473" spans="1:22" x14ac:dyDescent="0.35">
      <c r="A473" t="s">
        <v>1616</v>
      </c>
      <c r="B473" t="s">
        <v>1617</v>
      </c>
      <c r="C473">
        <v>206.46</v>
      </c>
      <c r="D473" s="1">
        <v>45257.768078703702</v>
      </c>
      <c r="E473" s="2">
        <f t="shared" si="28"/>
        <v>0.76807870370248565</v>
      </c>
      <c r="F473" s="3">
        <f t="shared" si="29"/>
        <v>45257</v>
      </c>
      <c r="G473" t="s">
        <v>17</v>
      </c>
      <c r="H473" t="s">
        <v>301</v>
      </c>
      <c r="I473" t="s">
        <v>1618</v>
      </c>
      <c r="J473" t="s">
        <v>751</v>
      </c>
      <c r="K473" t="s">
        <v>759</v>
      </c>
      <c r="L473" t="s">
        <v>22</v>
      </c>
      <c r="M473">
        <v>65</v>
      </c>
      <c r="N473" t="s">
        <v>70</v>
      </c>
      <c r="O473">
        <v>279</v>
      </c>
      <c r="P473">
        <v>1</v>
      </c>
      <c r="Q473">
        <v>3984.38</v>
      </c>
      <c r="R473" s="4">
        <v>45600</v>
      </c>
      <c r="S473" s="6">
        <v>0.33800925925925923</v>
      </c>
      <c r="T473">
        <f t="shared" si="30"/>
        <v>18</v>
      </c>
      <c r="U473" t="str" cm="1">
        <f t="array" ref="U473">_xlfn.IFS(M473&lt;=34,"YOUNG",M473&lt;=54,"MIDDLE AGE",M473&gt;=55,"OLD")</f>
        <v>OLD</v>
      </c>
      <c r="V473" t="str">
        <f t="shared" si="31"/>
        <v>NORMAL</v>
      </c>
    </row>
    <row r="474" spans="1:22" x14ac:dyDescent="0.35">
      <c r="A474" t="s">
        <v>1619</v>
      </c>
      <c r="B474" t="s">
        <v>1620</v>
      </c>
      <c r="C474">
        <v>423.11</v>
      </c>
      <c r="D474" s="1">
        <v>45132.778495370374</v>
      </c>
      <c r="E474" s="2">
        <f t="shared" si="28"/>
        <v>0.77849537037400296</v>
      </c>
      <c r="F474" s="3">
        <f t="shared" si="29"/>
        <v>45132</v>
      </c>
      <c r="G474" t="s">
        <v>17</v>
      </c>
      <c r="H474" t="s">
        <v>125</v>
      </c>
      <c r="I474" t="s">
        <v>1379</v>
      </c>
      <c r="J474" t="s">
        <v>1359</v>
      </c>
      <c r="K474" t="s">
        <v>288</v>
      </c>
      <c r="L474" t="s">
        <v>22</v>
      </c>
      <c r="M474">
        <v>60</v>
      </c>
      <c r="N474" t="s">
        <v>77</v>
      </c>
      <c r="O474">
        <v>47</v>
      </c>
      <c r="P474">
        <v>1</v>
      </c>
      <c r="Q474">
        <v>412.78</v>
      </c>
      <c r="R474" s="4">
        <v>45600</v>
      </c>
      <c r="S474" s="6">
        <v>0.3409490740740741</v>
      </c>
      <c r="T474">
        <f t="shared" si="30"/>
        <v>18</v>
      </c>
      <c r="U474" t="str" cm="1">
        <f t="array" ref="U474">_xlfn.IFS(M474&lt;=34,"YOUNG",M474&lt;=54,"MIDDLE AGE",M474&gt;=55,"OLD")</f>
        <v>OLD</v>
      </c>
      <c r="V474" t="str">
        <f t="shared" si="31"/>
        <v>NORMAL</v>
      </c>
    </row>
    <row r="475" spans="1:22" x14ac:dyDescent="0.35">
      <c r="A475" t="s">
        <v>1621</v>
      </c>
      <c r="B475" t="s">
        <v>412</v>
      </c>
      <c r="C475">
        <v>35.840000000000003</v>
      </c>
      <c r="D475" s="1">
        <v>45013.724930555552</v>
      </c>
      <c r="E475" s="2">
        <f t="shared" si="28"/>
        <v>0.72493055555241881</v>
      </c>
      <c r="F475" s="3">
        <f t="shared" si="29"/>
        <v>45013</v>
      </c>
      <c r="G475" t="s">
        <v>46</v>
      </c>
      <c r="H475" t="s">
        <v>521</v>
      </c>
      <c r="I475" t="s">
        <v>1622</v>
      </c>
      <c r="J475" t="s">
        <v>1623</v>
      </c>
      <c r="K475" t="s">
        <v>759</v>
      </c>
      <c r="L475" t="s">
        <v>36</v>
      </c>
      <c r="M475">
        <v>54</v>
      </c>
      <c r="N475" t="s">
        <v>70</v>
      </c>
      <c r="O475">
        <v>172</v>
      </c>
      <c r="P475">
        <v>1</v>
      </c>
      <c r="Q475">
        <v>4795.6499999999996</v>
      </c>
      <c r="R475" s="4">
        <v>45600</v>
      </c>
      <c r="S475" s="6">
        <v>0.3409375</v>
      </c>
      <c r="T475">
        <f t="shared" si="30"/>
        <v>17</v>
      </c>
      <c r="U475" t="str" cm="1">
        <f t="array" ref="U475">_xlfn.IFS(M475&lt;=34,"YOUNG",M475&lt;=54,"MIDDLE AGE",M475&gt;=55,"OLD")</f>
        <v>MIDDLE AGE</v>
      </c>
      <c r="V475" t="str">
        <f t="shared" si="31"/>
        <v>NORMAL</v>
      </c>
    </row>
    <row r="476" spans="1:22" x14ac:dyDescent="0.35">
      <c r="A476" t="s">
        <v>1624</v>
      </c>
      <c r="B476" t="s">
        <v>1206</v>
      </c>
      <c r="C476">
        <v>88.6</v>
      </c>
      <c r="D476" s="1">
        <v>44971.709537037037</v>
      </c>
      <c r="E476" s="2">
        <f t="shared" si="28"/>
        <v>0.70953703703708015</v>
      </c>
      <c r="F476" s="3">
        <f t="shared" si="29"/>
        <v>44971</v>
      </c>
      <c r="G476" t="s">
        <v>46</v>
      </c>
      <c r="H476" t="s">
        <v>40</v>
      </c>
      <c r="I476" t="s">
        <v>1625</v>
      </c>
      <c r="J476" t="s">
        <v>1626</v>
      </c>
      <c r="K476" t="s">
        <v>56</v>
      </c>
      <c r="L476" t="s">
        <v>69</v>
      </c>
      <c r="M476">
        <v>28</v>
      </c>
      <c r="N476" t="s">
        <v>37</v>
      </c>
      <c r="O476">
        <v>105</v>
      </c>
      <c r="P476">
        <v>1</v>
      </c>
      <c r="Q476">
        <v>246.57</v>
      </c>
      <c r="R476" s="4">
        <v>45600</v>
      </c>
      <c r="S476" s="6">
        <v>0.33943287037037034</v>
      </c>
      <c r="T476">
        <f t="shared" si="30"/>
        <v>17</v>
      </c>
      <c r="U476" t="str" cm="1">
        <f t="array" ref="U476">_xlfn.IFS(M476&lt;=34,"YOUNG",M476&lt;=54,"MIDDLE AGE",M476&gt;=55,"OLD")</f>
        <v>YOUNG</v>
      </c>
      <c r="V476" t="str">
        <f t="shared" si="31"/>
        <v>NORMAL</v>
      </c>
    </row>
    <row r="477" spans="1:22" x14ac:dyDescent="0.35">
      <c r="A477" t="s">
        <v>1627</v>
      </c>
      <c r="B477" t="s">
        <v>412</v>
      </c>
      <c r="C477">
        <v>1431.3</v>
      </c>
      <c r="D477" s="1">
        <v>45173.782407407409</v>
      </c>
      <c r="E477" s="2">
        <f t="shared" si="28"/>
        <v>0.78240740740875481</v>
      </c>
      <c r="F477" s="3">
        <f t="shared" si="29"/>
        <v>45173</v>
      </c>
      <c r="G477" t="s">
        <v>17</v>
      </c>
      <c r="H477" t="s">
        <v>53</v>
      </c>
      <c r="I477" t="s">
        <v>1041</v>
      </c>
      <c r="J477" t="s">
        <v>765</v>
      </c>
      <c r="K477" t="s">
        <v>984</v>
      </c>
      <c r="L477" t="s">
        <v>22</v>
      </c>
      <c r="M477">
        <v>18</v>
      </c>
      <c r="N477" t="s">
        <v>37</v>
      </c>
      <c r="O477">
        <v>168</v>
      </c>
      <c r="P477">
        <v>1</v>
      </c>
      <c r="Q477">
        <v>1058.1300000000001</v>
      </c>
      <c r="R477" s="4">
        <v>45600</v>
      </c>
      <c r="S477" s="6">
        <v>0.34120370370370373</v>
      </c>
      <c r="T477">
        <f t="shared" si="30"/>
        <v>18</v>
      </c>
      <c r="U477" t="str" cm="1">
        <f t="array" ref="U477">_xlfn.IFS(M477&lt;=34,"YOUNG",M477&lt;=54,"MIDDLE AGE",M477&gt;=55,"OLD")</f>
        <v>YOUNG</v>
      </c>
      <c r="V477" t="str">
        <f t="shared" si="31"/>
        <v>NORMAL</v>
      </c>
    </row>
    <row r="478" spans="1:22" x14ac:dyDescent="0.35">
      <c r="A478" t="s">
        <v>1628</v>
      </c>
      <c r="B478" t="s">
        <v>698</v>
      </c>
      <c r="C478">
        <v>53.81</v>
      </c>
      <c r="D478" s="1">
        <v>45215.705370370371</v>
      </c>
      <c r="E478" s="2">
        <f t="shared" si="28"/>
        <v>0.70537037037138361</v>
      </c>
      <c r="F478" s="3">
        <f t="shared" si="29"/>
        <v>45215</v>
      </c>
      <c r="G478" t="s">
        <v>46</v>
      </c>
      <c r="H478" t="s">
        <v>40</v>
      </c>
      <c r="I478" t="s">
        <v>579</v>
      </c>
      <c r="J478" t="s">
        <v>1629</v>
      </c>
      <c r="K478" t="s">
        <v>1281</v>
      </c>
      <c r="L478" t="s">
        <v>22</v>
      </c>
      <c r="M478">
        <v>55</v>
      </c>
      <c r="N478" t="s">
        <v>77</v>
      </c>
      <c r="O478">
        <v>37</v>
      </c>
      <c r="P478">
        <v>2</v>
      </c>
      <c r="Q478">
        <v>2564.62</v>
      </c>
      <c r="R478" s="4">
        <v>45600</v>
      </c>
      <c r="S478" s="6">
        <v>0.34172453703703703</v>
      </c>
      <c r="T478">
        <f t="shared" si="30"/>
        <v>16</v>
      </c>
      <c r="U478" t="str" cm="1">
        <f t="array" ref="U478">_xlfn.IFS(M478&lt;=34,"YOUNG",M478&lt;=54,"MIDDLE AGE",M478&gt;=55,"OLD")</f>
        <v>OLD</v>
      </c>
      <c r="V478" t="str">
        <f t="shared" si="31"/>
        <v>HIGH</v>
      </c>
    </row>
    <row r="479" spans="1:22" x14ac:dyDescent="0.35">
      <c r="A479" t="s">
        <v>1630</v>
      </c>
      <c r="B479" t="s">
        <v>1631</v>
      </c>
      <c r="C479">
        <v>22.46</v>
      </c>
      <c r="D479" s="1">
        <v>45063.669340277775</v>
      </c>
      <c r="E479" s="2">
        <f t="shared" si="28"/>
        <v>0.66934027777460869</v>
      </c>
      <c r="F479" s="3">
        <f t="shared" si="29"/>
        <v>45063</v>
      </c>
      <c r="G479" t="s">
        <v>17</v>
      </c>
      <c r="H479" t="s">
        <v>203</v>
      </c>
      <c r="I479" t="s">
        <v>1362</v>
      </c>
      <c r="J479" t="s">
        <v>828</v>
      </c>
      <c r="K479" t="s">
        <v>343</v>
      </c>
      <c r="L479" t="s">
        <v>36</v>
      </c>
      <c r="M479">
        <v>54</v>
      </c>
      <c r="N479" t="s">
        <v>70</v>
      </c>
      <c r="O479">
        <v>78</v>
      </c>
      <c r="P479">
        <v>1</v>
      </c>
      <c r="Q479">
        <v>6631.5</v>
      </c>
      <c r="R479" s="4">
        <v>45600</v>
      </c>
      <c r="S479" s="6">
        <v>0.33872685185185186</v>
      </c>
      <c r="T479">
        <f t="shared" si="30"/>
        <v>16</v>
      </c>
      <c r="U479" t="str" cm="1">
        <f t="array" ref="U479">_xlfn.IFS(M479&lt;=34,"YOUNG",M479&lt;=54,"MIDDLE AGE",M479&gt;=55,"OLD")</f>
        <v>MIDDLE AGE</v>
      </c>
      <c r="V479" t="str">
        <f t="shared" si="31"/>
        <v>NORMAL</v>
      </c>
    </row>
    <row r="480" spans="1:22" x14ac:dyDescent="0.35">
      <c r="A480" t="s">
        <v>1632</v>
      </c>
      <c r="B480" t="s">
        <v>97</v>
      </c>
      <c r="C480">
        <v>334.89</v>
      </c>
      <c r="D480" s="1">
        <v>45127.766122685185</v>
      </c>
      <c r="E480" s="2">
        <f t="shared" si="28"/>
        <v>0.76612268518510973</v>
      </c>
      <c r="F480" s="3">
        <f t="shared" si="29"/>
        <v>45127</v>
      </c>
      <c r="G480" t="s">
        <v>17</v>
      </c>
      <c r="H480" t="s">
        <v>157</v>
      </c>
      <c r="I480" t="s">
        <v>1633</v>
      </c>
      <c r="J480" t="s">
        <v>1002</v>
      </c>
      <c r="K480" t="s">
        <v>143</v>
      </c>
      <c r="L480" t="s">
        <v>36</v>
      </c>
      <c r="M480">
        <v>21</v>
      </c>
      <c r="N480" t="s">
        <v>37</v>
      </c>
      <c r="O480">
        <v>260</v>
      </c>
      <c r="P480">
        <v>1</v>
      </c>
      <c r="Q480">
        <v>1661.68</v>
      </c>
      <c r="R480" s="4">
        <v>45600</v>
      </c>
      <c r="S480" s="6">
        <v>0.33939814814814817</v>
      </c>
      <c r="T480">
        <f t="shared" si="30"/>
        <v>18</v>
      </c>
      <c r="U480" t="str" cm="1">
        <f t="array" ref="U480">_xlfn.IFS(M480&lt;=34,"YOUNG",M480&lt;=54,"MIDDLE AGE",M480&gt;=55,"OLD")</f>
        <v>YOUNG</v>
      </c>
      <c r="V480" t="str">
        <f t="shared" si="31"/>
        <v>NORMAL</v>
      </c>
    </row>
    <row r="481" spans="1:22" x14ac:dyDescent="0.35">
      <c r="A481" t="s">
        <v>1634</v>
      </c>
      <c r="B481" t="s">
        <v>1635</v>
      </c>
      <c r="C481">
        <v>319.27</v>
      </c>
      <c r="D481" s="1">
        <v>45127.707002314812</v>
      </c>
      <c r="E481" s="2">
        <f t="shared" si="28"/>
        <v>0.70700231481168885</v>
      </c>
      <c r="F481" s="3">
        <f t="shared" si="29"/>
        <v>45127</v>
      </c>
      <c r="G481" t="s">
        <v>46</v>
      </c>
      <c r="H481" t="s">
        <v>296</v>
      </c>
      <c r="I481" t="s">
        <v>1636</v>
      </c>
      <c r="J481" t="s">
        <v>1637</v>
      </c>
      <c r="K481" t="s">
        <v>1524</v>
      </c>
      <c r="L481" t="s">
        <v>36</v>
      </c>
      <c r="M481">
        <v>54</v>
      </c>
      <c r="N481" t="s">
        <v>70</v>
      </c>
      <c r="O481">
        <v>59</v>
      </c>
      <c r="P481">
        <v>1</v>
      </c>
      <c r="Q481">
        <v>5504.01</v>
      </c>
      <c r="R481" s="4">
        <v>45600</v>
      </c>
      <c r="S481" s="6">
        <v>0.3379050925925926</v>
      </c>
      <c r="T481">
        <f t="shared" si="30"/>
        <v>16</v>
      </c>
      <c r="U481" t="str" cm="1">
        <f t="array" ref="U481">_xlfn.IFS(M481&lt;=34,"YOUNG",M481&lt;=54,"MIDDLE AGE",M481&gt;=55,"OLD")</f>
        <v>MIDDLE AGE</v>
      </c>
      <c r="V481" t="str">
        <f t="shared" si="31"/>
        <v>NORMAL</v>
      </c>
    </row>
    <row r="482" spans="1:22" x14ac:dyDescent="0.35">
      <c r="A482" t="s">
        <v>1638</v>
      </c>
      <c r="B482" t="s">
        <v>1179</v>
      </c>
      <c r="C482">
        <v>144.30000000000001</v>
      </c>
      <c r="D482" s="1">
        <v>45268.72550925926</v>
      </c>
      <c r="E482" s="2">
        <f t="shared" si="28"/>
        <v>0.72550925926043419</v>
      </c>
      <c r="F482" s="3">
        <f t="shared" si="29"/>
        <v>45268</v>
      </c>
      <c r="G482" t="s">
        <v>17</v>
      </c>
      <c r="H482" t="s">
        <v>53</v>
      </c>
      <c r="I482" t="s">
        <v>360</v>
      </c>
      <c r="J482" t="s">
        <v>972</v>
      </c>
      <c r="K482" t="s">
        <v>474</v>
      </c>
      <c r="L482" t="s">
        <v>22</v>
      </c>
      <c r="M482">
        <v>18</v>
      </c>
      <c r="N482" t="s">
        <v>37</v>
      </c>
      <c r="O482">
        <v>88</v>
      </c>
      <c r="P482">
        <v>1</v>
      </c>
      <c r="Q482">
        <v>312.19</v>
      </c>
      <c r="R482" s="4">
        <v>45600</v>
      </c>
      <c r="S482" s="6">
        <v>0.34072916666666669</v>
      </c>
      <c r="T482">
        <f t="shared" si="30"/>
        <v>17</v>
      </c>
      <c r="U482" t="str" cm="1">
        <f t="array" ref="U482">_xlfn.IFS(M482&lt;=34,"YOUNG",M482&lt;=54,"MIDDLE AGE",M482&gt;=55,"OLD")</f>
        <v>YOUNG</v>
      </c>
      <c r="V482" t="str">
        <f t="shared" si="31"/>
        <v>NORMAL</v>
      </c>
    </row>
    <row r="483" spans="1:22" x14ac:dyDescent="0.35">
      <c r="A483" t="s">
        <v>1639</v>
      </c>
      <c r="B483" t="s">
        <v>1457</v>
      </c>
      <c r="C483">
        <v>348.7</v>
      </c>
      <c r="D483" s="1">
        <v>45048.717881944445</v>
      </c>
      <c r="E483" s="2">
        <f t="shared" si="28"/>
        <v>0.71788194444525288</v>
      </c>
      <c r="F483" s="3">
        <f t="shared" si="29"/>
        <v>45048</v>
      </c>
      <c r="G483" t="s">
        <v>46</v>
      </c>
      <c r="H483" t="s">
        <v>558</v>
      </c>
      <c r="I483" t="s">
        <v>1640</v>
      </c>
      <c r="J483" t="s">
        <v>1641</v>
      </c>
      <c r="K483" t="s">
        <v>652</v>
      </c>
      <c r="L483" t="s">
        <v>69</v>
      </c>
      <c r="M483">
        <v>69</v>
      </c>
      <c r="N483" t="s">
        <v>70</v>
      </c>
      <c r="O483">
        <v>149</v>
      </c>
      <c r="P483">
        <v>1</v>
      </c>
      <c r="Q483">
        <v>2445.58</v>
      </c>
      <c r="R483" s="4">
        <v>45600</v>
      </c>
      <c r="S483" s="6">
        <v>0.33817129629629628</v>
      </c>
      <c r="T483">
        <f t="shared" si="30"/>
        <v>17</v>
      </c>
      <c r="U483" t="str" cm="1">
        <f t="array" ref="U483">_xlfn.IFS(M483&lt;=34,"YOUNG",M483&lt;=54,"MIDDLE AGE",M483&gt;=55,"OLD")</f>
        <v>OLD</v>
      </c>
      <c r="V483" t="str">
        <f t="shared" si="31"/>
        <v>NORMAL</v>
      </c>
    </row>
    <row r="484" spans="1:22" x14ac:dyDescent="0.35">
      <c r="A484" t="s">
        <v>1642</v>
      </c>
      <c r="B484" t="s">
        <v>1151</v>
      </c>
      <c r="C484">
        <v>366.21</v>
      </c>
      <c r="D484" s="1">
        <v>44938.747986111113</v>
      </c>
      <c r="E484" s="2">
        <f t="shared" si="28"/>
        <v>0.74798611111327773</v>
      </c>
      <c r="F484" s="3">
        <f t="shared" si="29"/>
        <v>44938</v>
      </c>
      <c r="G484" t="s">
        <v>17</v>
      </c>
      <c r="H484" t="s">
        <v>53</v>
      </c>
      <c r="I484" t="s">
        <v>1177</v>
      </c>
      <c r="J484" t="s">
        <v>699</v>
      </c>
      <c r="K484" t="s">
        <v>29</v>
      </c>
      <c r="L484" t="s">
        <v>22</v>
      </c>
      <c r="M484">
        <v>62</v>
      </c>
      <c r="N484" t="s">
        <v>23</v>
      </c>
      <c r="O484">
        <v>181</v>
      </c>
      <c r="P484">
        <v>1</v>
      </c>
      <c r="Q484">
        <v>10862.99</v>
      </c>
      <c r="R484" s="4">
        <v>45600</v>
      </c>
      <c r="S484" s="6">
        <v>0.34138888888888891</v>
      </c>
      <c r="T484">
        <f t="shared" si="30"/>
        <v>17</v>
      </c>
      <c r="U484" t="str" cm="1">
        <f t="array" ref="U484">_xlfn.IFS(M484&lt;=34,"YOUNG",M484&lt;=54,"MIDDLE AGE",M484&gt;=55,"OLD")</f>
        <v>OLD</v>
      </c>
      <c r="V484" t="str">
        <f t="shared" si="31"/>
        <v>NORMAL</v>
      </c>
    </row>
    <row r="485" spans="1:22" x14ac:dyDescent="0.35">
      <c r="A485" t="s">
        <v>1643</v>
      </c>
      <c r="B485" t="s">
        <v>1644</v>
      </c>
      <c r="C485">
        <v>99.11</v>
      </c>
      <c r="D485" s="1">
        <v>45047.707418981481</v>
      </c>
      <c r="E485" s="2">
        <f t="shared" si="28"/>
        <v>0.70741898148116888</v>
      </c>
      <c r="F485" s="3">
        <f t="shared" si="29"/>
        <v>45047</v>
      </c>
      <c r="G485" t="s">
        <v>17</v>
      </c>
      <c r="H485" t="s">
        <v>243</v>
      </c>
      <c r="I485" t="s">
        <v>1645</v>
      </c>
      <c r="J485" t="s">
        <v>307</v>
      </c>
      <c r="K485" t="s">
        <v>21</v>
      </c>
      <c r="L485" t="s">
        <v>36</v>
      </c>
      <c r="M485">
        <v>55</v>
      </c>
      <c r="N485" t="s">
        <v>70</v>
      </c>
      <c r="O485">
        <v>12</v>
      </c>
      <c r="P485">
        <v>1</v>
      </c>
      <c r="Q485">
        <v>5414.87</v>
      </c>
      <c r="R485" s="4">
        <v>45600</v>
      </c>
      <c r="S485" s="6">
        <v>0.33998842592592593</v>
      </c>
      <c r="T485">
        <f t="shared" si="30"/>
        <v>16</v>
      </c>
      <c r="U485" t="str" cm="1">
        <f t="array" ref="U485">_xlfn.IFS(M485&lt;=34,"YOUNG",M485&lt;=54,"MIDDLE AGE",M485&gt;=55,"OLD")</f>
        <v>OLD</v>
      </c>
      <c r="V485" t="str">
        <f t="shared" si="31"/>
        <v>NORMAL</v>
      </c>
    </row>
    <row r="486" spans="1:22" x14ac:dyDescent="0.35">
      <c r="A486" t="s">
        <v>1646</v>
      </c>
      <c r="B486" t="s">
        <v>1391</v>
      </c>
      <c r="C486">
        <v>539.35</v>
      </c>
      <c r="D486" s="1">
        <v>45068.732523148145</v>
      </c>
      <c r="E486" s="2">
        <f t="shared" si="28"/>
        <v>0.73252314814453712</v>
      </c>
      <c r="F486" s="3">
        <f t="shared" si="29"/>
        <v>45068</v>
      </c>
      <c r="G486" t="s">
        <v>17</v>
      </c>
      <c r="H486" t="s">
        <v>178</v>
      </c>
      <c r="I486" t="s">
        <v>27</v>
      </c>
      <c r="J486" t="s">
        <v>696</v>
      </c>
      <c r="K486" t="s">
        <v>43</v>
      </c>
      <c r="L486" t="s">
        <v>22</v>
      </c>
      <c r="M486">
        <v>55</v>
      </c>
      <c r="N486" t="s">
        <v>70</v>
      </c>
      <c r="O486">
        <v>127</v>
      </c>
      <c r="P486">
        <v>1</v>
      </c>
      <c r="Q486">
        <v>3919.44</v>
      </c>
      <c r="R486" s="4">
        <v>45600</v>
      </c>
      <c r="S486" s="6">
        <v>0.34153935185185186</v>
      </c>
      <c r="T486">
        <f t="shared" si="30"/>
        <v>17</v>
      </c>
      <c r="U486" t="str" cm="1">
        <f t="array" ref="U486">_xlfn.IFS(M486&lt;=34,"YOUNG",M486&lt;=54,"MIDDLE AGE",M486&gt;=55,"OLD")</f>
        <v>OLD</v>
      </c>
      <c r="V486" t="str">
        <f t="shared" si="31"/>
        <v>NORMAL</v>
      </c>
    </row>
    <row r="487" spans="1:22" x14ac:dyDescent="0.35">
      <c r="A487" t="s">
        <v>1647</v>
      </c>
      <c r="B487" t="s">
        <v>1004</v>
      </c>
      <c r="C487">
        <v>188.99</v>
      </c>
      <c r="D487" s="1">
        <v>45085.696597222224</v>
      </c>
      <c r="E487" s="2">
        <f t="shared" si="28"/>
        <v>0.69659722222422715</v>
      </c>
      <c r="F487" s="3">
        <f t="shared" si="29"/>
        <v>45085</v>
      </c>
      <c r="G487" t="s">
        <v>17</v>
      </c>
      <c r="H487" t="s">
        <v>53</v>
      </c>
      <c r="I487" t="s">
        <v>960</v>
      </c>
      <c r="J487" t="s">
        <v>1414</v>
      </c>
      <c r="K487" t="s">
        <v>149</v>
      </c>
      <c r="L487" t="s">
        <v>69</v>
      </c>
      <c r="M487">
        <v>58</v>
      </c>
      <c r="N487" t="s">
        <v>77</v>
      </c>
      <c r="O487">
        <v>92</v>
      </c>
      <c r="P487">
        <v>1</v>
      </c>
      <c r="Q487">
        <v>7315.34</v>
      </c>
      <c r="R487" s="4">
        <v>45600</v>
      </c>
      <c r="S487" s="6">
        <v>0.33856481481481482</v>
      </c>
      <c r="T487">
        <f t="shared" si="30"/>
        <v>16</v>
      </c>
      <c r="U487" t="str" cm="1">
        <f t="array" ref="U487">_xlfn.IFS(M487&lt;=34,"YOUNG",M487&lt;=54,"MIDDLE AGE",M487&gt;=55,"OLD")</f>
        <v>OLD</v>
      </c>
      <c r="V487" t="str">
        <f t="shared" si="31"/>
        <v>NORMAL</v>
      </c>
    </row>
    <row r="488" spans="1:22" x14ac:dyDescent="0.35">
      <c r="A488" t="s">
        <v>1648</v>
      </c>
      <c r="B488" t="s">
        <v>1151</v>
      </c>
      <c r="C488">
        <v>1416.69</v>
      </c>
      <c r="D488" s="1">
        <v>44942.708460648151</v>
      </c>
      <c r="E488" s="2">
        <f t="shared" si="28"/>
        <v>0.708460648151231</v>
      </c>
      <c r="F488" s="3">
        <f t="shared" si="29"/>
        <v>44942</v>
      </c>
      <c r="G488" t="s">
        <v>17</v>
      </c>
      <c r="H488" t="s">
        <v>80</v>
      </c>
      <c r="I488" t="s">
        <v>1649</v>
      </c>
      <c r="J488" t="s">
        <v>1477</v>
      </c>
      <c r="K488" t="s">
        <v>21</v>
      </c>
      <c r="L488" t="s">
        <v>22</v>
      </c>
      <c r="M488">
        <v>46</v>
      </c>
      <c r="N488" t="s">
        <v>77</v>
      </c>
      <c r="O488">
        <v>58</v>
      </c>
      <c r="P488">
        <v>1</v>
      </c>
      <c r="Q488">
        <v>3740.73</v>
      </c>
      <c r="R488" s="4">
        <v>45600</v>
      </c>
      <c r="S488" s="6">
        <v>0.34137731481481481</v>
      </c>
      <c r="T488">
        <f t="shared" si="30"/>
        <v>17</v>
      </c>
      <c r="U488" t="str" cm="1">
        <f t="array" ref="U488">_xlfn.IFS(M488&lt;=34,"YOUNG",M488&lt;=54,"MIDDLE AGE",M488&gt;=55,"OLD")</f>
        <v>MIDDLE AGE</v>
      </c>
      <c r="V488" t="str">
        <f t="shared" si="31"/>
        <v>NORMAL</v>
      </c>
    </row>
    <row r="489" spans="1:22" x14ac:dyDescent="0.35">
      <c r="A489" t="s">
        <v>1650</v>
      </c>
      <c r="B489" t="s">
        <v>16</v>
      </c>
      <c r="C489">
        <v>710.14</v>
      </c>
      <c r="D489" s="1">
        <v>44993.68105324074</v>
      </c>
      <c r="E489" s="2">
        <f t="shared" si="28"/>
        <v>0.68105324073985685</v>
      </c>
      <c r="F489" s="3">
        <f t="shared" si="29"/>
        <v>44993</v>
      </c>
      <c r="G489" t="s">
        <v>17</v>
      </c>
      <c r="H489" t="s">
        <v>506</v>
      </c>
      <c r="I489" t="s">
        <v>1651</v>
      </c>
      <c r="J489" t="s">
        <v>1204</v>
      </c>
      <c r="K489" t="s">
        <v>128</v>
      </c>
      <c r="L489" t="s">
        <v>22</v>
      </c>
      <c r="M489">
        <v>26</v>
      </c>
      <c r="N489" t="s">
        <v>37</v>
      </c>
      <c r="O489">
        <v>227</v>
      </c>
      <c r="P489">
        <v>1</v>
      </c>
      <c r="Q489">
        <v>465.63</v>
      </c>
      <c r="R489" s="4">
        <v>45600</v>
      </c>
      <c r="S489" s="6">
        <v>0.34189814814814817</v>
      </c>
      <c r="T489">
        <f t="shared" si="30"/>
        <v>16</v>
      </c>
      <c r="U489" t="str" cm="1">
        <f t="array" ref="U489">_xlfn.IFS(M489&lt;=34,"YOUNG",M489&lt;=54,"MIDDLE AGE",M489&gt;=55,"OLD")</f>
        <v>YOUNG</v>
      </c>
      <c r="V489" t="str">
        <f t="shared" si="31"/>
        <v>NORMAL</v>
      </c>
    </row>
    <row r="490" spans="1:22" x14ac:dyDescent="0.35">
      <c r="A490" t="s">
        <v>1652</v>
      </c>
      <c r="B490" t="s">
        <v>1653</v>
      </c>
      <c r="C490">
        <v>308.68</v>
      </c>
      <c r="D490" s="1">
        <v>44984.718171296299</v>
      </c>
      <c r="E490" s="2">
        <f t="shared" si="28"/>
        <v>0.71817129629926058</v>
      </c>
      <c r="F490" s="3">
        <f t="shared" si="29"/>
        <v>44984</v>
      </c>
      <c r="G490" t="s">
        <v>17</v>
      </c>
      <c r="H490" t="s">
        <v>178</v>
      </c>
      <c r="I490" t="s">
        <v>1323</v>
      </c>
      <c r="J490" t="s">
        <v>1208</v>
      </c>
      <c r="K490" t="s">
        <v>331</v>
      </c>
      <c r="L490" t="s">
        <v>36</v>
      </c>
      <c r="M490">
        <v>53</v>
      </c>
      <c r="N490" t="s">
        <v>23</v>
      </c>
      <c r="O490">
        <v>170</v>
      </c>
      <c r="P490">
        <v>1</v>
      </c>
      <c r="Q490">
        <v>9992.36</v>
      </c>
      <c r="R490" s="4">
        <v>45600</v>
      </c>
      <c r="S490" s="6">
        <v>0.34046296296296297</v>
      </c>
      <c r="T490">
        <f t="shared" si="30"/>
        <v>17</v>
      </c>
      <c r="U490" t="str" cm="1">
        <f t="array" ref="U490">_xlfn.IFS(M490&lt;=34,"YOUNG",M490&lt;=54,"MIDDLE AGE",M490&gt;=55,"OLD")</f>
        <v>MIDDLE AGE</v>
      </c>
      <c r="V490" t="str">
        <f t="shared" si="31"/>
        <v>NORMAL</v>
      </c>
    </row>
    <row r="491" spans="1:22" x14ac:dyDescent="0.35">
      <c r="A491" t="s">
        <v>1654</v>
      </c>
      <c r="B491" t="s">
        <v>1655</v>
      </c>
      <c r="C491">
        <v>166.68</v>
      </c>
      <c r="D491" s="1">
        <v>45012.78328703704</v>
      </c>
      <c r="E491" s="2">
        <f t="shared" si="28"/>
        <v>0.78328703704028158</v>
      </c>
      <c r="F491" s="3">
        <f t="shared" si="29"/>
        <v>45012</v>
      </c>
      <c r="G491" t="s">
        <v>17</v>
      </c>
      <c r="H491" t="s">
        <v>32</v>
      </c>
      <c r="I491" t="s">
        <v>1656</v>
      </c>
      <c r="J491" t="s">
        <v>1657</v>
      </c>
      <c r="K491" t="s">
        <v>181</v>
      </c>
      <c r="L491" t="s">
        <v>22</v>
      </c>
      <c r="M491">
        <v>57</v>
      </c>
      <c r="N491" t="s">
        <v>70</v>
      </c>
      <c r="O491">
        <v>139</v>
      </c>
      <c r="P491">
        <v>1</v>
      </c>
      <c r="Q491">
        <v>5141.1899999999996</v>
      </c>
      <c r="R491" s="4">
        <v>45600</v>
      </c>
      <c r="S491" s="6">
        <v>0.34188657407407408</v>
      </c>
      <c r="T491">
        <f t="shared" si="30"/>
        <v>18</v>
      </c>
      <c r="U491" t="str" cm="1">
        <f t="array" ref="U491">_xlfn.IFS(M491&lt;=34,"YOUNG",M491&lt;=54,"MIDDLE AGE",M491&gt;=55,"OLD")</f>
        <v>OLD</v>
      </c>
      <c r="V491" t="str">
        <f t="shared" si="31"/>
        <v>NORMAL</v>
      </c>
    </row>
    <row r="492" spans="1:22" x14ac:dyDescent="0.35">
      <c r="A492" t="s">
        <v>1658</v>
      </c>
      <c r="B492" t="s">
        <v>1659</v>
      </c>
      <c r="C492">
        <v>0.99</v>
      </c>
      <c r="D492" s="1">
        <v>45182.705023148148</v>
      </c>
      <c r="E492" s="2">
        <f t="shared" si="28"/>
        <v>0.70502314814802958</v>
      </c>
      <c r="F492" s="3">
        <f t="shared" si="29"/>
        <v>45182</v>
      </c>
      <c r="G492" t="s">
        <v>17</v>
      </c>
      <c r="H492" t="s">
        <v>140</v>
      </c>
      <c r="I492" t="s">
        <v>823</v>
      </c>
      <c r="J492" t="s">
        <v>199</v>
      </c>
      <c r="K492" t="s">
        <v>175</v>
      </c>
      <c r="L492" t="s">
        <v>22</v>
      </c>
      <c r="M492">
        <v>45</v>
      </c>
      <c r="N492" t="s">
        <v>77</v>
      </c>
      <c r="O492">
        <v>133</v>
      </c>
      <c r="P492">
        <v>1</v>
      </c>
      <c r="Q492">
        <v>4317.8500000000004</v>
      </c>
      <c r="R492" s="4">
        <v>45600</v>
      </c>
      <c r="S492" s="6">
        <v>0.3397222222222222</v>
      </c>
      <c r="T492">
        <f t="shared" si="30"/>
        <v>16</v>
      </c>
      <c r="U492" t="str" cm="1">
        <f t="array" ref="U492">_xlfn.IFS(M492&lt;=34,"YOUNG",M492&lt;=54,"MIDDLE AGE",M492&gt;=55,"OLD")</f>
        <v>MIDDLE AGE</v>
      </c>
      <c r="V492" t="str">
        <f t="shared" si="31"/>
        <v>NORMAL</v>
      </c>
    </row>
    <row r="493" spans="1:22" x14ac:dyDescent="0.35">
      <c r="A493" t="s">
        <v>1660</v>
      </c>
      <c r="B493" t="s">
        <v>545</v>
      </c>
      <c r="C493">
        <v>505.19</v>
      </c>
      <c r="D493" s="1">
        <v>44999.684074074074</v>
      </c>
      <c r="E493" s="2">
        <f t="shared" si="28"/>
        <v>0.68407407407357823</v>
      </c>
      <c r="F493" s="3">
        <f t="shared" si="29"/>
        <v>44999</v>
      </c>
      <c r="G493" t="s">
        <v>17</v>
      </c>
      <c r="H493" t="s">
        <v>291</v>
      </c>
      <c r="I493" t="s">
        <v>1498</v>
      </c>
      <c r="J493" t="s">
        <v>251</v>
      </c>
      <c r="K493" t="s">
        <v>282</v>
      </c>
      <c r="L493" t="s">
        <v>22</v>
      </c>
      <c r="M493">
        <v>30</v>
      </c>
      <c r="N493" t="s">
        <v>23</v>
      </c>
      <c r="O493">
        <v>128</v>
      </c>
      <c r="P493">
        <v>5</v>
      </c>
      <c r="Q493">
        <v>5326.68</v>
      </c>
      <c r="R493" s="4">
        <v>45600</v>
      </c>
      <c r="S493" s="6">
        <v>0.34049768518518519</v>
      </c>
      <c r="T493">
        <f t="shared" si="30"/>
        <v>16</v>
      </c>
      <c r="U493" t="str" cm="1">
        <f t="array" ref="U493">_xlfn.IFS(M493&lt;=34,"YOUNG",M493&lt;=54,"MIDDLE AGE",M493&gt;=55,"OLD")</f>
        <v>YOUNG</v>
      </c>
      <c r="V493" t="str">
        <f t="shared" si="31"/>
        <v>HIGH</v>
      </c>
    </row>
    <row r="494" spans="1:22" x14ac:dyDescent="0.35">
      <c r="A494" t="s">
        <v>1661</v>
      </c>
      <c r="B494" t="s">
        <v>1620</v>
      </c>
      <c r="C494">
        <v>66.58</v>
      </c>
      <c r="D494" s="1">
        <v>45264.712997685187</v>
      </c>
      <c r="E494" s="2">
        <f t="shared" si="28"/>
        <v>0.71299768518656492</v>
      </c>
      <c r="F494" s="3">
        <f t="shared" si="29"/>
        <v>45264</v>
      </c>
      <c r="G494" t="s">
        <v>17</v>
      </c>
      <c r="H494" t="s">
        <v>40</v>
      </c>
      <c r="I494" t="s">
        <v>990</v>
      </c>
      <c r="J494" t="s">
        <v>1474</v>
      </c>
      <c r="K494" t="s">
        <v>143</v>
      </c>
      <c r="L494" t="s">
        <v>69</v>
      </c>
      <c r="M494">
        <v>23</v>
      </c>
      <c r="N494" t="s">
        <v>37</v>
      </c>
      <c r="O494">
        <v>79</v>
      </c>
      <c r="P494">
        <v>1</v>
      </c>
      <c r="Q494">
        <v>1636.32</v>
      </c>
      <c r="R494" s="4">
        <v>45600</v>
      </c>
      <c r="S494" s="6">
        <v>0.33944444444444444</v>
      </c>
      <c r="T494">
        <f t="shared" si="30"/>
        <v>17</v>
      </c>
      <c r="U494" t="str" cm="1">
        <f t="array" ref="U494">_xlfn.IFS(M494&lt;=34,"YOUNG",M494&lt;=54,"MIDDLE AGE",M494&gt;=55,"OLD")</f>
        <v>YOUNG</v>
      </c>
      <c r="V494" t="str">
        <f t="shared" si="31"/>
        <v>NORMAL</v>
      </c>
    </row>
    <row r="495" spans="1:22" x14ac:dyDescent="0.35">
      <c r="A495" t="s">
        <v>1662</v>
      </c>
      <c r="B495" t="s">
        <v>509</v>
      </c>
      <c r="C495">
        <v>223.43</v>
      </c>
      <c r="D495" s="1">
        <v>44965.749791666669</v>
      </c>
      <c r="E495" s="2">
        <f t="shared" si="28"/>
        <v>0.74979166666889796</v>
      </c>
      <c r="F495" s="3">
        <f t="shared" si="29"/>
        <v>44965</v>
      </c>
      <c r="G495" t="s">
        <v>17</v>
      </c>
      <c r="H495" t="s">
        <v>323</v>
      </c>
      <c r="I495" t="s">
        <v>1328</v>
      </c>
      <c r="J495" t="s">
        <v>325</v>
      </c>
      <c r="K495" t="s">
        <v>50</v>
      </c>
      <c r="L495" t="s">
        <v>69</v>
      </c>
      <c r="M495">
        <v>77</v>
      </c>
      <c r="N495" t="s">
        <v>70</v>
      </c>
      <c r="O495">
        <v>178</v>
      </c>
      <c r="P495">
        <v>1</v>
      </c>
      <c r="Q495">
        <v>7932.41</v>
      </c>
      <c r="R495" s="4">
        <v>45600</v>
      </c>
      <c r="S495" s="6">
        <v>0.34002314814814816</v>
      </c>
      <c r="T495">
        <f t="shared" si="30"/>
        <v>17</v>
      </c>
      <c r="U495" t="str" cm="1">
        <f t="array" ref="U495">_xlfn.IFS(M495&lt;=34,"YOUNG",M495&lt;=54,"MIDDLE AGE",M495&gt;=55,"OLD")</f>
        <v>OLD</v>
      </c>
      <c r="V495" t="str">
        <f t="shared" si="31"/>
        <v>NORMAL</v>
      </c>
    </row>
    <row r="496" spans="1:22" x14ac:dyDescent="0.35">
      <c r="A496" t="s">
        <v>1663</v>
      </c>
      <c r="B496" t="s">
        <v>569</v>
      </c>
      <c r="C496">
        <v>659.95</v>
      </c>
      <c r="D496" s="1">
        <v>45189.70815972222</v>
      </c>
      <c r="E496" s="2">
        <f t="shared" si="28"/>
        <v>0.70815972222044365</v>
      </c>
      <c r="F496" s="3">
        <f t="shared" si="29"/>
        <v>45189</v>
      </c>
      <c r="G496" t="s">
        <v>17</v>
      </c>
      <c r="H496" t="s">
        <v>73</v>
      </c>
      <c r="I496" t="s">
        <v>1664</v>
      </c>
      <c r="J496" t="s">
        <v>1665</v>
      </c>
      <c r="K496" t="s">
        <v>252</v>
      </c>
      <c r="L496" t="s">
        <v>36</v>
      </c>
      <c r="M496">
        <v>60</v>
      </c>
      <c r="N496" t="s">
        <v>77</v>
      </c>
      <c r="O496">
        <v>114</v>
      </c>
      <c r="P496">
        <v>1</v>
      </c>
      <c r="Q496">
        <v>3927.69</v>
      </c>
      <c r="R496" s="4">
        <v>45600</v>
      </c>
      <c r="S496" s="6">
        <v>0.33780092592592592</v>
      </c>
      <c r="T496">
        <f t="shared" si="30"/>
        <v>16</v>
      </c>
      <c r="U496" t="str" cm="1">
        <f t="array" ref="U496">_xlfn.IFS(M496&lt;=34,"YOUNG",M496&lt;=54,"MIDDLE AGE",M496&gt;=55,"OLD")</f>
        <v>OLD</v>
      </c>
      <c r="V496" t="str">
        <f t="shared" si="31"/>
        <v>NORMAL</v>
      </c>
    </row>
    <row r="497" spans="1:22" x14ac:dyDescent="0.35">
      <c r="A497" t="s">
        <v>1666</v>
      </c>
      <c r="B497" t="s">
        <v>1438</v>
      </c>
      <c r="C497">
        <v>634.86</v>
      </c>
      <c r="D497" s="1">
        <v>45148.686747685184</v>
      </c>
      <c r="E497" s="2">
        <f t="shared" si="28"/>
        <v>0.68674768518394558</v>
      </c>
      <c r="F497" s="3">
        <f t="shared" si="29"/>
        <v>45148</v>
      </c>
      <c r="G497" t="s">
        <v>17</v>
      </c>
      <c r="H497" t="s">
        <v>265</v>
      </c>
      <c r="I497" t="s">
        <v>1214</v>
      </c>
      <c r="J497" t="s">
        <v>1667</v>
      </c>
      <c r="K497" t="s">
        <v>35</v>
      </c>
      <c r="L497" t="s">
        <v>22</v>
      </c>
      <c r="M497">
        <v>27</v>
      </c>
      <c r="N497" t="s">
        <v>37</v>
      </c>
      <c r="O497">
        <v>45</v>
      </c>
      <c r="P497">
        <v>1</v>
      </c>
      <c r="Q497">
        <v>588.5</v>
      </c>
      <c r="R497" s="4">
        <v>45600</v>
      </c>
      <c r="S497" s="6">
        <v>0.33888888888888891</v>
      </c>
      <c r="T497">
        <f t="shared" si="30"/>
        <v>16</v>
      </c>
      <c r="U497" t="str" cm="1">
        <f t="array" ref="U497">_xlfn.IFS(M497&lt;=34,"YOUNG",M497&lt;=54,"MIDDLE AGE",M497&gt;=55,"OLD")</f>
        <v>YOUNG</v>
      </c>
      <c r="V497" t="str">
        <f t="shared" si="31"/>
        <v>NORMAL</v>
      </c>
    </row>
    <row r="498" spans="1:22" x14ac:dyDescent="0.35">
      <c r="A498" t="s">
        <v>1668</v>
      </c>
      <c r="B498" t="s">
        <v>660</v>
      </c>
      <c r="C498">
        <v>286.5</v>
      </c>
      <c r="D498" s="1">
        <v>45222.706990740742</v>
      </c>
      <c r="E498" s="2">
        <f t="shared" si="28"/>
        <v>0.70699074074218515</v>
      </c>
      <c r="F498" s="3">
        <f t="shared" si="29"/>
        <v>45222</v>
      </c>
      <c r="G498" t="s">
        <v>46</v>
      </c>
      <c r="H498" t="s">
        <v>388</v>
      </c>
      <c r="I498" t="s">
        <v>1362</v>
      </c>
      <c r="J498" t="s">
        <v>1669</v>
      </c>
      <c r="K498" t="s">
        <v>348</v>
      </c>
      <c r="L498" t="s">
        <v>69</v>
      </c>
      <c r="M498">
        <v>30</v>
      </c>
      <c r="N498" t="s">
        <v>77</v>
      </c>
      <c r="O498">
        <v>60</v>
      </c>
      <c r="P498">
        <v>1</v>
      </c>
      <c r="Q498">
        <v>8517.9500000000007</v>
      </c>
      <c r="R498" s="4">
        <v>45600</v>
      </c>
      <c r="S498" s="6">
        <v>0.33978009259259262</v>
      </c>
      <c r="T498">
        <f t="shared" si="30"/>
        <v>16</v>
      </c>
      <c r="U498" t="str" cm="1">
        <f t="array" ref="U498">_xlfn.IFS(M498&lt;=34,"YOUNG",M498&lt;=54,"MIDDLE AGE",M498&gt;=55,"OLD")</f>
        <v>YOUNG</v>
      </c>
      <c r="V498" t="str">
        <f t="shared" si="31"/>
        <v>NORMAL</v>
      </c>
    </row>
    <row r="499" spans="1:22" x14ac:dyDescent="0.35">
      <c r="A499" t="s">
        <v>1670</v>
      </c>
      <c r="B499" t="s">
        <v>1433</v>
      </c>
      <c r="C499">
        <v>322.95999999999998</v>
      </c>
      <c r="D499" s="1">
        <v>45257.681481481479</v>
      </c>
      <c r="E499" s="2">
        <f t="shared" si="28"/>
        <v>0.68148148147884058</v>
      </c>
      <c r="F499" s="3">
        <f t="shared" si="29"/>
        <v>45257</v>
      </c>
      <c r="G499" t="s">
        <v>46</v>
      </c>
      <c r="H499" t="s">
        <v>243</v>
      </c>
      <c r="I499" t="s">
        <v>1671</v>
      </c>
      <c r="J499" t="s">
        <v>1055</v>
      </c>
      <c r="K499" t="s">
        <v>450</v>
      </c>
      <c r="L499" t="s">
        <v>69</v>
      </c>
      <c r="M499">
        <v>76</v>
      </c>
      <c r="N499" t="s">
        <v>70</v>
      </c>
      <c r="O499">
        <v>168</v>
      </c>
      <c r="P499">
        <v>1</v>
      </c>
      <c r="Q499">
        <v>2401.59</v>
      </c>
      <c r="R499" s="4">
        <v>45600</v>
      </c>
      <c r="S499" s="6">
        <v>0.34125</v>
      </c>
      <c r="T499">
        <f t="shared" si="30"/>
        <v>16</v>
      </c>
      <c r="U499" t="str" cm="1">
        <f t="array" ref="U499">_xlfn.IFS(M499&lt;=34,"YOUNG",M499&lt;=54,"MIDDLE AGE",M499&gt;=55,"OLD")</f>
        <v>OLD</v>
      </c>
      <c r="V499" t="str">
        <f t="shared" si="31"/>
        <v>NORMAL</v>
      </c>
    </row>
    <row r="500" spans="1:22" x14ac:dyDescent="0.35">
      <c r="A500" t="s">
        <v>1672</v>
      </c>
      <c r="B500" t="s">
        <v>1673</v>
      </c>
      <c r="C500">
        <v>654.48</v>
      </c>
      <c r="D500" s="1">
        <v>45145.692430555559</v>
      </c>
      <c r="E500" s="2">
        <f t="shared" si="28"/>
        <v>0.69243055555853061</v>
      </c>
      <c r="F500" s="3">
        <f t="shared" si="29"/>
        <v>45145</v>
      </c>
      <c r="G500" t="s">
        <v>17</v>
      </c>
      <c r="H500" t="s">
        <v>125</v>
      </c>
      <c r="I500" t="s">
        <v>1406</v>
      </c>
      <c r="J500" t="s">
        <v>1674</v>
      </c>
      <c r="K500" t="s">
        <v>478</v>
      </c>
      <c r="L500" t="s">
        <v>69</v>
      </c>
      <c r="M500">
        <v>19</v>
      </c>
      <c r="N500" t="s">
        <v>37</v>
      </c>
      <c r="O500">
        <v>114</v>
      </c>
      <c r="P500">
        <v>1</v>
      </c>
      <c r="Q500">
        <v>6776.41</v>
      </c>
      <c r="R500" s="4">
        <v>45600</v>
      </c>
      <c r="S500" s="6">
        <v>0.34047453703703706</v>
      </c>
      <c r="T500">
        <f t="shared" si="30"/>
        <v>16</v>
      </c>
      <c r="U500" t="str" cm="1">
        <f t="array" ref="U500">_xlfn.IFS(M500&lt;=34,"YOUNG",M500&lt;=54,"MIDDLE AGE",M500&gt;=55,"OLD")</f>
        <v>YOUNG</v>
      </c>
      <c r="V500" t="str">
        <f t="shared" si="31"/>
        <v>NORMAL</v>
      </c>
    </row>
    <row r="501" spans="1:22" x14ac:dyDescent="0.35">
      <c r="A501" t="s">
        <v>1675</v>
      </c>
      <c r="B501" t="s">
        <v>350</v>
      </c>
      <c r="C501">
        <v>157.97</v>
      </c>
      <c r="D501" s="1">
        <v>45098.667256944442</v>
      </c>
      <c r="E501" s="2">
        <f t="shared" si="28"/>
        <v>0.66725694444176042</v>
      </c>
      <c r="F501" s="3">
        <f t="shared" si="29"/>
        <v>45098</v>
      </c>
      <c r="G501" t="s">
        <v>17</v>
      </c>
      <c r="H501" t="s">
        <v>243</v>
      </c>
      <c r="I501" t="s">
        <v>637</v>
      </c>
      <c r="J501" t="s">
        <v>1676</v>
      </c>
      <c r="K501" t="s">
        <v>35</v>
      </c>
      <c r="L501" t="s">
        <v>69</v>
      </c>
      <c r="M501">
        <v>48</v>
      </c>
      <c r="N501" t="s">
        <v>23</v>
      </c>
      <c r="O501">
        <v>140</v>
      </c>
      <c r="P501">
        <v>1</v>
      </c>
      <c r="Q501">
        <v>5529.92</v>
      </c>
      <c r="R501" s="4">
        <v>45600</v>
      </c>
      <c r="S501" s="6">
        <v>0.34034722222222225</v>
      </c>
      <c r="T501">
        <f t="shared" si="30"/>
        <v>16</v>
      </c>
      <c r="U501" t="str" cm="1">
        <f t="array" ref="U501">_xlfn.IFS(M501&lt;=34,"YOUNG",M501&lt;=54,"MIDDLE AGE",M501&gt;=55,"OLD")</f>
        <v>MIDDLE AGE</v>
      </c>
      <c r="V501" t="str">
        <f t="shared" si="31"/>
        <v>NORMAL</v>
      </c>
    </row>
    <row r="502" spans="1:22" x14ac:dyDescent="0.35">
      <c r="A502" t="s">
        <v>1677</v>
      </c>
      <c r="B502" t="s">
        <v>1678</v>
      </c>
      <c r="C502">
        <v>120.9</v>
      </c>
      <c r="D502" s="1">
        <v>45119.678784722222</v>
      </c>
      <c r="E502" s="2">
        <f t="shared" si="28"/>
        <v>0.67878472222218988</v>
      </c>
      <c r="F502" s="3">
        <f t="shared" si="29"/>
        <v>45119</v>
      </c>
      <c r="G502" t="s">
        <v>17</v>
      </c>
      <c r="H502" t="s">
        <v>255</v>
      </c>
      <c r="I502" t="s">
        <v>1645</v>
      </c>
      <c r="J502" t="s">
        <v>1414</v>
      </c>
      <c r="K502" t="s">
        <v>226</v>
      </c>
      <c r="L502" t="s">
        <v>69</v>
      </c>
      <c r="M502">
        <v>40</v>
      </c>
      <c r="N502" t="s">
        <v>23</v>
      </c>
      <c r="O502">
        <v>52</v>
      </c>
      <c r="P502">
        <v>1</v>
      </c>
      <c r="Q502">
        <v>9009.42</v>
      </c>
      <c r="R502" s="4">
        <v>45600</v>
      </c>
      <c r="S502" s="6">
        <v>0.33910879629629631</v>
      </c>
      <c r="T502">
        <f t="shared" si="30"/>
        <v>16</v>
      </c>
      <c r="U502" t="str" cm="1">
        <f t="array" ref="U502">_xlfn.IFS(M502&lt;=34,"YOUNG",M502&lt;=54,"MIDDLE AGE",M502&gt;=55,"OLD")</f>
        <v>MIDDLE AGE</v>
      </c>
      <c r="V502" t="str">
        <f t="shared" si="31"/>
        <v>NORMAL</v>
      </c>
    </row>
    <row r="503" spans="1:22" x14ac:dyDescent="0.35">
      <c r="A503" t="s">
        <v>1679</v>
      </c>
      <c r="B503" t="s">
        <v>604</v>
      </c>
      <c r="C503">
        <v>254.77</v>
      </c>
      <c r="D503" s="1">
        <v>44944.699641203704</v>
      </c>
      <c r="E503" s="2">
        <f t="shared" si="28"/>
        <v>0.69964120370423188</v>
      </c>
      <c r="F503" s="3">
        <f t="shared" si="29"/>
        <v>44944</v>
      </c>
      <c r="G503" t="s">
        <v>17</v>
      </c>
      <c r="H503" t="s">
        <v>114</v>
      </c>
      <c r="I503" t="s">
        <v>1680</v>
      </c>
      <c r="J503" t="s">
        <v>1669</v>
      </c>
      <c r="K503" t="s">
        <v>1000</v>
      </c>
      <c r="L503" t="s">
        <v>69</v>
      </c>
      <c r="M503">
        <v>57</v>
      </c>
      <c r="N503" t="s">
        <v>77</v>
      </c>
      <c r="O503">
        <v>57</v>
      </c>
      <c r="P503">
        <v>1</v>
      </c>
      <c r="Q503">
        <v>5994.87</v>
      </c>
      <c r="R503" s="4">
        <v>45600</v>
      </c>
      <c r="S503" s="6">
        <v>0.33827546296296296</v>
      </c>
      <c r="T503">
        <f t="shared" si="30"/>
        <v>16</v>
      </c>
      <c r="U503" t="str" cm="1">
        <f t="array" ref="U503">_xlfn.IFS(M503&lt;=34,"YOUNG",M503&lt;=54,"MIDDLE AGE",M503&gt;=55,"OLD")</f>
        <v>OLD</v>
      </c>
      <c r="V503" t="str">
        <f t="shared" si="31"/>
        <v>NORMAL</v>
      </c>
    </row>
    <row r="504" spans="1:22" x14ac:dyDescent="0.35">
      <c r="A504" t="s">
        <v>1681</v>
      </c>
      <c r="B504" t="s">
        <v>1682</v>
      </c>
      <c r="C504">
        <v>795.96</v>
      </c>
      <c r="D504" s="1">
        <v>45197.745636574073</v>
      </c>
      <c r="E504" s="2">
        <f t="shared" si="28"/>
        <v>0.74563657407270512</v>
      </c>
      <c r="F504" s="3">
        <f t="shared" si="29"/>
        <v>45197</v>
      </c>
      <c r="G504" t="s">
        <v>17</v>
      </c>
      <c r="H504" t="s">
        <v>40</v>
      </c>
      <c r="I504" t="s">
        <v>1302</v>
      </c>
      <c r="J504" t="s">
        <v>1683</v>
      </c>
      <c r="K504" t="s">
        <v>240</v>
      </c>
      <c r="L504" t="s">
        <v>36</v>
      </c>
      <c r="M504">
        <v>65</v>
      </c>
      <c r="N504" t="s">
        <v>70</v>
      </c>
      <c r="O504">
        <v>119</v>
      </c>
      <c r="P504">
        <v>1</v>
      </c>
      <c r="Q504">
        <v>5468.58</v>
      </c>
      <c r="R504" s="4">
        <v>45600</v>
      </c>
      <c r="S504" s="6">
        <v>0.33918981481481481</v>
      </c>
      <c r="T504">
        <f t="shared" si="30"/>
        <v>17</v>
      </c>
      <c r="U504" t="str" cm="1">
        <f t="array" ref="U504">_xlfn.IFS(M504&lt;=34,"YOUNG",M504&lt;=54,"MIDDLE AGE",M504&gt;=55,"OLD")</f>
        <v>OLD</v>
      </c>
      <c r="V504" t="str">
        <f t="shared" si="31"/>
        <v>NORMAL</v>
      </c>
    </row>
    <row r="505" spans="1:22" x14ac:dyDescent="0.35">
      <c r="A505" t="s">
        <v>1684</v>
      </c>
      <c r="B505" t="s">
        <v>1536</v>
      </c>
      <c r="C505">
        <v>149.25</v>
      </c>
      <c r="D505" s="1">
        <v>45026.693576388891</v>
      </c>
      <c r="E505" s="2">
        <f t="shared" si="28"/>
        <v>0.69357638889050577</v>
      </c>
      <c r="F505" s="3">
        <f t="shared" si="29"/>
        <v>45026</v>
      </c>
      <c r="G505" t="s">
        <v>17</v>
      </c>
      <c r="H505" t="s">
        <v>296</v>
      </c>
      <c r="I505" t="s">
        <v>1685</v>
      </c>
      <c r="J505" t="s">
        <v>1686</v>
      </c>
      <c r="K505" t="s">
        <v>652</v>
      </c>
      <c r="L505" t="s">
        <v>22</v>
      </c>
      <c r="M505">
        <v>39</v>
      </c>
      <c r="N505" t="s">
        <v>77</v>
      </c>
      <c r="O505">
        <v>142</v>
      </c>
      <c r="P505">
        <v>1</v>
      </c>
      <c r="Q505">
        <v>5677.52</v>
      </c>
      <c r="R505" s="4">
        <v>45600</v>
      </c>
      <c r="S505" s="6">
        <v>0.3386689814814815</v>
      </c>
      <c r="T505">
        <f t="shared" si="30"/>
        <v>16</v>
      </c>
      <c r="U505" t="str" cm="1">
        <f t="array" ref="U505">_xlfn.IFS(M505&lt;=34,"YOUNG",M505&lt;=54,"MIDDLE AGE",M505&gt;=55,"OLD")</f>
        <v>MIDDLE AGE</v>
      </c>
      <c r="V505" t="str">
        <f t="shared" si="31"/>
        <v>NORMAL</v>
      </c>
    </row>
    <row r="506" spans="1:22" x14ac:dyDescent="0.35">
      <c r="A506" t="s">
        <v>1687</v>
      </c>
      <c r="B506" t="s">
        <v>1688</v>
      </c>
      <c r="C506">
        <v>3.42</v>
      </c>
      <c r="D506" s="1">
        <v>45194.676793981482</v>
      </c>
      <c r="E506" s="2">
        <f t="shared" si="28"/>
        <v>0.67679398148175096</v>
      </c>
      <c r="F506" s="3">
        <f t="shared" si="29"/>
        <v>45194</v>
      </c>
      <c r="G506" t="s">
        <v>46</v>
      </c>
      <c r="H506" t="s">
        <v>237</v>
      </c>
      <c r="I506" t="s">
        <v>1115</v>
      </c>
      <c r="J506" t="s">
        <v>1689</v>
      </c>
      <c r="K506" t="s">
        <v>186</v>
      </c>
      <c r="L506" t="s">
        <v>36</v>
      </c>
      <c r="M506">
        <v>43</v>
      </c>
      <c r="N506" t="s">
        <v>23</v>
      </c>
      <c r="O506">
        <v>158</v>
      </c>
      <c r="P506">
        <v>1</v>
      </c>
      <c r="Q506">
        <v>14180.21</v>
      </c>
      <c r="R506" s="4">
        <v>45600</v>
      </c>
      <c r="S506" s="6">
        <v>0.33944444444444444</v>
      </c>
      <c r="T506">
        <f t="shared" si="30"/>
        <v>16</v>
      </c>
      <c r="U506" t="str" cm="1">
        <f t="array" ref="U506">_xlfn.IFS(M506&lt;=34,"YOUNG",M506&lt;=54,"MIDDLE AGE",M506&gt;=55,"OLD")</f>
        <v>MIDDLE AGE</v>
      </c>
      <c r="V506" t="str">
        <f t="shared" si="31"/>
        <v>NORMAL</v>
      </c>
    </row>
    <row r="507" spans="1:22" x14ac:dyDescent="0.35">
      <c r="A507" t="s">
        <v>1690</v>
      </c>
      <c r="B507" t="s">
        <v>151</v>
      </c>
      <c r="C507">
        <v>68.19</v>
      </c>
      <c r="D507" s="1">
        <v>44999.671898148146</v>
      </c>
      <c r="E507" s="2">
        <f t="shared" si="28"/>
        <v>0.67189814814628335</v>
      </c>
      <c r="F507" s="3">
        <f t="shared" si="29"/>
        <v>44999</v>
      </c>
      <c r="G507" t="s">
        <v>46</v>
      </c>
      <c r="H507" t="s">
        <v>558</v>
      </c>
      <c r="I507" t="s">
        <v>93</v>
      </c>
      <c r="J507" t="s">
        <v>208</v>
      </c>
      <c r="K507" t="s">
        <v>607</v>
      </c>
      <c r="L507" t="s">
        <v>36</v>
      </c>
      <c r="M507">
        <v>40</v>
      </c>
      <c r="N507" t="s">
        <v>23</v>
      </c>
      <c r="O507">
        <v>189</v>
      </c>
      <c r="P507">
        <v>1</v>
      </c>
      <c r="Q507">
        <v>9895.1</v>
      </c>
      <c r="R507" s="4">
        <v>45600</v>
      </c>
      <c r="S507" s="6">
        <v>0.33877314814814813</v>
      </c>
      <c r="T507">
        <f t="shared" si="30"/>
        <v>16</v>
      </c>
      <c r="U507" t="str" cm="1">
        <f t="array" ref="U507">_xlfn.IFS(M507&lt;=34,"YOUNG",M507&lt;=54,"MIDDLE AGE",M507&gt;=55,"OLD")</f>
        <v>MIDDLE AGE</v>
      </c>
      <c r="V507" t="str">
        <f t="shared" si="31"/>
        <v>NORMAL</v>
      </c>
    </row>
    <row r="508" spans="1:22" x14ac:dyDescent="0.35">
      <c r="A508" t="s">
        <v>1691</v>
      </c>
      <c r="B508" t="s">
        <v>1357</v>
      </c>
      <c r="C508">
        <v>493.42</v>
      </c>
      <c r="D508" s="1">
        <v>45091.723287037035</v>
      </c>
      <c r="E508" s="2">
        <f t="shared" si="28"/>
        <v>0.72328703703533392</v>
      </c>
      <c r="F508" s="3">
        <f t="shared" si="29"/>
        <v>45091</v>
      </c>
      <c r="G508" t="s">
        <v>17</v>
      </c>
      <c r="H508" t="s">
        <v>197</v>
      </c>
      <c r="I508" t="s">
        <v>1692</v>
      </c>
      <c r="J508" t="s">
        <v>921</v>
      </c>
      <c r="K508" t="s">
        <v>137</v>
      </c>
      <c r="L508" t="s">
        <v>69</v>
      </c>
      <c r="M508">
        <v>39</v>
      </c>
      <c r="N508" t="s">
        <v>77</v>
      </c>
      <c r="O508">
        <v>111</v>
      </c>
      <c r="P508">
        <v>1</v>
      </c>
      <c r="Q508">
        <v>2232.84</v>
      </c>
      <c r="R508" s="4">
        <v>45600</v>
      </c>
      <c r="S508" s="6">
        <v>0.34028935185185183</v>
      </c>
      <c r="T508">
        <f t="shared" si="30"/>
        <v>17</v>
      </c>
      <c r="U508" t="str" cm="1">
        <f t="array" ref="U508">_xlfn.IFS(M508&lt;=34,"YOUNG",M508&lt;=54,"MIDDLE AGE",M508&gt;=55,"OLD")</f>
        <v>MIDDLE AGE</v>
      </c>
      <c r="V508" t="str">
        <f t="shared" si="31"/>
        <v>NORMAL</v>
      </c>
    </row>
    <row r="509" spans="1:22" x14ac:dyDescent="0.35">
      <c r="A509" t="s">
        <v>1693</v>
      </c>
      <c r="B509" t="s">
        <v>1694</v>
      </c>
      <c r="C509">
        <v>37.57</v>
      </c>
      <c r="D509" s="1">
        <v>45042.774884259263</v>
      </c>
      <c r="E509" s="2">
        <f t="shared" si="28"/>
        <v>0.7748842592627625</v>
      </c>
      <c r="F509" s="3">
        <f t="shared" si="29"/>
        <v>45042</v>
      </c>
      <c r="G509" t="s">
        <v>17</v>
      </c>
      <c r="H509" t="s">
        <v>506</v>
      </c>
      <c r="I509" t="s">
        <v>1622</v>
      </c>
      <c r="J509" t="s">
        <v>257</v>
      </c>
      <c r="K509" t="s">
        <v>122</v>
      </c>
      <c r="L509" t="s">
        <v>22</v>
      </c>
      <c r="M509">
        <v>57</v>
      </c>
      <c r="N509" t="s">
        <v>70</v>
      </c>
      <c r="O509">
        <v>42</v>
      </c>
      <c r="P509">
        <v>1</v>
      </c>
      <c r="Q509">
        <v>7739.54</v>
      </c>
      <c r="R509" s="4">
        <v>45600</v>
      </c>
      <c r="S509" s="6">
        <v>0.33982638888888889</v>
      </c>
      <c r="T509">
        <f t="shared" si="30"/>
        <v>18</v>
      </c>
      <c r="U509" t="str" cm="1">
        <f t="array" ref="U509">_xlfn.IFS(M509&lt;=34,"YOUNG",M509&lt;=54,"MIDDLE AGE",M509&gt;=55,"OLD")</f>
        <v>OLD</v>
      </c>
      <c r="V509" t="str">
        <f t="shared" si="31"/>
        <v>NORMAL</v>
      </c>
    </row>
    <row r="510" spans="1:22" x14ac:dyDescent="0.35">
      <c r="A510" t="s">
        <v>1695</v>
      </c>
      <c r="B510" t="s">
        <v>1696</v>
      </c>
      <c r="C510">
        <v>127</v>
      </c>
      <c r="D510" s="1">
        <v>45184.715057870373</v>
      </c>
      <c r="E510" s="2">
        <f t="shared" si="28"/>
        <v>0.71505787037312984</v>
      </c>
      <c r="F510" s="3">
        <f t="shared" si="29"/>
        <v>45184</v>
      </c>
      <c r="G510" t="s">
        <v>46</v>
      </c>
      <c r="H510" t="s">
        <v>80</v>
      </c>
      <c r="I510" t="s">
        <v>1697</v>
      </c>
      <c r="J510" t="s">
        <v>1698</v>
      </c>
      <c r="K510" t="s">
        <v>21</v>
      </c>
      <c r="L510" t="s">
        <v>69</v>
      </c>
      <c r="M510">
        <v>19</v>
      </c>
      <c r="N510" t="s">
        <v>37</v>
      </c>
      <c r="O510">
        <v>68</v>
      </c>
      <c r="P510">
        <v>5</v>
      </c>
      <c r="Q510">
        <v>431.16</v>
      </c>
      <c r="R510" s="4">
        <v>45600</v>
      </c>
      <c r="S510" s="6">
        <v>0.34041666666666665</v>
      </c>
      <c r="T510">
        <f t="shared" si="30"/>
        <v>17</v>
      </c>
      <c r="U510" t="str" cm="1">
        <f t="array" ref="U510">_xlfn.IFS(M510&lt;=34,"YOUNG",M510&lt;=54,"MIDDLE AGE",M510&gt;=55,"OLD")</f>
        <v>YOUNG</v>
      </c>
      <c r="V510" t="str">
        <f t="shared" si="31"/>
        <v>HIGH</v>
      </c>
    </row>
    <row r="511" spans="1:22" x14ac:dyDescent="0.35">
      <c r="A511" t="s">
        <v>1699</v>
      </c>
      <c r="B511" t="s">
        <v>1700</v>
      </c>
      <c r="C511">
        <v>96.89</v>
      </c>
      <c r="D511" s="1">
        <v>45001.668067129627</v>
      </c>
      <c r="E511" s="2">
        <f t="shared" si="28"/>
        <v>0.66806712962716119</v>
      </c>
      <c r="F511" s="3">
        <f t="shared" si="29"/>
        <v>45001</v>
      </c>
      <c r="G511" t="s">
        <v>17</v>
      </c>
      <c r="H511" t="s">
        <v>285</v>
      </c>
      <c r="I511" t="s">
        <v>393</v>
      </c>
      <c r="J511" t="s">
        <v>1701</v>
      </c>
      <c r="K511" t="s">
        <v>262</v>
      </c>
      <c r="L511" t="s">
        <v>22</v>
      </c>
      <c r="M511">
        <v>59</v>
      </c>
      <c r="N511" t="s">
        <v>70</v>
      </c>
      <c r="O511">
        <v>53</v>
      </c>
      <c r="P511">
        <v>1</v>
      </c>
      <c r="Q511">
        <v>6044.93</v>
      </c>
      <c r="R511" s="4">
        <v>45600</v>
      </c>
      <c r="S511" s="6">
        <v>0.34104166666666669</v>
      </c>
      <c r="T511">
        <f t="shared" si="30"/>
        <v>16</v>
      </c>
      <c r="U511" t="str" cm="1">
        <f t="array" ref="U511">_xlfn.IFS(M511&lt;=34,"YOUNG",M511&lt;=54,"MIDDLE AGE",M511&gt;=55,"OLD")</f>
        <v>OLD</v>
      </c>
      <c r="V511" t="str">
        <f t="shared" si="31"/>
        <v>NORMAL</v>
      </c>
    </row>
    <row r="512" spans="1:22" x14ac:dyDescent="0.35">
      <c r="A512" t="s">
        <v>1702</v>
      </c>
      <c r="B512" t="s">
        <v>1703</v>
      </c>
      <c r="C512">
        <v>448.33</v>
      </c>
      <c r="D512" s="1">
        <v>45047.674953703703</v>
      </c>
      <c r="E512" s="2">
        <f t="shared" si="28"/>
        <v>0.67495370370306773</v>
      </c>
      <c r="F512" s="3">
        <f t="shared" si="29"/>
        <v>45047</v>
      </c>
      <c r="G512" t="s">
        <v>17</v>
      </c>
      <c r="H512" t="s">
        <v>47</v>
      </c>
      <c r="I512" t="s">
        <v>1704</v>
      </c>
      <c r="J512" t="s">
        <v>1705</v>
      </c>
      <c r="K512" t="s">
        <v>1000</v>
      </c>
      <c r="L512" t="s">
        <v>22</v>
      </c>
      <c r="M512">
        <v>25</v>
      </c>
      <c r="N512" t="s">
        <v>37</v>
      </c>
      <c r="O512">
        <v>161</v>
      </c>
      <c r="P512">
        <v>1</v>
      </c>
      <c r="Q512">
        <v>922.19</v>
      </c>
      <c r="R512" s="4">
        <v>45600</v>
      </c>
      <c r="S512" s="6">
        <v>0.34009259259259261</v>
      </c>
      <c r="T512">
        <f t="shared" si="30"/>
        <v>16</v>
      </c>
      <c r="U512" t="str" cm="1">
        <f t="array" ref="U512">_xlfn.IFS(M512&lt;=34,"YOUNG",M512&lt;=54,"MIDDLE AGE",M512&gt;=55,"OLD")</f>
        <v>YOUNG</v>
      </c>
      <c r="V512" t="str">
        <f t="shared" si="31"/>
        <v>NORMAL</v>
      </c>
    </row>
    <row r="513" spans="1:22" x14ac:dyDescent="0.35">
      <c r="A513" t="s">
        <v>1706</v>
      </c>
      <c r="B513" t="s">
        <v>1707</v>
      </c>
      <c r="C513">
        <v>1116.48</v>
      </c>
      <c r="D513" s="1">
        <v>45187.73946759259</v>
      </c>
      <c r="E513" s="2">
        <f t="shared" si="28"/>
        <v>0.73946759258979</v>
      </c>
      <c r="F513" s="3">
        <f t="shared" si="29"/>
        <v>45187</v>
      </c>
      <c r="G513" t="s">
        <v>17</v>
      </c>
      <c r="H513" t="s">
        <v>18</v>
      </c>
      <c r="I513" t="s">
        <v>1708</v>
      </c>
      <c r="J513" t="s">
        <v>1104</v>
      </c>
      <c r="K513" t="s">
        <v>100</v>
      </c>
      <c r="L513" t="s">
        <v>22</v>
      </c>
      <c r="M513">
        <v>51</v>
      </c>
      <c r="N513" t="s">
        <v>77</v>
      </c>
      <c r="O513">
        <v>55</v>
      </c>
      <c r="P513">
        <v>1</v>
      </c>
      <c r="Q513">
        <v>447.53</v>
      </c>
      <c r="R513" s="4">
        <v>45600</v>
      </c>
      <c r="S513" s="6">
        <v>0.34137731481481481</v>
      </c>
      <c r="T513">
        <f t="shared" si="30"/>
        <v>17</v>
      </c>
      <c r="U513" t="str" cm="1">
        <f t="array" ref="U513">_xlfn.IFS(M513&lt;=34,"YOUNG",M513&lt;=54,"MIDDLE AGE",M513&gt;=55,"OLD")</f>
        <v>MIDDLE AGE</v>
      </c>
      <c r="V513" t="str">
        <f t="shared" si="31"/>
        <v>NORMAL</v>
      </c>
    </row>
    <row r="514" spans="1:22" x14ac:dyDescent="0.35">
      <c r="A514" t="s">
        <v>1709</v>
      </c>
      <c r="B514" t="s">
        <v>1710</v>
      </c>
      <c r="C514">
        <v>8.65</v>
      </c>
      <c r="D514" s="1">
        <v>45082.714317129627</v>
      </c>
      <c r="E514" s="2">
        <f t="shared" ref="E514:E577" si="32">D514-INT(D514)</f>
        <v>0.71431712962657912</v>
      </c>
      <c r="F514" s="3">
        <f t="shared" ref="F514:F577" si="33">INT(D514)</f>
        <v>45082</v>
      </c>
      <c r="G514" t="s">
        <v>17</v>
      </c>
      <c r="H514" t="s">
        <v>146</v>
      </c>
      <c r="I514" t="s">
        <v>109</v>
      </c>
      <c r="J514" t="s">
        <v>1414</v>
      </c>
      <c r="K514" t="s">
        <v>980</v>
      </c>
      <c r="L514" t="s">
        <v>36</v>
      </c>
      <c r="M514">
        <v>48</v>
      </c>
      <c r="N514" t="s">
        <v>23</v>
      </c>
      <c r="O514">
        <v>273</v>
      </c>
      <c r="P514">
        <v>1</v>
      </c>
      <c r="Q514">
        <v>10778.35</v>
      </c>
      <c r="R514" s="4">
        <v>45600</v>
      </c>
      <c r="S514" s="6">
        <v>0.33961805555555558</v>
      </c>
      <c r="T514">
        <f t="shared" si="30"/>
        <v>17</v>
      </c>
      <c r="U514" t="str" cm="1">
        <f t="array" ref="U514">_xlfn.IFS(M514&lt;=34,"YOUNG",M514&lt;=54,"MIDDLE AGE",M514&gt;=55,"OLD")</f>
        <v>MIDDLE AGE</v>
      </c>
      <c r="V514" t="str">
        <f t="shared" si="31"/>
        <v>NORMAL</v>
      </c>
    </row>
    <row r="515" spans="1:22" x14ac:dyDescent="0.35">
      <c r="A515" t="s">
        <v>1711</v>
      </c>
      <c r="B515" t="s">
        <v>1712</v>
      </c>
      <c r="C515">
        <v>65.569999999999993</v>
      </c>
      <c r="D515" s="1">
        <v>45022.725185185183</v>
      </c>
      <c r="E515" s="2">
        <f t="shared" si="32"/>
        <v>0.7251851851833635</v>
      </c>
      <c r="F515" s="3">
        <f t="shared" si="33"/>
        <v>45022</v>
      </c>
      <c r="G515" t="s">
        <v>17</v>
      </c>
      <c r="H515" t="s">
        <v>172</v>
      </c>
      <c r="I515" t="s">
        <v>1713</v>
      </c>
      <c r="J515" t="s">
        <v>320</v>
      </c>
      <c r="K515" t="s">
        <v>137</v>
      </c>
      <c r="L515" t="s">
        <v>36</v>
      </c>
      <c r="M515">
        <v>41</v>
      </c>
      <c r="N515" t="s">
        <v>77</v>
      </c>
      <c r="O515">
        <v>82</v>
      </c>
      <c r="P515">
        <v>1</v>
      </c>
      <c r="Q515">
        <v>7513.79</v>
      </c>
      <c r="R515" s="4">
        <v>45600</v>
      </c>
      <c r="S515" s="6">
        <v>0.33780092592592592</v>
      </c>
      <c r="T515">
        <f t="shared" ref="T515:T578" si="34">HOUR(E515)</f>
        <v>17</v>
      </c>
      <c r="U515" t="str" cm="1">
        <f t="array" ref="U515">_xlfn.IFS(M515&lt;=34,"YOUNG",M515&lt;=54,"MIDDLE AGE",M515&gt;=55,"OLD")</f>
        <v>MIDDLE AGE</v>
      </c>
      <c r="V515" t="str">
        <f t="shared" ref="V515:V578" si="35">IF(P515&gt;1,"HIGH","NORMAL")</f>
        <v>NORMAL</v>
      </c>
    </row>
    <row r="516" spans="1:22" x14ac:dyDescent="0.35">
      <c r="A516" t="s">
        <v>1714</v>
      </c>
      <c r="B516" t="s">
        <v>1715</v>
      </c>
      <c r="C516">
        <v>539.80999999999995</v>
      </c>
      <c r="D516" s="1">
        <v>44978.676574074074</v>
      </c>
      <c r="E516" s="2">
        <f t="shared" si="32"/>
        <v>0.67657407407386927</v>
      </c>
      <c r="F516" s="3">
        <f t="shared" si="33"/>
        <v>44978</v>
      </c>
      <c r="G516" t="s">
        <v>17</v>
      </c>
      <c r="H516" t="s">
        <v>212</v>
      </c>
      <c r="I516" t="s">
        <v>1716</v>
      </c>
      <c r="J516" t="s">
        <v>1717</v>
      </c>
      <c r="K516" t="s">
        <v>331</v>
      </c>
      <c r="L516" t="s">
        <v>36</v>
      </c>
      <c r="M516">
        <v>46</v>
      </c>
      <c r="N516" t="s">
        <v>77</v>
      </c>
      <c r="O516">
        <v>177</v>
      </c>
      <c r="P516">
        <v>1</v>
      </c>
      <c r="Q516">
        <v>2051.25</v>
      </c>
      <c r="R516" s="4">
        <v>45600</v>
      </c>
      <c r="S516" s="6">
        <v>0.33964120370370371</v>
      </c>
      <c r="T516">
        <f t="shared" si="34"/>
        <v>16</v>
      </c>
      <c r="U516" t="str" cm="1">
        <f t="array" ref="U516">_xlfn.IFS(M516&lt;=34,"YOUNG",M516&lt;=54,"MIDDLE AGE",M516&gt;=55,"OLD")</f>
        <v>MIDDLE AGE</v>
      </c>
      <c r="V516" t="str">
        <f t="shared" si="35"/>
        <v>NORMAL</v>
      </c>
    </row>
    <row r="517" spans="1:22" x14ac:dyDescent="0.35">
      <c r="A517" t="s">
        <v>1718</v>
      </c>
      <c r="B517" t="s">
        <v>242</v>
      </c>
      <c r="C517">
        <v>363.53</v>
      </c>
      <c r="D517" s="1">
        <v>44944.711041666669</v>
      </c>
      <c r="E517" s="2">
        <f t="shared" si="32"/>
        <v>0.711041666669189</v>
      </c>
      <c r="F517" s="3">
        <f t="shared" si="33"/>
        <v>44944</v>
      </c>
      <c r="G517" t="s">
        <v>17</v>
      </c>
      <c r="H517" t="s">
        <v>291</v>
      </c>
      <c r="I517" t="s">
        <v>1719</v>
      </c>
      <c r="J517" t="s">
        <v>208</v>
      </c>
      <c r="K517" t="s">
        <v>1524</v>
      </c>
      <c r="L517" t="s">
        <v>22</v>
      </c>
      <c r="M517">
        <v>63</v>
      </c>
      <c r="N517" t="s">
        <v>70</v>
      </c>
      <c r="O517">
        <v>142</v>
      </c>
      <c r="P517">
        <v>1</v>
      </c>
      <c r="Q517">
        <v>1038.9100000000001</v>
      </c>
      <c r="R517" s="4">
        <v>45600</v>
      </c>
      <c r="S517" s="6">
        <v>0.3409375</v>
      </c>
      <c r="T517">
        <f t="shared" si="34"/>
        <v>17</v>
      </c>
      <c r="U517" t="str" cm="1">
        <f t="array" ref="U517">_xlfn.IFS(M517&lt;=34,"YOUNG",M517&lt;=54,"MIDDLE AGE",M517&gt;=55,"OLD")</f>
        <v>OLD</v>
      </c>
      <c r="V517" t="str">
        <f t="shared" si="35"/>
        <v>NORMAL</v>
      </c>
    </row>
    <row r="518" spans="1:22" x14ac:dyDescent="0.35">
      <c r="A518" t="s">
        <v>1720</v>
      </c>
      <c r="B518" t="s">
        <v>578</v>
      </c>
      <c r="C518">
        <v>64.900000000000006</v>
      </c>
      <c r="D518" s="1">
        <v>44971.68309027778</v>
      </c>
      <c r="E518" s="2">
        <f t="shared" si="32"/>
        <v>0.68309027778013842</v>
      </c>
      <c r="F518" s="3">
        <f t="shared" si="33"/>
        <v>44971</v>
      </c>
      <c r="G518" t="s">
        <v>46</v>
      </c>
      <c r="H518" t="s">
        <v>73</v>
      </c>
      <c r="I518" t="s">
        <v>1721</v>
      </c>
      <c r="J518" t="s">
        <v>1722</v>
      </c>
      <c r="K518" t="s">
        <v>169</v>
      </c>
      <c r="L518" t="s">
        <v>69</v>
      </c>
      <c r="M518">
        <v>51</v>
      </c>
      <c r="N518" t="s">
        <v>70</v>
      </c>
      <c r="O518">
        <v>72</v>
      </c>
      <c r="P518">
        <v>1</v>
      </c>
      <c r="Q518">
        <v>6854.61</v>
      </c>
      <c r="R518" s="4">
        <v>45600</v>
      </c>
      <c r="S518" s="6">
        <v>0.3404861111111111</v>
      </c>
      <c r="T518">
        <f t="shared" si="34"/>
        <v>16</v>
      </c>
      <c r="U518" t="str" cm="1">
        <f t="array" ref="U518">_xlfn.IFS(M518&lt;=34,"YOUNG",M518&lt;=54,"MIDDLE AGE",M518&gt;=55,"OLD")</f>
        <v>MIDDLE AGE</v>
      </c>
      <c r="V518" t="str">
        <f t="shared" si="35"/>
        <v>NORMAL</v>
      </c>
    </row>
    <row r="519" spans="1:22" x14ac:dyDescent="0.35">
      <c r="A519" t="s">
        <v>1723</v>
      </c>
      <c r="B519" t="s">
        <v>1561</v>
      </c>
      <c r="C519">
        <v>358.18</v>
      </c>
      <c r="D519" s="1">
        <v>45026.697824074072</v>
      </c>
      <c r="E519" s="2">
        <f t="shared" si="32"/>
        <v>0.697824074071832</v>
      </c>
      <c r="F519" s="3">
        <f t="shared" si="33"/>
        <v>45026</v>
      </c>
      <c r="G519" t="s">
        <v>17</v>
      </c>
      <c r="H519" t="s">
        <v>388</v>
      </c>
      <c r="I519" t="s">
        <v>1724</v>
      </c>
      <c r="J519" t="s">
        <v>1725</v>
      </c>
      <c r="K519" t="s">
        <v>165</v>
      </c>
      <c r="L519" t="s">
        <v>22</v>
      </c>
      <c r="M519">
        <v>18</v>
      </c>
      <c r="N519" t="s">
        <v>37</v>
      </c>
      <c r="O519">
        <v>157</v>
      </c>
      <c r="P519">
        <v>1</v>
      </c>
      <c r="Q519">
        <v>619.86</v>
      </c>
      <c r="R519" s="4">
        <v>45600</v>
      </c>
      <c r="S519" s="6">
        <v>0.33886574074074072</v>
      </c>
      <c r="T519">
        <f t="shared" si="34"/>
        <v>16</v>
      </c>
      <c r="U519" t="str" cm="1">
        <f t="array" ref="U519">_xlfn.IFS(M519&lt;=34,"YOUNG",M519&lt;=54,"MIDDLE AGE",M519&gt;=55,"OLD")</f>
        <v>YOUNG</v>
      </c>
      <c r="V519" t="str">
        <f t="shared" si="35"/>
        <v>NORMAL</v>
      </c>
    </row>
    <row r="520" spans="1:22" x14ac:dyDescent="0.35">
      <c r="A520" t="s">
        <v>1726</v>
      </c>
      <c r="B520" t="s">
        <v>1193</v>
      </c>
      <c r="C520">
        <v>167.2</v>
      </c>
      <c r="D520" s="1">
        <v>44944.745567129627</v>
      </c>
      <c r="E520" s="2">
        <f t="shared" si="32"/>
        <v>0.74556712962657912</v>
      </c>
      <c r="F520" s="3">
        <f t="shared" si="33"/>
        <v>44944</v>
      </c>
      <c r="G520" t="s">
        <v>17</v>
      </c>
      <c r="H520" t="s">
        <v>237</v>
      </c>
      <c r="I520" t="s">
        <v>1727</v>
      </c>
      <c r="J520" t="s">
        <v>1728</v>
      </c>
      <c r="K520" t="s">
        <v>308</v>
      </c>
      <c r="L520" t="s">
        <v>69</v>
      </c>
      <c r="M520">
        <v>30</v>
      </c>
      <c r="N520" t="s">
        <v>23</v>
      </c>
      <c r="O520">
        <v>84</v>
      </c>
      <c r="P520">
        <v>1</v>
      </c>
      <c r="Q520">
        <v>11320.83</v>
      </c>
      <c r="R520" s="4">
        <v>45600</v>
      </c>
      <c r="S520" s="6">
        <v>0.33810185185185188</v>
      </c>
      <c r="T520">
        <f t="shared" si="34"/>
        <v>17</v>
      </c>
      <c r="U520" t="str" cm="1">
        <f t="array" ref="U520">_xlfn.IFS(M520&lt;=34,"YOUNG",M520&lt;=54,"MIDDLE AGE",M520&gt;=55,"OLD")</f>
        <v>YOUNG</v>
      </c>
      <c r="V520" t="str">
        <f t="shared" si="35"/>
        <v>NORMAL</v>
      </c>
    </row>
    <row r="521" spans="1:22" x14ac:dyDescent="0.35">
      <c r="A521" t="s">
        <v>1729</v>
      </c>
      <c r="B521" t="s">
        <v>145</v>
      </c>
      <c r="C521">
        <v>121.91</v>
      </c>
      <c r="D521" s="1">
        <v>45103.777685185189</v>
      </c>
      <c r="E521" s="2">
        <f t="shared" si="32"/>
        <v>0.77768518518860219</v>
      </c>
      <c r="F521" s="3">
        <f t="shared" si="33"/>
        <v>45103</v>
      </c>
      <c r="G521" t="s">
        <v>17</v>
      </c>
      <c r="H521" t="s">
        <v>265</v>
      </c>
      <c r="I521" t="s">
        <v>1548</v>
      </c>
      <c r="J521" t="s">
        <v>1055</v>
      </c>
      <c r="K521" t="s">
        <v>21</v>
      </c>
      <c r="L521" t="s">
        <v>69</v>
      </c>
      <c r="M521">
        <v>60</v>
      </c>
      <c r="N521" t="s">
        <v>23</v>
      </c>
      <c r="O521">
        <v>133</v>
      </c>
      <c r="P521">
        <v>1</v>
      </c>
      <c r="Q521">
        <v>14510.8</v>
      </c>
      <c r="R521" s="4">
        <v>45600</v>
      </c>
      <c r="S521" s="6">
        <v>0.33957175925925925</v>
      </c>
      <c r="T521">
        <f t="shared" si="34"/>
        <v>18</v>
      </c>
      <c r="U521" t="str" cm="1">
        <f t="array" ref="U521">_xlfn.IFS(M521&lt;=34,"YOUNG",M521&lt;=54,"MIDDLE AGE",M521&gt;=55,"OLD")</f>
        <v>OLD</v>
      </c>
      <c r="V521" t="str">
        <f t="shared" si="35"/>
        <v>NORMAL</v>
      </c>
    </row>
    <row r="522" spans="1:22" x14ac:dyDescent="0.35">
      <c r="A522" t="s">
        <v>1730</v>
      </c>
      <c r="B522" t="s">
        <v>442</v>
      </c>
      <c r="C522">
        <v>137.57</v>
      </c>
      <c r="D522" s="1">
        <v>45271.726643518516</v>
      </c>
      <c r="E522" s="2">
        <f t="shared" si="32"/>
        <v>0.72664351851562969</v>
      </c>
      <c r="F522" s="3">
        <f t="shared" si="33"/>
        <v>45271</v>
      </c>
      <c r="G522" t="s">
        <v>17</v>
      </c>
      <c r="H522" t="s">
        <v>108</v>
      </c>
      <c r="I522" t="s">
        <v>1731</v>
      </c>
      <c r="J522" t="s">
        <v>1732</v>
      </c>
      <c r="K522" t="s">
        <v>652</v>
      </c>
      <c r="L522" t="s">
        <v>36</v>
      </c>
      <c r="M522">
        <v>54</v>
      </c>
      <c r="N522" t="s">
        <v>77</v>
      </c>
      <c r="O522">
        <v>70</v>
      </c>
      <c r="P522">
        <v>1</v>
      </c>
      <c r="Q522">
        <v>5103.67</v>
      </c>
      <c r="R522" s="4">
        <v>45600</v>
      </c>
      <c r="S522" s="6">
        <v>0.34122685185185186</v>
      </c>
      <c r="T522">
        <f t="shared" si="34"/>
        <v>17</v>
      </c>
      <c r="U522" t="str" cm="1">
        <f t="array" ref="U522">_xlfn.IFS(M522&lt;=34,"YOUNG",M522&lt;=54,"MIDDLE AGE",M522&gt;=55,"OLD")</f>
        <v>MIDDLE AGE</v>
      </c>
      <c r="V522" t="str">
        <f t="shared" si="35"/>
        <v>NORMAL</v>
      </c>
    </row>
    <row r="523" spans="1:22" x14ac:dyDescent="0.35">
      <c r="A523" t="s">
        <v>1733</v>
      </c>
      <c r="B523" t="s">
        <v>968</v>
      </c>
      <c r="C523">
        <v>534.62</v>
      </c>
      <c r="D523" s="1">
        <v>45265.744074074071</v>
      </c>
      <c r="E523" s="2">
        <f t="shared" si="32"/>
        <v>0.74407407407124992</v>
      </c>
      <c r="F523" s="3">
        <f t="shared" si="33"/>
        <v>45265</v>
      </c>
      <c r="G523" t="s">
        <v>17</v>
      </c>
      <c r="H523" t="s">
        <v>53</v>
      </c>
      <c r="I523" t="s">
        <v>1734</v>
      </c>
      <c r="J523" t="s">
        <v>956</v>
      </c>
      <c r="K523" t="s">
        <v>83</v>
      </c>
      <c r="L523" t="s">
        <v>36</v>
      </c>
      <c r="M523">
        <v>55</v>
      </c>
      <c r="N523" t="s">
        <v>23</v>
      </c>
      <c r="O523">
        <v>45</v>
      </c>
      <c r="P523">
        <v>1</v>
      </c>
      <c r="Q523">
        <v>13793.53</v>
      </c>
      <c r="R523" s="4">
        <v>45600</v>
      </c>
      <c r="S523" s="6">
        <v>0.3379050925925926</v>
      </c>
      <c r="T523">
        <f t="shared" si="34"/>
        <v>17</v>
      </c>
      <c r="U523" t="str" cm="1">
        <f t="array" ref="U523">_xlfn.IFS(M523&lt;=34,"YOUNG",M523&lt;=54,"MIDDLE AGE",M523&gt;=55,"OLD")</f>
        <v>OLD</v>
      </c>
      <c r="V523" t="str">
        <f t="shared" si="35"/>
        <v>NORMAL</v>
      </c>
    </row>
    <row r="524" spans="1:22" x14ac:dyDescent="0.35">
      <c r="A524" t="s">
        <v>1735</v>
      </c>
      <c r="B524" t="s">
        <v>1736</v>
      </c>
      <c r="C524">
        <v>463.92</v>
      </c>
      <c r="D524" s="1">
        <v>44998.695277777777</v>
      </c>
      <c r="E524" s="2">
        <f t="shared" si="32"/>
        <v>0.695277777776937</v>
      </c>
      <c r="F524" s="3">
        <f t="shared" si="33"/>
        <v>44998</v>
      </c>
      <c r="G524" t="s">
        <v>17</v>
      </c>
      <c r="H524" t="s">
        <v>32</v>
      </c>
      <c r="I524" t="s">
        <v>1737</v>
      </c>
      <c r="J524" t="s">
        <v>1467</v>
      </c>
      <c r="K524" t="s">
        <v>752</v>
      </c>
      <c r="L524" t="s">
        <v>36</v>
      </c>
      <c r="M524">
        <v>50</v>
      </c>
      <c r="N524" t="s">
        <v>77</v>
      </c>
      <c r="O524">
        <v>199</v>
      </c>
      <c r="P524">
        <v>1</v>
      </c>
      <c r="Q524">
        <v>2403.39</v>
      </c>
      <c r="R524" s="4">
        <v>45600</v>
      </c>
      <c r="S524" s="6">
        <v>0.33974537037037039</v>
      </c>
      <c r="T524">
        <f t="shared" si="34"/>
        <v>16</v>
      </c>
      <c r="U524" t="str" cm="1">
        <f t="array" ref="U524">_xlfn.IFS(M524&lt;=34,"YOUNG",M524&lt;=54,"MIDDLE AGE",M524&gt;=55,"OLD")</f>
        <v>MIDDLE AGE</v>
      </c>
      <c r="V524" t="str">
        <f t="shared" si="35"/>
        <v>NORMAL</v>
      </c>
    </row>
    <row r="525" spans="1:22" x14ac:dyDescent="0.35">
      <c r="A525" t="s">
        <v>1738</v>
      </c>
      <c r="B525" t="s">
        <v>1739</v>
      </c>
      <c r="C525">
        <v>320.14</v>
      </c>
      <c r="D525" s="1">
        <v>44957.707430555558</v>
      </c>
      <c r="E525" s="2">
        <f t="shared" si="32"/>
        <v>0.70743055555794854</v>
      </c>
      <c r="F525" s="3">
        <f t="shared" si="33"/>
        <v>44957</v>
      </c>
      <c r="G525" t="s">
        <v>17</v>
      </c>
      <c r="H525" t="s">
        <v>178</v>
      </c>
      <c r="I525" t="s">
        <v>461</v>
      </c>
      <c r="J525" t="s">
        <v>1740</v>
      </c>
      <c r="K525" t="s">
        <v>1037</v>
      </c>
      <c r="L525" t="s">
        <v>36</v>
      </c>
      <c r="M525">
        <v>60</v>
      </c>
      <c r="N525" t="s">
        <v>70</v>
      </c>
      <c r="O525">
        <v>96</v>
      </c>
      <c r="P525">
        <v>1</v>
      </c>
      <c r="Q525">
        <v>3075.97</v>
      </c>
      <c r="R525" s="4">
        <v>45600</v>
      </c>
      <c r="S525" s="6">
        <v>0.33865740740740741</v>
      </c>
      <c r="T525">
        <f t="shared" si="34"/>
        <v>16</v>
      </c>
      <c r="U525" t="str" cm="1">
        <f t="array" ref="U525">_xlfn.IFS(M525&lt;=34,"YOUNG",M525&lt;=54,"MIDDLE AGE",M525&gt;=55,"OLD")</f>
        <v>OLD</v>
      </c>
      <c r="V525" t="str">
        <f t="shared" si="35"/>
        <v>NORMAL</v>
      </c>
    </row>
    <row r="526" spans="1:22" x14ac:dyDescent="0.35">
      <c r="A526" t="s">
        <v>1741</v>
      </c>
      <c r="B526" t="s">
        <v>581</v>
      </c>
      <c r="C526">
        <v>214.93</v>
      </c>
      <c r="D526" s="1">
        <v>45061.70989583333</v>
      </c>
      <c r="E526" s="2">
        <f t="shared" si="32"/>
        <v>0.70989583332993789</v>
      </c>
      <c r="F526" s="3">
        <f t="shared" si="33"/>
        <v>45061</v>
      </c>
      <c r="G526" t="s">
        <v>17</v>
      </c>
      <c r="H526" t="s">
        <v>86</v>
      </c>
      <c r="I526" t="s">
        <v>233</v>
      </c>
      <c r="J526" t="s">
        <v>1742</v>
      </c>
      <c r="K526" t="s">
        <v>858</v>
      </c>
      <c r="L526" t="s">
        <v>36</v>
      </c>
      <c r="M526">
        <v>28</v>
      </c>
      <c r="N526" t="s">
        <v>37</v>
      </c>
      <c r="O526">
        <v>52</v>
      </c>
      <c r="P526">
        <v>1</v>
      </c>
      <c r="Q526">
        <v>7835.4</v>
      </c>
      <c r="R526" s="4">
        <v>45600</v>
      </c>
      <c r="S526" s="6">
        <v>0.33947916666666667</v>
      </c>
      <c r="T526">
        <f t="shared" si="34"/>
        <v>17</v>
      </c>
      <c r="U526" t="str" cm="1">
        <f t="array" ref="U526">_xlfn.IFS(M526&lt;=34,"YOUNG",M526&lt;=54,"MIDDLE AGE",M526&gt;=55,"OLD")</f>
        <v>YOUNG</v>
      </c>
      <c r="V526" t="str">
        <f t="shared" si="35"/>
        <v>NORMAL</v>
      </c>
    </row>
    <row r="527" spans="1:22" x14ac:dyDescent="0.35">
      <c r="A527" t="s">
        <v>1743</v>
      </c>
      <c r="B527" t="s">
        <v>188</v>
      </c>
      <c r="C527">
        <v>660.02</v>
      </c>
      <c r="D527" s="1">
        <v>45211.706666666665</v>
      </c>
      <c r="E527" s="2">
        <f t="shared" si="32"/>
        <v>0.70666666666511446</v>
      </c>
      <c r="F527" s="3">
        <f t="shared" si="33"/>
        <v>45211</v>
      </c>
      <c r="G527" t="s">
        <v>17</v>
      </c>
      <c r="H527" t="s">
        <v>80</v>
      </c>
      <c r="I527" t="s">
        <v>319</v>
      </c>
      <c r="J527" t="s">
        <v>542</v>
      </c>
      <c r="K527" t="s">
        <v>200</v>
      </c>
      <c r="L527" t="s">
        <v>69</v>
      </c>
      <c r="M527">
        <v>20</v>
      </c>
      <c r="N527" t="s">
        <v>37</v>
      </c>
      <c r="O527">
        <v>84</v>
      </c>
      <c r="P527">
        <v>1</v>
      </c>
      <c r="Q527">
        <v>414.43</v>
      </c>
      <c r="R527" s="4">
        <v>45600</v>
      </c>
      <c r="S527" s="6">
        <v>0.33929398148148149</v>
      </c>
      <c r="T527">
        <f t="shared" si="34"/>
        <v>16</v>
      </c>
      <c r="U527" t="str" cm="1">
        <f t="array" ref="U527">_xlfn.IFS(M527&lt;=34,"YOUNG",M527&lt;=54,"MIDDLE AGE",M527&gt;=55,"OLD")</f>
        <v>YOUNG</v>
      </c>
      <c r="V527" t="str">
        <f t="shared" si="35"/>
        <v>NORMAL</v>
      </c>
    </row>
    <row r="528" spans="1:22" x14ac:dyDescent="0.35">
      <c r="A528" t="s">
        <v>1744</v>
      </c>
      <c r="B528" t="s">
        <v>1745</v>
      </c>
      <c r="C528">
        <v>345.81</v>
      </c>
      <c r="D528" s="1">
        <v>45103.674270833333</v>
      </c>
      <c r="E528" s="2">
        <f t="shared" si="32"/>
        <v>0.67427083333313931</v>
      </c>
      <c r="F528" s="3">
        <f t="shared" si="33"/>
        <v>45103</v>
      </c>
      <c r="G528" t="s">
        <v>17</v>
      </c>
      <c r="H528" t="s">
        <v>40</v>
      </c>
      <c r="I528" t="s">
        <v>987</v>
      </c>
      <c r="J528" t="s">
        <v>159</v>
      </c>
      <c r="K528" t="s">
        <v>514</v>
      </c>
      <c r="L528" t="s">
        <v>69</v>
      </c>
      <c r="M528">
        <v>40</v>
      </c>
      <c r="N528" t="s">
        <v>77</v>
      </c>
      <c r="O528">
        <v>135</v>
      </c>
      <c r="P528">
        <v>1</v>
      </c>
      <c r="Q528">
        <v>6116.8</v>
      </c>
      <c r="R528" s="4">
        <v>45600</v>
      </c>
      <c r="S528" s="6">
        <v>0.34182870370370372</v>
      </c>
      <c r="T528">
        <f t="shared" si="34"/>
        <v>16</v>
      </c>
      <c r="U528" t="str" cm="1">
        <f t="array" ref="U528">_xlfn.IFS(M528&lt;=34,"YOUNG",M528&lt;=54,"MIDDLE AGE",M528&gt;=55,"OLD")</f>
        <v>MIDDLE AGE</v>
      </c>
      <c r="V528" t="str">
        <f t="shared" si="35"/>
        <v>NORMAL</v>
      </c>
    </row>
    <row r="529" spans="1:22" x14ac:dyDescent="0.35">
      <c r="A529" t="s">
        <v>1746</v>
      </c>
      <c r="B529" t="s">
        <v>1747</v>
      </c>
      <c r="C529">
        <v>143.54</v>
      </c>
      <c r="D529" s="1">
        <v>45215.670891203707</v>
      </c>
      <c r="E529" s="2">
        <f t="shared" si="32"/>
        <v>0.67089120370656019</v>
      </c>
      <c r="F529" s="3">
        <f t="shared" si="33"/>
        <v>45215</v>
      </c>
      <c r="G529" t="s">
        <v>17</v>
      </c>
      <c r="H529" t="s">
        <v>243</v>
      </c>
      <c r="I529" t="s">
        <v>126</v>
      </c>
      <c r="J529" t="s">
        <v>1204</v>
      </c>
      <c r="K529" t="s">
        <v>1287</v>
      </c>
      <c r="L529" t="s">
        <v>22</v>
      </c>
      <c r="M529">
        <v>71</v>
      </c>
      <c r="N529" t="s">
        <v>70</v>
      </c>
      <c r="O529">
        <v>80</v>
      </c>
      <c r="P529">
        <v>1</v>
      </c>
      <c r="Q529">
        <v>6067.62</v>
      </c>
      <c r="R529" s="4">
        <v>45600</v>
      </c>
      <c r="S529" s="6">
        <v>0.33914351851851854</v>
      </c>
      <c r="T529">
        <f t="shared" si="34"/>
        <v>16</v>
      </c>
      <c r="U529" t="str" cm="1">
        <f t="array" ref="U529">_xlfn.IFS(M529&lt;=34,"YOUNG",M529&lt;=54,"MIDDLE AGE",M529&gt;=55,"OLD")</f>
        <v>OLD</v>
      </c>
      <c r="V529" t="str">
        <f t="shared" si="35"/>
        <v>NORMAL</v>
      </c>
    </row>
    <row r="530" spans="1:22" x14ac:dyDescent="0.35">
      <c r="A530" t="s">
        <v>1748</v>
      </c>
      <c r="B530" t="s">
        <v>889</v>
      </c>
      <c r="C530">
        <v>42.55</v>
      </c>
      <c r="D530" s="1">
        <v>45016.789710648147</v>
      </c>
      <c r="E530" s="2">
        <f t="shared" si="32"/>
        <v>0.78971064814686542</v>
      </c>
      <c r="F530" s="3">
        <f t="shared" si="33"/>
        <v>45016</v>
      </c>
      <c r="G530" t="s">
        <v>17</v>
      </c>
      <c r="H530" t="s">
        <v>59</v>
      </c>
      <c r="I530" t="s">
        <v>1749</v>
      </c>
      <c r="J530" t="s">
        <v>897</v>
      </c>
      <c r="K530" t="s">
        <v>759</v>
      </c>
      <c r="L530" t="s">
        <v>69</v>
      </c>
      <c r="M530">
        <v>53</v>
      </c>
      <c r="N530" t="s">
        <v>77</v>
      </c>
      <c r="O530">
        <v>29</v>
      </c>
      <c r="P530">
        <v>1</v>
      </c>
      <c r="Q530">
        <v>7341.43</v>
      </c>
      <c r="R530" s="4">
        <v>45600</v>
      </c>
      <c r="S530" s="6">
        <v>0.34064814814814814</v>
      </c>
      <c r="T530">
        <f t="shared" si="34"/>
        <v>18</v>
      </c>
      <c r="U530" t="str" cm="1">
        <f t="array" ref="U530">_xlfn.IFS(M530&lt;=34,"YOUNG",M530&lt;=54,"MIDDLE AGE",M530&gt;=55,"OLD")</f>
        <v>MIDDLE AGE</v>
      </c>
      <c r="V530" t="str">
        <f t="shared" si="35"/>
        <v>NORMAL</v>
      </c>
    </row>
    <row r="531" spans="1:22" x14ac:dyDescent="0.35">
      <c r="A531" t="s">
        <v>1750</v>
      </c>
      <c r="B531" t="s">
        <v>396</v>
      </c>
      <c r="C531">
        <v>1063.25</v>
      </c>
      <c r="D531" s="1">
        <v>44943.700115740743</v>
      </c>
      <c r="E531" s="2">
        <f t="shared" si="32"/>
        <v>0.70011574074305827</v>
      </c>
      <c r="F531" s="3">
        <f t="shared" si="33"/>
        <v>44943</v>
      </c>
      <c r="G531" t="s">
        <v>46</v>
      </c>
      <c r="H531" t="s">
        <v>296</v>
      </c>
      <c r="I531" t="s">
        <v>947</v>
      </c>
      <c r="J531" t="s">
        <v>1751</v>
      </c>
      <c r="K531" t="s">
        <v>272</v>
      </c>
      <c r="L531" t="s">
        <v>36</v>
      </c>
      <c r="M531">
        <v>21</v>
      </c>
      <c r="N531" t="s">
        <v>37</v>
      </c>
      <c r="O531">
        <v>128</v>
      </c>
      <c r="P531">
        <v>1</v>
      </c>
      <c r="Q531">
        <v>1240.71</v>
      </c>
      <c r="R531" s="4">
        <v>45600</v>
      </c>
      <c r="S531" s="6">
        <v>0.33864583333333331</v>
      </c>
      <c r="T531">
        <f t="shared" si="34"/>
        <v>16</v>
      </c>
      <c r="U531" t="str" cm="1">
        <f t="array" ref="U531">_xlfn.IFS(M531&lt;=34,"YOUNG",M531&lt;=54,"MIDDLE AGE",M531&gt;=55,"OLD")</f>
        <v>YOUNG</v>
      </c>
      <c r="V531" t="str">
        <f t="shared" si="35"/>
        <v>NORMAL</v>
      </c>
    </row>
    <row r="532" spans="1:22" x14ac:dyDescent="0.35">
      <c r="A532" t="s">
        <v>1752</v>
      </c>
      <c r="B532" t="s">
        <v>1753</v>
      </c>
      <c r="C532">
        <v>541.79</v>
      </c>
      <c r="D532" s="1">
        <v>45149.697048611109</v>
      </c>
      <c r="E532" s="2">
        <f t="shared" si="32"/>
        <v>0.69704861110949423</v>
      </c>
      <c r="F532" s="3">
        <f t="shared" si="33"/>
        <v>45149</v>
      </c>
      <c r="G532" t="s">
        <v>17</v>
      </c>
      <c r="H532" t="s">
        <v>32</v>
      </c>
      <c r="I532" t="s">
        <v>1754</v>
      </c>
      <c r="J532" t="s">
        <v>1443</v>
      </c>
      <c r="K532" t="s">
        <v>634</v>
      </c>
      <c r="L532" t="s">
        <v>22</v>
      </c>
      <c r="M532">
        <v>22</v>
      </c>
      <c r="N532" t="s">
        <v>37</v>
      </c>
      <c r="O532">
        <v>125</v>
      </c>
      <c r="P532">
        <v>1</v>
      </c>
      <c r="Q532">
        <v>1454.08</v>
      </c>
      <c r="R532" s="4">
        <v>45600</v>
      </c>
      <c r="S532" s="6">
        <v>0.34130787037037036</v>
      </c>
      <c r="T532">
        <f t="shared" si="34"/>
        <v>16</v>
      </c>
      <c r="U532" t="str" cm="1">
        <f t="array" ref="U532">_xlfn.IFS(M532&lt;=34,"YOUNG",M532&lt;=54,"MIDDLE AGE",M532&gt;=55,"OLD")</f>
        <v>YOUNG</v>
      </c>
      <c r="V532" t="str">
        <f t="shared" si="35"/>
        <v>NORMAL</v>
      </c>
    </row>
    <row r="533" spans="1:22" x14ac:dyDescent="0.35">
      <c r="A533" t="s">
        <v>1755</v>
      </c>
      <c r="B533" t="s">
        <v>1125</v>
      </c>
      <c r="C533">
        <v>40.57</v>
      </c>
      <c r="D533" s="1">
        <v>44970.710034722222</v>
      </c>
      <c r="E533" s="2">
        <f t="shared" si="32"/>
        <v>0.71003472222218988</v>
      </c>
      <c r="F533" s="3">
        <f t="shared" si="33"/>
        <v>44970</v>
      </c>
      <c r="G533" t="s">
        <v>17</v>
      </c>
      <c r="H533" t="s">
        <v>125</v>
      </c>
      <c r="I533" t="s">
        <v>19</v>
      </c>
      <c r="J533" t="s">
        <v>1318</v>
      </c>
      <c r="K533" t="s">
        <v>1287</v>
      </c>
      <c r="L533" t="s">
        <v>69</v>
      </c>
      <c r="M533">
        <v>26</v>
      </c>
      <c r="N533" t="s">
        <v>37</v>
      </c>
      <c r="O533">
        <v>63</v>
      </c>
      <c r="P533">
        <v>1</v>
      </c>
      <c r="Q533">
        <v>1476.91</v>
      </c>
      <c r="R533" s="4">
        <v>45600</v>
      </c>
      <c r="S533" s="6">
        <v>0.33792824074074074</v>
      </c>
      <c r="T533">
        <f t="shared" si="34"/>
        <v>17</v>
      </c>
      <c r="U533" t="str" cm="1">
        <f t="array" ref="U533">_xlfn.IFS(M533&lt;=34,"YOUNG",M533&lt;=54,"MIDDLE AGE",M533&gt;=55,"OLD")</f>
        <v>YOUNG</v>
      </c>
      <c r="V533" t="str">
        <f t="shared" si="35"/>
        <v>NORMAL</v>
      </c>
    </row>
    <row r="534" spans="1:22" x14ac:dyDescent="0.35">
      <c r="A534" t="s">
        <v>1756</v>
      </c>
      <c r="B534" t="s">
        <v>804</v>
      </c>
      <c r="C534">
        <v>120.24</v>
      </c>
      <c r="D534" s="1">
        <v>45166.703032407408</v>
      </c>
      <c r="E534" s="2">
        <f t="shared" si="32"/>
        <v>0.70303240740759065</v>
      </c>
      <c r="F534" s="3">
        <f t="shared" si="33"/>
        <v>45166</v>
      </c>
      <c r="G534" t="s">
        <v>17</v>
      </c>
      <c r="H534" t="s">
        <v>178</v>
      </c>
      <c r="I534" t="s">
        <v>1757</v>
      </c>
      <c r="J534" t="s">
        <v>230</v>
      </c>
      <c r="K534" t="s">
        <v>343</v>
      </c>
      <c r="L534" t="s">
        <v>69</v>
      </c>
      <c r="M534">
        <v>18</v>
      </c>
      <c r="N534" t="s">
        <v>37</v>
      </c>
      <c r="O534">
        <v>131</v>
      </c>
      <c r="P534">
        <v>2</v>
      </c>
      <c r="Q534">
        <v>1943.13</v>
      </c>
      <c r="R534" s="4">
        <v>45600</v>
      </c>
      <c r="S534" s="6">
        <v>0.33912037037037035</v>
      </c>
      <c r="T534">
        <f t="shared" si="34"/>
        <v>16</v>
      </c>
      <c r="U534" t="str" cm="1">
        <f t="array" ref="U534">_xlfn.IFS(M534&lt;=34,"YOUNG",M534&lt;=54,"MIDDLE AGE",M534&gt;=55,"OLD")</f>
        <v>YOUNG</v>
      </c>
      <c r="V534" t="str">
        <f t="shared" si="35"/>
        <v>HIGH</v>
      </c>
    </row>
    <row r="535" spans="1:22" x14ac:dyDescent="0.35">
      <c r="A535" t="s">
        <v>1758</v>
      </c>
      <c r="B535" t="s">
        <v>460</v>
      </c>
      <c r="C535">
        <v>498.67</v>
      </c>
      <c r="D535" s="1">
        <v>45265.680127314816</v>
      </c>
      <c r="E535" s="2">
        <f t="shared" si="32"/>
        <v>0.68012731481576338</v>
      </c>
      <c r="F535" s="3">
        <f t="shared" si="33"/>
        <v>45265</v>
      </c>
      <c r="G535" t="s">
        <v>17</v>
      </c>
      <c r="H535" t="s">
        <v>172</v>
      </c>
      <c r="I535" t="s">
        <v>74</v>
      </c>
      <c r="J535" t="s">
        <v>1163</v>
      </c>
      <c r="K535" t="s">
        <v>308</v>
      </c>
      <c r="L535" t="s">
        <v>36</v>
      </c>
      <c r="M535">
        <v>28</v>
      </c>
      <c r="N535" t="s">
        <v>37</v>
      </c>
      <c r="O535">
        <v>244</v>
      </c>
      <c r="P535">
        <v>1</v>
      </c>
      <c r="Q535">
        <v>1719.97</v>
      </c>
      <c r="R535" s="4">
        <v>45600</v>
      </c>
      <c r="S535" s="6">
        <v>0.33916666666666667</v>
      </c>
      <c r="T535">
        <f t="shared" si="34"/>
        <v>16</v>
      </c>
      <c r="U535" t="str" cm="1">
        <f t="array" ref="U535">_xlfn.IFS(M535&lt;=34,"YOUNG",M535&lt;=54,"MIDDLE AGE",M535&gt;=55,"OLD")</f>
        <v>YOUNG</v>
      </c>
      <c r="V535" t="str">
        <f t="shared" si="35"/>
        <v>NORMAL</v>
      </c>
    </row>
    <row r="536" spans="1:22" x14ac:dyDescent="0.35">
      <c r="A536" t="s">
        <v>1759</v>
      </c>
      <c r="B536" t="s">
        <v>1760</v>
      </c>
      <c r="C536">
        <v>227.22</v>
      </c>
      <c r="D536" s="1">
        <v>45012.786157407405</v>
      </c>
      <c r="E536" s="2">
        <f t="shared" si="32"/>
        <v>0.78615740740497131</v>
      </c>
      <c r="F536" s="3">
        <f t="shared" si="33"/>
        <v>45012</v>
      </c>
      <c r="G536" t="s">
        <v>17</v>
      </c>
      <c r="H536" t="s">
        <v>506</v>
      </c>
      <c r="I536" t="s">
        <v>1761</v>
      </c>
      <c r="J536" t="s">
        <v>1325</v>
      </c>
      <c r="K536" t="s">
        <v>226</v>
      </c>
      <c r="L536" t="s">
        <v>22</v>
      </c>
      <c r="M536">
        <v>53</v>
      </c>
      <c r="N536" t="s">
        <v>23</v>
      </c>
      <c r="O536">
        <v>220</v>
      </c>
      <c r="P536">
        <v>1</v>
      </c>
      <c r="Q536">
        <v>832.82</v>
      </c>
      <c r="R536" s="4">
        <v>45600</v>
      </c>
      <c r="S536" s="6">
        <v>0.34162037037037035</v>
      </c>
      <c r="T536">
        <f t="shared" si="34"/>
        <v>18</v>
      </c>
      <c r="U536" t="str" cm="1">
        <f t="array" ref="U536">_xlfn.IFS(M536&lt;=34,"YOUNG",M536&lt;=54,"MIDDLE AGE",M536&gt;=55,"OLD")</f>
        <v>MIDDLE AGE</v>
      </c>
      <c r="V536" t="str">
        <f t="shared" si="35"/>
        <v>NORMAL</v>
      </c>
    </row>
    <row r="537" spans="1:22" x14ac:dyDescent="0.35">
      <c r="A537" t="s">
        <v>1762</v>
      </c>
      <c r="B537" t="s">
        <v>679</v>
      </c>
      <c r="C537">
        <v>1182.8599999999999</v>
      </c>
      <c r="D537" s="1">
        <v>45271.671423611115</v>
      </c>
      <c r="E537" s="2">
        <f t="shared" si="32"/>
        <v>0.67142361111473292</v>
      </c>
      <c r="F537" s="3">
        <f t="shared" si="33"/>
        <v>45271</v>
      </c>
      <c r="G537" t="s">
        <v>17</v>
      </c>
      <c r="H537" t="s">
        <v>255</v>
      </c>
      <c r="I537" t="s">
        <v>562</v>
      </c>
      <c r="J537" t="s">
        <v>1763</v>
      </c>
      <c r="K537" t="s">
        <v>1345</v>
      </c>
      <c r="L537" t="s">
        <v>36</v>
      </c>
      <c r="M537">
        <v>30</v>
      </c>
      <c r="N537" t="s">
        <v>77</v>
      </c>
      <c r="O537">
        <v>34</v>
      </c>
      <c r="P537">
        <v>1</v>
      </c>
      <c r="Q537">
        <v>7696.16</v>
      </c>
      <c r="R537" s="4">
        <v>45600</v>
      </c>
      <c r="S537" s="6">
        <v>0.33956018518518516</v>
      </c>
      <c r="T537">
        <f t="shared" si="34"/>
        <v>16</v>
      </c>
      <c r="U537" t="str" cm="1">
        <f t="array" ref="U537">_xlfn.IFS(M537&lt;=34,"YOUNG",M537&lt;=54,"MIDDLE AGE",M537&gt;=55,"OLD")</f>
        <v>YOUNG</v>
      </c>
      <c r="V537" t="str">
        <f t="shared" si="35"/>
        <v>NORMAL</v>
      </c>
    </row>
    <row r="538" spans="1:22" x14ac:dyDescent="0.35">
      <c r="A538" t="s">
        <v>1764</v>
      </c>
      <c r="B538" t="s">
        <v>1765</v>
      </c>
      <c r="C538">
        <v>56.94</v>
      </c>
      <c r="D538" s="1">
        <v>45271.703321759262</v>
      </c>
      <c r="E538" s="2">
        <f t="shared" si="32"/>
        <v>0.70332175926159834</v>
      </c>
      <c r="F538" s="3">
        <f t="shared" si="33"/>
        <v>45271</v>
      </c>
      <c r="G538" t="s">
        <v>46</v>
      </c>
      <c r="H538" t="s">
        <v>249</v>
      </c>
      <c r="I538" t="s">
        <v>1766</v>
      </c>
      <c r="J538" t="s">
        <v>587</v>
      </c>
      <c r="K538" t="s">
        <v>169</v>
      </c>
      <c r="L538" t="s">
        <v>36</v>
      </c>
      <c r="M538">
        <v>76</v>
      </c>
      <c r="N538" t="s">
        <v>70</v>
      </c>
      <c r="O538">
        <v>74</v>
      </c>
      <c r="P538">
        <v>1</v>
      </c>
      <c r="Q538">
        <v>7004.63</v>
      </c>
      <c r="R538" s="4">
        <v>45600</v>
      </c>
      <c r="S538" s="6">
        <v>0.33868055555555554</v>
      </c>
      <c r="T538">
        <f t="shared" si="34"/>
        <v>16</v>
      </c>
      <c r="U538" t="str" cm="1">
        <f t="array" ref="U538">_xlfn.IFS(M538&lt;=34,"YOUNG",M538&lt;=54,"MIDDLE AGE",M538&gt;=55,"OLD")</f>
        <v>OLD</v>
      </c>
      <c r="V538" t="str">
        <f t="shared" si="35"/>
        <v>NORMAL</v>
      </c>
    </row>
    <row r="539" spans="1:22" x14ac:dyDescent="0.35">
      <c r="A539" t="s">
        <v>1767</v>
      </c>
      <c r="B539" t="s">
        <v>589</v>
      </c>
      <c r="C539">
        <v>629.82000000000005</v>
      </c>
      <c r="D539" s="1">
        <v>45124.682210648149</v>
      </c>
      <c r="E539" s="2">
        <f t="shared" si="32"/>
        <v>0.68221064814861165</v>
      </c>
      <c r="F539" s="3">
        <f t="shared" si="33"/>
        <v>45124</v>
      </c>
      <c r="G539" t="s">
        <v>17</v>
      </c>
      <c r="H539" t="s">
        <v>521</v>
      </c>
      <c r="I539" t="s">
        <v>250</v>
      </c>
      <c r="J539" t="s">
        <v>1768</v>
      </c>
      <c r="K539" t="s">
        <v>682</v>
      </c>
      <c r="L539" t="s">
        <v>22</v>
      </c>
      <c r="M539">
        <v>68</v>
      </c>
      <c r="N539" t="s">
        <v>70</v>
      </c>
      <c r="O539">
        <v>159</v>
      </c>
      <c r="P539">
        <v>1</v>
      </c>
      <c r="Q539">
        <v>6385.69</v>
      </c>
      <c r="R539" s="4">
        <v>45600</v>
      </c>
      <c r="S539" s="6">
        <v>0.34165509259259258</v>
      </c>
      <c r="T539">
        <f t="shared" si="34"/>
        <v>16</v>
      </c>
      <c r="U539" t="str" cm="1">
        <f t="array" ref="U539">_xlfn.IFS(M539&lt;=34,"YOUNG",M539&lt;=54,"MIDDLE AGE",M539&gt;=55,"OLD")</f>
        <v>OLD</v>
      </c>
      <c r="V539" t="str">
        <f t="shared" si="35"/>
        <v>NORMAL</v>
      </c>
    </row>
    <row r="540" spans="1:22" x14ac:dyDescent="0.35">
      <c r="A540" t="s">
        <v>1769</v>
      </c>
      <c r="B540" t="s">
        <v>1770</v>
      </c>
      <c r="C540">
        <v>59.44</v>
      </c>
      <c r="D540" s="1">
        <v>45090.745092592595</v>
      </c>
      <c r="E540" s="2">
        <f t="shared" si="32"/>
        <v>0.74509259259502869</v>
      </c>
      <c r="F540" s="3">
        <f t="shared" si="33"/>
        <v>45090</v>
      </c>
      <c r="G540" t="s">
        <v>17</v>
      </c>
      <c r="H540" t="s">
        <v>265</v>
      </c>
      <c r="I540" t="s">
        <v>1771</v>
      </c>
      <c r="J540" t="s">
        <v>1772</v>
      </c>
      <c r="K540" t="s">
        <v>43</v>
      </c>
      <c r="L540" t="s">
        <v>36</v>
      </c>
      <c r="M540">
        <v>35</v>
      </c>
      <c r="N540" t="s">
        <v>77</v>
      </c>
      <c r="O540">
        <v>176</v>
      </c>
      <c r="P540">
        <v>1</v>
      </c>
      <c r="Q540">
        <v>5472.03</v>
      </c>
      <c r="R540" s="4">
        <v>45600</v>
      </c>
      <c r="S540" s="6">
        <v>0.33789351851851851</v>
      </c>
      <c r="T540">
        <f t="shared" si="34"/>
        <v>17</v>
      </c>
      <c r="U540" t="str" cm="1">
        <f t="array" ref="U540">_xlfn.IFS(M540&lt;=34,"YOUNG",M540&lt;=54,"MIDDLE AGE",M540&gt;=55,"OLD")</f>
        <v>MIDDLE AGE</v>
      </c>
      <c r="V540" t="str">
        <f t="shared" si="35"/>
        <v>NORMAL</v>
      </c>
    </row>
    <row r="541" spans="1:22" x14ac:dyDescent="0.35">
      <c r="A541" t="s">
        <v>1773</v>
      </c>
      <c r="B541" t="s">
        <v>1569</v>
      </c>
      <c r="C541">
        <v>186.69</v>
      </c>
      <c r="D541" s="1">
        <v>45289.693298611113</v>
      </c>
      <c r="E541" s="2">
        <f t="shared" si="32"/>
        <v>0.69329861111327773</v>
      </c>
      <c r="F541" s="3">
        <f t="shared" si="33"/>
        <v>45289</v>
      </c>
      <c r="G541" t="s">
        <v>17</v>
      </c>
      <c r="H541" t="s">
        <v>203</v>
      </c>
      <c r="I541" t="s">
        <v>1774</v>
      </c>
      <c r="J541" t="s">
        <v>1775</v>
      </c>
      <c r="K541" t="s">
        <v>21</v>
      </c>
      <c r="L541" t="s">
        <v>69</v>
      </c>
      <c r="M541">
        <v>30</v>
      </c>
      <c r="N541" t="s">
        <v>77</v>
      </c>
      <c r="O541">
        <v>54</v>
      </c>
      <c r="P541">
        <v>1</v>
      </c>
      <c r="Q541">
        <v>8602.2199999999993</v>
      </c>
      <c r="R541" s="4">
        <v>45600</v>
      </c>
      <c r="S541" s="6">
        <v>0.33902777777777776</v>
      </c>
      <c r="T541">
        <f t="shared" si="34"/>
        <v>16</v>
      </c>
      <c r="U541" t="str" cm="1">
        <f t="array" ref="U541">_xlfn.IFS(M541&lt;=34,"YOUNG",M541&lt;=54,"MIDDLE AGE",M541&gt;=55,"OLD")</f>
        <v>YOUNG</v>
      </c>
      <c r="V541" t="str">
        <f t="shared" si="35"/>
        <v>NORMAL</v>
      </c>
    </row>
    <row r="542" spans="1:22" x14ac:dyDescent="0.35">
      <c r="A542" t="s">
        <v>1776</v>
      </c>
      <c r="B542" t="s">
        <v>1137</v>
      </c>
      <c r="C542">
        <v>230.46</v>
      </c>
      <c r="D542" s="1">
        <v>45041.731562499997</v>
      </c>
      <c r="E542" s="2">
        <f t="shared" si="32"/>
        <v>0.73156249999738066</v>
      </c>
      <c r="F542" s="3">
        <f t="shared" si="33"/>
        <v>45041</v>
      </c>
      <c r="G542" t="s">
        <v>17</v>
      </c>
      <c r="H542" t="s">
        <v>32</v>
      </c>
      <c r="I542" t="s">
        <v>1777</v>
      </c>
      <c r="J542" t="s">
        <v>148</v>
      </c>
      <c r="K542" t="s">
        <v>362</v>
      </c>
      <c r="L542" t="s">
        <v>36</v>
      </c>
      <c r="M542">
        <v>19</v>
      </c>
      <c r="N542" t="s">
        <v>37</v>
      </c>
      <c r="O542">
        <v>179</v>
      </c>
      <c r="P542">
        <v>1</v>
      </c>
      <c r="Q542">
        <v>162.53</v>
      </c>
      <c r="R542" s="4">
        <v>45600</v>
      </c>
      <c r="S542" s="6">
        <v>0.33946759259259257</v>
      </c>
      <c r="T542">
        <f t="shared" si="34"/>
        <v>17</v>
      </c>
      <c r="U542" t="str" cm="1">
        <f t="array" ref="U542">_xlfn.IFS(M542&lt;=34,"YOUNG",M542&lt;=54,"MIDDLE AGE",M542&gt;=55,"OLD")</f>
        <v>YOUNG</v>
      </c>
      <c r="V542" t="str">
        <f t="shared" si="35"/>
        <v>NORMAL</v>
      </c>
    </row>
    <row r="543" spans="1:22" x14ac:dyDescent="0.35">
      <c r="A543" t="s">
        <v>1778</v>
      </c>
      <c r="B543" t="s">
        <v>946</v>
      </c>
      <c r="C543">
        <v>65.09</v>
      </c>
      <c r="D543" s="1">
        <v>44985.74863425926</v>
      </c>
      <c r="E543" s="2">
        <f t="shared" si="32"/>
        <v>0.74863425926014315</v>
      </c>
      <c r="F543" s="3">
        <f t="shared" si="33"/>
        <v>44985</v>
      </c>
      <c r="G543" t="s">
        <v>46</v>
      </c>
      <c r="H543" t="s">
        <v>59</v>
      </c>
      <c r="I543" t="s">
        <v>586</v>
      </c>
      <c r="J543" t="s">
        <v>1779</v>
      </c>
      <c r="K543" t="s">
        <v>386</v>
      </c>
      <c r="L543" t="s">
        <v>36</v>
      </c>
      <c r="M543">
        <v>44</v>
      </c>
      <c r="N543" t="s">
        <v>77</v>
      </c>
      <c r="O543">
        <v>159</v>
      </c>
      <c r="P543">
        <v>1</v>
      </c>
      <c r="Q543">
        <v>9370.9</v>
      </c>
      <c r="R543" s="4">
        <v>45600</v>
      </c>
      <c r="S543" s="6">
        <v>0.34005787037037039</v>
      </c>
      <c r="T543">
        <f t="shared" si="34"/>
        <v>17</v>
      </c>
      <c r="U543" t="str" cm="1">
        <f t="array" ref="U543">_xlfn.IFS(M543&lt;=34,"YOUNG",M543&lt;=54,"MIDDLE AGE",M543&gt;=55,"OLD")</f>
        <v>MIDDLE AGE</v>
      </c>
      <c r="V543" t="str">
        <f t="shared" si="35"/>
        <v>NORMAL</v>
      </c>
    </row>
    <row r="544" spans="1:22" x14ac:dyDescent="0.35">
      <c r="A544" t="s">
        <v>1780</v>
      </c>
      <c r="B544" t="s">
        <v>1781</v>
      </c>
      <c r="C544">
        <v>457.09</v>
      </c>
      <c r="D544" s="1">
        <v>45071.7034375</v>
      </c>
      <c r="E544" s="2">
        <f t="shared" si="32"/>
        <v>0.70343750000029104</v>
      </c>
      <c r="F544" s="3">
        <f t="shared" si="33"/>
        <v>45071</v>
      </c>
      <c r="G544" t="s">
        <v>46</v>
      </c>
      <c r="H544" t="s">
        <v>80</v>
      </c>
      <c r="I544" t="s">
        <v>1118</v>
      </c>
      <c r="J544" t="s">
        <v>431</v>
      </c>
      <c r="K544" t="s">
        <v>450</v>
      </c>
      <c r="L544" t="s">
        <v>36</v>
      </c>
      <c r="M544">
        <v>55</v>
      </c>
      <c r="N544" t="s">
        <v>77</v>
      </c>
      <c r="O544">
        <v>63</v>
      </c>
      <c r="P544">
        <v>1</v>
      </c>
      <c r="Q544">
        <v>8570.82</v>
      </c>
      <c r="R544" s="4">
        <v>45600</v>
      </c>
      <c r="S544" s="6">
        <v>0.33940972222222221</v>
      </c>
      <c r="T544">
        <f t="shared" si="34"/>
        <v>16</v>
      </c>
      <c r="U544" t="str" cm="1">
        <f t="array" ref="U544">_xlfn.IFS(M544&lt;=34,"YOUNG",M544&lt;=54,"MIDDLE AGE",M544&gt;=55,"OLD")</f>
        <v>OLD</v>
      </c>
      <c r="V544" t="str">
        <f t="shared" si="35"/>
        <v>NORMAL</v>
      </c>
    </row>
    <row r="545" spans="1:22" x14ac:dyDescent="0.35">
      <c r="A545" t="s">
        <v>1782</v>
      </c>
      <c r="B545" t="s">
        <v>1256</v>
      </c>
      <c r="C545">
        <v>552.02</v>
      </c>
      <c r="D545" s="1">
        <v>45260.702615740738</v>
      </c>
      <c r="E545" s="2">
        <f t="shared" si="32"/>
        <v>0.70261574073811062</v>
      </c>
      <c r="F545" s="3">
        <f t="shared" si="33"/>
        <v>45260</v>
      </c>
      <c r="G545" t="s">
        <v>46</v>
      </c>
      <c r="H545" t="s">
        <v>265</v>
      </c>
      <c r="I545" t="s">
        <v>775</v>
      </c>
      <c r="J545" t="s">
        <v>401</v>
      </c>
      <c r="K545" t="s">
        <v>122</v>
      </c>
      <c r="L545" t="s">
        <v>22</v>
      </c>
      <c r="M545">
        <v>44</v>
      </c>
      <c r="N545" t="s">
        <v>77</v>
      </c>
      <c r="O545">
        <v>100</v>
      </c>
      <c r="P545">
        <v>1</v>
      </c>
      <c r="Q545">
        <v>522.08000000000004</v>
      </c>
      <c r="R545" s="4">
        <v>45600</v>
      </c>
      <c r="S545" s="6">
        <v>0.33987268518518521</v>
      </c>
      <c r="T545">
        <f t="shared" si="34"/>
        <v>16</v>
      </c>
      <c r="U545" t="str" cm="1">
        <f t="array" ref="U545">_xlfn.IFS(M545&lt;=34,"YOUNG",M545&lt;=54,"MIDDLE AGE",M545&gt;=55,"OLD")</f>
        <v>MIDDLE AGE</v>
      </c>
      <c r="V545" t="str">
        <f t="shared" si="35"/>
        <v>NORMAL</v>
      </c>
    </row>
    <row r="546" spans="1:22" x14ac:dyDescent="0.35">
      <c r="A546" t="s">
        <v>1783</v>
      </c>
      <c r="B546" t="s">
        <v>1446</v>
      </c>
      <c r="C546">
        <v>377.12</v>
      </c>
      <c r="D546" s="1">
        <v>45152.716979166667</v>
      </c>
      <c r="E546" s="2">
        <f t="shared" si="32"/>
        <v>0.71697916666744277</v>
      </c>
      <c r="F546" s="3">
        <f t="shared" si="33"/>
        <v>45152</v>
      </c>
      <c r="G546" t="s">
        <v>17</v>
      </c>
      <c r="H546" t="s">
        <v>26</v>
      </c>
      <c r="I546" t="s">
        <v>502</v>
      </c>
      <c r="J546" t="s">
        <v>1109</v>
      </c>
      <c r="K546" t="s">
        <v>474</v>
      </c>
      <c r="L546" t="s">
        <v>22</v>
      </c>
      <c r="M546">
        <v>34</v>
      </c>
      <c r="N546" t="s">
        <v>77</v>
      </c>
      <c r="O546">
        <v>61</v>
      </c>
      <c r="P546">
        <v>1</v>
      </c>
      <c r="Q546">
        <v>836.67</v>
      </c>
      <c r="R546" s="4">
        <v>45600</v>
      </c>
      <c r="S546" s="6">
        <v>0.34143518518518517</v>
      </c>
      <c r="T546">
        <f t="shared" si="34"/>
        <v>17</v>
      </c>
      <c r="U546" t="str" cm="1">
        <f t="array" ref="U546">_xlfn.IFS(M546&lt;=34,"YOUNG",M546&lt;=54,"MIDDLE AGE",M546&gt;=55,"OLD")</f>
        <v>YOUNG</v>
      </c>
      <c r="V546" t="str">
        <f t="shared" si="35"/>
        <v>NORMAL</v>
      </c>
    </row>
    <row r="547" spans="1:22" x14ac:dyDescent="0.35">
      <c r="A547" t="s">
        <v>1784</v>
      </c>
      <c r="B547" t="s">
        <v>1785</v>
      </c>
      <c r="C547">
        <v>204.56</v>
      </c>
      <c r="D547" s="1">
        <v>45180.743946759256</v>
      </c>
      <c r="E547" s="2">
        <f t="shared" si="32"/>
        <v>0.74394675925577758</v>
      </c>
      <c r="F547" s="3">
        <f t="shared" si="33"/>
        <v>45180</v>
      </c>
      <c r="G547" t="s">
        <v>46</v>
      </c>
      <c r="H547" t="s">
        <v>18</v>
      </c>
      <c r="I547" t="s">
        <v>1786</v>
      </c>
      <c r="J547" t="s">
        <v>547</v>
      </c>
      <c r="K547" t="s">
        <v>759</v>
      </c>
      <c r="L547" t="s">
        <v>69</v>
      </c>
      <c r="M547">
        <v>18</v>
      </c>
      <c r="N547" t="s">
        <v>37</v>
      </c>
      <c r="O547">
        <v>179</v>
      </c>
      <c r="P547">
        <v>1</v>
      </c>
      <c r="Q547">
        <v>364.72</v>
      </c>
      <c r="R547" s="4">
        <v>45600</v>
      </c>
      <c r="S547" s="6">
        <v>0.34057870370370369</v>
      </c>
      <c r="T547">
        <f t="shared" si="34"/>
        <v>17</v>
      </c>
      <c r="U547" t="str" cm="1">
        <f t="array" ref="U547">_xlfn.IFS(M547&lt;=34,"YOUNG",M547&lt;=54,"MIDDLE AGE",M547&gt;=55,"OLD")</f>
        <v>YOUNG</v>
      </c>
      <c r="V547" t="str">
        <f t="shared" si="35"/>
        <v>NORMAL</v>
      </c>
    </row>
    <row r="548" spans="1:22" x14ac:dyDescent="0.35">
      <c r="A548" t="s">
        <v>1787</v>
      </c>
      <c r="B548" t="s">
        <v>843</v>
      </c>
      <c r="C548">
        <v>420.28</v>
      </c>
      <c r="D548" s="1">
        <v>45063.728067129632</v>
      </c>
      <c r="E548" s="2">
        <f t="shared" si="32"/>
        <v>0.72806712963210884</v>
      </c>
      <c r="F548" s="3">
        <f t="shared" si="33"/>
        <v>45063</v>
      </c>
      <c r="G548" t="s">
        <v>17</v>
      </c>
      <c r="H548" t="s">
        <v>453</v>
      </c>
      <c r="I548" t="s">
        <v>1788</v>
      </c>
      <c r="J548" t="s">
        <v>751</v>
      </c>
      <c r="K548" t="s">
        <v>43</v>
      </c>
      <c r="L548" t="s">
        <v>69</v>
      </c>
      <c r="M548">
        <v>35</v>
      </c>
      <c r="N548" t="s">
        <v>23</v>
      </c>
      <c r="O548">
        <v>144</v>
      </c>
      <c r="P548">
        <v>1</v>
      </c>
      <c r="Q548">
        <v>8557.32</v>
      </c>
      <c r="R548" s="4">
        <v>45600</v>
      </c>
      <c r="S548" s="6">
        <v>0.33959490740740739</v>
      </c>
      <c r="T548">
        <f t="shared" si="34"/>
        <v>17</v>
      </c>
      <c r="U548" t="str" cm="1">
        <f t="array" ref="U548">_xlfn.IFS(M548&lt;=34,"YOUNG",M548&lt;=54,"MIDDLE AGE",M548&gt;=55,"OLD")</f>
        <v>MIDDLE AGE</v>
      </c>
      <c r="V548" t="str">
        <f t="shared" si="35"/>
        <v>NORMAL</v>
      </c>
    </row>
    <row r="549" spans="1:22" x14ac:dyDescent="0.35">
      <c r="A549" t="s">
        <v>1789</v>
      </c>
      <c r="B549" t="s">
        <v>322</v>
      </c>
      <c r="C549">
        <v>97.09</v>
      </c>
      <c r="D549" s="1">
        <v>45026.768703703703</v>
      </c>
      <c r="E549" s="2">
        <f t="shared" si="32"/>
        <v>0.76870370370306773</v>
      </c>
      <c r="F549" s="3">
        <f t="shared" si="33"/>
        <v>45026</v>
      </c>
      <c r="G549" t="s">
        <v>17</v>
      </c>
      <c r="H549" t="s">
        <v>157</v>
      </c>
      <c r="I549" t="s">
        <v>512</v>
      </c>
      <c r="J549" t="s">
        <v>1790</v>
      </c>
      <c r="K549" t="s">
        <v>29</v>
      </c>
      <c r="L549" t="s">
        <v>22</v>
      </c>
      <c r="M549">
        <v>24</v>
      </c>
      <c r="N549" t="s">
        <v>37</v>
      </c>
      <c r="O549">
        <v>202</v>
      </c>
      <c r="P549">
        <v>4</v>
      </c>
      <c r="Q549">
        <v>1579.57</v>
      </c>
      <c r="R549" s="4">
        <v>45600</v>
      </c>
      <c r="S549" s="6">
        <v>0.33788194444444447</v>
      </c>
      <c r="T549">
        <f t="shared" si="34"/>
        <v>18</v>
      </c>
      <c r="U549" t="str" cm="1">
        <f t="array" ref="U549">_xlfn.IFS(M549&lt;=34,"YOUNG",M549&lt;=54,"MIDDLE AGE",M549&gt;=55,"OLD")</f>
        <v>YOUNG</v>
      </c>
      <c r="V549" t="str">
        <f t="shared" si="35"/>
        <v>HIGH</v>
      </c>
    </row>
    <row r="550" spans="1:22" x14ac:dyDescent="0.35">
      <c r="A550" t="s">
        <v>1791</v>
      </c>
      <c r="B550" t="s">
        <v>167</v>
      </c>
      <c r="C550">
        <v>124.59</v>
      </c>
      <c r="D550" s="1">
        <v>45051.730763888889</v>
      </c>
      <c r="E550" s="2">
        <f t="shared" si="32"/>
        <v>0.73076388888875954</v>
      </c>
      <c r="F550" s="3">
        <f t="shared" si="33"/>
        <v>45051</v>
      </c>
      <c r="G550" t="s">
        <v>17</v>
      </c>
      <c r="H550" t="s">
        <v>249</v>
      </c>
      <c r="I550" t="s">
        <v>596</v>
      </c>
      <c r="J550" t="s">
        <v>1116</v>
      </c>
      <c r="K550" t="s">
        <v>105</v>
      </c>
      <c r="L550" t="s">
        <v>69</v>
      </c>
      <c r="M550">
        <v>27</v>
      </c>
      <c r="N550" t="s">
        <v>37</v>
      </c>
      <c r="O550">
        <v>171</v>
      </c>
      <c r="P550">
        <v>1</v>
      </c>
      <c r="Q550">
        <v>129.29</v>
      </c>
      <c r="R550" s="4">
        <v>45600</v>
      </c>
      <c r="S550" s="6">
        <v>0.33982638888888889</v>
      </c>
      <c r="T550">
        <f t="shared" si="34"/>
        <v>17</v>
      </c>
      <c r="U550" t="str" cm="1">
        <f t="array" ref="U550">_xlfn.IFS(M550&lt;=34,"YOUNG",M550&lt;=54,"MIDDLE AGE",M550&gt;=55,"OLD")</f>
        <v>YOUNG</v>
      </c>
      <c r="V550" t="str">
        <f t="shared" si="35"/>
        <v>NORMAL</v>
      </c>
    </row>
    <row r="551" spans="1:22" x14ac:dyDescent="0.35">
      <c r="A551" t="s">
        <v>1792</v>
      </c>
      <c r="B551" t="s">
        <v>729</v>
      </c>
      <c r="C551">
        <v>73.88</v>
      </c>
      <c r="D551" s="1">
        <v>44928.685624999998</v>
      </c>
      <c r="E551" s="2">
        <f t="shared" si="32"/>
        <v>0.68562499999825377</v>
      </c>
      <c r="F551" s="3">
        <f t="shared" si="33"/>
        <v>44928</v>
      </c>
      <c r="G551" t="s">
        <v>17</v>
      </c>
      <c r="H551" t="s">
        <v>249</v>
      </c>
      <c r="I551" t="s">
        <v>1063</v>
      </c>
      <c r="J551" t="s">
        <v>1705</v>
      </c>
      <c r="K551" t="s">
        <v>21</v>
      </c>
      <c r="L551" t="s">
        <v>36</v>
      </c>
      <c r="M551">
        <v>39</v>
      </c>
      <c r="N551" t="s">
        <v>23</v>
      </c>
      <c r="O551">
        <v>34</v>
      </c>
      <c r="P551">
        <v>1</v>
      </c>
      <c r="Q551">
        <v>6474.41</v>
      </c>
      <c r="R551" s="4">
        <v>45600</v>
      </c>
      <c r="S551" s="6">
        <v>0.33968749999999998</v>
      </c>
      <c r="T551">
        <f t="shared" si="34"/>
        <v>16</v>
      </c>
      <c r="U551" t="str" cm="1">
        <f t="array" ref="U551">_xlfn.IFS(M551&lt;=34,"YOUNG",M551&lt;=54,"MIDDLE AGE",M551&gt;=55,"OLD")</f>
        <v>MIDDLE AGE</v>
      </c>
      <c r="V551" t="str">
        <f t="shared" si="35"/>
        <v>NORMAL</v>
      </c>
    </row>
    <row r="552" spans="1:22" x14ac:dyDescent="0.35">
      <c r="A552" t="s">
        <v>1793</v>
      </c>
      <c r="B552" t="s">
        <v>1794</v>
      </c>
      <c r="C552">
        <v>77.430000000000007</v>
      </c>
      <c r="D552" s="1">
        <v>44945.674444444441</v>
      </c>
      <c r="E552" s="2">
        <f t="shared" si="32"/>
        <v>0.67444444444117835</v>
      </c>
      <c r="F552" s="3">
        <f t="shared" si="33"/>
        <v>44945</v>
      </c>
      <c r="G552" t="s">
        <v>17</v>
      </c>
      <c r="H552" t="s">
        <v>40</v>
      </c>
      <c r="I552" t="s">
        <v>1625</v>
      </c>
      <c r="J552" t="s">
        <v>1225</v>
      </c>
      <c r="K552" t="s">
        <v>478</v>
      </c>
      <c r="L552" t="s">
        <v>36</v>
      </c>
      <c r="M552">
        <v>21</v>
      </c>
      <c r="N552" t="s">
        <v>37</v>
      </c>
      <c r="O552">
        <v>169</v>
      </c>
      <c r="P552">
        <v>1</v>
      </c>
      <c r="Q552">
        <v>1380.21</v>
      </c>
      <c r="R552" s="4">
        <v>45600</v>
      </c>
      <c r="S552" s="6">
        <v>0.33788194444444447</v>
      </c>
      <c r="T552">
        <f t="shared" si="34"/>
        <v>16</v>
      </c>
      <c r="U552" t="str" cm="1">
        <f t="array" ref="U552">_xlfn.IFS(M552&lt;=34,"YOUNG",M552&lt;=54,"MIDDLE AGE",M552&gt;=55,"OLD")</f>
        <v>YOUNG</v>
      </c>
      <c r="V552" t="str">
        <f t="shared" si="35"/>
        <v>NORMAL</v>
      </c>
    </row>
    <row r="553" spans="1:22" x14ac:dyDescent="0.35">
      <c r="A553" t="s">
        <v>1795</v>
      </c>
      <c r="B553" t="s">
        <v>1796</v>
      </c>
      <c r="C553">
        <v>106.16</v>
      </c>
      <c r="D553" s="1">
        <v>45030.72347222222</v>
      </c>
      <c r="E553" s="2">
        <f t="shared" si="32"/>
        <v>0.72347222222015262</v>
      </c>
      <c r="F553" s="3">
        <f t="shared" si="33"/>
        <v>45030</v>
      </c>
      <c r="G553" t="s">
        <v>17</v>
      </c>
      <c r="H553" t="s">
        <v>425</v>
      </c>
      <c r="I553" t="s">
        <v>562</v>
      </c>
      <c r="J553" t="s">
        <v>1797</v>
      </c>
      <c r="K553" t="s">
        <v>634</v>
      </c>
      <c r="L553" t="s">
        <v>22</v>
      </c>
      <c r="M553">
        <v>56</v>
      </c>
      <c r="N553" t="s">
        <v>23</v>
      </c>
      <c r="O553">
        <v>277</v>
      </c>
      <c r="P553">
        <v>4</v>
      </c>
      <c r="Q553">
        <v>7487.79</v>
      </c>
      <c r="R553" s="4">
        <v>45600</v>
      </c>
      <c r="S553" s="6">
        <v>0.33947916666666667</v>
      </c>
      <c r="T553">
        <f t="shared" si="34"/>
        <v>17</v>
      </c>
      <c r="U553" t="str" cm="1">
        <f t="array" ref="U553">_xlfn.IFS(M553&lt;=34,"YOUNG",M553&lt;=54,"MIDDLE AGE",M553&gt;=55,"OLD")</f>
        <v>OLD</v>
      </c>
      <c r="V553" t="str">
        <f t="shared" si="35"/>
        <v>HIGH</v>
      </c>
    </row>
    <row r="554" spans="1:22" x14ac:dyDescent="0.35">
      <c r="A554" t="s">
        <v>1798</v>
      </c>
      <c r="B554" t="s">
        <v>1799</v>
      </c>
      <c r="C554">
        <v>245.93</v>
      </c>
      <c r="D554" s="1">
        <v>45083.787210648145</v>
      </c>
      <c r="E554" s="2">
        <f t="shared" si="32"/>
        <v>0.78721064814453712</v>
      </c>
      <c r="F554" s="3">
        <f t="shared" si="33"/>
        <v>45083</v>
      </c>
      <c r="G554" t="s">
        <v>17</v>
      </c>
      <c r="H554" t="s">
        <v>558</v>
      </c>
      <c r="I554" t="s">
        <v>1800</v>
      </c>
      <c r="J554" t="s">
        <v>1477</v>
      </c>
      <c r="K554" t="s">
        <v>56</v>
      </c>
      <c r="L554" t="s">
        <v>69</v>
      </c>
      <c r="M554">
        <v>54</v>
      </c>
      <c r="N554" t="s">
        <v>77</v>
      </c>
      <c r="O554">
        <v>172</v>
      </c>
      <c r="P554">
        <v>1</v>
      </c>
      <c r="Q554">
        <v>7986.63</v>
      </c>
      <c r="R554" s="4">
        <v>45600</v>
      </c>
      <c r="S554" s="6">
        <v>0.34164351851851854</v>
      </c>
      <c r="T554">
        <f t="shared" si="34"/>
        <v>18</v>
      </c>
      <c r="U554" t="str" cm="1">
        <f t="array" ref="U554">_xlfn.IFS(M554&lt;=34,"YOUNG",M554&lt;=54,"MIDDLE AGE",M554&gt;=55,"OLD")</f>
        <v>MIDDLE AGE</v>
      </c>
      <c r="V554" t="str">
        <f t="shared" si="35"/>
        <v>NORMAL</v>
      </c>
    </row>
    <row r="555" spans="1:22" x14ac:dyDescent="0.35">
      <c r="A555" t="s">
        <v>1801</v>
      </c>
      <c r="B555" t="s">
        <v>1802</v>
      </c>
      <c r="C555">
        <v>622.41</v>
      </c>
      <c r="D555" s="1">
        <v>45271.706724537034</v>
      </c>
      <c r="E555" s="2">
        <f t="shared" si="32"/>
        <v>0.70672453703446081</v>
      </c>
      <c r="F555" s="3">
        <f t="shared" si="33"/>
        <v>45271</v>
      </c>
      <c r="G555" t="s">
        <v>17</v>
      </c>
      <c r="H555" t="s">
        <v>65</v>
      </c>
      <c r="I555" t="s">
        <v>1413</v>
      </c>
      <c r="J555" t="s">
        <v>500</v>
      </c>
      <c r="K555" t="s">
        <v>740</v>
      </c>
      <c r="L555" t="s">
        <v>22</v>
      </c>
      <c r="M555">
        <v>64</v>
      </c>
      <c r="N555" t="s">
        <v>23</v>
      </c>
      <c r="O555">
        <v>125</v>
      </c>
      <c r="P555">
        <v>1</v>
      </c>
      <c r="Q555">
        <v>7322.01</v>
      </c>
      <c r="R555" s="4">
        <v>45600</v>
      </c>
      <c r="S555" s="6">
        <v>0.33875</v>
      </c>
      <c r="T555">
        <f t="shared" si="34"/>
        <v>16</v>
      </c>
      <c r="U555" t="str" cm="1">
        <f t="array" ref="U555">_xlfn.IFS(M555&lt;=34,"YOUNG",M555&lt;=54,"MIDDLE AGE",M555&gt;=55,"OLD")</f>
        <v>OLD</v>
      </c>
      <c r="V555" t="str">
        <f t="shared" si="35"/>
        <v>NORMAL</v>
      </c>
    </row>
    <row r="556" spans="1:22" x14ac:dyDescent="0.35">
      <c r="A556" t="s">
        <v>1803</v>
      </c>
      <c r="B556" t="s">
        <v>1368</v>
      </c>
      <c r="C556">
        <v>43.73</v>
      </c>
      <c r="D556" s="1">
        <v>45019.696863425925</v>
      </c>
      <c r="E556" s="2">
        <f t="shared" si="32"/>
        <v>0.69686342592467554</v>
      </c>
      <c r="F556" s="3">
        <f t="shared" si="33"/>
        <v>45019</v>
      </c>
      <c r="G556" t="s">
        <v>17</v>
      </c>
      <c r="H556" t="s">
        <v>296</v>
      </c>
      <c r="I556" t="s">
        <v>833</v>
      </c>
      <c r="J556" t="s">
        <v>849</v>
      </c>
      <c r="K556" t="s">
        <v>1349</v>
      </c>
      <c r="L556" t="s">
        <v>22</v>
      </c>
      <c r="M556">
        <v>34</v>
      </c>
      <c r="N556" t="s">
        <v>23</v>
      </c>
      <c r="O556">
        <v>145</v>
      </c>
      <c r="P556">
        <v>1</v>
      </c>
      <c r="Q556">
        <v>9929.43</v>
      </c>
      <c r="R556" s="4">
        <v>45600</v>
      </c>
      <c r="S556" s="6">
        <v>0.34065972222222224</v>
      </c>
      <c r="T556">
        <f t="shared" si="34"/>
        <v>16</v>
      </c>
      <c r="U556" t="str" cm="1">
        <f t="array" ref="U556">_xlfn.IFS(M556&lt;=34,"YOUNG",M556&lt;=54,"MIDDLE AGE",M556&gt;=55,"OLD")</f>
        <v>YOUNG</v>
      </c>
      <c r="V556" t="str">
        <f t="shared" si="35"/>
        <v>NORMAL</v>
      </c>
    </row>
    <row r="557" spans="1:22" x14ac:dyDescent="0.35">
      <c r="A557" t="s">
        <v>1804</v>
      </c>
      <c r="B557" t="s">
        <v>1678</v>
      </c>
      <c r="C557">
        <v>1282.8599999999999</v>
      </c>
      <c r="D557" s="1">
        <v>45061.703240740739</v>
      </c>
      <c r="E557" s="2">
        <f t="shared" si="32"/>
        <v>0.70324074073869269</v>
      </c>
      <c r="F557" s="3">
        <f t="shared" si="33"/>
        <v>45061</v>
      </c>
      <c r="G557" t="s">
        <v>17</v>
      </c>
      <c r="H557" t="s">
        <v>119</v>
      </c>
      <c r="I557" t="s">
        <v>1061</v>
      </c>
      <c r="J557" t="s">
        <v>638</v>
      </c>
      <c r="K557" t="s">
        <v>272</v>
      </c>
      <c r="L557" t="s">
        <v>69</v>
      </c>
      <c r="M557">
        <v>19</v>
      </c>
      <c r="N557" t="s">
        <v>37</v>
      </c>
      <c r="O557">
        <v>68</v>
      </c>
      <c r="P557">
        <v>1</v>
      </c>
      <c r="Q557">
        <v>1830.98</v>
      </c>
      <c r="R557" s="4">
        <v>45600</v>
      </c>
      <c r="S557" s="6">
        <v>0.33856481481481482</v>
      </c>
      <c r="T557">
        <f t="shared" si="34"/>
        <v>16</v>
      </c>
      <c r="U557" t="str" cm="1">
        <f t="array" ref="U557">_xlfn.IFS(M557&lt;=34,"YOUNG",M557&lt;=54,"MIDDLE AGE",M557&gt;=55,"OLD")</f>
        <v>YOUNG</v>
      </c>
      <c r="V557" t="str">
        <f t="shared" si="35"/>
        <v>NORMAL</v>
      </c>
    </row>
    <row r="558" spans="1:22" x14ac:dyDescent="0.35">
      <c r="A558" t="s">
        <v>1805</v>
      </c>
      <c r="B558" t="s">
        <v>1806</v>
      </c>
      <c r="C558">
        <v>2.0299999999999998</v>
      </c>
      <c r="D558" s="1">
        <v>45292.671585648146</v>
      </c>
      <c r="E558" s="2">
        <f t="shared" si="32"/>
        <v>0.67158564814599231</v>
      </c>
      <c r="F558" s="3">
        <f t="shared" si="33"/>
        <v>45292</v>
      </c>
      <c r="G558" t="s">
        <v>46</v>
      </c>
      <c r="H558" t="s">
        <v>73</v>
      </c>
      <c r="I558" t="s">
        <v>1508</v>
      </c>
      <c r="J558" t="s">
        <v>1315</v>
      </c>
      <c r="K558" t="s">
        <v>445</v>
      </c>
      <c r="L558" t="s">
        <v>22</v>
      </c>
      <c r="M558">
        <v>33</v>
      </c>
      <c r="N558" t="s">
        <v>77</v>
      </c>
      <c r="O558">
        <v>28</v>
      </c>
      <c r="P558">
        <v>1</v>
      </c>
      <c r="Q558">
        <v>3012.31</v>
      </c>
      <c r="R558" s="4">
        <v>45600</v>
      </c>
      <c r="S558" s="6">
        <v>0.33946759259259257</v>
      </c>
      <c r="T558">
        <f t="shared" si="34"/>
        <v>16</v>
      </c>
      <c r="U558" t="str" cm="1">
        <f t="array" ref="U558">_xlfn.IFS(M558&lt;=34,"YOUNG",M558&lt;=54,"MIDDLE AGE",M558&gt;=55,"OLD")</f>
        <v>YOUNG</v>
      </c>
      <c r="V558" t="str">
        <f t="shared" si="35"/>
        <v>NORMAL</v>
      </c>
    </row>
    <row r="559" spans="1:22" x14ac:dyDescent="0.35">
      <c r="A559" t="s">
        <v>1807</v>
      </c>
      <c r="B559" t="s">
        <v>1808</v>
      </c>
      <c r="C559">
        <v>770.65</v>
      </c>
      <c r="D559" s="1">
        <v>45112.742662037039</v>
      </c>
      <c r="E559" s="2">
        <f t="shared" si="32"/>
        <v>0.74266203703882638</v>
      </c>
      <c r="F559" s="3">
        <f t="shared" si="33"/>
        <v>45112</v>
      </c>
      <c r="G559" t="s">
        <v>17</v>
      </c>
      <c r="H559" t="s">
        <v>392</v>
      </c>
      <c r="I559" t="s">
        <v>1809</v>
      </c>
      <c r="J559" t="s">
        <v>911</v>
      </c>
      <c r="K559" t="s">
        <v>1810</v>
      </c>
      <c r="L559" t="s">
        <v>36</v>
      </c>
      <c r="M559">
        <v>31</v>
      </c>
      <c r="N559" t="s">
        <v>23</v>
      </c>
      <c r="O559">
        <v>137</v>
      </c>
      <c r="P559">
        <v>1</v>
      </c>
      <c r="Q559">
        <v>7198.8</v>
      </c>
      <c r="R559" s="4">
        <v>45600</v>
      </c>
      <c r="S559" s="6">
        <v>0.33959490740740739</v>
      </c>
      <c r="T559">
        <f t="shared" si="34"/>
        <v>17</v>
      </c>
      <c r="U559" t="str" cm="1">
        <f t="array" ref="U559">_xlfn.IFS(M559&lt;=34,"YOUNG",M559&lt;=54,"MIDDLE AGE",M559&gt;=55,"OLD")</f>
        <v>YOUNG</v>
      </c>
      <c r="V559" t="str">
        <f t="shared" si="35"/>
        <v>NORMAL</v>
      </c>
    </row>
    <row r="560" spans="1:22" x14ac:dyDescent="0.35">
      <c r="A560" t="s">
        <v>1811</v>
      </c>
      <c r="B560" t="s">
        <v>118</v>
      </c>
      <c r="C560">
        <v>260.31</v>
      </c>
      <c r="D560" s="1">
        <v>44985.699247685188</v>
      </c>
      <c r="E560" s="2">
        <f t="shared" si="32"/>
        <v>0.69924768518831115</v>
      </c>
      <c r="F560" s="3">
        <f t="shared" si="33"/>
        <v>44985</v>
      </c>
      <c r="G560" t="s">
        <v>17</v>
      </c>
      <c r="H560" t="s">
        <v>119</v>
      </c>
      <c r="I560" t="s">
        <v>1812</v>
      </c>
      <c r="J560" t="s">
        <v>606</v>
      </c>
      <c r="K560" t="s">
        <v>149</v>
      </c>
      <c r="L560" t="s">
        <v>69</v>
      </c>
      <c r="M560">
        <v>63</v>
      </c>
      <c r="N560" t="s">
        <v>23</v>
      </c>
      <c r="O560">
        <v>113</v>
      </c>
      <c r="P560">
        <v>1</v>
      </c>
      <c r="Q560">
        <v>10980.38</v>
      </c>
      <c r="R560" s="4">
        <v>45600</v>
      </c>
      <c r="S560" s="6">
        <v>0.3417013888888889</v>
      </c>
      <c r="T560">
        <f t="shared" si="34"/>
        <v>16</v>
      </c>
      <c r="U560" t="str" cm="1">
        <f t="array" ref="U560">_xlfn.IFS(M560&lt;=34,"YOUNG",M560&lt;=54,"MIDDLE AGE",M560&gt;=55,"OLD")</f>
        <v>OLD</v>
      </c>
      <c r="V560" t="str">
        <f t="shared" si="35"/>
        <v>NORMAL</v>
      </c>
    </row>
    <row r="561" spans="1:22" x14ac:dyDescent="0.35">
      <c r="A561" t="s">
        <v>1813</v>
      </c>
      <c r="B561" t="s">
        <v>1814</v>
      </c>
      <c r="C561">
        <v>356.1</v>
      </c>
      <c r="D561" s="1">
        <v>45224.676145833335</v>
      </c>
      <c r="E561" s="2">
        <f t="shared" si="32"/>
        <v>0.67614583333488554</v>
      </c>
      <c r="F561" s="3">
        <f t="shared" si="33"/>
        <v>45224</v>
      </c>
      <c r="G561" t="s">
        <v>46</v>
      </c>
      <c r="H561" t="s">
        <v>157</v>
      </c>
      <c r="I561" t="s">
        <v>1815</v>
      </c>
      <c r="J561" t="s">
        <v>1503</v>
      </c>
      <c r="K561" t="s">
        <v>169</v>
      </c>
      <c r="L561" t="s">
        <v>69</v>
      </c>
      <c r="M561">
        <v>26</v>
      </c>
      <c r="N561" t="s">
        <v>37</v>
      </c>
      <c r="O561">
        <v>187</v>
      </c>
      <c r="P561">
        <v>1</v>
      </c>
      <c r="Q561">
        <v>868.35</v>
      </c>
      <c r="R561" s="4">
        <v>45600</v>
      </c>
      <c r="S561" s="6">
        <v>0.34099537037037037</v>
      </c>
      <c r="T561">
        <f t="shared" si="34"/>
        <v>16</v>
      </c>
      <c r="U561" t="str" cm="1">
        <f t="array" ref="U561">_xlfn.IFS(M561&lt;=34,"YOUNG",M561&lt;=54,"MIDDLE AGE",M561&gt;=55,"OLD")</f>
        <v>YOUNG</v>
      </c>
      <c r="V561" t="str">
        <f t="shared" si="35"/>
        <v>NORMAL</v>
      </c>
    </row>
    <row r="562" spans="1:22" x14ac:dyDescent="0.35">
      <c r="A562" t="s">
        <v>1816</v>
      </c>
      <c r="B562" t="s">
        <v>660</v>
      </c>
      <c r="C562">
        <v>27.07</v>
      </c>
      <c r="D562" s="1">
        <v>44991.73542824074</v>
      </c>
      <c r="E562" s="2">
        <f t="shared" si="32"/>
        <v>0.73542824073956581</v>
      </c>
      <c r="F562" s="3">
        <f t="shared" si="33"/>
        <v>44991</v>
      </c>
      <c r="G562" t="s">
        <v>46</v>
      </c>
      <c r="H562" t="s">
        <v>301</v>
      </c>
      <c r="I562" t="s">
        <v>173</v>
      </c>
      <c r="J562" t="s">
        <v>1817</v>
      </c>
      <c r="K562" t="s">
        <v>432</v>
      </c>
      <c r="L562" t="s">
        <v>69</v>
      </c>
      <c r="M562">
        <v>80</v>
      </c>
      <c r="N562" t="s">
        <v>70</v>
      </c>
      <c r="O562">
        <v>39</v>
      </c>
      <c r="P562">
        <v>1</v>
      </c>
      <c r="Q562">
        <v>3773.29</v>
      </c>
      <c r="R562" s="4">
        <v>45600</v>
      </c>
      <c r="S562" s="6">
        <v>0.34024305555555556</v>
      </c>
      <c r="T562">
        <f t="shared" si="34"/>
        <v>17</v>
      </c>
      <c r="U562" t="str" cm="1">
        <f t="array" ref="U562">_xlfn.IFS(M562&lt;=34,"YOUNG",M562&lt;=54,"MIDDLE AGE",M562&gt;=55,"OLD")</f>
        <v>OLD</v>
      </c>
      <c r="V562" t="str">
        <f t="shared" si="35"/>
        <v>NORMAL</v>
      </c>
    </row>
    <row r="563" spans="1:22" x14ac:dyDescent="0.35">
      <c r="A563" t="s">
        <v>1818</v>
      </c>
      <c r="B563" t="s">
        <v>899</v>
      </c>
      <c r="C563">
        <v>119.89</v>
      </c>
      <c r="D563" s="1">
        <v>45279.716331018521</v>
      </c>
      <c r="E563" s="2">
        <f t="shared" si="32"/>
        <v>0.71633101852057735</v>
      </c>
      <c r="F563" s="3">
        <f t="shared" si="33"/>
        <v>45279</v>
      </c>
      <c r="G563" t="s">
        <v>17</v>
      </c>
      <c r="H563" t="s">
        <v>255</v>
      </c>
      <c r="I563" t="s">
        <v>315</v>
      </c>
      <c r="J563" t="s">
        <v>1819</v>
      </c>
      <c r="K563" t="s">
        <v>432</v>
      </c>
      <c r="L563" t="s">
        <v>22</v>
      </c>
      <c r="M563">
        <v>67</v>
      </c>
      <c r="N563" t="s">
        <v>23</v>
      </c>
      <c r="O563">
        <v>60</v>
      </c>
      <c r="P563">
        <v>1</v>
      </c>
      <c r="Q563">
        <v>6697.77</v>
      </c>
      <c r="R563" s="4">
        <v>45600</v>
      </c>
      <c r="S563" s="6">
        <v>0.33960648148148148</v>
      </c>
      <c r="T563">
        <f t="shared" si="34"/>
        <v>17</v>
      </c>
      <c r="U563" t="str" cm="1">
        <f t="array" ref="U563">_xlfn.IFS(M563&lt;=34,"YOUNG",M563&lt;=54,"MIDDLE AGE",M563&gt;=55,"OLD")</f>
        <v>OLD</v>
      </c>
      <c r="V563" t="str">
        <f t="shared" si="35"/>
        <v>NORMAL</v>
      </c>
    </row>
    <row r="564" spans="1:22" x14ac:dyDescent="0.35">
      <c r="A564" t="s">
        <v>1820</v>
      </c>
      <c r="B564" t="s">
        <v>1821</v>
      </c>
      <c r="C564">
        <v>106.39</v>
      </c>
      <c r="D564" s="1">
        <v>44970.779270833336</v>
      </c>
      <c r="E564" s="2">
        <f t="shared" si="32"/>
        <v>0.77927083333634073</v>
      </c>
      <c r="F564" s="3">
        <f t="shared" si="33"/>
        <v>44970</v>
      </c>
      <c r="G564" t="s">
        <v>17</v>
      </c>
      <c r="H564" t="s">
        <v>301</v>
      </c>
      <c r="I564" t="s">
        <v>966</v>
      </c>
      <c r="J564" t="s">
        <v>1083</v>
      </c>
      <c r="K564" t="s">
        <v>362</v>
      </c>
      <c r="L564" t="s">
        <v>36</v>
      </c>
      <c r="M564">
        <v>37</v>
      </c>
      <c r="N564" t="s">
        <v>23</v>
      </c>
      <c r="O564">
        <v>281</v>
      </c>
      <c r="P564">
        <v>1</v>
      </c>
      <c r="Q564">
        <v>9410.99</v>
      </c>
      <c r="R564" s="4">
        <v>45600</v>
      </c>
      <c r="S564" s="6">
        <v>0.34064814814814814</v>
      </c>
      <c r="T564">
        <f t="shared" si="34"/>
        <v>18</v>
      </c>
      <c r="U564" t="str" cm="1">
        <f t="array" ref="U564">_xlfn.IFS(M564&lt;=34,"YOUNG",M564&lt;=54,"MIDDLE AGE",M564&gt;=55,"OLD")</f>
        <v>MIDDLE AGE</v>
      </c>
      <c r="V564" t="str">
        <f t="shared" si="35"/>
        <v>NORMAL</v>
      </c>
    </row>
    <row r="565" spans="1:22" x14ac:dyDescent="0.35">
      <c r="A565" t="s">
        <v>1822</v>
      </c>
      <c r="B565" t="s">
        <v>1823</v>
      </c>
      <c r="C565">
        <v>12.04</v>
      </c>
      <c r="D565" s="1">
        <v>45245.672824074078</v>
      </c>
      <c r="E565" s="2">
        <f t="shared" si="32"/>
        <v>0.67282407407765277</v>
      </c>
      <c r="F565" s="3">
        <f t="shared" si="33"/>
        <v>45245</v>
      </c>
      <c r="G565" t="s">
        <v>17</v>
      </c>
      <c r="H565" t="s">
        <v>157</v>
      </c>
      <c r="I565" t="s">
        <v>1824</v>
      </c>
      <c r="J565" t="s">
        <v>857</v>
      </c>
      <c r="K565" t="s">
        <v>200</v>
      </c>
      <c r="L565" t="s">
        <v>36</v>
      </c>
      <c r="M565">
        <v>37</v>
      </c>
      <c r="N565" t="s">
        <v>77</v>
      </c>
      <c r="O565">
        <v>58</v>
      </c>
      <c r="P565">
        <v>1</v>
      </c>
      <c r="Q565">
        <v>6213.32</v>
      </c>
      <c r="R565" s="4">
        <v>45600</v>
      </c>
      <c r="S565" s="6">
        <v>0.33917824074074077</v>
      </c>
      <c r="T565">
        <f t="shared" si="34"/>
        <v>16</v>
      </c>
      <c r="U565" t="str" cm="1">
        <f t="array" ref="U565">_xlfn.IFS(M565&lt;=34,"YOUNG",M565&lt;=54,"MIDDLE AGE",M565&gt;=55,"OLD")</f>
        <v>MIDDLE AGE</v>
      </c>
      <c r="V565" t="str">
        <f t="shared" si="35"/>
        <v>NORMAL</v>
      </c>
    </row>
    <row r="566" spans="1:22" x14ac:dyDescent="0.35">
      <c r="A566" t="s">
        <v>1825</v>
      </c>
      <c r="B566" t="s">
        <v>1826</v>
      </c>
      <c r="C566">
        <v>365.7</v>
      </c>
      <c r="D566" s="1">
        <v>44953.691435185188</v>
      </c>
      <c r="E566" s="2">
        <f t="shared" si="32"/>
        <v>0.69143518518831115</v>
      </c>
      <c r="F566" s="3">
        <f t="shared" si="33"/>
        <v>44953</v>
      </c>
      <c r="G566" t="s">
        <v>17</v>
      </c>
      <c r="H566" t="s">
        <v>26</v>
      </c>
      <c r="I566" t="s">
        <v>27</v>
      </c>
      <c r="J566" t="s">
        <v>168</v>
      </c>
      <c r="K566" t="s">
        <v>414</v>
      </c>
      <c r="L566" t="s">
        <v>69</v>
      </c>
      <c r="M566">
        <v>21</v>
      </c>
      <c r="N566" t="s">
        <v>37</v>
      </c>
      <c r="O566">
        <v>115</v>
      </c>
      <c r="P566">
        <v>2</v>
      </c>
      <c r="Q566">
        <v>368.78</v>
      </c>
      <c r="R566" s="4">
        <v>45600</v>
      </c>
      <c r="S566" s="6">
        <v>0.34047453703703706</v>
      </c>
      <c r="T566">
        <f t="shared" si="34"/>
        <v>16</v>
      </c>
      <c r="U566" t="str" cm="1">
        <f t="array" ref="U566">_xlfn.IFS(M566&lt;=34,"YOUNG",M566&lt;=54,"MIDDLE AGE",M566&gt;=55,"OLD")</f>
        <v>YOUNG</v>
      </c>
      <c r="V566" t="str">
        <f t="shared" si="35"/>
        <v>HIGH</v>
      </c>
    </row>
    <row r="567" spans="1:22" x14ac:dyDescent="0.35">
      <c r="A567" t="s">
        <v>1827</v>
      </c>
      <c r="B567" t="s">
        <v>1802</v>
      </c>
      <c r="C567">
        <v>29.38</v>
      </c>
      <c r="D567" s="1">
        <v>44972.687604166669</v>
      </c>
      <c r="E567" s="2">
        <f t="shared" si="32"/>
        <v>0.687604166669189</v>
      </c>
      <c r="F567" s="3">
        <f t="shared" si="33"/>
        <v>44972</v>
      </c>
      <c r="G567" t="s">
        <v>46</v>
      </c>
      <c r="H567" t="s">
        <v>197</v>
      </c>
      <c r="I567" t="s">
        <v>1828</v>
      </c>
      <c r="J567" t="s">
        <v>293</v>
      </c>
      <c r="K567" t="s">
        <v>331</v>
      </c>
      <c r="L567" t="s">
        <v>69</v>
      </c>
      <c r="M567">
        <v>28</v>
      </c>
      <c r="N567" t="s">
        <v>37</v>
      </c>
      <c r="O567">
        <v>63</v>
      </c>
      <c r="P567">
        <v>1</v>
      </c>
      <c r="Q567">
        <v>1663.31</v>
      </c>
      <c r="R567" s="4">
        <v>45600</v>
      </c>
      <c r="S567" s="6">
        <v>0.34106481481481482</v>
      </c>
      <c r="T567">
        <f t="shared" si="34"/>
        <v>16</v>
      </c>
      <c r="U567" t="str" cm="1">
        <f t="array" ref="U567">_xlfn.IFS(M567&lt;=34,"YOUNG",M567&lt;=54,"MIDDLE AGE",M567&gt;=55,"OLD")</f>
        <v>YOUNG</v>
      </c>
      <c r="V567" t="str">
        <f t="shared" si="35"/>
        <v>NORMAL</v>
      </c>
    </row>
    <row r="568" spans="1:22" x14ac:dyDescent="0.35">
      <c r="A568" t="s">
        <v>1829</v>
      </c>
      <c r="B568" t="s">
        <v>1821</v>
      </c>
      <c r="C568">
        <v>319.85000000000002</v>
      </c>
      <c r="D568" s="1">
        <v>45133.697476851848</v>
      </c>
      <c r="E568" s="2">
        <f t="shared" si="32"/>
        <v>0.69747685184847796</v>
      </c>
      <c r="F568" s="3">
        <f t="shared" si="33"/>
        <v>45133</v>
      </c>
      <c r="G568" t="s">
        <v>17</v>
      </c>
      <c r="H568" t="s">
        <v>114</v>
      </c>
      <c r="I568" t="s">
        <v>93</v>
      </c>
      <c r="J568" t="s">
        <v>1830</v>
      </c>
      <c r="K568" t="s">
        <v>160</v>
      </c>
      <c r="L568" t="s">
        <v>22</v>
      </c>
      <c r="M568">
        <v>60</v>
      </c>
      <c r="N568" t="s">
        <v>23</v>
      </c>
      <c r="O568">
        <v>148</v>
      </c>
      <c r="P568">
        <v>1</v>
      </c>
      <c r="Q568">
        <v>711.66</v>
      </c>
      <c r="R568" s="4">
        <v>45600</v>
      </c>
      <c r="S568" s="6">
        <v>0.33871527777777777</v>
      </c>
      <c r="T568">
        <f t="shared" si="34"/>
        <v>16</v>
      </c>
      <c r="U568" t="str" cm="1">
        <f t="array" ref="U568">_xlfn.IFS(M568&lt;=34,"YOUNG",M568&lt;=54,"MIDDLE AGE",M568&gt;=55,"OLD")</f>
        <v>OLD</v>
      </c>
      <c r="V568" t="str">
        <f t="shared" si="35"/>
        <v>NORMAL</v>
      </c>
    </row>
    <row r="569" spans="1:22" x14ac:dyDescent="0.35">
      <c r="A569" t="s">
        <v>1831</v>
      </c>
      <c r="B569" t="s">
        <v>1832</v>
      </c>
      <c r="C569">
        <v>350.14</v>
      </c>
      <c r="D569" s="1">
        <v>45009.785208333335</v>
      </c>
      <c r="E569" s="2">
        <f t="shared" si="32"/>
        <v>0.7852083333345945</v>
      </c>
      <c r="F569" s="3">
        <f t="shared" si="33"/>
        <v>45009</v>
      </c>
      <c r="G569" t="s">
        <v>46</v>
      </c>
      <c r="H569" t="s">
        <v>140</v>
      </c>
      <c r="I569" t="s">
        <v>526</v>
      </c>
      <c r="J569" t="s">
        <v>735</v>
      </c>
      <c r="K569" t="s">
        <v>122</v>
      </c>
      <c r="L569" t="s">
        <v>36</v>
      </c>
      <c r="M569">
        <v>75</v>
      </c>
      <c r="N569" t="s">
        <v>70</v>
      </c>
      <c r="O569">
        <v>38</v>
      </c>
      <c r="P569">
        <v>1</v>
      </c>
      <c r="Q569">
        <v>2403.25</v>
      </c>
      <c r="R569" s="4">
        <v>45600</v>
      </c>
      <c r="S569" s="6">
        <v>0.33935185185185185</v>
      </c>
      <c r="T569">
        <f t="shared" si="34"/>
        <v>18</v>
      </c>
      <c r="U569" t="str" cm="1">
        <f t="array" ref="U569">_xlfn.IFS(M569&lt;=34,"YOUNG",M569&lt;=54,"MIDDLE AGE",M569&gt;=55,"OLD")</f>
        <v>OLD</v>
      </c>
      <c r="V569" t="str">
        <f t="shared" si="35"/>
        <v>NORMAL</v>
      </c>
    </row>
    <row r="570" spans="1:22" x14ac:dyDescent="0.35">
      <c r="A570" t="s">
        <v>1833</v>
      </c>
      <c r="B570" t="s">
        <v>771</v>
      </c>
      <c r="C570">
        <v>163.94</v>
      </c>
      <c r="D570" s="1">
        <v>45141.784456018519</v>
      </c>
      <c r="E570" s="2">
        <f t="shared" si="32"/>
        <v>0.78445601851854008</v>
      </c>
      <c r="F570" s="3">
        <f t="shared" si="33"/>
        <v>45141</v>
      </c>
      <c r="G570" t="s">
        <v>46</v>
      </c>
      <c r="H570" t="s">
        <v>301</v>
      </c>
      <c r="I570" t="s">
        <v>1834</v>
      </c>
      <c r="J570" t="s">
        <v>1835</v>
      </c>
      <c r="K570" t="s">
        <v>576</v>
      </c>
      <c r="L570" t="s">
        <v>69</v>
      </c>
      <c r="M570">
        <v>52</v>
      </c>
      <c r="N570" t="s">
        <v>70</v>
      </c>
      <c r="O570">
        <v>73</v>
      </c>
      <c r="P570">
        <v>1</v>
      </c>
      <c r="Q570">
        <v>5957.37</v>
      </c>
      <c r="R570" s="4">
        <v>45600</v>
      </c>
      <c r="S570" s="6">
        <v>0.34017361111111111</v>
      </c>
      <c r="T570">
        <f t="shared" si="34"/>
        <v>18</v>
      </c>
      <c r="U570" t="str" cm="1">
        <f t="array" ref="U570">_xlfn.IFS(M570&lt;=34,"YOUNG",M570&lt;=54,"MIDDLE AGE",M570&gt;=55,"OLD")</f>
        <v>MIDDLE AGE</v>
      </c>
      <c r="V570" t="str">
        <f t="shared" si="35"/>
        <v>NORMAL</v>
      </c>
    </row>
    <row r="571" spans="1:22" x14ac:dyDescent="0.35">
      <c r="A571" t="s">
        <v>1836</v>
      </c>
      <c r="B571" t="s">
        <v>367</v>
      </c>
      <c r="C571">
        <v>170.53</v>
      </c>
      <c r="D571" s="1">
        <v>44963.791481481479</v>
      </c>
      <c r="E571" s="2">
        <f t="shared" si="32"/>
        <v>0.79148148147942265</v>
      </c>
      <c r="F571" s="3">
        <f t="shared" si="33"/>
        <v>44963</v>
      </c>
      <c r="G571" t="s">
        <v>17</v>
      </c>
      <c r="H571" t="s">
        <v>53</v>
      </c>
      <c r="I571" t="s">
        <v>1526</v>
      </c>
      <c r="J571" t="s">
        <v>1139</v>
      </c>
      <c r="K571" t="s">
        <v>548</v>
      </c>
      <c r="L571" t="s">
        <v>69</v>
      </c>
      <c r="M571">
        <v>24</v>
      </c>
      <c r="N571" t="s">
        <v>37</v>
      </c>
      <c r="O571">
        <v>58</v>
      </c>
      <c r="P571">
        <v>1</v>
      </c>
      <c r="Q571">
        <v>801.01</v>
      </c>
      <c r="R571" s="4">
        <v>45600</v>
      </c>
      <c r="S571" s="6">
        <v>0.34015046296296297</v>
      </c>
      <c r="T571">
        <f t="shared" si="34"/>
        <v>18</v>
      </c>
      <c r="U571" t="str" cm="1">
        <f t="array" ref="U571">_xlfn.IFS(M571&lt;=34,"YOUNG",M571&lt;=54,"MIDDLE AGE",M571&gt;=55,"OLD")</f>
        <v>YOUNG</v>
      </c>
      <c r="V571" t="str">
        <f t="shared" si="35"/>
        <v>NORMAL</v>
      </c>
    </row>
    <row r="572" spans="1:22" x14ac:dyDescent="0.35">
      <c r="A572" t="s">
        <v>1837</v>
      </c>
      <c r="B572" t="s">
        <v>1074</v>
      </c>
      <c r="C572">
        <v>262.22000000000003</v>
      </c>
      <c r="D572" s="1">
        <v>45120.741944444446</v>
      </c>
      <c r="E572" s="2">
        <f t="shared" si="32"/>
        <v>0.74194444444583496</v>
      </c>
      <c r="F572" s="3">
        <f t="shared" si="33"/>
        <v>45120</v>
      </c>
      <c r="G572" t="s">
        <v>46</v>
      </c>
      <c r="H572" t="s">
        <v>197</v>
      </c>
      <c r="I572" t="s">
        <v>1838</v>
      </c>
      <c r="J572" t="s">
        <v>793</v>
      </c>
      <c r="K572" t="s">
        <v>1014</v>
      </c>
      <c r="L572" t="s">
        <v>22</v>
      </c>
      <c r="M572">
        <v>40</v>
      </c>
      <c r="N572" t="s">
        <v>77</v>
      </c>
      <c r="O572">
        <v>136</v>
      </c>
      <c r="P572">
        <v>1</v>
      </c>
      <c r="Q572">
        <v>5711.71</v>
      </c>
      <c r="R572" s="4">
        <v>45600</v>
      </c>
      <c r="S572" s="6">
        <v>0.34180555555555553</v>
      </c>
      <c r="T572">
        <f t="shared" si="34"/>
        <v>17</v>
      </c>
      <c r="U572" t="str" cm="1">
        <f t="array" ref="U572">_xlfn.IFS(M572&lt;=34,"YOUNG",M572&lt;=54,"MIDDLE AGE",M572&gt;=55,"OLD")</f>
        <v>MIDDLE AGE</v>
      </c>
      <c r="V572" t="str">
        <f t="shared" si="35"/>
        <v>NORMAL</v>
      </c>
    </row>
    <row r="573" spans="1:22" x14ac:dyDescent="0.35">
      <c r="A573" t="s">
        <v>1839</v>
      </c>
      <c r="B573" t="s">
        <v>355</v>
      </c>
      <c r="C573">
        <v>41.49</v>
      </c>
      <c r="D573" s="1">
        <v>45040.699537037035</v>
      </c>
      <c r="E573" s="2">
        <f t="shared" si="32"/>
        <v>0.69953703703504289</v>
      </c>
      <c r="F573" s="3">
        <f t="shared" si="33"/>
        <v>45040</v>
      </c>
      <c r="G573" t="s">
        <v>17</v>
      </c>
      <c r="H573" t="s">
        <v>86</v>
      </c>
      <c r="I573" t="s">
        <v>1622</v>
      </c>
      <c r="J573" t="s">
        <v>1518</v>
      </c>
      <c r="K573" t="s">
        <v>1562</v>
      </c>
      <c r="L573" t="s">
        <v>36</v>
      </c>
      <c r="M573">
        <v>24</v>
      </c>
      <c r="N573" t="s">
        <v>37</v>
      </c>
      <c r="O573">
        <v>13</v>
      </c>
      <c r="P573">
        <v>1</v>
      </c>
      <c r="Q573">
        <v>928.33</v>
      </c>
      <c r="R573" s="4">
        <v>45600</v>
      </c>
      <c r="S573" s="6">
        <v>0.3417013888888889</v>
      </c>
      <c r="T573">
        <f t="shared" si="34"/>
        <v>16</v>
      </c>
      <c r="U573" t="str" cm="1">
        <f t="array" ref="U573">_xlfn.IFS(M573&lt;=34,"YOUNG",M573&lt;=54,"MIDDLE AGE",M573&gt;=55,"OLD")</f>
        <v>YOUNG</v>
      </c>
      <c r="V573" t="str">
        <f t="shared" si="35"/>
        <v>NORMAL</v>
      </c>
    </row>
    <row r="574" spans="1:22" x14ac:dyDescent="0.35">
      <c r="A574" t="s">
        <v>1840</v>
      </c>
      <c r="B574" t="s">
        <v>284</v>
      </c>
      <c r="C574">
        <v>121.43</v>
      </c>
      <c r="D574" s="1">
        <v>45006.680937500001</v>
      </c>
      <c r="E574" s="2">
        <f t="shared" si="32"/>
        <v>0.68093750000116415</v>
      </c>
      <c r="F574" s="3">
        <f t="shared" si="33"/>
        <v>45006</v>
      </c>
      <c r="G574" t="s">
        <v>46</v>
      </c>
      <c r="H574" t="s">
        <v>285</v>
      </c>
      <c r="I574" t="s">
        <v>1369</v>
      </c>
      <c r="J574" t="s">
        <v>1155</v>
      </c>
      <c r="K574" t="s">
        <v>619</v>
      </c>
      <c r="L574" t="s">
        <v>69</v>
      </c>
      <c r="M574">
        <v>52</v>
      </c>
      <c r="N574" t="s">
        <v>77</v>
      </c>
      <c r="O574">
        <v>243</v>
      </c>
      <c r="P574">
        <v>1</v>
      </c>
      <c r="Q574">
        <v>7365.28</v>
      </c>
      <c r="R574" s="4">
        <v>45600</v>
      </c>
      <c r="S574" s="6">
        <v>0.3385185185185185</v>
      </c>
      <c r="T574">
        <f t="shared" si="34"/>
        <v>16</v>
      </c>
      <c r="U574" t="str" cm="1">
        <f t="array" ref="U574">_xlfn.IFS(M574&lt;=34,"YOUNG",M574&lt;=54,"MIDDLE AGE",M574&gt;=55,"OLD")</f>
        <v>MIDDLE AGE</v>
      </c>
      <c r="V574" t="str">
        <f t="shared" si="35"/>
        <v>NORMAL</v>
      </c>
    </row>
    <row r="575" spans="1:22" x14ac:dyDescent="0.35">
      <c r="A575" t="s">
        <v>1841</v>
      </c>
      <c r="B575" t="s">
        <v>372</v>
      </c>
      <c r="C575">
        <v>350.46</v>
      </c>
      <c r="D575" s="1">
        <v>45268.677800925929</v>
      </c>
      <c r="E575" s="2">
        <f t="shared" si="32"/>
        <v>0.67780092592875008</v>
      </c>
      <c r="F575" s="3">
        <f t="shared" si="33"/>
        <v>45268</v>
      </c>
      <c r="G575" t="s">
        <v>17</v>
      </c>
      <c r="H575" t="s">
        <v>80</v>
      </c>
      <c r="I575" t="s">
        <v>1575</v>
      </c>
      <c r="J575" t="s">
        <v>185</v>
      </c>
      <c r="K575" t="s">
        <v>282</v>
      </c>
      <c r="L575" t="s">
        <v>69</v>
      </c>
      <c r="M575">
        <v>51</v>
      </c>
      <c r="N575" t="s">
        <v>70</v>
      </c>
      <c r="O575">
        <v>165</v>
      </c>
      <c r="P575">
        <v>1</v>
      </c>
      <c r="Q575">
        <v>5839.38</v>
      </c>
      <c r="R575" s="4">
        <v>45600</v>
      </c>
      <c r="S575" s="6">
        <v>0.33787037037037038</v>
      </c>
      <c r="T575">
        <f t="shared" si="34"/>
        <v>16</v>
      </c>
      <c r="U575" t="str" cm="1">
        <f t="array" ref="U575">_xlfn.IFS(M575&lt;=34,"YOUNG",M575&lt;=54,"MIDDLE AGE",M575&gt;=55,"OLD")</f>
        <v>MIDDLE AGE</v>
      </c>
      <c r="V575" t="str">
        <f t="shared" si="35"/>
        <v>NORMAL</v>
      </c>
    </row>
    <row r="576" spans="1:22" x14ac:dyDescent="0.35">
      <c r="A576" t="s">
        <v>1842</v>
      </c>
      <c r="B576" t="s">
        <v>1398</v>
      </c>
      <c r="C576">
        <v>220.41</v>
      </c>
      <c r="D576" s="1">
        <v>45173.696400462963</v>
      </c>
      <c r="E576" s="2">
        <f t="shared" si="32"/>
        <v>0.69640046296262881</v>
      </c>
      <c r="F576" s="3">
        <f t="shared" si="33"/>
        <v>45173</v>
      </c>
      <c r="G576" t="s">
        <v>46</v>
      </c>
      <c r="H576" t="s">
        <v>506</v>
      </c>
      <c r="I576" t="s">
        <v>443</v>
      </c>
      <c r="J576" t="s">
        <v>469</v>
      </c>
      <c r="K576" t="s">
        <v>128</v>
      </c>
      <c r="L576" t="s">
        <v>36</v>
      </c>
      <c r="M576">
        <v>26</v>
      </c>
      <c r="N576" t="s">
        <v>77</v>
      </c>
      <c r="O576">
        <v>155</v>
      </c>
      <c r="P576">
        <v>1</v>
      </c>
      <c r="Q576">
        <v>5116.9799999999996</v>
      </c>
      <c r="R576" s="4">
        <v>45600</v>
      </c>
      <c r="S576" s="6">
        <v>0.34032407407407406</v>
      </c>
      <c r="T576">
        <f t="shared" si="34"/>
        <v>16</v>
      </c>
      <c r="U576" t="str" cm="1">
        <f t="array" ref="U576">_xlfn.IFS(M576&lt;=34,"YOUNG",M576&lt;=54,"MIDDLE AGE",M576&gt;=55,"OLD")</f>
        <v>YOUNG</v>
      </c>
      <c r="V576" t="str">
        <f t="shared" si="35"/>
        <v>NORMAL</v>
      </c>
    </row>
    <row r="577" spans="1:22" x14ac:dyDescent="0.35">
      <c r="A577" t="s">
        <v>1843</v>
      </c>
      <c r="B577" t="s">
        <v>525</v>
      </c>
      <c r="C577">
        <v>33.46</v>
      </c>
      <c r="D577" s="1">
        <v>44977.7028125</v>
      </c>
      <c r="E577" s="2">
        <f t="shared" si="32"/>
        <v>0.70281249999970896</v>
      </c>
      <c r="F577" s="3">
        <f t="shared" si="33"/>
        <v>44977</v>
      </c>
      <c r="G577" t="s">
        <v>17</v>
      </c>
      <c r="H577" t="s">
        <v>59</v>
      </c>
      <c r="I577" t="s">
        <v>1844</v>
      </c>
      <c r="J577" t="s">
        <v>1845</v>
      </c>
      <c r="K577" t="s">
        <v>362</v>
      </c>
      <c r="L577" t="s">
        <v>22</v>
      </c>
      <c r="M577">
        <v>72</v>
      </c>
      <c r="N577" t="s">
        <v>70</v>
      </c>
      <c r="O577">
        <v>111</v>
      </c>
      <c r="P577">
        <v>1</v>
      </c>
      <c r="Q577">
        <v>3641.07</v>
      </c>
      <c r="R577" s="4">
        <v>45600</v>
      </c>
      <c r="S577" s="6">
        <v>0.3397222222222222</v>
      </c>
      <c r="T577">
        <f t="shared" si="34"/>
        <v>16</v>
      </c>
      <c r="U577" t="str" cm="1">
        <f t="array" ref="U577">_xlfn.IFS(M577&lt;=34,"YOUNG",M577&lt;=54,"MIDDLE AGE",M577&gt;=55,"OLD")</f>
        <v>OLD</v>
      </c>
      <c r="V577" t="str">
        <f t="shared" si="35"/>
        <v>NORMAL</v>
      </c>
    </row>
    <row r="578" spans="1:22" x14ac:dyDescent="0.35">
      <c r="A578" t="s">
        <v>1846</v>
      </c>
      <c r="B578" t="s">
        <v>968</v>
      </c>
      <c r="C578">
        <v>104.79</v>
      </c>
      <c r="D578" s="1">
        <v>45145.671203703707</v>
      </c>
      <c r="E578" s="2">
        <f t="shared" ref="E578:E641" si="36">D578-INT(D578)</f>
        <v>0.67120370370685123</v>
      </c>
      <c r="F578" s="3">
        <f t="shared" ref="F578:F641" si="37">INT(D578)</f>
        <v>45145</v>
      </c>
      <c r="G578" t="s">
        <v>17</v>
      </c>
      <c r="H578" t="s">
        <v>114</v>
      </c>
      <c r="I578" t="s">
        <v>902</v>
      </c>
      <c r="J578" t="s">
        <v>1847</v>
      </c>
      <c r="K578" t="s">
        <v>137</v>
      </c>
      <c r="L578" t="s">
        <v>22</v>
      </c>
      <c r="M578">
        <v>70</v>
      </c>
      <c r="N578" t="s">
        <v>23</v>
      </c>
      <c r="O578">
        <v>223</v>
      </c>
      <c r="P578">
        <v>1</v>
      </c>
      <c r="Q578">
        <v>1352.19</v>
      </c>
      <c r="R578" s="4">
        <v>45600</v>
      </c>
      <c r="S578" s="6">
        <v>0.34035879629629628</v>
      </c>
      <c r="T578">
        <f t="shared" si="34"/>
        <v>16</v>
      </c>
      <c r="U578" t="str" cm="1">
        <f t="array" ref="U578">_xlfn.IFS(M578&lt;=34,"YOUNG",M578&lt;=54,"MIDDLE AGE",M578&gt;=55,"OLD")</f>
        <v>OLD</v>
      </c>
      <c r="V578" t="str">
        <f t="shared" si="35"/>
        <v>NORMAL</v>
      </c>
    </row>
    <row r="579" spans="1:22" x14ac:dyDescent="0.35">
      <c r="A579" t="s">
        <v>1848</v>
      </c>
      <c r="B579" t="s">
        <v>525</v>
      </c>
      <c r="C579">
        <v>246.27</v>
      </c>
      <c r="D579" s="1">
        <v>45287.70034722222</v>
      </c>
      <c r="E579" s="2">
        <f t="shared" si="36"/>
        <v>0.70034722222044365</v>
      </c>
      <c r="F579" s="3">
        <f t="shared" si="37"/>
        <v>45287</v>
      </c>
      <c r="G579" t="s">
        <v>17</v>
      </c>
      <c r="H579" t="s">
        <v>558</v>
      </c>
      <c r="I579" t="s">
        <v>1532</v>
      </c>
      <c r="J579" t="s">
        <v>1779</v>
      </c>
      <c r="K579" t="s">
        <v>707</v>
      </c>
      <c r="L579" t="s">
        <v>36</v>
      </c>
      <c r="M579">
        <v>29</v>
      </c>
      <c r="N579" t="s">
        <v>23</v>
      </c>
      <c r="O579">
        <v>141</v>
      </c>
      <c r="P579">
        <v>1</v>
      </c>
      <c r="Q579">
        <v>7299.86</v>
      </c>
      <c r="R579" s="4">
        <v>45600</v>
      </c>
      <c r="S579" s="6">
        <v>0.3409375</v>
      </c>
      <c r="T579">
        <f t="shared" ref="T579:T642" si="38">HOUR(E579)</f>
        <v>16</v>
      </c>
      <c r="U579" t="str" cm="1">
        <f t="array" ref="U579">_xlfn.IFS(M579&lt;=34,"YOUNG",M579&lt;=54,"MIDDLE AGE",M579&gt;=55,"OLD")</f>
        <v>YOUNG</v>
      </c>
      <c r="V579" t="str">
        <f t="shared" ref="V579:V642" si="39">IF(P579&gt;1,"HIGH","NORMAL")</f>
        <v>NORMAL</v>
      </c>
    </row>
    <row r="580" spans="1:22" x14ac:dyDescent="0.35">
      <c r="A580" t="s">
        <v>1849</v>
      </c>
      <c r="B580" t="s">
        <v>279</v>
      </c>
      <c r="C580">
        <v>48.85</v>
      </c>
      <c r="D580" s="1">
        <v>45268.698055555556</v>
      </c>
      <c r="E580" s="2">
        <f t="shared" si="36"/>
        <v>0.69805555555649335</v>
      </c>
      <c r="F580" s="3">
        <f t="shared" si="37"/>
        <v>45268</v>
      </c>
      <c r="G580" t="s">
        <v>17</v>
      </c>
      <c r="H580" t="s">
        <v>323</v>
      </c>
      <c r="I580" t="s">
        <v>476</v>
      </c>
      <c r="J580" t="s">
        <v>1850</v>
      </c>
      <c r="K580" t="s">
        <v>474</v>
      </c>
      <c r="L580" t="s">
        <v>22</v>
      </c>
      <c r="M580">
        <v>19</v>
      </c>
      <c r="N580" t="s">
        <v>37</v>
      </c>
      <c r="O580">
        <v>176</v>
      </c>
      <c r="P580">
        <v>1</v>
      </c>
      <c r="Q580">
        <v>1503.56</v>
      </c>
      <c r="R580" s="4">
        <v>45600</v>
      </c>
      <c r="S580" s="6">
        <v>0.33836805555555555</v>
      </c>
      <c r="T580">
        <f t="shared" si="38"/>
        <v>16</v>
      </c>
      <c r="U580" t="str" cm="1">
        <f t="array" ref="U580">_xlfn.IFS(M580&lt;=34,"YOUNG",M580&lt;=54,"MIDDLE AGE",M580&gt;=55,"OLD")</f>
        <v>YOUNG</v>
      </c>
      <c r="V580" t="str">
        <f t="shared" si="39"/>
        <v>NORMAL</v>
      </c>
    </row>
    <row r="581" spans="1:22" x14ac:dyDescent="0.35">
      <c r="A581" t="s">
        <v>1851</v>
      </c>
      <c r="B581" t="s">
        <v>1339</v>
      </c>
      <c r="C581">
        <v>332</v>
      </c>
      <c r="D581" s="1">
        <v>45043.685891203706</v>
      </c>
      <c r="E581" s="2">
        <f t="shared" si="36"/>
        <v>0.68589120370597811</v>
      </c>
      <c r="F581" s="3">
        <f t="shared" si="37"/>
        <v>45043</v>
      </c>
      <c r="G581" t="s">
        <v>17</v>
      </c>
      <c r="H581" t="s">
        <v>249</v>
      </c>
      <c r="I581" t="s">
        <v>1258</v>
      </c>
      <c r="J581" t="s">
        <v>1852</v>
      </c>
      <c r="K581" t="s">
        <v>858</v>
      </c>
      <c r="L581" t="s">
        <v>22</v>
      </c>
      <c r="M581">
        <v>69</v>
      </c>
      <c r="N581" t="s">
        <v>70</v>
      </c>
      <c r="O581">
        <v>17</v>
      </c>
      <c r="P581">
        <v>1</v>
      </c>
      <c r="Q581">
        <v>5943.13</v>
      </c>
      <c r="R581" s="4">
        <v>45600</v>
      </c>
      <c r="S581" s="6">
        <v>0.33822916666666669</v>
      </c>
      <c r="T581">
        <f t="shared" si="38"/>
        <v>16</v>
      </c>
      <c r="U581" t="str" cm="1">
        <f t="array" ref="U581">_xlfn.IFS(M581&lt;=34,"YOUNG",M581&lt;=54,"MIDDLE AGE",M581&gt;=55,"OLD")</f>
        <v>OLD</v>
      </c>
      <c r="V581" t="str">
        <f t="shared" si="39"/>
        <v>NORMAL</v>
      </c>
    </row>
    <row r="582" spans="1:22" x14ac:dyDescent="0.35">
      <c r="A582" t="s">
        <v>1853</v>
      </c>
      <c r="B582" t="s">
        <v>1854</v>
      </c>
      <c r="C582">
        <v>118.1</v>
      </c>
      <c r="D582" s="1">
        <v>45230.700844907406</v>
      </c>
      <c r="E582" s="2">
        <f t="shared" si="36"/>
        <v>0.70084490740555339</v>
      </c>
      <c r="F582" s="3">
        <f t="shared" si="37"/>
        <v>45230</v>
      </c>
      <c r="G582" t="s">
        <v>17</v>
      </c>
      <c r="H582" t="s">
        <v>92</v>
      </c>
      <c r="I582" t="s">
        <v>1855</v>
      </c>
      <c r="J582" t="s">
        <v>1856</v>
      </c>
      <c r="K582" t="s">
        <v>358</v>
      </c>
      <c r="L582" t="s">
        <v>36</v>
      </c>
      <c r="M582">
        <v>54</v>
      </c>
      <c r="N582" t="s">
        <v>77</v>
      </c>
      <c r="O582">
        <v>167</v>
      </c>
      <c r="P582">
        <v>1</v>
      </c>
      <c r="Q582">
        <v>895.66</v>
      </c>
      <c r="R582" s="4">
        <v>45600</v>
      </c>
      <c r="S582" s="6">
        <v>0.33974537037037039</v>
      </c>
      <c r="T582">
        <f t="shared" si="38"/>
        <v>16</v>
      </c>
      <c r="U582" t="str" cm="1">
        <f t="array" ref="U582">_xlfn.IFS(M582&lt;=34,"YOUNG",M582&lt;=54,"MIDDLE AGE",M582&gt;=55,"OLD")</f>
        <v>MIDDLE AGE</v>
      </c>
      <c r="V582" t="str">
        <f t="shared" si="39"/>
        <v>NORMAL</v>
      </c>
    </row>
    <row r="583" spans="1:22" x14ac:dyDescent="0.35">
      <c r="A583" t="s">
        <v>1857</v>
      </c>
      <c r="B583" t="s">
        <v>1858</v>
      </c>
      <c r="C583">
        <v>84.59</v>
      </c>
      <c r="D583" s="1">
        <v>45035.704699074071</v>
      </c>
      <c r="E583" s="2">
        <f t="shared" si="36"/>
        <v>0.70469907407095889</v>
      </c>
      <c r="F583" s="3">
        <f t="shared" si="37"/>
        <v>45035</v>
      </c>
      <c r="G583" t="s">
        <v>46</v>
      </c>
      <c r="H583" t="s">
        <v>146</v>
      </c>
      <c r="I583" t="s">
        <v>1859</v>
      </c>
      <c r="J583" t="s">
        <v>394</v>
      </c>
      <c r="K583" t="s">
        <v>432</v>
      </c>
      <c r="L583" t="s">
        <v>69</v>
      </c>
      <c r="M583">
        <v>67</v>
      </c>
      <c r="N583" t="s">
        <v>23</v>
      </c>
      <c r="O583">
        <v>10</v>
      </c>
      <c r="P583">
        <v>1</v>
      </c>
      <c r="Q583">
        <v>5669.1</v>
      </c>
      <c r="R583" s="4">
        <v>45600</v>
      </c>
      <c r="S583" s="6">
        <v>0.33833333333333332</v>
      </c>
      <c r="T583">
        <f t="shared" si="38"/>
        <v>16</v>
      </c>
      <c r="U583" t="str" cm="1">
        <f t="array" ref="U583">_xlfn.IFS(M583&lt;=34,"YOUNG",M583&lt;=54,"MIDDLE AGE",M583&gt;=55,"OLD")</f>
        <v>OLD</v>
      </c>
      <c r="V583" t="str">
        <f t="shared" si="39"/>
        <v>NORMAL</v>
      </c>
    </row>
    <row r="584" spans="1:22" x14ac:dyDescent="0.35">
      <c r="A584" t="s">
        <v>1860</v>
      </c>
      <c r="B584" t="s">
        <v>1528</v>
      </c>
      <c r="C584">
        <v>295.64</v>
      </c>
      <c r="D584" s="1">
        <v>45274.730069444442</v>
      </c>
      <c r="E584" s="2">
        <f t="shared" si="36"/>
        <v>0.73006944444205146</v>
      </c>
      <c r="F584" s="3">
        <f t="shared" si="37"/>
        <v>45274</v>
      </c>
      <c r="G584" t="s">
        <v>17</v>
      </c>
      <c r="H584" t="s">
        <v>392</v>
      </c>
      <c r="I584" t="s">
        <v>1861</v>
      </c>
      <c r="J584" t="s">
        <v>841</v>
      </c>
      <c r="K584" t="s">
        <v>1037</v>
      </c>
      <c r="L584" t="s">
        <v>36</v>
      </c>
      <c r="M584">
        <v>21</v>
      </c>
      <c r="N584" t="s">
        <v>37</v>
      </c>
      <c r="O584">
        <v>82</v>
      </c>
      <c r="P584">
        <v>1</v>
      </c>
      <c r="Q584">
        <v>1061.96</v>
      </c>
      <c r="R584" s="4">
        <v>45600</v>
      </c>
      <c r="S584" s="6">
        <v>0.34075231481481483</v>
      </c>
      <c r="T584">
        <f t="shared" si="38"/>
        <v>17</v>
      </c>
      <c r="U584" t="str" cm="1">
        <f t="array" ref="U584">_xlfn.IFS(M584&lt;=34,"YOUNG",M584&lt;=54,"MIDDLE AGE",M584&gt;=55,"OLD")</f>
        <v>YOUNG</v>
      </c>
      <c r="V584" t="str">
        <f t="shared" si="39"/>
        <v>NORMAL</v>
      </c>
    </row>
    <row r="585" spans="1:22" x14ac:dyDescent="0.35">
      <c r="A585" t="s">
        <v>1862</v>
      </c>
      <c r="B585" t="s">
        <v>408</v>
      </c>
      <c r="C585">
        <v>514.33000000000004</v>
      </c>
      <c r="D585" s="1">
        <v>45079.68550925926</v>
      </c>
      <c r="E585" s="2">
        <f t="shared" si="36"/>
        <v>0.68550925925956108</v>
      </c>
      <c r="F585" s="3">
        <f t="shared" si="37"/>
        <v>45079</v>
      </c>
      <c r="G585" t="s">
        <v>17</v>
      </c>
      <c r="H585" t="s">
        <v>243</v>
      </c>
      <c r="I585" t="s">
        <v>1863</v>
      </c>
      <c r="J585" t="s">
        <v>1864</v>
      </c>
      <c r="K585" t="s">
        <v>111</v>
      </c>
      <c r="L585" t="s">
        <v>69</v>
      </c>
      <c r="M585">
        <v>25</v>
      </c>
      <c r="N585" t="s">
        <v>37</v>
      </c>
      <c r="O585">
        <v>160</v>
      </c>
      <c r="P585">
        <v>1</v>
      </c>
      <c r="Q585">
        <v>1592.94</v>
      </c>
      <c r="R585" s="4">
        <v>45600</v>
      </c>
      <c r="S585" s="6">
        <v>0.34186342592592595</v>
      </c>
      <c r="T585">
        <f t="shared" si="38"/>
        <v>16</v>
      </c>
      <c r="U585" t="str" cm="1">
        <f t="array" ref="U585">_xlfn.IFS(M585&lt;=34,"YOUNG",M585&lt;=54,"MIDDLE AGE",M585&gt;=55,"OLD")</f>
        <v>YOUNG</v>
      </c>
      <c r="V585" t="str">
        <f t="shared" si="39"/>
        <v>NORMAL</v>
      </c>
    </row>
    <row r="586" spans="1:22" x14ac:dyDescent="0.35">
      <c r="A586" t="s">
        <v>1865</v>
      </c>
      <c r="B586" t="s">
        <v>85</v>
      </c>
      <c r="C586">
        <v>992.17</v>
      </c>
      <c r="D586" s="1">
        <v>44984.766099537039</v>
      </c>
      <c r="E586" s="2">
        <f t="shared" si="36"/>
        <v>0.76609953703882638</v>
      </c>
      <c r="F586" s="3">
        <f t="shared" si="37"/>
        <v>44984</v>
      </c>
      <c r="G586" t="s">
        <v>17</v>
      </c>
      <c r="H586" t="s">
        <v>237</v>
      </c>
      <c r="I586" t="s">
        <v>87</v>
      </c>
      <c r="J586" t="s">
        <v>1540</v>
      </c>
      <c r="K586" t="s">
        <v>83</v>
      </c>
      <c r="L586" t="s">
        <v>22</v>
      </c>
      <c r="M586">
        <v>43</v>
      </c>
      <c r="N586" t="s">
        <v>23</v>
      </c>
      <c r="O586">
        <v>169</v>
      </c>
      <c r="P586">
        <v>1</v>
      </c>
      <c r="Q586">
        <v>6215.96</v>
      </c>
      <c r="R586" s="4">
        <v>45600</v>
      </c>
      <c r="S586" s="6">
        <v>0.34188657407407408</v>
      </c>
      <c r="T586">
        <f t="shared" si="38"/>
        <v>18</v>
      </c>
      <c r="U586" t="str" cm="1">
        <f t="array" ref="U586">_xlfn.IFS(M586&lt;=34,"YOUNG",M586&lt;=54,"MIDDLE AGE",M586&gt;=55,"OLD")</f>
        <v>MIDDLE AGE</v>
      </c>
      <c r="V586" t="str">
        <f t="shared" si="39"/>
        <v>NORMAL</v>
      </c>
    </row>
    <row r="587" spans="1:22" x14ac:dyDescent="0.35">
      <c r="A587" t="s">
        <v>1866</v>
      </c>
      <c r="B587" t="s">
        <v>1114</v>
      </c>
      <c r="C587">
        <v>94.59</v>
      </c>
      <c r="D587" s="1">
        <v>45261.711111111108</v>
      </c>
      <c r="E587" s="2">
        <f t="shared" si="36"/>
        <v>0.71111111110803904</v>
      </c>
      <c r="F587" s="3">
        <f t="shared" si="37"/>
        <v>45261</v>
      </c>
      <c r="G587" t="s">
        <v>17</v>
      </c>
      <c r="H587" t="s">
        <v>453</v>
      </c>
      <c r="I587" t="s">
        <v>1129</v>
      </c>
      <c r="J587" t="s">
        <v>1291</v>
      </c>
      <c r="K587" t="s">
        <v>674</v>
      </c>
      <c r="L587" t="s">
        <v>36</v>
      </c>
      <c r="M587">
        <v>39</v>
      </c>
      <c r="N587" t="s">
        <v>23</v>
      </c>
      <c r="O587">
        <v>34</v>
      </c>
      <c r="P587">
        <v>1</v>
      </c>
      <c r="Q587">
        <v>6171.89</v>
      </c>
      <c r="R587" s="4">
        <v>45600</v>
      </c>
      <c r="S587" s="6">
        <v>0.34070601851851851</v>
      </c>
      <c r="T587">
        <f t="shared" si="38"/>
        <v>17</v>
      </c>
      <c r="U587" t="str" cm="1">
        <f t="array" ref="U587">_xlfn.IFS(M587&lt;=34,"YOUNG",M587&lt;=54,"MIDDLE AGE",M587&gt;=55,"OLD")</f>
        <v>MIDDLE AGE</v>
      </c>
      <c r="V587" t="str">
        <f t="shared" si="39"/>
        <v>NORMAL</v>
      </c>
    </row>
    <row r="588" spans="1:22" x14ac:dyDescent="0.35">
      <c r="A588" t="s">
        <v>1867</v>
      </c>
      <c r="B588" t="s">
        <v>516</v>
      </c>
      <c r="C588">
        <v>80.430000000000007</v>
      </c>
      <c r="D588" s="1">
        <v>44930.673414351855</v>
      </c>
      <c r="E588" s="2">
        <f t="shared" si="36"/>
        <v>0.67341435185517184</v>
      </c>
      <c r="F588" s="3">
        <f t="shared" si="37"/>
        <v>44930</v>
      </c>
      <c r="G588" t="s">
        <v>17</v>
      </c>
      <c r="H588" t="s">
        <v>125</v>
      </c>
      <c r="I588" t="s">
        <v>1177</v>
      </c>
      <c r="J588" t="s">
        <v>1868</v>
      </c>
      <c r="K588" t="s">
        <v>240</v>
      </c>
      <c r="L588" t="s">
        <v>69</v>
      </c>
      <c r="M588">
        <v>59</v>
      </c>
      <c r="N588" t="s">
        <v>70</v>
      </c>
      <c r="O588">
        <v>157</v>
      </c>
      <c r="P588">
        <v>1</v>
      </c>
      <c r="Q588">
        <v>5987.67</v>
      </c>
      <c r="R588" s="4">
        <v>45600</v>
      </c>
      <c r="S588" s="6">
        <v>0.33909722222222222</v>
      </c>
      <c r="T588">
        <f t="shared" si="38"/>
        <v>16</v>
      </c>
      <c r="U588" t="str" cm="1">
        <f t="array" ref="U588">_xlfn.IFS(M588&lt;=34,"YOUNG",M588&lt;=54,"MIDDLE AGE",M588&gt;=55,"OLD")</f>
        <v>OLD</v>
      </c>
      <c r="V588" t="str">
        <f t="shared" si="39"/>
        <v>NORMAL</v>
      </c>
    </row>
    <row r="589" spans="1:22" x14ac:dyDescent="0.35">
      <c r="A589" t="s">
        <v>1869</v>
      </c>
      <c r="B589" t="s">
        <v>1870</v>
      </c>
      <c r="C589">
        <v>54.25</v>
      </c>
      <c r="D589" s="1">
        <v>45138.702662037038</v>
      </c>
      <c r="E589" s="2">
        <f t="shared" si="36"/>
        <v>0.70266203703795327</v>
      </c>
      <c r="F589" s="3">
        <f t="shared" si="37"/>
        <v>45138</v>
      </c>
      <c r="G589" t="s">
        <v>17</v>
      </c>
      <c r="H589" t="s">
        <v>301</v>
      </c>
      <c r="I589" t="s">
        <v>1871</v>
      </c>
      <c r="J589" t="s">
        <v>555</v>
      </c>
      <c r="K589" t="s">
        <v>564</v>
      </c>
      <c r="L589" t="s">
        <v>36</v>
      </c>
      <c r="M589">
        <v>68</v>
      </c>
      <c r="N589" t="s">
        <v>23</v>
      </c>
      <c r="O589">
        <v>37</v>
      </c>
      <c r="P589">
        <v>1</v>
      </c>
      <c r="Q589">
        <v>14783.33</v>
      </c>
      <c r="R589" s="4">
        <v>45600</v>
      </c>
      <c r="S589" s="6">
        <v>0.3395023148148148</v>
      </c>
      <c r="T589">
        <f t="shared" si="38"/>
        <v>16</v>
      </c>
      <c r="U589" t="str" cm="1">
        <f t="array" ref="U589">_xlfn.IFS(M589&lt;=34,"YOUNG",M589&lt;=54,"MIDDLE AGE",M589&gt;=55,"OLD")</f>
        <v>OLD</v>
      </c>
      <c r="V589" t="str">
        <f t="shared" si="39"/>
        <v>NORMAL</v>
      </c>
    </row>
    <row r="590" spans="1:22" x14ac:dyDescent="0.35">
      <c r="A590" t="s">
        <v>1872</v>
      </c>
      <c r="B590" t="s">
        <v>1264</v>
      </c>
      <c r="C590">
        <v>178.88</v>
      </c>
      <c r="D590" s="1">
        <v>45096.729953703703</v>
      </c>
      <c r="E590" s="2">
        <f t="shared" si="36"/>
        <v>0.72995370370335877</v>
      </c>
      <c r="F590" s="3">
        <f t="shared" si="37"/>
        <v>45096</v>
      </c>
      <c r="G590" t="s">
        <v>46</v>
      </c>
      <c r="H590" t="s">
        <v>323</v>
      </c>
      <c r="I590" t="s">
        <v>1258</v>
      </c>
      <c r="J590" t="s">
        <v>1249</v>
      </c>
      <c r="K590" t="s">
        <v>607</v>
      </c>
      <c r="L590" t="s">
        <v>69</v>
      </c>
      <c r="M590">
        <v>76</v>
      </c>
      <c r="N590" t="s">
        <v>70</v>
      </c>
      <c r="O590">
        <v>93</v>
      </c>
      <c r="P590">
        <v>4</v>
      </c>
      <c r="Q590">
        <v>4708.29</v>
      </c>
      <c r="R590" s="4">
        <v>45600</v>
      </c>
      <c r="S590" s="6">
        <v>0.3417824074074074</v>
      </c>
      <c r="T590">
        <f t="shared" si="38"/>
        <v>17</v>
      </c>
      <c r="U590" t="str" cm="1">
        <f t="array" ref="U590">_xlfn.IFS(M590&lt;=34,"YOUNG",M590&lt;=54,"MIDDLE AGE",M590&gt;=55,"OLD")</f>
        <v>OLD</v>
      </c>
      <c r="V590" t="str">
        <f t="shared" si="39"/>
        <v>HIGH</v>
      </c>
    </row>
    <row r="591" spans="1:22" x14ac:dyDescent="0.35">
      <c r="A591" t="s">
        <v>1873</v>
      </c>
      <c r="B591" t="s">
        <v>1874</v>
      </c>
      <c r="C591">
        <v>518.85</v>
      </c>
      <c r="D591" s="1">
        <v>45222.776238425926</v>
      </c>
      <c r="E591" s="2">
        <f t="shared" si="36"/>
        <v>0.77623842592583969</v>
      </c>
      <c r="F591" s="3">
        <f t="shared" si="37"/>
        <v>45222</v>
      </c>
      <c r="G591" t="s">
        <v>17</v>
      </c>
      <c r="H591" t="s">
        <v>291</v>
      </c>
      <c r="I591" t="s">
        <v>1875</v>
      </c>
      <c r="J591" t="s">
        <v>1876</v>
      </c>
      <c r="K591" t="s">
        <v>858</v>
      </c>
      <c r="L591" t="s">
        <v>36</v>
      </c>
      <c r="M591">
        <v>22</v>
      </c>
      <c r="N591" t="s">
        <v>37</v>
      </c>
      <c r="O591">
        <v>82</v>
      </c>
      <c r="P591">
        <v>1</v>
      </c>
      <c r="Q591">
        <v>1806</v>
      </c>
      <c r="R591" s="4">
        <v>45600</v>
      </c>
      <c r="S591" s="6">
        <v>0.33792824074074074</v>
      </c>
      <c r="T591">
        <f t="shared" si="38"/>
        <v>18</v>
      </c>
      <c r="U591" t="str" cm="1">
        <f t="array" ref="U591">_xlfn.IFS(M591&lt;=34,"YOUNG",M591&lt;=54,"MIDDLE AGE",M591&gt;=55,"OLD")</f>
        <v>YOUNG</v>
      </c>
      <c r="V591" t="str">
        <f t="shared" si="39"/>
        <v>NORMAL</v>
      </c>
    </row>
    <row r="592" spans="1:22" x14ac:dyDescent="0.35">
      <c r="A592" t="s">
        <v>1877</v>
      </c>
      <c r="B592" t="s">
        <v>1878</v>
      </c>
      <c r="C592">
        <v>10.65</v>
      </c>
      <c r="D592" s="1">
        <v>45040.683900462966</v>
      </c>
      <c r="E592" s="2">
        <f t="shared" si="36"/>
        <v>0.68390046296553919</v>
      </c>
      <c r="F592" s="3">
        <f t="shared" si="37"/>
        <v>45040</v>
      </c>
      <c r="G592" t="s">
        <v>17</v>
      </c>
      <c r="H592" t="s">
        <v>108</v>
      </c>
      <c r="I592" t="s">
        <v>1115</v>
      </c>
      <c r="J592" t="s">
        <v>1879</v>
      </c>
      <c r="K592" t="s">
        <v>427</v>
      </c>
      <c r="L592" t="s">
        <v>36</v>
      </c>
      <c r="M592">
        <v>54</v>
      </c>
      <c r="N592" t="s">
        <v>23</v>
      </c>
      <c r="O592">
        <v>161</v>
      </c>
      <c r="P592">
        <v>1</v>
      </c>
      <c r="Q592">
        <v>13240.72</v>
      </c>
      <c r="R592" s="4">
        <v>45600</v>
      </c>
      <c r="S592" s="6">
        <v>0.34052083333333333</v>
      </c>
      <c r="T592">
        <f t="shared" si="38"/>
        <v>16</v>
      </c>
      <c r="U592" t="str" cm="1">
        <f t="array" ref="U592">_xlfn.IFS(M592&lt;=34,"YOUNG",M592&lt;=54,"MIDDLE AGE",M592&gt;=55,"OLD")</f>
        <v>MIDDLE AGE</v>
      </c>
      <c r="V592" t="str">
        <f t="shared" si="39"/>
        <v>NORMAL</v>
      </c>
    </row>
    <row r="593" spans="1:22" x14ac:dyDescent="0.35">
      <c r="A593" t="s">
        <v>1880</v>
      </c>
      <c r="B593" t="s">
        <v>177</v>
      </c>
      <c r="C593">
        <v>198.62</v>
      </c>
      <c r="D593" s="1">
        <v>45061.680023148147</v>
      </c>
      <c r="E593" s="2">
        <f t="shared" si="36"/>
        <v>0.68002314814657439</v>
      </c>
      <c r="F593" s="3">
        <f t="shared" si="37"/>
        <v>45061</v>
      </c>
      <c r="G593" t="s">
        <v>46</v>
      </c>
      <c r="H593" t="s">
        <v>255</v>
      </c>
      <c r="I593" t="s">
        <v>1881</v>
      </c>
      <c r="J593" t="s">
        <v>1470</v>
      </c>
      <c r="K593" t="s">
        <v>1281</v>
      </c>
      <c r="L593" t="s">
        <v>69</v>
      </c>
      <c r="M593">
        <v>27</v>
      </c>
      <c r="N593" t="s">
        <v>37</v>
      </c>
      <c r="O593">
        <v>84</v>
      </c>
      <c r="P593">
        <v>1</v>
      </c>
      <c r="Q593">
        <v>1196.07</v>
      </c>
      <c r="R593" s="4">
        <v>45600</v>
      </c>
      <c r="S593" s="6">
        <v>0.33793981481481483</v>
      </c>
      <c r="T593">
        <f t="shared" si="38"/>
        <v>16</v>
      </c>
      <c r="U593" t="str" cm="1">
        <f t="array" ref="U593">_xlfn.IFS(M593&lt;=34,"YOUNG",M593&lt;=54,"MIDDLE AGE",M593&gt;=55,"OLD")</f>
        <v>YOUNG</v>
      </c>
      <c r="V593" t="str">
        <f t="shared" si="39"/>
        <v>NORMAL</v>
      </c>
    </row>
    <row r="594" spans="1:22" x14ac:dyDescent="0.35">
      <c r="A594" t="s">
        <v>1882</v>
      </c>
      <c r="B594" t="s">
        <v>848</v>
      </c>
      <c r="C594">
        <v>107.03</v>
      </c>
      <c r="D594" s="1">
        <v>44991.768900462965</v>
      </c>
      <c r="E594" s="2">
        <f t="shared" si="36"/>
        <v>0.76890046296466608</v>
      </c>
      <c r="F594" s="3">
        <f t="shared" si="37"/>
        <v>44991</v>
      </c>
      <c r="G594" t="s">
        <v>17</v>
      </c>
      <c r="H594" t="s">
        <v>172</v>
      </c>
      <c r="I594" t="s">
        <v>1883</v>
      </c>
      <c r="J594" t="s">
        <v>1884</v>
      </c>
      <c r="K594" t="s">
        <v>858</v>
      </c>
      <c r="L594" t="s">
        <v>69</v>
      </c>
      <c r="M594">
        <v>27</v>
      </c>
      <c r="N594" t="s">
        <v>37</v>
      </c>
      <c r="O594">
        <v>73</v>
      </c>
      <c r="P594">
        <v>1</v>
      </c>
      <c r="Q594">
        <v>1408.07</v>
      </c>
      <c r="R594" s="4">
        <v>45600</v>
      </c>
      <c r="S594" s="6">
        <v>0.34181712962962962</v>
      </c>
      <c r="T594">
        <f t="shared" si="38"/>
        <v>18</v>
      </c>
      <c r="U594" t="str" cm="1">
        <f t="array" ref="U594">_xlfn.IFS(M594&lt;=34,"YOUNG",M594&lt;=54,"MIDDLE AGE",M594&gt;=55,"OLD")</f>
        <v>YOUNG</v>
      </c>
      <c r="V594" t="str">
        <f t="shared" si="39"/>
        <v>NORMAL</v>
      </c>
    </row>
    <row r="595" spans="1:22" x14ac:dyDescent="0.35">
      <c r="A595" t="s">
        <v>1885</v>
      </c>
      <c r="B595" t="s">
        <v>1438</v>
      </c>
      <c r="C595">
        <v>139.57</v>
      </c>
      <c r="D595" s="1">
        <v>45247.749432870369</v>
      </c>
      <c r="E595" s="2">
        <f t="shared" si="36"/>
        <v>0.74943287036876427</v>
      </c>
      <c r="F595" s="3">
        <f t="shared" si="37"/>
        <v>45247</v>
      </c>
      <c r="G595" t="s">
        <v>17</v>
      </c>
      <c r="H595" t="s">
        <v>157</v>
      </c>
      <c r="I595" t="s">
        <v>1886</v>
      </c>
      <c r="J595" t="s">
        <v>1887</v>
      </c>
      <c r="K595" t="s">
        <v>95</v>
      </c>
      <c r="L595" t="s">
        <v>22</v>
      </c>
      <c r="M595">
        <v>19</v>
      </c>
      <c r="N595" t="s">
        <v>37</v>
      </c>
      <c r="O595">
        <v>263</v>
      </c>
      <c r="P595">
        <v>3</v>
      </c>
      <c r="Q595">
        <v>271.77999999999997</v>
      </c>
      <c r="R595" s="4">
        <v>45600</v>
      </c>
      <c r="S595" s="6">
        <v>0.33846064814814814</v>
      </c>
      <c r="T595">
        <f t="shared" si="38"/>
        <v>17</v>
      </c>
      <c r="U595" t="str" cm="1">
        <f t="array" ref="U595">_xlfn.IFS(M595&lt;=34,"YOUNG",M595&lt;=54,"MIDDLE AGE",M595&gt;=55,"OLD")</f>
        <v>YOUNG</v>
      </c>
      <c r="V595" t="str">
        <f t="shared" si="39"/>
        <v>HIGH</v>
      </c>
    </row>
    <row r="596" spans="1:22" x14ac:dyDescent="0.35">
      <c r="A596" t="s">
        <v>1888</v>
      </c>
      <c r="B596" t="s">
        <v>1889</v>
      </c>
      <c r="C596">
        <v>312.47000000000003</v>
      </c>
      <c r="D596" s="1">
        <v>45048.725300925929</v>
      </c>
      <c r="E596" s="2">
        <f t="shared" si="36"/>
        <v>0.72530092592933215</v>
      </c>
      <c r="F596" s="3">
        <f t="shared" si="37"/>
        <v>45048</v>
      </c>
      <c r="G596" t="s">
        <v>17</v>
      </c>
      <c r="H596" t="s">
        <v>178</v>
      </c>
      <c r="I596" t="s">
        <v>1132</v>
      </c>
      <c r="J596" t="s">
        <v>1100</v>
      </c>
      <c r="K596" t="s">
        <v>450</v>
      </c>
      <c r="L596" t="s">
        <v>22</v>
      </c>
      <c r="M596">
        <v>49</v>
      </c>
      <c r="N596" t="s">
        <v>77</v>
      </c>
      <c r="O596">
        <v>148</v>
      </c>
      <c r="P596">
        <v>4</v>
      </c>
      <c r="Q596">
        <v>9419.27</v>
      </c>
      <c r="R596" s="4">
        <v>45600</v>
      </c>
      <c r="S596" s="6">
        <v>0.33894675925925927</v>
      </c>
      <c r="T596">
        <f t="shared" si="38"/>
        <v>17</v>
      </c>
      <c r="U596" t="str" cm="1">
        <f t="array" ref="U596">_xlfn.IFS(M596&lt;=34,"YOUNG",M596&lt;=54,"MIDDLE AGE",M596&gt;=55,"OLD")</f>
        <v>MIDDLE AGE</v>
      </c>
      <c r="V596" t="str">
        <f t="shared" si="39"/>
        <v>HIGH</v>
      </c>
    </row>
    <row r="597" spans="1:22" x14ac:dyDescent="0.35">
      <c r="A597" t="s">
        <v>1890</v>
      </c>
      <c r="B597" t="s">
        <v>284</v>
      </c>
      <c r="C597">
        <v>346.11</v>
      </c>
      <c r="D597" s="1">
        <v>44930.70853009259</v>
      </c>
      <c r="E597" s="2">
        <f t="shared" si="36"/>
        <v>0.70853009259008104</v>
      </c>
      <c r="F597" s="3">
        <f t="shared" si="37"/>
        <v>44930</v>
      </c>
      <c r="G597" t="s">
        <v>17</v>
      </c>
      <c r="H597" t="s">
        <v>323</v>
      </c>
      <c r="I597" t="s">
        <v>1891</v>
      </c>
      <c r="J597" t="s">
        <v>417</v>
      </c>
      <c r="K597" t="s">
        <v>83</v>
      </c>
      <c r="L597" t="s">
        <v>69</v>
      </c>
      <c r="M597">
        <v>41</v>
      </c>
      <c r="N597" t="s">
        <v>77</v>
      </c>
      <c r="O597">
        <v>213</v>
      </c>
      <c r="P597">
        <v>1</v>
      </c>
      <c r="Q597">
        <v>9551.64</v>
      </c>
      <c r="R597" s="4">
        <v>45600</v>
      </c>
      <c r="S597" s="6">
        <v>0.33892361111111113</v>
      </c>
      <c r="T597">
        <f t="shared" si="38"/>
        <v>17</v>
      </c>
      <c r="U597" t="str" cm="1">
        <f t="array" ref="U597">_xlfn.IFS(M597&lt;=34,"YOUNG",M597&lt;=54,"MIDDLE AGE",M597&gt;=55,"OLD")</f>
        <v>MIDDLE AGE</v>
      </c>
      <c r="V597" t="str">
        <f t="shared" si="39"/>
        <v>NORMAL</v>
      </c>
    </row>
    <row r="598" spans="1:22" x14ac:dyDescent="0.35">
      <c r="A598" t="s">
        <v>1892</v>
      </c>
      <c r="B598" t="s">
        <v>1438</v>
      </c>
      <c r="C598">
        <v>138.06</v>
      </c>
      <c r="D598" s="1">
        <v>45132.723530092589</v>
      </c>
      <c r="E598" s="2">
        <f t="shared" si="36"/>
        <v>0.72353009258949896</v>
      </c>
      <c r="F598" s="3">
        <f t="shared" si="37"/>
        <v>45132</v>
      </c>
      <c r="G598" t="s">
        <v>17</v>
      </c>
      <c r="H598" t="s">
        <v>249</v>
      </c>
      <c r="I598" t="s">
        <v>1893</v>
      </c>
      <c r="J598" t="s">
        <v>1894</v>
      </c>
      <c r="K598" t="s">
        <v>514</v>
      </c>
      <c r="L598" t="s">
        <v>69</v>
      </c>
      <c r="M598">
        <v>44</v>
      </c>
      <c r="N598" t="s">
        <v>77</v>
      </c>
      <c r="O598">
        <v>159</v>
      </c>
      <c r="P598">
        <v>1</v>
      </c>
      <c r="Q598">
        <v>1070.47</v>
      </c>
      <c r="R598" s="4">
        <v>45600</v>
      </c>
      <c r="S598" s="6">
        <v>0.33810185185185188</v>
      </c>
      <c r="T598">
        <f t="shared" si="38"/>
        <v>17</v>
      </c>
      <c r="U598" t="str" cm="1">
        <f t="array" ref="U598">_xlfn.IFS(M598&lt;=34,"YOUNG",M598&lt;=54,"MIDDLE AGE",M598&gt;=55,"OLD")</f>
        <v>MIDDLE AGE</v>
      </c>
      <c r="V598" t="str">
        <f t="shared" si="39"/>
        <v>NORMAL</v>
      </c>
    </row>
    <row r="599" spans="1:22" x14ac:dyDescent="0.35">
      <c r="A599" t="s">
        <v>1895</v>
      </c>
      <c r="B599" t="s">
        <v>1488</v>
      </c>
      <c r="C599">
        <v>158.02000000000001</v>
      </c>
      <c r="D599" s="1">
        <v>45189.714745370373</v>
      </c>
      <c r="E599" s="2">
        <f t="shared" si="36"/>
        <v>0.71474537037283881</v>
      </c>
      <c r="F599" s="3">
        <f t="shared" si="37"/>
        <v>45189</v>
      </c>
      <c r="G599" t="s">
        <v>17</v>
      </c>
      <c r="H599" t="s">
        <v>203</v>
      </c>
      <c r="I599" t="s">
        <v>98</v>
      </c>
      <c r="J599" t="s">
        <v>405</v>
      </c>
      <c r="K599" t="s">
        <v>607</v>
      </c>
      <c r="L599" t="s">
        <v>22</v>
      </c>
      <c r="M599">
        <v>49</v>
      </c>
      <c r="N599" t="s">
        <v>77</v>
      </c>
      <c r="O599">
        <v>120</v>
      </c>
      <c r="P599">
        <v>1</v>
      </c>
      <c r="Q599">
        <v>9374.24</v>
      </c>
      <c r="R599" s="4">
        <v>45600</v>
      </c>
      <c r="S599" s="6">
        <v>0.34024305555555556</v>
      </c>
      <c r="T599">
        <f t="shared" si="38"/>
        <v>17</v>
      </c>
      <c r="U599" t="str" cm="1">
        <f t="array" ref="U599">_xlfn.IFS(M599&lt;=34,"YOUNG",M599&lt;=54,"MIDDLE AGE",M599&gt;=55,"OLD")</f>
        <v>MIDDLE AGE</v>
      </c>
      <c r="V599" t="str">
        <f t="shared" si="39"/>
        <v>NORMAL</v>
      </c>
    </row>
    <row r="600" spans="1:22" x14ac:dyDescent="0.35">
      <c r="A600" t="s">
        <v>1896</v>
      </c>
      <c r="B600" t="s">
        <v>151</v>
      </c>
      <c r="C600">
        <v>830.01</v>
      </c>
      <c r="D600" s="1">
        <v>45128.697210648148</v>
      </c>
      <c r="E600" s="2">
        <f t="shared" si="36"/>
        <v>0.69721064814802958</v>
      </c>
      <c r="F600" s="3">
        <f t="shared" si="37"/>
        <v>45128</v>
      </c>
      <c r="G600" t="s">
        <v>46</v>
      </c>
      <c r="H600" t="s">
        <v>265</v>
      </c>
      <c r="I600" t="s">
        <v>1897</v>
      </c>
      <c r="J600" t="s">
        <v>1898</v>
      </c>
      <c r="K600" t="s">
        <v>358</v>
      </c>
      <c r="L600" t="s">
        <v>36</v>
      </c>
      <c r="M600">
        <v>66</v>
      </c>
      <c r="N600" t="s">
        <v>70</v>
      </c>
      <c r="O600">
        <v>96</v>
      </c>
      <c r="P600">
        <v>1</v>
      </c>
      <c r="Q600">
        <v>4253.18</v>
      </c>
      <c r="R600" s="4">
        <v>45600</v>
      </c>
      <c r="S600" s="6">
        <v>0.34128472222222223</v>
      </c>
      <c r="T600">
        <f t="shared" si="38"/>
        <v>16</v>
      </c>
      <c r="U600" t="str" cm="1">
        <f t="array" ref="U600">_xlfn.IFS(M600&lt;=34,"YOUNG",M600&lt;=54,"MIDDLE AGE",M600&gt;=55,"OLD")</f>
        <v>OLD</v>
      </c>
      <c r="V600" t="str">
        <f t="shared" si="39"/>
        <v>NORMAL</v>
      </c>
    </row>
    <row r="601" spans="1:22" x14ac:dyDescent="0.35">
      <c r="A601" t="s">
        <v>1899</v>
      </c>
      <c r="B601" t="s">
        <v>1900</v>
      </c>
      <c r="C601">
        <v>435.5</v>
      </c>
      <c r="D601" s="1">
        <v>45061.77853009259</v>
      </c>
      <c r="E601" s="2">
        <f t="shared" si="36"/>
        <v>0.77853009258979</v>
      </c>
      <c r="F601" s="3">
        <f t="shared" si="37"/>
        <v>45061</v>
      </c>
      <c r="G601" t="s">
        <v>17</v>
      </c>
      <c r="H601" t="s">
        <v>53</v>
      </c>
      <c r="I601" t="s">
        <v>356</v>
      </c>
      <c r="J601" t="s">
        <v>824</v>
      </c>
      <c r="K601" t="s">
        <v>181</v>
      </c>
      <c r="L601" t="s">
        <v>22</v>
      </c>
      <c r="M601">
        <v>55</v>
      </c>
      <c r="N601" t="s">
        <v>70</v>
      </c>
      <c r="O601">
        <v>112</v>
      </c>
      <c r="P601">
        <v>1</v>
      </c>
      <c r="Q601">
        <v>6981.03</v>
      </c>
      <c r="R601" s="4">
        <v>45600</v>
      </c>
      <c r="S601" s="6">
        <v>0.34004629629629629</v>
      </c>
      <c r="T601">
        <f t="shared" si="38"/>
        <v>18</v>
      </c>
      <c r="U601" t="str" cm="1">
        <f t="array" ref="U601">_xlfn.IFS(M601&lt;=34,"YOUNG",M601&lt;=54,"MIDDLE AGE",M601&gt;=55,"OLD")</f>
        <v>OLD</v>
      </c>
      <c r="V601" t="str">
        <f t="shared" si="39"/>
        <v>NORMAL</v>
      </c>
    </row>
    <row r="602" spans="1:22" x14ac:dyDescent="0.35">
      <c r="A602" t="s">
        <v>1901</v>
      </c>
      <c r="B602" t="s">
        <v>1902</v>
      </c>
      <c r="C602">
        <v>110.49</v>
      </c>
      <c r="D602" s="1">
        <v>45230.713043981479</v>
      </c>
      <c r="E602" s="2">
        <f t="shared" si="36"/>
        <v>0.71304398147913162</v>
      </c>
      <c r="F602" s="3">
        <f t="shared" si="37"/>
        <v>45230</v>
      </c>
      <c r="G602" t="s">
        <v>17</v>
      </c>
      <c r="H602" t="s">
        <v>40</v>
      </c>
      <c r="I602" t="s">
        <v>1903</v>
      </c>
      <c r="J602" t="s">
        <v>1657</v>
      </c>
      <c r="K602" t="s">
        <v>1524</v>
      </c>
      <c r="L602" t="s">
        <v>36</v>
      </c>
      <c r="M602">
        <v>57</v>
      </c>
      <c r="N602" t="s">
        <v>23</v>
      </c>
      <c r="O602">
        <v>48</v>
      </c>
      <c r="P602">
        <v>1</v>
      </c>
      <c r="Q602">
        <v>10483.93</v>
      </c>
      <c r="R602" s="4">
        <v>45600</v>
      </c>
      <c r="S602" s="6">
        <v>0.34189814814814817</v>
      </c>
      <c r="T602">
        <f t="shared" si="38"/>
        <v>17</v>
      </c>
      <c r="U602" t="str" cm="1">
        <f t="array" ref="U602">_xlfn.IFS(M602&lt;=34,"YOUNG",M602&lt;=54,"MIDDLE AGE",M602&gt;=55,"OLD")</f>
        <v>OLD</v>
      </c>
      <c r="V602" t="str">
        <f t="shared" si="39"/>
        <v>NORMAL</v>
      </c>
    </row>
    <row r="603" spans="1:22" x14ac:dyDescent="0.35">
      <c r="A603" t="s">
        <v>1904</v>
      </c>
      <c r="B603" t="s">
        <v>1905</v>
      </c>
      <c r="C603">
        <v>329.4</v>
      </c>
      <c r="D603" s="1">
        <v>45285.687604166669</v>
      </c>
      <c r="E603" s="2">
        <f t="shared" si="36"/>
        <v>0.687604166669189</v>
      </c>
      <c r="F603" s="3">
        <f t="shared" si="37"/>
        <v>45285</v>
      </c>
      <c r="G603" t="s">
        <v>17</v>
      </c>
      <c r="H603" t="s">
        <v>114</v>
      </c>
      <c r="I603" t="s">
        <v>1906</v>
      </c>
      <c r="J603" t="s">
        <v>1277</v>
      </c>
      <c r="K603" t="s">
        <v>111</v>
      </c>
      <c r="L603" t="s">
        <v>36</v>
      </c>
      <c r="M603">
        <v>34</v>
      </c>
      <c r="N603" t="s">
        <v>23</v>
      </c>
      <c r="O603">
        <v>68</v>
      </c>
      <c r="P603">
        <v>1</v>
      </c>
      <c r="Q603">
        <v>9588.07</v>
      </c>
      <c r="R603" s="4">
        <v>45600</v>
      </c>
      <c r="S603" s="6">
        <v>0.33883101851851855</v>
      </c>
      <c r="T603">
        <f t="shared" si="38"/>
        <v>16</v>
      </c>
      <c r="U603" t="str" cm="1">
        <f t="array" ref="U603">_xlfn.IFS(M603&lt;=34,"YOUNG",M603&lt;=54,"MIDDLE AGE",M603&gt;=55,"OLD")</f>
        <v>YOUNG</v>
      </c>
      <c r="V603" t="str">
        <f t="shared" si="39"/>
        <v>NORMAL</v>
      </c>
    </row>
    <row r="604" spans="1:22" x14ac:dyDescent="0.35">
      <c r="A604" t="s">
        <v>1907</v>
      </c>
      <c r="B604" t="s">
        <v>851</v>
      </c>
      <c r="C604">
        <v>635.4</v>
      </c>
      <c r="D604" s="1">
        <v>45188.704861111109</v>
      </c>
      <c r="E604" s="2">
        <f t="shared" si="36"/>
        <v>0.70486111110949423</v>
      </c>
      <c r="F604" s="3">
        <f t="shared" si="37"/>
        <v>45188</v>
      </c>
      <c r="G604" t="s">
        <v>17</v>
      </c>
      <c r="H604" t="s">
        <v>114</v>
      </c>
      <c r="I604" t="s">
        <v>1727</v>
      </c>
      <c r="J604" t="s">
        <v>34</v>
      </c>
      <c r="K604" t="s">
        <v>762</v>
      </c>
      <c r="L604" t="s">
        <v>22</v>
      </c>
      <c r="M604">
        <v>47</v>
      </c>
      <c r="N604" t="s">
        <v>23</v>
      </c>
      <c r="O604">
        <v>106</v>
      </c>
      <c r="P604">
        <v>1</v>
      </c>
      <c r="Q604">
        <v>1238.1099999999999</v>
      </c>
      <c r="R604" s="4">
        <v>45600</v>
      </c>
      <c r="S604" s="6">
        <v>0.34149305555555554</v>
      </c>
      <c r="T604">
        <f t="shared" si="38"/>
        <v>16</v>
      </c>
      <c r="U604" t="str" cm="1">
        <f t="array" ref="U604">_xlfn.IFS(M604&lt;=34,"YOUNG",M604&lt;=54,"MIDDLE AGE",M604&gt;=55,"OLD")</f>
        <v>MIDDLE AGE</v>
      </c>
      <c r="V604" t="str">
        <f t="shared" si="39"/>
        <v>NORMAL</v>
      </c>
    </row>
    <row r="605" spans="1:22" x14ac:dyDescent="0.35">
      <c r="A605" t="s">
        <v>1908</v>
      </c>
      <c r="B605" t="s">
        <v>629</v>
      </c>
      <c r="C605">
        <v>769.97</v>
      </c>
      <c r="D605" s="1">
        <v>44973.789398148147</v>
      </c>
      <c r="E605" s="2">
        <f t="shared" si="36"/>
        <v>0.78939814814657439</v>
      </c>
      <c r="F605" s="3">
        <f t="shared" si="37"/>
        <v>44973</v>
      </c>
      <c r="G605" t="s">
        <v>17</v>
      </c>
      <c r="H605" t="s">
        <v>18</v>
      </c>
      <c r="I605" t="s">
        <v>1909</v>
      </c>
      <c r="J605" t="s">
        <v>1910</v>
      </c>
      <c r="K605" t="s">
        <v>707</v>
      </c>
      <c r="L605" t="s">
        <v>69</v>
      </c>
      <c r="M605">
        <v>22</v>
      </c>
      <c r="N605" t="s">
        <v>37</v>
      </c>
      <c r="O605">
        <v>23</v>
      </c>
      <c r="P605">
        <v>1</v>
      </c>
      <c r="Q605">
        <v>1244.93</v>
      </c>
      <c r="R605" s="4">
        <v>45600</v>
      </c>
      <c r="S605" s="6">
        <v>0.34017361111111111</v>
      </c>
      <c r="T605">
        <f t="shared" si="38"/>
        <v>18</v>
      </c>
      <c r="U605" t="str" cm="1">
        <f t="array" ref="U605">_xlfn.IFS(M605&lt;=34,"YOUNG",M605&lt;=54,"MIDDLE AGE",M605&gt;=55,"OLD")</f>
        <v>YOUNG</v>
      </c>
      <c r="V605" t="str">
        <f t="shared" si="39"/>
        <v>NORMAL</v>
      </c>
    </row>
    <row r="606" spans="1:22" x14ac:dyDescent="0.35">
      <c r="A606" t="s">
        <v>1911</v>
      </c>
      <c r="B606" t="s">
        <v>1617</v>
      </c>
      <c r="C606">
        <v>175.07</v>
      </c>
      <c r="D606" s="1">
        <v>45173.74050925926</v>
      </c>
      <c r="E606" s="2">
        <f t="shared" si="36"/>
        <v>0.74050925925985212</v>
      </c>
      <c r="F606" s="3">
        <f t="shared" si="37"/>
        <v>45173</v>
      </c>
      <c r="G606" t="s">
        <v>17</v>
      </c>
      <c r="H606" t="s">
        <v>521</v>
      </c>
      <c r="I606" t="s">
        <v>1912</v>
      </c>
      <c r="J606" t="s">
        <v>1913</v>
      </c>
      <c r="K606" t="s">
        <v>50</v>
      </c>
      <c r="L606" t="s">
        <v>69</v>
      </c>
      <c r="M606">
        <v>26</v>
      </c>
      <c r="N606" t="s">
        <v>37</v>
      </c>
      <c r="O606">
        <v>169</v>
      </c>
      <c r="P606">
        <v>1</v>
      </c>
      <c r="Q606">
        <v>1040.25</v>
      </c>
      <c r="R606" s="4">
        <v>45600</v>
      </c>
      <c r="S606" s="6">
        <v>0.33906249999999999</v>
      </c>
      <c r="T606">
        <f t="shared" si="38"/>
        <v>17</v>
      </c>
      <c r="U606" t="str" cm="1">
        <f t="array" ref="U606">_xlfn.IFS(M606&lt;=34,"YOUNG",M606&lt;=54,"MIDDLE AGE",M606&gt;=55,"OLD")</f>
        <v>YOUNG</v>
      </c>
      <c r="V606" t="str">
        <f t="shared" si="39"/>
        <v>NORMAL</v>
      </c>
    </row>
    <row r="607" spans="1:22" x14ac:dyDescent="0.35">
      <c r="A607" t="s">
        <v>1914</v>
      </c>
      <c r="B607" t="s">
        <v>1915</v>
      </c>
      <c r="C607">
        <v>7.31</v>
      </c>
      <c r="D607" s="1">
        <v>45103.669571759259</v>
      </c>
      <c r="E607" s="2">
        <f t="shared" si="36"/>
        <v>0.66957175925927004</v>
      </c>
      <c r="F607" s="3">
        <f t="shared" si="37"/>
        <v>45103</v>
      </c>
      <c r="G607" t="s">
        <v>17</v>
      </c>
      <c r="H607" t="s">
        <v>146</v>
      </c>
      <c r="I607" t="s">
        <v>1916</v>
      </c>
      <c r="J607" t="s">
        <v>1917</v>
      </c>
      <c r="K607" t="s">
        <v>165</v>
      </c>
      <c r="L607" t="s">
        <v>69</v>
      </c>
      <c r="M607">
        <v>78</v>
      </c>
      <c r="N607" t="s">
        <v>70</v>
      </c>
      <c r="O607">
        <v>282</v>
      </c>
      <c r="P607">
        <v>1</v>
      </c>
      <c r="Q607">
        <v>5757.67</v>
      </c>
      <c r="R607" s="4">
        <v>45600</v>
      </c>
      <c r="S607" s="6">
        <v>0.33836805555555555</v>
      </c>
      <c r="T607">
        <f t="shared" si="38"/>
        <v>16</v>
      </c>
      <c r="U607" t="str" cm="1">
        <f t="array" ref="U607">_xlfn.IFS(M607&lt;=34,"YOUNG",M607&lt;=54,"MIDDLE AGE",M607&gt;=55,"OLD")</f>
        <v>OLD</v>
      </c>
      <c r="V607" t="str">
        <f t="shared" si="39"/>
        <v>NORMAL</v>
      </c>
    </row>
    <row r="608" spans="1:22" x14ac:dyDescent="0.35">
      <c r="A608" t="s">
        <v>1918</v>
      </c>
      <c r="B608" t="s">
        <v>801</v>
      </c>
      <c r="C608">
        <v>175.15</v>
      </c>
      <c r="D608" s="1">
        <v>45239.710196759261</v>
      </c>
      <c r="E608" s="2">
        <f t="shared" si="36"/>
        <v>0.71019675926072523</v>
      </c>
      <c r="F608" s="3">
        <f t="shared" si="37"/>
        <v>45239</v>
      </c>
      <c r="G608" t="s">
        <v>17</v>
      </c>
      <c r="H608" t="s">
        <v>73</v>
      </c>
      <c r="I608" t="s">
        <v>1919</v>
      </c>
      <c r="J608" t="s">
        <v>866</v>
      </c>
      <c r="K608" t="s">
        <v>277</v>
      </c>
      <c r="L608" t="s">
        <v>22</v>
      </c>
      <c r="M608">
        <v>27</v>
      </c>
      <c r="N608" t="s">
        <v>37</v>
      </c>
      <c r="O608">
        <v>32</v>
      </c>
      <c r="P608">
        <v>1</v>
      </c>
      <c r="Q608">
        <v>1712.65</v>
      </c>
      <c r="R608" s="4">
        <v>45600</v>
      </c>
      <c r="S608" s="6">
        <v>0.34010416666666665</v>
      </c>
      <c r="T608">
        <f t="shared" si="38"/>
        <v>17</v>
      </c>
      <c r="U608" t="str" cm="1">
        <f t="array" ref="U608">_xlfn.IFS(M608&lt;=34,"YOUNG",M608&lt;=54,"MIDDLE AGE",M608&gt;=55,"OLD")</f>
        <v>YOUNG</v>
      </c>
      <c r="V608" t="str">
        <f t="shared" si="39"/>
        <v>NORMAL</v>
      </c>
    </row>
    <row r="609" spans="1:22" x14ac:dyDescent="0.35">
      <c r="A609" t="s">
        <v>1920</v>
      </c>
      <c r="B609" t="s">
        <v>85</v>
      </c>
      <c r="C609">
        <v>32.54</v>
      </c>
      <c r="D609" s="1">
        <v>45111.684432870374</v>
      </c>
      <c r="E609" s="2">
        <f t="shared" si="36"/>
        <v>0.68443287037371192</v>
      </c>
      <c r="F609" s="3">
        <f t="shared" si="37"/>
        <v>45111</v>
      </c>
      <c r="G609" t="s">
        <v>17</v>
      </c>
      <c r="H609" t="s">
        <v>53</v>
      </c>
      <c r="I609" t="s">
        <v>1429</v>
      </c>
      <c r="J609" t="s">
        <v>1921</v>
      </c>
      <c r="K609" t="s">
        <v>154</v>
      </c>
      <c r="L609" t="s">
        <v>36</v>
      </c>
      <c r="M609">
        <v>25</v>
      </c>
      <c r="N609" t="s">
        <v>37</v>
      </c>
      <c r="O609">
        <v>183</v>
      </c>
      <c r="P609">
        <v>4</v>
      </c>
      <c r="Q609">
        <v>1544.88</v>
      </c>
      <c r="R609" s="4">
        <v>45600</v>
      </c>
      <c r="S609" s="6">
        <v>0.3382060185185185</v>
      </c>
      <c r="T609">
        <f t="shared" si="38"/>
        <v>16</v>
      </c>
      <c r="U609" t="str" cm="1">
        <f t="array" ref="U609">_xlfn.IFS(M609&lt;=34,"YOUNG",M609&lt;=54,"MIDDLE AGE",M609&gt;=55,"OLD")</f>
        <v>YOUNG</v>
      </c>
      <c r="V609" t="str">
        <f t="shared" si="39"/>
        <v>HIGH</v>
      </c>
    </row>
    <row r="610" spans="1:22" x14ac:dyDescent="0.35">
      <c r="A610" t="s">
        <v>1922</v>
      </c>
      <c r="B610" t="s">
        <v>1826</v>
      </c>
      <c r="C610">
        <v>121.82</v>
      </c>
      <c r="D610" s="1">
        <v>45177.766828703701</v>
      </c>
      <c r="E610" s="2">
        <f t="shared" si="36"/>
        <v>0.7668287037013215</v>
      </c>
      <c r="F610" s="3">
        <f t="shared" si="37"/>
        <v>45177</v>
      </c>
      <c r="G610" t="s">
        <v>17</v>
      </c>
      <c r="H610" t="s">
        <v>323</v>
      </c>
      <c r="I610" t="s">
        <v>1766</v>
      </c>
      <c r="J610" t="s">
        <v>1230</v>
      </c>
      <c r="K610" t="s">
        <v>418</v>
      </c>
      <c r="L610" t="s">
        <v>36</v>
      </c>
      <c r="M610">
        <v>60</v>
      </c>
      <c r="N610" t="s">
        <v>23</v>
      </c>
      <c r="O610">
        <v>119</v>
      </c>
      <c r="P610">
        <v>1</v>
      </c>
      <c r="Q610">
        <v>13293.83</v>
      </c>
      <c r="R610" s="4">
        <v>45600</v>
      </c>
      <c r="S610" s="6">
        <v>0.34131944444444445</v>
      </c>
      <c r="T610">
        <f t="shared" si="38"/>
        <v>18</v>
      </c>
      <c r="U610" t="str" cm="1">
        <f t="array" ref="U610">_xlfn.IFS(M610&lt;=34,"YOUNG",M610&lt;=54,"MIDDLE AGE",M610&gt;=55,"OLD")</f>
        <v>OLD</v>
      </c>
      <c r="V610" t="str">
        <f t="shared" si="39"/>
        <v>NORMAL</v>
      </c>
    </row>
    <row r="611" spans="1:22" x14ac:dyDescent="0.35">
      <c r="A611" t="s">
        <v>1923</v>
      </c>
      <c r="B611" t="s">
        <v>896</v>
      </c>
      <c r="C611">
        <v>56.12</v>
      </c>
      <c r="D611" s="1">
        <v>45182.78466435185</v>
      </c>
      <c r="E611" s="2">
        <f t="shared" si="36"/>
        <v>0.78466435184964212</v>
      </c>
      <c r="F611" s="3">
        <f t="shared" si="37"/>
        <v>45182</v>
      </c>
      <c r="G611" t="s">
        <v>17</v>
      </c>
      <c r="H611" t="s">
        <v>506</v>
      </c>
      <c r="I611" t="s">
        <v>1924</v>
      </c>
      <c r="J611" t="s">
        <v>1925</v>
      </c>
      <c r="K611" t="s">
        <v>474</v>
      </c>
      <c r="L611" t="s">
        <v>22</v>
      </c>
      <c r="M611">
        <v>30</v>
      </c>
      <c r="N611" t="s">
        <v>23</v>
      </c>
      <c r="O611">
        <v>102</v>
      </c>
      <c r="P611">
        <v>1</v>
      </c>
      <c r="Q611">
        <v>8839.67</v>
      </c>
      <c r="R611" s="4">
        <v>45600</v>
      </c>
      <c r="S611" s="6">
        <v>0.33993055555555557</v>
      </c>
      <c r="T611">
        <f t="shared" si="38"/>
        <v>18</v>
      </c>
      <c r="U611" t="str" cm="1">
        <f t="array" ref="U611">_xlfn.IFS(M611&lt;=34,"YOUNG",M611&lt;=54,"MIDDLE AGE",M611&gt;=55,"OLD")</f>
        <v>YOUNG</v>
      </c>
      <c r="V611" t="str">
        <f t="shared" si="39"/>
        <v>NORMAL</v>
      </c>
    </row>
    <row r="612" spans="1:22" x14ac:dyDescent="0.35">
      <c r="A612" t="s">
        <v>1926</v>
      </c>
      <c r="B612" t="s">
        <v>1927</v>
      </c>
      <c r="C612">
        <v>424.7</v>
      </c>
      <c r="D612" s="1">
        <v>44956.734189814815</v>
      </c>
      <c r="E612" s="2">
        <f t="shared" si="36"/>
        <v>0.73418981481518131</v>
      </c>
      <c r="F612" s="3">
        <f t="shared" si="37"/>
        <v>44956</v>
      </c>
      <c r="G612" t="s">
        <v>46</v>
      </c>
      <c r="H612" t="s">
        <v>172</v>
      </c>
      <c r="I612" t="s">
        <v>1928</v>
      </c>
      <c r="J612" t="s">
        <v>1929</v>
      </c>
      <c r="K612" t="s">
        <v>418</v>
      </c>
      <c r="L612" t="s">
        <v>36</v>
      </c>
      <c r="M612">
        <v>56</v>
      </c>
      <c r="N612" t="s">
        <v>70</v>
      </c>
      <c r="O612">
        <v>178</v>
      </c>
      <c r="P612">
        <v>1</v>
      </c>
      <c r="Q612">
        <v>6239.89</v>
      </c>
      <c r="R612" s="4">
        <v>45600</v>
      </c>
      <c r="S612" s="6">
        <v>0.33917824074074077</v>
      </c>
      <c r="T612">
        <f t="shared" si="38"/>
        <v>17</v>
      </c>
      <c r="U612" t="str" cm="1">
        <f t="array" ref="U612">_xlfn.IFS(M612&lt;=34,"YOUNG",M612&lt;=54,"MIDDLE AGE",M612&gt;=55,"OLD")</f>
        <v>OLD</v>
      </c>
      <c r="V612" t="str">
        <f t="shared" si="39"/>
        <v>NORMAL</v>
      </c>
    </row>
    <row r="613" spans="1:22" x14ac:dyDescent="0.35">
      <c r="A613" t="s">
        <v>1930</v>
      </c>
      <c r="B613" t="s">
        <v>130</v>
      </c>
      <c r="C613">
        <v>35.159999999999997</v>
      </c>
      <c r="D613" s="1">
        <v>45224.743321759262</v>
      </c>
      <c r="E613" s="2">
        <f t="shared" si="36"/>
        <v>0.74332175926247146</v>
      </c>
      <c r="F613" s="3">
        <f t="shared" si="37"/>
        <v>45224</v>
      </c>
      <c r="G613" t="s">
        <v>17</v>
      </c>
      <c r="H613" t="s">
        <v>265</v>
      </c>
      <c r="I613" t="s">
        <v>1931</v>
      </c>
      <c r="J613" t="s">
        <v>1556</v>
      </c>
      <c r="K613" t="s">
        <v>175</v>
      </c>
      <c r="L613" t="s">
        <v>69</v>
      </c>
      <c r="M613">
        <v>32</v>
      </c>
      <c r="N613" t="s">
        <v>77</v>
      </c>
      <c r="O613">
        <v>130</v>
      </c>
      <c r="P613">
        <v>1</v>
      </c>
      <c r="Q613">
        <v>8459.18</v>
      </c>
      <c r="R613" s="4">
        <v>45600</v>
      </c>
      <c r="S613" s="6">
        <v>0.34067129629629628</v>
      </c>
      <c r="T613">
        <f t="shared" si="38"/>
        <v>17</v>
      </c>
      <c r="U613" t="str" cm="1">
        <f t="array" ref="U613">_xlfn.IFS(M613&lt;=34,"YOUNG",M613&lt;=54,"MIDDLE AGE",M613&gt;=55,"OLD")</f>
        <v>YOUNG</v>
      </c>
      <c r="V613" t="str">
        <f t="shared" si="39"/>
        <v>NORMAL</v>
      </c>
    </row>
    <row r="614" spans="1:22" x14ac:dyDescent="0.35">
      <c r="A614" t="s">
        <v>1932</v>
      </c>
      <c r="B614" t="s">
        <v>471</v>
      </c>
      <c r="C614">
        <v>35.729999999999997</v>
      </c>
      <c r="D614" s="1">
        <v>45089.70003472222</v>
      </c>
      <c r="E614" s="2">
        <f t="shared" si="36"/>
        <v>0.70003472222015262</v>
      </c>
      <c r="F614" s="3">
        <f t="shared" si="37"/>
        <v>45089</v>
      </c>
      <c r="G614" t="s">
        <v>17</v>
      </c>
      <c r="H614" t="s">
        <v>172</v>
      </c>
      <c r="I614" t="s">
        <v>1261</v>
      </c>
      <c r="J614" t="s">
        <v>878</v>
      </c>
      <c r="K614" t="s">
        <v>165</v>
      </c>
      <c r="L614" t="s">
        <v>69</v>
      </c>
      <c r="M614">
        <v>65</v>
      </c>
      <c r="N614" t="s">
        <v>23</v>
      </c>
      <c r="O614">
        <v>87</v>
      </c>
      <c r="P614">
        <v>1</v>
      </c>
      <c r="Q614">
        <v>9073.17</v>
      </c>
      <c r="R614" s="4">
        <v>45600</v>
      </c>
      <c r="S614" s="6">
        <v>0.34107638888888892</v>
      </c>
      <c r="T614">
        <f t="shared" si="38"/>
        <v>16</v>
      </c>
      <c r="U614" t="str" cm="1">
        <f t="array" ref="U614">_xlfn.IFS(M614&lt;=34,"YOUNG",M614&lt;=54,"MIDDLE AGE",M614&gt;=55,"OLD")</f>
        <v>OLD</v>
      </c>
      <c r="V614" t="str">
        <f t="shared" si="39"/>
        <v>NORMAL</v>
      </c>
    </row>
    <row r="615" spans="1:22" x14ac:dyDescent="0.35">
      <c r="A615" t="s">
        <v>1933</v>
      </c>
      <c r="B615" t="s">
        <v>1934</v>
      </c>
      <c r="C615">
        <v>3.44</v>
      </c>
      <c r="D615" s="1">
        <v>44945.725347222222</v>
      </c>
      <c r="E615" s="2">
        <f t="shared" si="36"/>
        <v>0.72534722222189885</v>
      </c>
      <c r="F615" s="3">
        <f t="shared" si="37"/>
        <v>44945</v>
      </c>
      <c r="G615" t="s">
        <v>17</v>
      </c>
      <c r="H615" t="s">
        <v>157</v>
      </c>
      <c r="I615" t="s">
        <v>1935</v>
      </c>
      <c r="J615" t="s">
        <v>583</v>
      </c>
      <c r="K615" t="s">
        <v>432</v>
      </c>
      <c r="L615" t="s">
        <v>22</v>
      </c>
      <c r="M615">
        <v>78</v>
      </c>
      <c r="N615" t="s">
        <v>70</v>
      </c>
      <c r="O615">
        <v>108</v>
      </c>
      <c r="P615">
        <v>1</v>
      </c>
      <c r="Q615">
        <v>7561.33</v>
      </c>
      <c r="R615" s="4">
        <v>45600</v>
      </c>
      <c r="S615" s="6">
        <v>0.34189814814814817</v>
      </c>
      <c r="T615">
        <f t="shared" si="38"/>
        <v>17</v>
      </c>
      <c r="U615" t="str" cm="1">
        <f t="array" ref="U615">_xlfn.IFS(M615&lt;=34,"YOUNG",M615&lt;=54,"MIDDLE AGE",M615&gt;=55,"OLD")</f>
        <v>OLD</v>
      </c>
      <c r="V615" t="str">
        <f t="shared" si="39"/>
        <v>NORMAL</v>
      </c>
    </row>
    <row r="616" spans="1:22" x14ac:dyDescent="0.35">
      <c r="A616" t="s">
        <v>1936</v>
      </c>
      <c r="B616" t="s">
        <v>1172</v>
      </c>
      <c r="C616">
        <v>1342.25</v>
      </c>
      <c r="D616" s="1">
        <v>45044.758275462962</v>
      </c>
      <c r="E616" s="2">
        <f t="shared" si="36"/>
        <v>0.75827546296204673</v>
      </c>
      <c r="F616" s="3">
        <f t="shared" si="37"/>
        <v>45044</v>
      </c>
      <c r="G616" t="s">
        <v>46</v>
      </c>
      <c r="H616" t="s">
        <v>157</v>
      </c>
      <c r="I616" t="s">
        <v>1937</v>
      </c>
      <c r="J616" t="s">
        <v>921</v>
      </c>
      <c r="K616" t="s">
        <v>418</v>
      </c>
      <c r="L616" t="s">
        <v>69</v>
      </c>
      <c r="M616">
        <v>21</v>
      </c>
      <c r="N616" t="s">
        <v>37</v>
      </c>
      <c r="O616">
        <v>235</v>
      </c>
      <c r="P616">
        <v>1</v>
      </c>
      <c r="Q616">
        <v>694.03</v>
      </c>
      <c r="R616" s="4">
        <v>45600</v>
      </c>
      <c r="S616" s="6">
        <v>0.33888888888888891</v>
      </c>
      <c r="T616">
        <f t="shared" si="38"/>
        <v>18</v>
      </c>
      <c r="U616" t="str" cm="1">
        <f t="array" ref="U616">_xlfn.IFS(M616&lt;=34,"YOUNG",M616&lt;=54,"MIDDLE AGE",M616&gt;=55,"OLD")</f>
        <v>YOUNG</v>
      </c>
      <c r="V616" t="str">
        <f t="shared" si="39"/>
        <v>NORMAL</v>
      </c>
    </row>
    <row r="617" spans="1:22" x14ac:dyDescent="0.35">
      <c r="A617" t="s">
        <v>1938</v>
      </c>
      <c r="B617" t="s">
        <v>124</v>
      </c>
      <c r="C617">
        <v>139.03</v>
      </c>
      <c r="D617" s="1">
        <v>45168.750104166669</v>
      </c>
      <c r="E617" s="2">
        <f t="shared" si="36"/>
        <v>0.750104166669189</v>
      </c>
      <c r="F617" s="3">
        <f t="shared" si="37"/>
        <v>45168</v>
      </c>
      <c r="G617" t="s">
        <v>46</v>
      </c>
      <c r="H617" t="s">
        <v>140</v>
      </c>
      <c r="I617" t="s">
        <v>1939</v>
      </c>
      <c r="J617" t="s">
        <v>1913</v>
      </c>
      <c r="K617" t="s">
        <v>592</v>
      </c>
      <c r="L617" t="s">
        <v>36</v>
      </c>
      <c r="M617">
        <v>50</v>
      </c>
      <c r="N617" t="s">
        <v>77</v>
      </c>
      <c r="O617">
        <v>81</v>
      </c>
      <c r="P617">
        <v>1</v>
      </c>
      <c r="Q617">
        <v>2276.5700000000002</v>
      </c>
      <c r="R617" s="4">
        <v>45600</v>
      </c>
      <c r="S617" s="6">
        <v>0.34130787037037036</v>
      </c>
      <c r="T617">
        <f t="shared" si="38"/>
        <v>18</v>
      </c>
      <c r="U617" t="str" cm="1">
        <f t="array" ref="U617">_xlfn.IFS(M617&lt;=34,"YOUNG",M617&lt;=54,"MIDDLE AGE",M617&gt;=55,"OLD")</f>
        <v>MIDDLE AGE</v>
      </c>
      <c r="V617" t="str">
        <f t="shared" si="39"/>
        <v>NORMAL</v>
      </c>
    </row>
    <row r="618" spans="1:22" x14ac:dyDescent="0.35">
      <c r="A618" t="s">
        <v>1940</v>
      </c>
      <c r="B618" t="s">
        <v>1085</v>
      </c>
      <c r="C618">
        <v>254.92</v>
      </c>
      <c r="D618" s="1">
        <v>45187.66951388889</v>
      </c>
      <c r="E618" s="2">
        <f t="shared" si="36"/>
        <v>0.66951388888992369</v>
      </c>
      <c r="F618" s="3">
        <f t="shared" si="37"/>
        <v>45187</v>
      </c>
      <c r="G618" t="s">
        <v>46</v>
      </c>
      <c r="H618" t="s">
        <v>237</v>
      </c>
      <c r="I618" t="s">
        <v>1941</v>
      </c>
      <c r="J618" t="s">
        <v>844</v>
      </c>
      <c r="K618" t="s">
        <v>331</v>
      </c>
      <c r="L618" t="s">
        <v>22</v>
      </c>
      <c r="M618">
        <v>28</v>
      </c>
      <c r="N618" t="s">
        <v>77</v>
      </c>
      <c r="O618">
        <v>169</v>
      </c>
      <c r="P618">
        <v>1</v>
      </c>
      <c r="Q618">
        <v>2791.12</v>
      </c>
      <c r="R618" s="4">
        <v>45600</v>
      </c>
      <c r="S618" s="6">
        <v>0.33840277777777777</v>
      </c>
      <c r="T618">
        <f t="shared" si="38"/>
        <v>16</v>
      </c>
      <c r="U618" t="str" cm="1">
        <f t="array" ref="U618">_xlfn.IFS(M618&lt;=34,"YOUNG",M618&lt;=54,"MIDDLE AGE",M618&gt;=55,"OLD")</f>
        <v>YOUNG</v>
      </c>
      <c r="V618" t="str">
        <f t="shared" si="39"/>
        <v>NORMAL</v>
      </c>
    </row>
    <row r="619" spans="1:22" x14ac:dyDescent="0.35">
      <c r="A619" t="s">
        <v>1942</v>
      </c>
      <c r="B619" t="s">
        <v>1066</v>
      </c>
      <c r="C619">
        <v>115.11</v>
      </c>
      <c r="D619" s="1">
        <v>45051.732199074075</v>
      </c>
      <c r="E619" s="2">
        <f t="shared" si="36"/>
        <v>0.73219907407474238</v>
      </c>
      <c r="F619" s="3">
        <f t="shared" si="37"/>
        <v>45051</v>
      </c>
      <c r="G619" t="s">
        <v>17</v>
      </c>
      <c r="H619" t="s">
        <v>86</v>
      </c>
      <c r="I619" t="s">
        <v>1716</v>
      </c>
      <c r="J619" t="s">
        <v>1943</v>
      </c>
      <c r="K619" t="s">
        <v>1349</v>
      </c>
      <c r="L619" t="s">
        <v>36</v>
      </c>
      <c r="M619">
        <v>28</v>
      </c>
      <c r="N619" t="s">
        <v>77</v>
      </c>
      <c r="O619">
        <v>139</v>
      </c>
      <c r="P619">
        <v>1</v>
      </c>
      <c r="Q619">
        <v>9808.9699999999993</v>
      </c>
      <c r="R619" s="4">
        <v>45600</v>
      </c>
      <c r="S619" s="6">
        <v>0.3404861111111111</v>
      </c>
      <c r="T619">
        <f t="shared" si="38"/>
        <v>17</v>
      </c>
      <c r="U619" t="str" cm="1">
        <f t="array" ref="U619">_xlfn.IFS(M619&lt;=34,"YOUNG",M619&lt;=54,"MIDDLE AGE",M619&gt;=55,"OLD")</f>
        <v>YOUNG</v>
      </c>
      <c r="V619" t="str">
        <f t="shared" si="39"/>
        <v>NORMAL</v>
      </c>
    </row>
    <row r="620" spans="1:22" x14ac:dyDescent="0.35">
      <c r="A620" t="s">
        <v>1944</v>
      </c>
      <c r="B620" t="s">
        <v>516</v>
      </c>
      <c r="C620">
        <v>171.11</v>
      </c>
      <c r="D620" s="1">
        <v>45061.703055555554</v>
      </c>
      <c r="E620" s="2">
        <f t="shared" si="36"/>
        <v>0.703055555553874</v>
      </c>
      <c r="F620" s="3">
        <f t="shared" si="37"/>
        <v>45061</v>
      </c>
      <c r="G620" t="s">
        <v>17</v>
      </c>
      <c r="H620" t="s">
        <v>212</v>
      </c>
      <c r="I620" t="s">
        <v>1945</v>
      </c>
      <c r="J620" t="s">
        <v>174</v>
      </c>
      <c r="K620" t="s">
        <v>820</v>
      </c>
      <c r="L620" t="s">
        <v>22</v>
      </c>
      <c r="M620">
        <v>57</v>
      </c>
      <c r="N620" t="s">
        <v>70</v>
      </c>
      <c r="O620">
        <v>171</v>
      </c>
      <c r="P620">
        <v>1</v>
      </c>
      <c r="Q620">
        <v>6324.09</v>
      </c>
      <c r="R620" s="4">
        <v>45600</v>
      </c>
      <c r="S620" s="6">
        <v>0.33935185185185185</v>
      </c>
      <c r="T620">
        <f t="shared" si="38"/>
        <v>16</v>
      </c>
      <c r="U620" t="str" cm="1">
        <f t="array" ref="U620">_xlfn.IFS(M620&lt;=34,"YOUNG",M620&lt;=54,"MIDDLE AGE",M620&gt;=55,"OLD")</f>
        <v>OLD</v>
      </c>
      <c r="V620" t="str">
        <f t="shared" si="39"/>
        <v>NORMAL</v>
      </c>
    </row>
    <row r="621" spans="1:22" x14ac:dyDescent="0.35">
      <c r="A621" t="s">
        <v>1946</v>
      </c>
      <c r="B621" t="s">
        <v>905</v>
      </c>
      <c r="C621">
        <v>168.54</v>
      </c>
      <c r="D621" s="1">
        <v>44959.675844907404</v>
      </c>
      <c r="E621" s="2">
        <f t="shared" si="36"/>
        <v>0.67584490740409819</v>
      </c>
      <c r="F621" s="3">
        <f t="shared" si="37"/>
        <v>44959</v>
      </c>
      <c r="G621" t="s">
        <v>17</v>
      </c>
      <c r="H621" t="s">
        <v>53</v>
      </c>
      <c r="I621" t="s">
        <v>1947</v>
      </c>
      <c r="J621" t="s">
        <v>1948</v>
      </c>
      <c r="K621" t="s">
        <v>331</v>
      </c>
      <c r="L621" t="s">
        <v>22</v>
      </c>
      <c r="M621">
        <v>70</v>
      </c>
      <c r="N621" t="s">
        <v>23</v>
      </c>
      <c r="O621">
        <v>142</v>
      </c>
      <c r="P621">
        <v>2</v>
      </c>
      <c r="Q621">
        <v>13406</v>
      </c>
      <c r="R621" s="4">
        <v>45600</v>
      </c>
      <c r="S621" s="6">
        <v>0.33905092592592595</v>
      </c>
      <c r="T621">
        <f t="shared" si="38"/>
        <v>16</v>
      </c>
      <c r="U621" t="str" cm="1">
        <f t="array" ref="U621">_xlfn.IFS(M621&lt;=34,"YOUNG",M621&lt;=54,"MIDDLE AGE",M621&gt;=55,"OLD")</f>
        <v>OLD</v>
      </c>
      <c r="V621" t="str">
        <f t="shared" si="39"/>
        <v>HIGH</v>
      </c>
    </row>
    <row r="622" spans="1:22" x14ac:dyDescent="0.35">
      <c r="A622" t="s">
        <v>1949</v>
      </c>
      <c r="B622" t="s">
        <v>1770</v>
      </c>
      <c r="C622">
        <v>420.76</v>
      </c>
      <c r="D622" s="1">
        <v>44980.669849537036</v>
      </c>
      <c r="E622" s="2">
        <f t="shared" si="36"/>
        <v>0.66984953703649808</v>
      </c>
      <c r="F622" s="3">
        <f t="shared" si="37"/>
        <v>44980</v>
      </c>
      <c r="G622" t="s">
        <v>17</v>
      </c>
      <c r="H622" t="s">
        <v>172</v>
      </c>
      <c r="I622" t="s">
        <v>1950</v>
      </c>
      <c r="J622" t="s">
        <v>1309</v>
      </c>
      <c r="K622" t="s">
        <v>56</v>
      </c>
      <c r="L622" t="s">
        <v>69</v>
      </c>
      <c r="M622">
        <v>51</v>
      </c>
      <c r="N622" t="s">
        <v>70</v>
      </c>
      <c r="O622">
        <v>76</v>
      </c>
      <c r="P622">
        <v>1</v>
      </c>
      <c r="Q622">
        <v>6581.55</v>
      </c>
      <c r="R622" s="4">
        <v>45600</v>
      </c>
      <c r="S622" s="6">
        <v>0.33932870370370372</v>
      </c>
      <c r="T622">
        <f t="shared" si="38"/>
        <v>16</v>
      </c>
      <c r="U622" t="str" cm="1">
        <f t="array" ref="U622">_xlfn.IFS(M622&lt;=34,"YOUNG",M622&lt;=54,"MIDDLE AGE",M622&gt;=55,"OLD")</f>
        <v>MIDDLE AGE</v>
      </c>
      <c r="V622" t="str">
        <f t="shared" si="39"/>
        <v>NORMAL</v>
      </c>
    </row>
    <row r="623" spans="1:22" x14ac:dyDescent="0.35">
      <c r="A623" t="s">
        <v>1951</v>
      </c>
      <c r="B623" t="s">
        <v>1206</v>
      </c>
      <c r="C623">
        <v>408.46</v>
      </c>
      <c r="D623" s="1">
        <v>44986.67900462963</v>
      </c>
      <c r="E623" s="2">
        <f t="shared" si="36"/>
        <v>0.67900462963007158</v>
      </c>
      <c r="F623" s="3">
        <f t="shared" si="37"/>
        <v>44986</v>
      </c>
      <c r="G623" t="s">
        <v>17</v>
      </c>
      <c r="H623" t="s">
        <v>40</v>
      </c>
      <c r="I623" t="s">
        <v>1952</v>
      </c>
      <c r="J623" t="s">
        <v>1953</v>
      </c>
      <c r="K623" t="s">
        <v>707</v>
      </c>
      <c r="L623" t="s">
        <v>69</v>
      </c>
      <c r="M623">
        <v>64</v>
      </c>
      <c r="N623" t="s">
        <v>70</v>
      </c>
      <c r="O623">
        <v>28</v>
      </c>
      <c r="P623">
        <v>1</v>
      </c>
      <c r="Q623">
        <v>3140.79</v>
      </c>
      <c r="R623" s="4">
        <v>45600</v>
      </c>
      <c r="S623" s="6">
        <v>0.33912037037037035</v>
      </c>
      <c r="T623">
        <f t="shared" si="38"/>
        <v>16</v>
      </c>
      <c r="U623" t="str" cm="1">
        <f t="array" ref="U623">_xlfn.IFS(M623&lt;=34,"YOUNG",M623&lt;=54,"MIDDLE AGE",M623&gt;=55,"OLD")</f>
        <v>OLD</v>
      </c>
      <c r="V623" t="str">
        <f t="shared" si="39"/>
        <v>NORMAL</v>
      </c>
    </row>
    <row r="624" spans="1:22" x14ac:dyDescent="0.35">
      <c r="A624" t="s">
        <v>1954</v>
      </c>
      <c r="B624" t="s">
        <v>1955</v>
      </c>
      <c r="C624">
        <v>1162.42</v>
      </c>
      <c r="D624" s="1">
        <v>45161.691458333335</v>
      </c>
      <c r="E624" s="2">
        <f t="shared" si="36"/>
        <v>0.6914583333345945</v>
      </c>
      <c r="F624" s="3">
        <f t="shared" si="37"/>
        <v>45161</v>
      </c>
      <c r="G624" t="s">
        <v>46</v>
      </c>
      <c r="H624" t="s">
        <v>73</v>
      </c>
      <c r="I624" t="s">
        <v>1956</v>
      </c>
      <c r="J624" t="s">
        <v>493</v>
      </c>
      <c r="K624" t="s">
        <v>35</v>
      </c>
      <c r="L624" t="s">
        <v>36</v>
      </c>
      <c r="M624">
        <v>30</v>
      </c>
      <c r="N624" t="s">
        <v>23</v>
      </c>
      <c r="O624">
        <v>45</v>
      </c>
      <c r="P624">
        <v>1</v>
      </c>
      <c r="Q624">
        <v>10357.26</v>
      </c>
      <c r="R624" s="4">
        <v>45600</v>
      </c>
      <c r="S624" s="6">
        <v>0.33968749999999998</v>
      </c>
      <c r="T624">
        <f t="shared" si="38"/>
        <v>16</v>
      </c>
      <c r="U624" t="str" cm="1">
        <f t="array" ref="U624">_xlfn.IFS(M624&lt;=34,"YOUNG",M624&lt;=54,"MIDDLE AGE",M624&gt;=55,"OLD")</f>
        <v>YOUNG</v>
      </c>
      <c r="V624" t="str">
        <f t="shared" si="39"/>
        <v>NORMAL</v>
      </c>
    </row>
    <row r="625" spans="1:22" x14ac:dyDescent="0.35">
      <c r="A625" t="s">
        <v>1957</v>
      </c>
      <c r="B625" t="s">
        <v>1587</v>
      </c>
      <c r="C625">
        <v>342.17</v>
      </c>
      <c r="D625" s="1">
        <v>45274.673402777778</v>
      </c>
      <c r="E625" s="2">
        <f t="shared" si="36"/>
        <v>0.67340277777839219</v>
      </c>
      <c r="F625" s="3">
        <f t="shared" si="37"/>
        <v>45274</v>
      </c>
      <c r="G625" t="s">
        <v>46</v>
      </c>
      <c r="H625" t="s">
        <v>203</v>
      </c>
      <c r="I625" t="s">
        <v>1958</v>
      </c>
      <c r="J625" t="s">
        <v>933</v>
      </c>
      <c r="K625" t="s">
        <v>450</v>
      </c>
      <c r="L625" t="s">
        <v>69</v>
      </c>
      <c r="M625">
        <v>21</v>
      </c>
      <c r="N625" t="s">
        <v>37</v>
      </c>
      <c r="O625">
        <v>247</v>
      </c>
      <c r="P625">
        <v>1</v>
      </c>
      <c r="Q625">
        <v>461.83</v>
      </c>
      <c r="R625" s="4">
        <v>45600</v>
      </c>
      <c r="S625" s="6">
        <v>0.33925925925925926</v>
      </c>
      <c r="T625">
        <f t="shared" si="38"/>
        <v>16</v>
      </c>
      <c r="U625" t="str" cm="1">
        <f t="array" ref="U625">_xlfn.IFS(M625&lt;=34,"YOUNG",M625&lt;=54,"MIDDLE AGE",M625&gt;=55,"OLD")</f>
        <v>YOUNG</v>
      </c>
      <c r="V625" t="str">
        <f t="shared" si="39"/>
        <v>NORMAL</v>
      </c>
    </row>
    <row r="626" spans="1:22" x14ac:dyDescent="0.35">
      <c r="A626" t="s">
        <v>1959</v>
      </c>
      <c r="B626" t="s">
        <v>345</v>
      </c>
      <c r="C626">
        <v>580.71</v>
      </c>
      <c r="D626" s="1">
        <v>45189.692916666667</v>
      </c>
      <c r="E626" s="2">
        <f t="shared" si="36"/>
        <v>0.69291666666686069</v>
      </c>
      <c r="F626" s="3">
        <f t="shared" si="37"/>
        <v>45189</v>
      </c>
      <c r="G626" t="s">
        <v>17</v>
      </c>
      <c r="H626" t="s">
        <v>243</v>
      </c>
      <c r="I626" t="s">
        <v>928</v>
      </c>
      <c r="J626" t="s">
        <v>1960</v>
      </c>
      <c r="K626" t="s">
        <v>246</v>
      </c>
      <c r="L626" t="s">
        <v>22</v>
      </c>
      <c r="M626">
        <v>53</v>
      </c>
      <c r="N626" t="s">
        <v>77</v>
      </c>
      <c r="O626">
        <v>95</v>
      </c>
      <c r="P626">
        <v>1</v>
      </c>
      <c r="Q626">
        <v>5670</v>
      </c>
      <c r="R626" s="4">
        <v>45600</v>
      </c>
      <c r="S626" s="6">
        <v>0.34090277777777778</v>
      </c>
      <c r="T626">
        <f t="shared" si="38"/>
        <v>16</v>
      </c>
      <c r="U626" t="str" cm="1">
        <f t="array" ref="U626">_xlfn.IFS(M626&lt;=34,"YOUNG",M626&lt;=54,"MIDDLE AGE",M626&gt;=55,"OLD")</f>
        <v>MIDDLE AGE</v>
      </c>
      <c r="V626" t="str">
        <f t="shared" si="39"/>
        <v>NORMAL</v>
      </c>
    </row>
    <row r="627" spans="1:22" x14ac:dyDescent="0.35">
      <c r="A627" t="s">
        <v>1961</v>
      </c>
      <c r="B627" t="s">
        <v>884</v>
      </c>
      <c r="C627">
        <v>821.54</v>
      </c>
      <c r="D627" s="1">
        <v>45160.757824074077</v>
      </c>
      <c r="E627" s="2">
        <f t="shared" si="36"/>
        <v>0.75782407407677965</v>
      </c>
      <c r="F627" s="3">
        <f t="shared" si="37"/>
        <v>45160</v>
      </c>
      <c r="G627" t="s">
        <v>46</v>
      </c>
      <c r="H627" t="s">
        <v>47</v>
      </c>
      <c r="I627" t="s">
        <v>152</v>
      </c>
      <c r="J627" t="s">
        <v>1962</v>
      </c>
      <c r="K627" t="s">
        <v>252</v>
      </c>
      <c r="L627" t="s">
        <v>69</v>
      </c>
      <c r="M627">
        <v>79</v>
      </c>
      <c r="N627" t="s">
        <v>70</v>
      </c>
      <c r="O627">
        <v>36</v>
      </c>
      <c r="P627">
        <v>1</v>
      </c>
      <c r="Q627">
        <v>4040.32</v>
      </c>
      <c r="R627" s="4">
        <v>45600</v>
      </c>
      <c r="S627" s="6">
        <v>0.34163194444444445</v>
      </c>
      <c r="T627">
        <f t="shared" si="38"/>
        <v>18</v>
      </c>
      <c r="U627" t="str" cm="1">
        <f t="array" ref="U627">_xlfn.IFS(M627&lt;=34,"YOUNG",M627&lt;=54,"MIDDLE AGE",M627&gt;=55,"OLD")</f>
        <v>OLD</v>
      </c>
      <c r="V627" t="str">
        <f t="shared" si="39"/>
        <v>NORMAL</v>
      </c>
    </row>
    <row r="628" spans="1:22" x14ac:dyDescent="0.35">
      <c r="A628" t="s">
        <v>1963</v>
      </c>
      <c r="B628" t="s">
        <v>1096</v>
      </c>
      <c r="C628">
        <v>253.47</v>
      </c>
      <c r="D628" s="1">
        <v>45091.713287037041</v>
      </c>
      <c r="E628" s="2">
        <f t="shared" si="36"/>
        <v>0.71328703704057261</v>
      </c>
      <c r="F628" s="3">
        <f t="shared" si="37"/>
        <v>45091</v>
      </c>
      <c r="G628" t="s">
        <v>17</v>
      </c>
      <c r="H628" t="s">
        <v>47</v>
      </c>
      <c r="I628" t="s">
        <v>1061</v>
      </c>
      <c r="J628" t="s">
        <v>168</v>
      </c>
      <c r="K628" t="s">
        <v>543</v>
      </c>
      <c r="L628" t="s">
        <v>69</v>
      </c>
      <c r="M628">
        <v>20</v>
      </c>
      <c r="N628" t="s">
        <v>37</v>
      </c>
      <c r="O628">
        <v>238</v>
      </c>
      <c r="P628">
        <v>1</v>
      </c>
      <c r="Q628">
        <v>220.51</v>
      </c>
      <c r="R628" s="4">
        <v>45600</v>
      </c>
      <c r="S628" s="6">
        <v>0.33902777777777776</v>
      </c>
      <c r="T628">
        <f t="shared" si="38"/>
        <v>17</v>
      </c>
      <c r="U628" t="str" cm="1">
        <f t="array" ref="U628">_xlfn.IFS(M628&lt;=34,"YOUNG",M628&lt;=54,"MIDDLE AGE",M628&gt;=55,"OLD")</f>
        <v>YOUNG</v>
      </c>
      <c r="V628" t="str">
        <f t="shared" si="39"/>
        <v>NORMAL</v>
      </c>
    </row>
    <row r="629" spans="1:22" x14ac:dyDescent="0.35">
      <c r="A629" t="s">
        <v>1964</v>
      </c>
      <c r="B629" t="s">
        <v>657</v>
      </c>
      <c r="C629">
        <v>22.81</v>
      </c>
      <c r="D629" s="1">
        <v>45075.745173611111</v>
      </c>
      <c r="E629" s="2">
        <f t="shared" si="36"/>
        <v>0.74517361111065838</v>
      </c>
      <c r="F629" s="3">
        <f t="shared" si="37"/>
        <v>45075</v>
      </c>
      <c r="G629" t="s">
        <v>17</v>
      </c>
      <c r="H629" t="s">
        <v>203</v>
      </c>
      <c r="I629" t="s">
        <v>1965</v>
      </c>
      <c r="J629" t="s">
        <v>316</v>
      </c>
      <c r="K629" t="s">
        <v>160</v>
      </c>
      <c r="L629" t="s">
        <v>36</v>
      </c>
      <c r="M629">
        <v>62</v>
      </c>
      <c r="N629" t="s">
        <v>70</v>
      </c>
      <c r="O629">
        <v>75</v>
      </c>
      <c r="P629">
        <v>1</v>
      </c>
      <c r="Q629">
        <v>3634.76</v>
      </c>
      <c r="R629" s="4">
        <v>45600</v>
      </c>
      <c r="S629" s="6">
        <v>0.33887731481481481</v>
      </c>
      <c r="T629">
        <f t="shared" si="38"/>
        <v>17</v>
      </c>
      <c r="U629" t="str" cm="1">
        <f t="array" ref="U629">_xlfn.IFS(M629&lt;=34,"YOUNG",M629&lt;=54,"MIDDLE AGE",M629&gt;=55,"OLD")</f>
        <v>OLD</v>
      </c>
      <c r="V629" t="str">
        <f t="shared" si="39"/>
        <v>NORMAL</v>
      </c>
    </row>
    <row r="630" spans="1:22" x14ac:dyDescent="0.35">
      <c r="A630" t="s">
        <v>1966</v>
      </c>
      <c r="B630" t="s">
        <v>585</v>
      </c>
      <c r="C630">
        <v>266.57</v>
      </c>
      <c r="D630" s="1">
        <v>45110.74790509259</v>
      </c>
      <c r="E630" s="2">
        <f t="shared" si="36"/>
        <v>0.74790509259037208</v>
      </c>
      <c r="F630" s="3">
        <f t="shared" si="37"/>
        <v>45110</v>
      </c>
      <c r="G630" t="s">
        <v>46</v>
      </c>
      <c r="H630" t="s">
        <v>388</v>
      </c>
      <c r="I630" t="s">
        <v>1967</v>
      </c>
      <c r="J630" t="s">
        <v>1968</v>
      </c>
      <c r="K630" t="s">
        <v>607</v>
      </c>
      <c r="L630" t="s">
        <v>36</v>
      </c>
      <c r="M630">
        <v>39</v>
      </c>
      <c r="N630" t="s">
        <v>77</v>
      </c>
      <c r="O630">
        <v>96</v>
      </c>
      <c r="P630">
        <v>1</v>
      </c>
      <c r="Q630">
        <v>7180.48</v>
      </c>
      <c r="R630" s="4">
        <v>45600</v>
      </c>
      <c r="S630" s="6">
        <v>0.33831018518518519</v>
      </c>
      <c r="T630">
        <f t="shared" si="38"/>
        <v>17</v>
      </c>
      <c r="U630" t="str" cm="1">
        <f t="array" ref="U630">_xlfn.IFS(M630&lt;=34,"YOUNG",M630&lt;=54,"MIDDLE AGE",M630&gt;=55,"OLD")</f>
        <v>MIDDLE AGE</v>
      </c>
      <c r="V630" t="str">
        <f t="shared" si="39"/>
        <v>NORMAL</v>
      </c>
    </row>
    <row r="631" spans="1:22" x14ac:dyDescent="0.35">
      <c r="A631" t="s">
        <v>1969</v>
      </c>
      <c r="B631" t="s">
        <v>279</v>
      </c>
      <c r="C631">
        <v>374.61</v>
      </c>
      <c r="D631" s="1">
        <v>45167.771249999998</v>
      </c>
      <c r="E631" s="2">
        <f t="shared" si="36"/>
        <v>0.77124999999796273</v>
      </c>
      <c r="F631" s="3">
        <f t="shared" si="37"/>
        <v>45167</v>
      </c>
      <c r="G631" t="s">
        <v>46</v>
      </c>
      <c r="H631" t="s">
        <v>32</v>
      </c>
      <c r="I631" t="s">
        <v>1089</v>
      </c>
      <c r="J631" t="s">
        <v>507</v>
      </c>
      <c r="K631" t="s">
        <v>1281</v>
      </c>
      <c r="L631" t="s">
        <v>36</v>
      </c>
      <c r="M631">
        <v>75</v>
      </c>
      <c r="N631" t="s">
        <v>70</v>
      </c>
      <c r="O631">
        <v>37</v>
      </c>
      <c r="P631">
        <v>1</v>
      </c>
      <c r="Q631">
        <v>1389.71</v>
      </c>
      <c r="R631" s="4">
        <v>45600</v>
      </c>
      <c r="S631" s="6">
        <v>0.34125</v>
      </c>
      <c r="T631">
        <f t="shared" si="38"/>
        <v>18</v>
      </c>
      <c r="U631" t="str" cm="1">
        <f t="array" ref="U631">_xlfn.IFS(M631&lt;=34,"YOUNG",M631&lt;=54,"MIDDLE AGE",M631&gt;=55,"OLD")</f>
        <v>OLD</v>
      </c>
      <c r="V631" t="str">
        <f t="shared" si="39"/>
        <v>NORMAL</v>
      </c>
    </row>
    <row r="632" spans="1:22" x14ac:dyDescent="0.35">
      <c r="A632" t="s">
        <v>1970</v>
      </c>
      <c r="B632" t="s">
        <v>52</v>
      </c>
      <c r="C632">
        <v>339.35</v>
      </c>
      <c r="D632" s="1">
        <v>44960.672766203701</v>
      </c>
      <c r="E632" s="2">
        <f t="shared" si="36"/>
        <v>0.67276620370103046</v>
      </c>
      <c r="F632" s="3">
        <f t="shared" si="37"/>
        <v>44960</v>
      </c>
      <c r="G632" t="s">
        <v>46</v>
      </c>
      <c r="H632" t="s">
        <v>388</v>
      </c>
      <c r="I632" t="s">
        <v>1971</v>
      </c>
      <c r="J632" t="s">
        <v>1852</v>
      </c>
      <c r="K632" t="s">
        <v>820</v>
      </c>
      <c r="L632" t="s">
        <v>22</v>
      </c>
      <c r="M632">
        <v>78</v>
      </c>
      <c r="N632" t="s">
        <v>70</v>
      </c>
      <c r="O632">
        <v>70</v>
      </c>
      <c r="P632">
        <v>1</v>
      </c>
      <c r="Q632">
        <v>5002.7</v>
      </c>
      <c r="R632" s="4">
        <v>45600</v>
      </c>
      <c r="S632" s="6">
        <v>0.33908564814814812</v>
      </c>
      <c r="T632">
        <f t="shared" si="38"/>
        <v>16</v>
      </c>
      <c r="U632" t="str" cm="1">
        <f t="array" ref="U632">_xlfn.IFS(M632&lt;=34,"YOUNG",M632&lt;=54,"MIDDLE AGE",M632&gt;=55,"OLD")</f>
        <v>OLD</v>
      </c>
      <c r="V632" t="str">
        <f t="shared" si="39"/>
        <v>NORMAL</v>
      </c>
    </row>
    <row r="633" spans="1:22" x14ac:dyDescent="0.35">
      <c r="A633" t="s">
        <v>1972</v>
      </c>
      <c r="B633" t="s">
        <v>1823</v>
      </c>
      <c r="C633">
        <v>810.36</v>
      </c>
      <c r="D633" s="1">
        <v>44943.707673611112</v>
      </c>
      <c r="E633" s="2">
        <f t="shared" si="36"/>
        <v>0.70767361111211358</v>
      </c>
      <c r="F633" s="3">
        <f t="shared" si="37"/>
        <v>44943</v>
      </c>
      <c r="G633" t="s">
        <v>17</v>
      </c>
      <c r="H633" t="s">
        <v>125</v>
      </c>
      <c r="I633" t="s">
        <v>1909</v>
      </c>
      <c r="J633" t="s">
        <v>293</v>
      </c>
      <c r="K633" t="s">
        <v>427</v>
      </c>
      <c r="L633" t="s">
        <v>22</v>
      </c>
      <c r="M633">
        <v>20</v>
      </c>
      <c r="N633" t="s">
        <v>37</v>
      </c>
      <c r="O633">
        <v>67</v>
      </c>
      <c r="P633">
        <v>1</v>
      </c>
      <c r="Q633">
        <v>9239.1200000000008</v>
      </c>
      <c r="R633" s="4">
        <v>45600</v>
      </c>
      <c r="S633" s="6">
        <v>0.33841435185185187</v>
      </c>
      <c r="T633">
        <f t="shared" si="38"/>
        <v>16</v>
      </c>
      <c r="U633" t="str" cm="1">
        <f t="array" ref="U633">_xlfn.IFS(M633&lt;=34,"YOUNG",M633&lt;=54,"MIDDLE AGE",M633&gt;=55,"OLD")</f>
        <v>YOUNG</v>
      </c>
      <c r="V633" t="str">
        <f t="shared" si="39"/>
        <v>NORMAL</v>
      </c>
    </row>
    <row r="634" spans="1:22" x14ac:dyDescent="0.35">
      <c r="A634" t="s">
        <v>1973</v>
      </c>
      <c r="B634" t="s">
        <v>1974</v>
      </c>
      <c r="C634">
        <v>9.83</v>
      </c>
      <c r="D634" s="1">
        <v>45131.71130787037</v>
      </c>
      <c r="E634" s="2">
        <f t="shared" si="36"/>
        <v>0.71130787036963739</v>
      </c>
      <c r="F634" s="3">
        <f t="shared" si="37"/>
        <v>45131</v>
      </c>
      <c r="G634" t="s">
        <v>17</v>
      </c>
      <c r="H634" t="s">
        <v>92</v>
      </c>
      <c r="I634" t="s">
        <v>103</v>
      </c>
      <c r="J634" t="s">
        <v>99</v>
      </c>
      <c r="K634" t="s">
        <v>432</v>
      </c>
      <c r="L634" t="s">
        <v>22</v>
      </c>
      <c r="M634">
        <v>24</v>
      </c>
      <c r="N634" t="s">
        <v>37</v>
      </c>
      <c r="O634">
        <v>86</v>
      </c>
      <c r="P634">
        <v>1</v>
      </c>
      <c r="Q634">
        <v>666.42</v>
      </c>
      <c r="R634" s="4">
        <v>45600</v>
      </c>
      <c r="S634" s="6">
        <v>0.33961805555555558</v>
      </c>
      <c r="T634">
        <f t="shared" si="38"/>
        <v>17</v>
      </c>
      <c r="U634" t="str" cm="1">
        <f t="array" ref="U634">_xlfn.IFS(M634&lt;=34,"YOUNG",M634&lt;=54,"MIDDLE AGE",M634&gt;=55,"OLD")</f>
        <v>YOUNG</v>
      </c>
      <c r="V634" t="str">
        <f t="shared" si="39"/>
        <v>NORMAL</v>
      </c>
    </row>
    <row r="635" spans="1:22" x14ac:dyDescent="0.35">
      <c r="A635" t="s">
        <v>1975</v>
      </c>
      <c r="B635" t="s">
        <v>997</v>
      </c>
      <c r="C635">
        <v>135.57</v>
      </c>
      <c r="D635" s="1">
        <v>45091.720532407409</v>
      </c>
      <c r="E635" s="2">
        <f t="shared" si="36"/>
        <v>0.72053240740933688</v>
      </c>
      <c r="F635" s="3">
        <f t="shared" si="37"/>
        <v>45091</v>
      </c>
      <c r="G635" t="s">
        <v>46</v>
      </c>
      <c r="H635" t="s">
        <v>388</v>
      </c>
      <c r="I635" t="s">
        <v>1861</v>
      </c>
      <c r="J635" t="s">
        <v>828</v>
      </c>
      <c r="K635" t="s">
        <v>89</v>
      </c>
      <c r="L635" t="s">
        <v>69</v>
      </c>
      <c r="M635">
        <v>51</v>
      </c>
      <c r="N635" t="s">
        <v>23</v>
      </c>
      <c r="O635">
        <v>116</v>
      </c>
      <c r="P635">
        <v>1</v>
      </c>
      <c r="Q635">
        <v>11351.64</v>
      </c>
      <c r="R635" s="4">
        <v>45600</v>
      </c>
      <c r="S635" s="6">
        <v>0.3414814814814815</v>
      </c>
      <c r="T635">
        <f t="shared" si="38"/>
        <v>17</v>
      </c>
      <c r="U635" t="str" cm="1">
        <f t="array" ref="U635">_xlfn.IFS(M635&lt;=34,"YOUNG",M635&lt;=54,"MIDDLE AGE",M635&gt;=55,"OLD")</f>
        <v>MIDDLE AGE</v>
      </c>
      <c r="V635" t="str">
        <f t="shared" si="39"/>
        <v>NORMAL</v>
      </c>
    </row>
    <row r="636" spans="1:22" x14ac:dyDescent="0.35">
      <c r="A636" t="s">
        <v>1976</v>
      </c>
      <c r="B636" t="s">
        <v>716</v>
      </c>
      <c r="C636">
        <v>340.05</v>
      </c>
      <c r="D636" s="1">
        <v>45226.727002314816</v>
      </c>
      <c r="E636" s="2">
        <f t="shared" si="36"/>
        <v>0.72700231481576338</v>
      </c>
      <c r="F636" s="3">
        <f t="shared" si="37"/>
        <v>45226</v>
      </c>
      <c r="G636" t="s">
        <v>17</v>
      </c>
      <c r="H636" t="s">
        <v>73</v>
      </c>
      <c r="I636" t="s">
        <v>1977</v>
      </c>
      <c r="J636" t="s">
        <v>1597</v>
      </c>
      <c r="K636" t="s">
        <v>858</v>
      </c>
      <c r="L636" t="s">
        <v>22</v>
      </c>
      <c r="M636">
        <v>43</v>
      </c>
      <c r="N636" t="s">
        <v>77</v>
      </c>
      <c r="O636">
        <v>37</v>
      </c>
      <c r="P636">
        <v>1</v>
      </c>
      <c r="Q636">
        <v>7234.15</v>
      </c>
      <c r="R636" s="4">
        <v>45600</v>
      </c>
      <c r="S636" s="6">
        <v>0.33869212962962963</v>
      </c>
      <c r="T636">
        <f t="shared" si="38"/>
        <v>17</v>
      </c>
      <c r="U636" t="str" cm="1">
        <f t="array" ref="U636">_xlfn.IFS(M636&lt;=34,"YOUNG",M636&lt;=54,"MIDDLE AGE",M636&gt;=55,"OLD")</f>
        <v>MIDDLE AGE</v>
      </c>
      <c r="V636" t="str">
        <f t="shared" si="39"/>
        <v>NORMAL</v>
      </c>
    </row>
    <row r="637" spans="1:22" x14ac:dyDescent="0.35">
      <c r="A637" t="s">
        <v>1978</v>
      </c>
      <c r="B637" t="s">
        <v>295</v>
      </c>
      <c r="C637">
        <v>283.45</v>
      </c>
      <c r="D637" s="1">
        <v>45216.725543981483</v>
      </c>
      <c r="E637" s="2">
        <f t="shared" si="36"/>
        <v>0.72554398148349719</v>
      </c>
      <c r="F637" s="3">
        <f t="shared" si="37"/>
        <v>45216</v>
      </c>
      <c r="G637" t="s">
        <v>17</v>
      </c>
      <c r="H637" t="s">
        <v>521</v>
      </c>
      <c r="I637" t="s">
        <v>1265</v>
      </c>
      <c r="J637" t="s">
        <v>727</v>
      </c>
      <c r="K637" t="s">
        <v>137</v>
      </c>
      <c r="L637" t="s">
        <v>69</v>
      </c>
      <c r="M637">
        <v>27</v>
      </c>
      <c r="N637" t="s">
        <v>77</v>
      </c>
      <c r="O637">
        <v>127</v>
      </c>
      <c r="P637">
        <v>1</v>
      </c>
      <c r="Q637">
        <v>2049.5100000000002</v>
      </c>
      <c r="R637" s="4">
        <v>45600</v>
      </c>
      <c r="S637" s="6">
        <v>0.33947916666666667</v>
      </c>
      <c r="T637">
        <f t="shared" si="38"/>
        <v>17</v>
      </c>
      <c r="U637" t="str" cm="1">
        <f t="array" ref="U637">_xlfn.IFS(M637&lt;=34,"YOUNG",M637&lt;=54,"MIDDLE AGE",M637&gt;=55,"OLD")</f>
        <v>YOUNG</v>
      </c>
      <c r="V637" t="str">
        <f t="shared" si="39"/>
        <v>NORMAL</v>
      </c>
    </row>
    <row r="638" spans="1:22" x14ac:dyDescent="0.35">
      <c r="A638" t="s">
        <v>1979</v>
      </c>
      <c r="B638" t="s">
        <v>1517</v>
      </c>
      <c r="C638">
        <v>100.99</v>
      </c>
      <c r="D638" s="1">
        <v>45075.680891203701</v>
      </c>
      <c r="E638" s="2">
        <f t="shared" si="36"/>
        <v>0.6808912037013215</v>
      </c>
      <c r="F638" s="3">
        <f t="shared" si="37"/>
        <v>45075</v>
      </c>
      <c r="G638" t="s">
        <v>17</v>
      </c>
      <c r="H638" t="s">
        <v>203</v>
      </c>
      <c r="I638" t="s">
        <v>115</v>
      </c>
      <c r="J638" t="s">
        <v>245</v>
      </c>
      <c r="K638" t="s">
        <v>303</v>
      </c>
      <c r="L638" t="s">
        <v>22</v>
      </c>
      <c r="M638">
        <v>68</v>
      </c>
      <c r="N638" t="s">
        <v>23</v>
      </c>
      <c r="O638">
        <v>114</v>
      </c>
      <c r="P638">
        <v>1</v>
      </c>
      <c r="Q638">
        <v>8865.27</v>
      </c>
      <c r="R638" s="4">
        <v>45600</v>
      </c>
      <c r="S638" s="6">
        <v>0.3397222222222222</v>
      </c>
      <c r="T638">
        <f t="shared" si="38"/>
        <v>16</v>
      </c>
      <c r="U638" t="str" cm="1">
        <f t="array" ref="U638">_xlfn.IFS(M638&lt;=34,"YOUNG",M638&lt;=54,"MIDDLE AGE",M638&gt;=55,"OLD")</f>
        <v>OLD</v>
      </c>
      <c r="V638" t="str">
        <f t="shared" si="39"/>
        <v>NORMAL</v>
      </c>
    </row>
    <row r="639" spans="1:22" x14ac:dyDescent="0.35">
      <c r="A639" t="s">
        <v>1980</v>
      </c>
      <c r="B639" t="s">
        <v>989</v>
      </c>
      <c r="C639">
        <v>90.88</v>
      </c>
      <c r="D639" s="1">
        <v>44977.700567129628</v>
      </c>
      <c r="E639" s="2">
        <f t="shared" si="36"/>
        <v>0.70056712962832535</v>
      </c>
      <c r="F639" s="3">
        <f t="shared" si="37"/>
        <v>44977</v>
      </c>
      <c r="G639" t="s">
        <v>17</v>
      </c>
      <c r="H639" t="s">
        <v>86</v>
      </c>
      <c r="I639" t="s">
        <v>1903</v>
      </c>
      <c r="J639" t="s">
        <v>1484</v>
      </c>
      <c r="K639" t="s">
        <v>358</v>
      </c>
      <c r="L639" t="s">
        <v>69</v>
      </c>
      <c r="M639">
        <v>18</v>
      </c>
      <c r="N639" t="s">
        <v>37</v>
      </c>
      <c r="O639">
        <v>176</v>
      </c>
      <c r="P639">
        <v>1</v>
      </c>
      <c r="Q639">
        <v>3908.47</v>
      </c>
      <c r="R639" s="4">
        <v>45600</v>
      </c>
      <c r="S639" s="6">
        <v>0.33834490740740741</v>
      </c>
      <c r="T639">
        <f t="shared" si="38"/>
        <v>16</v>
      </c>
      <c r="U639" t="str" cm="1">
        <f t="array" ref="U639">_xlfn.IFS(M639&lt;=34,"YOUNG",M639&lt;=54,"MIDDLE AGE",M639&gt;=55,"OLD")</f>
        <v>YOUNG</v>
      </c>
      <c r="V639" t="str">
        <f t="shared" si="39"/>
        <v>NORMAL</v>
      </c>
    </row>
    <row r="640" spans="1:22" x14ac:dyDescent="0.35">
      <c r="A640" t="s">
        <v>1981</v>
      </c>
      <c r="B640" t="s">
        <v>1982</v>
      </c>
      <c r="C640">
        <v>655.15</v>
      </c>
      <c r="D640" s="1">
        <v>44928.682569444441</v>
      </c>
      <c r="E640" s="2">
        <f t="shared" si="36"/>
        <v>0.68256944444146939</v>
      </c>
      <c r="F640" s="3">
        <f t="shared" si="37"/>
        <v>44928</v>
      </c>
      <c r="G640" t="s">
        <v>17</v>
      </c>
      <c r="H640" t="s">
        <v>59</v>
      </c>
      <c r="I640" t="s">
        <v>807</v>
      </c>
      <c r="J640" t="s">
        <v>1925</v>
      </c>
      <c r="K640" t="s">
        <v>160</v>
      </c>
      <c r="L640" t="s">
        <v>22</v>
      </c>
      <c r="M640">
        <v>26</v>
      </c>
      <c r="N640" t="s">
        <v>77</v>
      </c>
      <c r="O640">
        <v>264</v>
      </c>
      <c r="P640">
        <v>1</v>
      </c>
      <c r="Q640">
        <v>5587.44</v>
      </c>
      <c r="R640" s="4">
        <v>45600</v>
      </c>
      <c r="S640" s="6">
        <v>0.33836805555555555</v>
      </c>
      <c r="T640">
        <f t="shared" si="38"/>
        <v>16</v>
      </c>
      <c r="U640" t="str" cm="1">
        <f t="array" ref="U640">_xlfn.IFS(M640&lt;=34,"YOUNG",M640&lt;=54,"MIDDLE AGE",M640&gt;=55,"OLD")</f>
        <v>YOUNG</v>
      </c>
      <c r="V640" t="str">
        <f t="shared" si="39"/>
        <v>NORMAL</v>
      </c>
    </row>
    <row r="641" spans="1:22" x14ac:dyDescent="0.35">
      <c r="A641" t="s">
        <v>1983</v>
      </c>
      <c r="B641" t="s">
        <v>1984</v>
      </c>
      <c r="C641">
        <v>320.55</v>
      </c>
      <c r="D641" s="1">
        <v>45047.716516203705</v>
      </c>
      <c r="E641" s="2">
        <f t="shared" si="36"/>
        <v>0.71651620370539604</v>
      </c>
      <c r="F641" s="3">
        <f t="shared" si="37"/>
        <v>45047</v>
      </c>
      <c r="G641" t="s">
        <v>17</v>
      </c>
      <c r="H641" t="s">
        <v>178</v>
      </c>
      <c r="I641" t="s">
        <v>1558</v>
      </c>
      <c r="J641" t="s">
        <v>1985</v>
      </c>
      <c r="K641" t="s">
        <v>576</v>
      </c>
      <c r="L641" t="s">
        <v>36</v>
      </c>
      <c r="M641">
        <v>50</v>
      </c>
      <c r="N641" t="s">
        <v>77</v>
      </c>
      <c r="O641">
        <v>118</v>
      </c>
      <c r="P641">
        <v>1</v>
      </c>
      <c r="Q641">
        <v>438.75</v>
      </c>
      <c r="R641" s="4">
        <v>45600</v>
      </c>
      <c r="S641" s="6">
        <v>0.33905092592592595</v>
      </c>
      <c r="T641">
        <f t="shared" si="38"/>
        <v>17</v>
      </c>
      <c r="U641" t="str" cm="1">
        <f t="array" ref="U641">_xlfn.IFS(M641&lt;=34,"YOUNG",M641&lt;=54,"MIDDLE AGE",M641&gt;=55,"OLD")</f>
        <v>MIDDLE AGE</v>
      </c>
      <c r="V641" t="str">
        <f t="shared" si="39"/>
        <v>NORMAL</v>
      </c>
    </row>
    <row r="642" spans="1:22" x14ac:dyDescent="0.35">
      <c r="A642" t="s">
        <v>1986</v>
      </c>
      <c r="B642" t="s">
        <v>516</v>
      </c>
      <c r="C642">
        <v>41.51</v>
      </c>
      <c r="D642" s="1">
        <v>45203.699687499997</v>
      </c>
      <c r="E642" s="2">
        <f t="shared" ref="E642:E705" si="40">D642-INT(D642)</f>
        <v>0.69968749999679858</v>
      </c>
      <c r="F642" s="3">
        <f t="shared" ref="F642:F705" si="41">INT(D642)</f>
        <v>45203</v>
      </c>
      <c r="G642" t="s">
        <v>17</v>
      </c>
      <c r="H642" t="s">
        <v>425</v>
      </c>
      <c r="I642" t="s">
        <v>1987</v>
      </c>
      <c r="J642" t="s">
        <v>866</v>
      </c>
      <c r="K642" t="s">
        <v>820</v>
      </c>
      <c r="L642" t="s">
        <v>36</v>
      </c>
      <c r="M642">
        <v>28</v>
      </c>
      <c r="N642" t="s">
        <v>37</v>
      </c>
      <c r="O642">
        <v>48</v>
      </c>
      <c r="P642">
        <v>1</v>
      </c>
      <c r="Q642">
        <v>609.6</v>
      </c>
      <c r="R642" s="4">
        <v>45600</v>
      </c>
      <c r="S642" s="6">
        <v>0.34159722222222222</v>
      </c>
      <c r="T642">
        <f t="shared" si="38"/>
        <v>16</v>
      </c>
      <c r="U642" t="str" cm="1">
        <f t="array" ref="U642">_xlfn.IFS(M642&lt;=34,"YOUNG",M642&lt;=54,"MIDDLE AGE",M642&gt;=55,"OLD")</f>
        <v>YOUNG</v>
      </c>
      <c r="V642" t="str">
        <f t="shared" si="39"/>
        <v>NORMAL</v>
      </c>
    </row>
    <row r="643" spans="1:22" x14ac:dyDescent="0.35">
      <c r="A643" t="s">
        <v>1988</v>
      </c>
      <c r="B643" t="s">
        <v>1501</v>
      </c>
      <c r="C643">
        <v>71.53</v>
      </c>
      <c r="D643" s="1">
        <v>45229.700983796298</v>
      </c>
      <c r="E643" s="2">
        <f t="shared" si="40"/>
        <v>0.70098379629780538</v>
      </c>
      <c r="F643" s="3">
        <f t="shared" si="41"/>
        <v>45229</v>
      </c>
      <c r="G643" t="s">
        <v>46</v>
      </c>
      <c r="H643" t="s">
        <v>392</v>
      </c>
      <c r="I643" t="s">
        <v>1989</v>
      </c>
      <c r="J643" t="s">
        <v>1990</v>
      </c>
      <c r="K643" t="s">
        <v>95</v>
      </c>
      <c r="L643" t="s">
        <v>69</v>
      </c>
      <c r="M643">
        <v>68</v>
      </c>
      <c r="N643" t="s">
        <v>70</v>
      </c>
      <c r="O643">
        <v>39</v>
      </c>
      <c r="P643">
        <v>1</v>
      </c>
      <c r="Q643">
        <v>2393.73</v>
      </c>
      <c r="R643" s="4">
        <v>45600</v>
      </c>
      <c r="S643" s="6">
        <v>0.34166666666666667</v>
      </c>
      <c r="T643">
        <f t="shared" ref="T643:T706" si="42">HOUR(E643)</f>
        <v>16</v>
      </c>
      <c r="U643" t="str" cm="1">
        <f t="array" ref="U643">_xlfn.IFS(M643&lt;=34,"YOUNG",M643&lt;=54,"MIDDLE AGE",M643&gt;=55,"OLD")</f>
        <v>OLD</v>
      </c>
      <c r="V643" t="str">
        <f t="shared" ref="V643:V706" si="43">IF(P643&gt;1,"HIGH","NORMAL")</f>
        <v>NORMAL</v>
      </c>
    </row>
    <row r="644" spans="1:22" x14ac:dyDescent="0.35">
      <c r="A644" t="s">
        <v>1991</v>
      </c>
      <c r="B644" t="s">
        <v>1992</v>
      </c>
      <c r="C644">
        <v>467.13</v>
      </c>
      <c r="D644" s="1">
        <v>45197.721134259256</v>
      </c>
      <c r="E644" s="2">
        <f t="shared" si="40"/>
        <v>0.72113425925635966</v>
      </c>
      <c r="F644" s="3">
        <f t="shared" si="41"/>
        <v>45197</v>
      </c>
      <c r="G644" t="s">
        <v>46</v>
      </c>
      <c r="H644" t="s">
        <v>291</v>
      </c>
      <c r="I644" t="s">
        <v>1993</v>
      </c>
      <c r="J644" t="s">
        <v>1775</v>
      </c>
      <c r="K644" t="s">
        <v>1287</v>
      </c>
      <c r="L644" t="s">
        <v>69</v>
      </c>
      <c r="M644">
        <v>54</v>
      </c>
      <c r="N644" t="s">
        <v>70</v>
      </c>
      <c r="O644">
        <v>45</v>
      </c>
      <c r="P644">
        <v>1</v>
      </c>
      <c r="Q644">
        <v>3914.84</v>
      </c>
      <c r="R644" s="4">
        <v>45600</v>
      </c>
      <c r="S644" s="6">
        <v>0.33817129629629628</v>
      </c>
      <c r="T644">
        <f t="shared" si="42"/>
        <v>17</v>
      </c>
      <c r="U644" t="str" cm="1">
        <f t="array" ref="U644">_xlfn.IFS(M644&lt;=34,"YOUNG",M644&lt;=54,"MIDDLE AGE",M644&gt;=55,"OLD")</f>
        <v>MIDDLE AGE</v>
      </c>
      <c r="V644" t="str">
        <f t="shared" si="43"/>
        <v>NORMAL</v>
      </c>
    </row>
    <row r="645" spans="1:22" x14ac:dyDescent="0.35">
      <c r="A645" t="s">
        <v>1994</v>
      </c>
      <c r="B645" t="s">
        <v>1381</v>
      </c>
      <c r="C645">
        <v>235.4</v>
      </c>
      <c r="D645" s="1">
        <v>45195.710011574076</v>
      </c>
      <c r="E645" s="2">
        <f t="shared" si="40"/>
        <v>0.71001157407590654</v>
      </c>
      <c r="F645" s="3">
        <f t="shared" si="41"/>
        <v>45195</v>
      </c>
      <c r="G645" t="s">
        <v>17</v>
      </c>
      <c r="H645" t="s">
        <v>73</v>
      </c>
      <c r="I645" t="s">
        <v>461</v>
      </c>
      <c r="J645" t="s">
        <v>225</v>
      </c>
      <c r="K645" t="s">
        <v>858</v>
      </c>
      <c r="L645" t="s">
        <v>69</v>
      </c>
      <c r="M645">
        <v>28</v>
      </c>
      <c r="N645" t="s">
        <v>37</v>
      </c>
      <c r="O645">
        <v>70</v>
      </c>
      <c r="P645">
        <v>1</v>
      </c>
      <c r="Q645">
        <v>818.36</v>
      </c>
      <c r="R645" s="4">
        <v>45600</v>
      </c>
      <c r="S645" s="6">
        <v>0.34042824074074074</v>
      </c>
      <c r="T645">
        <f t="shared" si="42"/>
        <v>17</v>
      </c>
      <c r="U645" t="str" cm="1">
        <f t="array" ref="U645">_xlfn.IFS(M645&lt;=34,"YOUNG",M645&lt;=54,"MIDDLE AGE",M645&gt;=55,"OLD")</f>
        <v>YOUNG</v>
      </c>
      <c r="V645" t="str">
        <f t="shared" si="43"/>
        <v>NORMAL</v>
      </c>
    </row>
    <row r="646" spans="1:22" x14ac:dyDescent="0.35">
      <c r="A646" t="s">
        <v>1995</v>
      </c>
      <c r="B646" t="s">
        <v>611</v>
      </c>
      <c r="C646">
        <v>159.32</v>
      </c>
      <c r="D646" s="1">
        <v>44942.789733796293</v>
      </c>
      <c r="E646" s="2">
        <f t="shared" si="40"/>
        <v>0.78973379629314877</v>
      </c>
      <c r="F646" s="3">
        <f t="shared" si="41"/>
        <v>44942</v>
      </c>
      <c r="G646" t="s">
        <v>17</v>
      </c>
      <c r="H646" t="s">
        <v>59</v>
      </c>
      <c r="I646" t="s">
        <v>1383</v>
      </c>
      <c r="J646" t="s">
        <v>1996</v>
      </c>
      <c r="K646" t="s">
        <v>450</v>
      </c>
      <c r="L646" t="s">
        <v>69</v>
      </c>
      <c r="M646">
        <v>18</v>
      </c>
      <c r="N646" t="s">
        <v>37</v>
      </c>
      <c r="O646">
        <v>100</v>
      </c>
      <c r="P646">
        <v>1</v>
      </c>
      <c r="Q646">
        <v>304.44</v>
      </c>
      <c r="R646" s="4">
        <v>45600</v>
      </c>
      <c r="S646" s="6">
        <v>0.34064814814814814</v>
      </c>
      <c r="T646">
        <f t="shared" si="42"/>
        <v>18</v>
      </c>
      <c r="U646" t="str" cm="1">
        <f t="array" ref="U646">_xlfn.IFS(M646&lt;=34,"YOUNG",M646&lt;=54,"MIDDLE AGE",M646&gt;=55,"OLD")</f>
        <v>YOUNG</v>
      </c>
      <c r="V646" t="str">
        <f t="shared" si="43"/>
        <v>NORMAL</v>
      </c>
    </row>
    <row r="647" spans="1:22" x14ac:dyDescent="0.35">
      <c r="A647" t="s">
        <v>1997</v>
      </c>
      <c r="B647" t="s">
        <v>1998</v>
      </c>
      <c r="C647">
        <v>50.83</v>
      </c>
      <c r="D647" s="1">
        <v>45278.670995370368</v>
      </c>
      <c r="E647" s="2">
        <f t="shared" si="40"/>
        <v>0.67099537036847323</v>
      </c>
      <c r="F647" s="3">
        <f t="shared" si="41"/>
        <v>45278</v>
      </c>
      <c r="G647" t="s">
        <v>46</v>
      </c>
      <c r="H647" t="s">
        <v>243</v>
      </c>
      <c r="I647" t="s">
        <v>1234</v>
      </c>
      <c r="J647" t="s">
        <v>1943</v>
      </c>
      <c r="K647" t="s">
        <v>592</v>
      </c>
      <c r="L647" t="s">
        <v>36</v>
      </c>
      <c r="M647">
        <v>30</v>
      </c>
      <c r="N647" t="s">
        <v>23</v>
      </c>
      <c r="O647">
        <v>48</v>
      </c>
      <c r="P647">
        <v>1</v>
      </c>
      <c r="Q647">
        <v>9553.42</v>
      </c>
      <c r="R647" s="4">
        <v>45600</v>
      </c>
      <c r="S647" s="6">
        <v>0.34034722222222225</v>
      </c>
      <c r="T647">
        <f t="shared" si="42"/>
        <v>16</v>
      </c>
      <c r="U647" t="str" cm="1">
        <f t="array" ref="U647">_xlfn.IFS(M647&lt;=34,"YOUNG",M647&lt;=54,"MIDDLE AGE",M647&gt;=55,"OLD")</f>
        <v>YOUNG</v>
      </c>
      <c r="V647" t="str">
        <f t="shared" si="43"/>
        <v>NORMAL</v>
      </c>
    </row>
    <row r="648" spans="1:22" x14ac:dyDescent="0.35">
      <c r="A648" t="s">
        <v>1999</v>
      </c>
      <c r="B648" t="s">
        <v>2000</v>
      </c>
      <c r="C648">
        <v>56.89</v>
      </c>
      <c r="D648" s="1">
        <v>44960.75273148148</v>
      </c>
      <c r="E648" s="2">
        <f t="shared" si="40"/>
        <v>0.75273148147971369</v>
      </c>
      <c r="F648" s="3">
        <f t="shared" si="41"/>
        <v>44960</v>
      </c>
      <c r="G648" t="s">
        <v>46</v>
      </c>
      <c r="H648" t="s">
        <v>26</v>
      </c>
      <c r="I648" t="s">
        <v>2001</v>
      </c>
      <c r="J648" t="s">
        <v>857</v>
      </c>
      <c r="K648" t="s">
        <v>619</v>
      </c>
      <c r="L648" t="s">
        <v>69</v>
      </c>
      <c r="M648">
        <v>59</v>
      </c>
      <c r="N648" t="s">
        <v>77</v>
      </c>
      <c r="O648">
        <v>56</v>
      </c>
      <c r="P648">
        <v>1</v>
      </c>
      <c r="Q648">
        <v>3034.67</v>
      </c>
      <c r="R648" s="4">
        <v>45600</v>
      </c>
      <c r="S648" s="6">
        <v>0.3401851851851852</v>
      </c>
      <c r="T648">
        <f t="shared" si="42"/>
        <v>18</v>
      </c>
      <c r="U648" t="str" cm="1">
        <f t="array" ref="U648">_xlfn.IFS(M648&lt;=34,"YOUNG",M648&lt;=54,"MIDDLE AGE",M648&gt;=55,"OLD")</f>
        <v>OLD</v>
      </c>
      <c r="V648" t="str">
        <f t="shared" si="43"/>
        <v>NORMAL</v>
      </c>
    </row>
    <row r="649" spans="1:22" x14ac:dyDescent="0.35">
      <c r="A649" t="s">
        <v>2002</v>
      </c>
      <c r="B649" t="s">
        <v>2003</v>
      </c>
      <c r="C649">
        <v>20.22</v>
      </c>
      <c r="D649" s="1">
        <v>44995.768275462964</v>
      </c>
      <c r="E649" s="2">
        <f t="shared" si="40"/>
        <v>0.768275462964084</v>
      </c>
      <c r="F649" s="3">
        <f t="shared" si="41"/>
        <v>44995</v>
      </c>
      <c r="G649" t="s">
        <v>17</v>
      </c>
      <c r="H649" t="s">
        <v>392</v>
      </c>
      <c r="I649" t="s">
        <v>1602</v>
      </c>
      <c r="J649" t="s">
        <v>841</v>
      </c>
      <c r="K649" t="s">
        <v>362</v>
      </c>
      <c r="L649" t="s">
        <v>22</v>
      </c>
      <c r="M649">
        <v>43</v>
      </c>
      <c r="N649" t="s">
        <v>77</v>
      </c>
      <c r="O649">
        <v>138</v>
      </c>
      <c r="P649">
        <v>1</v>
      </c>
      <c r="Q649">
        <v>5515.32</v>
      </c>
      <c r="R649" s="4">
        <v>45600</v>
      </c>
      <c r="S649" s="6">
        <v>0.33787037037037038</v>
      </c>
      <c r="T649">
        <f t="shared" si="42"/>
        <v>18</v>
      </c>
      <c r="U649" t="str" cm="1">
        <f t="array" ref="U649">_xlfn.IFS(M649&lt;=34,"YOUNG",M649&lt;=54,"MIDDLE AGE",M649&gt;=55,"OLD")</f>
        <v>MIDDLE AGE</v>
      </c>
      <c r="V649" t="str">
        <f t="shared" si="43"/>
        <v>NORMAL</v>
      </c>
    </row>
    <row r="650" spans="1:22" x14ac:dyDescent="0.35">
      <c r="A650" t="s">
        <v>2004</v>
      </c>
      <c r="B650" t="s">
        <v>2005</v>
      </c>
      <c r="C650">
        <v>50.4</v>
      </c>
      <c r="D650" s="1">
        <v>45012.710231481484</v>
      </c>
      <c r="E650" s="2">
        <f t="shared" si="40"/>
        <v>0.71023148148378823</v>
      </c>
      <c r="F650" s="3">
        <f t="shared" si="41"/>
        <v>45012</v>
      </c>
      <c r="G650" t="s">
        <v>17</v>
      </c>
      <c r="H650" t="s">
        <v>237</v>
      </c>
      <c r="I650" t="s">
        <v>2006</v>
      </c>
      <c r="J650" t="s">
        <v>547</v>
      </c>
      <c r="K650" t="s">
        <v>1281</v>
      </c>
      <c r="L650" t="s">
        <v>69</v>
      </c>
      <c r="M650">
        <v>36</v>
      </c>
      <c r="N650" t="s">
        <v>23</v>
      </c>
      <c r="O650">
        <v>84</v>
      </c>
      <c r="P650">
        <v>1</v>
      </c>
      <c r="Q650">
        <v>1677.01</v>
      </c>
      <c r="R650" s="4">
        <v>45600</v>
      </c>
      <c r="S650" s="6">
        <v>0.33839120370370368</v>
      </c>
      <c r="T650">
        <f t="shared" si="42"/>
        <v>17</v>
      </c>
      <c r="U650" t="str" cm="1">
        <f t="array" ref="U650">_xlfn.IFS(M650&lt;=34,"YOUNG",M650&lt;=54,"MIDDLE AGE",M650&gt;=55,"OLD")</f>
        <v>MIDDLE AGE</v>
      </c>
      <c r="V650" t="str">
        <f t="shared" si="43"/>
        <v>NORMAL</v>
      </c>
    </row>
    <row r="651" spans="1:22" x14ac:dyDescent="0.35">
      <c r="A651" t="s">
        <v>2007</v>
      </c>
      <c r="B651" t="s">
        <v>328</v>
      </c>
      <c r="C651">
        <v>73.88</v>
      </c>
      <c r="D651" s="1">
        <v>45054.737916666665</v>
      </c>
      <c r="E651" s="2">
        <f t="shared" si="40"/>
        <v>0.73791666666511446</v>
      </c>
      <c r="F651" s="3">
        <f t="shared" si="41"/>
        <v>45054</v>
      </c>
      <c r="G651" t="s">
        <v>17</v>
      </c>
      <c r="H651" t="s">
        <v>140</v>
      </c>
      <c r="I651" t="s">
        <v>2008</v>
      </c>
      <c r="J651" t="s">
        <v>208</v>
      </c>
      <c r="K651" t="s">
        <v>35</v>
      </c>
      <c r="L651" t="s">
        <v>69</v>
      </c>
      <c r="M651">
        <v>53</v>
      </c>
      <c r="N651" t="s">
        <v>70</v>
      </c>
      <c r="O651">
        <v>131</v>
      </c>
      <c r="P651">
        <v>1</v>
      </c>
      <c r="Q651">
        <v>4055.55</v>
      </c>
      <c r="R651" s="4">
        <v>45600</v>
      </c>
      <c r="S651" s="6">
        <v>0.33901620370370372</v>
      </c>
      <c r="T651">
        <f t="shared" si="42"/>
        <v>17</v>
      </c>
      <c r="U651" t="str" cm="1">
        <f t="array" ref="U651">_xlfn.IFS(M651&lt;=34,"YOUNG",M651&lt;=54,"MIDDLE AGE",M651&gt;=55,"OLD")</f>
        <v>MIDDLE AGE</v>
      </c>
      <c r="V651" t="str">
        <f t="shared" si="43"/>
        <v>NORMAL</v>
      </c>
    </row>
    <row r="652" spans="1:22" x14ac:dyDescent="0.35">
      <c r="A652" t="s">
        <v>2009</v>
      </c>
      <c r="B652" t="s">
        <v>1998</v>
      </c>
      <c r="C652">
        <v>119.61</v>
      </c>
      <c r="D652" s="1">
        <v>44999.681261574071</v>
      </c>
      <c r="E652" s="2">
        <f t="shared" si="40"/>
        <v>0.68126157407095889</v>
      </c>
      <c r="F652" s="3">
        <f t="shared" si="41"/>
        <v>44999</v>
      </c>
      <c r="G652" t="s">
        <v>17</v>
      </c>
      <c r="H652" t="s">
        <v>18</v>
      </c>
      <c r="I652" t="s">
        <v>1532</v>
      </c>
      <c r="J652" t="s">
        <v>2010</v>
      </c>
      <c r="K652" t="s">
        <v>111</v>
      </c>
      <c r="L652" t="s">
        <v>22</v>
      </c>
      <c r="M652">
        <v>33</v>
      </c>
      <c r="N652" t="s">
        <v>23</v>
      </c>
      <c r="O652">
        <v>53</v>
      </c>
      <c r="P652">
        <v>1</v>
      </c>
      <c r="Q652">
        <v>9899.94</v>
      </c>
      <c r="R652" s="4">
        <v>45600</v>
      </c>
      <c r="S652" s="6">
        <v>0.3385185185185185</v>
      </c>
      <c r="T652">
        <f t="shared" si="42"/>
        <v>16</v>
      </c>
      <c r="U652" t="str" cm="1">
        <f t="array" ref="U652">_xlfn.IFS(M652&lt;=34,"YOUNG",M652&lt;=54,"MIDDLE AGE",M652&gt;=55,"OLD")</f>
        <v>YOUNG</v>
      </c>
      <c r="V652" t="str">
        <f t="shared" si="43"/>
        <v>NORMAL</v>
      </c>
    </row>
    <row r="653" spans="1:22" x14ac:dyDescent="0.35">
      <c r="A653" t="s">
        <v>2011</v>
      </c>
      <c r="B653" t="s">
        <v>609</v>
      </c>
      <c r="C653">
        <v>1241.05</v>
      </c>
      <c r="D653" s="1">
        <v>45251.685196759259</v>
      </c>
      <c r="E653" s="2">
        <f t="shared" si="40"/>
        <v>0.68519675925927004</v>
      </c>
      <c r="F653" s="3">
        <f t="shared" si="41"/>
        <v>45251</v>
      </c>
      <c r="G653" t="s">
        <v>17</v>
      </c>
      <c r="H653" t="s">
        <v>172</v>
      </c>
      <c r="I653" t="s">
        <v>2012</v>
      </c>
      <c r="J653" t="s">
        <v>2013</v>
      </c>
      <c r="K653" t="s">
        <v>548</v>
      </c>
      <c r="L653" t="s">
        <v>69</v>
      </c>
      <c r="M653">
        <v>18</v>
      </c>
      <c r="N653" t="s">
        <v>37</v>
      </c>
      <c r="O653">
        <v>129</v>
      </c>
      <c r="P653">
        <v>1</v>
      </c>
      <c r="Q653">
        <v>756.74</v>
      </c>
      <c r="R653" s="4">
        <v>45600</v>
      </c>
      <c r="S653" s="6">
        <v>0.34152777777777776</v>
      </c>
      <c r="T653">
        <f t="shared" si="42"/>
        <v>16</v>
      </c>
      <c r="U653" t="str" cm="1">
        <f t="array" ref="U653">_xlfn.IFS(M653&lt;=34,"YOUNG",M653&lt;=54,"MIDDLE AGE",M653&gt;=55,"OLD")</f>
        <v>YOUNG</v>
      </c>
      <c r="V653" t="str">
        <f t="shared" si="43"/>
        <v>NORMAL</v>
      </c>
    </row>
    <row r="654" spans="1:22" x14ac:dyDescent="0.35">
      <c r="A654" t="s">
        <v>2014</v>
      </c>
      <c r="B654" t="s">
        <v>848</v>
      </c>
      <c r="C654">
        <v>116.58</v>
      </c>
      <c r="D654" s="1">
        <v>45169.69326388889</v>
      </c>
      <c r="E654" s="2">
        <f t="shared" si="40"/>
        <v>0.69326388889021473</v>
      </c>
      <c r="F654" s="3">
        <f t="shared" si="41"/>
        <v>45169</v>
      </c>
      <c r="G654" t="s">
        <v>17</v>
      </c>
      <c r="H654" t="s">
        <v>40</v>
      </c>
      <c r="I654" t="s">
        <v>2015</v>
      </c>
      <c r="J654" t="s">
        <v>1474</v>
      </c>
      <c r="K654" t="s">
        <v>858</v>
      </c>
      <c r="L654" t="s">
        <v>69</v>
      </c>
      <c r="M654">
        <v>43</v>
      </c>
      <c r="N654" t="s">
        <v>77</v>
      </c>
      <c r="O654">
        <v>247</v>
      </c>
      <c r="P654">
        <v>1</v>
      </c>
      <c r="Q654">
        <v>2620.7399999999998</v>
      </c>
      <c r="R654" s="4">
        <v>45600</v>
      </c>
      <c r="S654" s="6">
        <v>0.33807870370370369</v>
      </c>
      <c r="T654">
        <f t="shared" si="42"/>
        <v>16</v>
      </c>
      <c r="U654" t="str" cm="1">
        <f t="array" ref="U654">_xlfn.IFS(M654&lt;=34,"YOUNG",M654&lt;=54,"MIDDLE AGE",M654&gt;=55,"OLD")</f>
        <v>MIDDLE AGE</v>
      </c>
      <c r="V654" t="str">
        <f t="shared" si="43"/>
        <v>NORMAL</v>
      </c>
    </row>
    <row r="655" spans="1:22" x14ac:dyDescent="0.35">
      <c r="A655" t="s">
        <v>2016</v>
      </c>
      <c r="B655" t="s">
        <v>533</v>
      </c>
      <c r="C655">
        <v>1919.11</v>
      </c>
      <c r="D655" s="1">
        <v>45104.741956018515</v>
      </c>
      <c r="E655" s="2">
        <f t="shared" si="40"/>
        <v>0.74195601851533866</v>
      </c>
      <c r="F655" s="3">
        <f t="shared" si="41"/>
        <v>45104</v>
      </c>
      <c r="G655" t="s">
        <v>17</v>
      </c>
      <c r="H655" t="s">
        <v>595</v>
      </c>
      <c r="I655" t="s">
        <v>1005</v>
      </c>
      <c r="J655" t="s">
        <v>1100</v>
      </c>
      <c r="K655" t="s">
        <v>450</v>
      </c>
      <c r="L655" t="s">
        <v>22</v>
      </c>
      <c r="M655">
        <v>30</v>
      </c>
      <c r="N655" t="s">
        <v>23</v>
      </c>
      <c r="O655">
        <v>161</v>
      </c>
      <c r="P655">
        <v>1</v>
      </c>
      <c r="Q655">
        <v>11090.24</v>
      </c>
      <c r="R655" s="4">
        <v>45600</v>
      </c>
      <c r="S655" s="6">
        <v>0.34059027777777778</v>
      </c>
      <c r="T655">
        <f t="shared" si="42"/>
        <v>17</v>
      </c>
      <c r="U655" t="str" cm="1">
        <f t="array" ref="U655">_xlfn.IFS(M655&lt;=34,"YOUNG",M655&lt;=54,"MIDDLE AGE",M655&gt;=55,"OLD")</f>
        <v>YOUNG</v>
      </c>
      <c r="V655" t="str">
        <f t="shared" si="43"/>
        <v>NORMAL</v>
      </c>
    </row>
    <row r="656" spans="1:22" x14ac:dyDescent="0.35">
      <c r="A656" t="s">
        <v>2017</v>
      </c>
      <c r="B656" t="s">
        <v>1157</v>
      </c>
      <c r="C656">
        <v>391.96</v>
      </c>
      <c r="D656" s="1">
        <v>45096.681921296295</v>
      </c>
      <c r="E656" s="2">
        <f t="shared" si="40"/>
        <v>0.68192129629460396</v>
      </c>
      <c r="F656" s="3">
        <f t="shared" si="41"/>
        <v>45096</v>
      </c>
      <c r="G656" t="s">
        <v>17</v>
      </c>
      <c r="H656" t="s">
        <v>80</v>
      </c>
      <c r="I656" t="s">
        <v>1704</v>
      </c>
      <c r="J656" t="s">
        <v>662</v>
      </c>
      <c r="K656" t="s">
        <v>418</v>
      </c>
      <c r="L656" t="s">
        <v>22</v>
      </c>
      <c r="M656">
        <v>64</v>
      </c>
      <c r="N656" t="s">
        <v>70</v>
      </c>
      <c r="O656">
        <v>79</v>
      </c>
      <c r="P656">
        <v>1</v>
      </c>
      <c r="Q656">
        <v>2174.16</v>
      </c>
      <c r="R656" s="4">
        <v>45600</v>
      </c>
      <c r="S656" s="6">
        <v>0.33804398148148146</v>
      </c>
      <c r="T656">
        <f t="shared" si="42"/>
        <v>16</v>
      </c>
      <c r="U656" t="str" cm="1">
        <f t="array" ref="U656">_xlfn.IFS(M656&lt;=34,"YOUNG",M656&lt;=54,"MIDDLE AGE",M656&gt;=55,"OLD")</f>
        <v>OLD</v>
      </c>
      <c r="V656" t="str">
        <f t="shared" si="43"/>
        <v>NORMAL</v>
      </c>
    </row>
    <row r="657" spans="1:22" x14ac:dyDescent="0.35">
      <c r="A657" t="s">
        <v>2018</v>
      </c>
      <c r="B657" t="s">
        <v>2019</v>
      </c>
      <c r="C657">
        <v>156.26</v>
      </c>
      <c r="D657" s="1">
        <v>44928.74287037037</v>
      </c>
      <c r="E657" s="2">
        <f t="shared" si="40"/>
        <v>0.74287037036992842</v>
      </c>
      <c r="F657" s="3">
        <f t="shared" si="41"/>
        <v>44928</v>
      </c>
      <c r="G657" t="s">
        <v>46</v>
      </c>
      <c r="H657" t="s">
        <v>301</v>
      </c>
      <c r="I657" t="s">
        <v>2020</v>
      </c>
      <c r="J657" t="s">
        <v>1717</v>
      </c>
      <c r="K657" t="s">
        <v>128</v>
      </c>
      <c r="L657" t="s">
        <v>69</v>
      </c>
      <c r="M657">
        <v>46</v>
      </c>
      <c r="N657" t="s">
        <v>77</v>
      </c>
      <c r="O657">
        <v>160</v>
      </c>
      <c r="P657">
        <v>1</v>
      </c>
      <c r="Q657">
        <v>7854.1</v>
      </c>
      <c r="R657" s="4">
        <v>45600</v>
      </c>
      <c r="S657" s="6">
        <v>0.33991898148148147</v>
      </c>
      <c r="T657">
        <f t="shared" si="42"/>
        <v>17</v>
      </c>
      <c r="U657" t="str" cm="1">
        <f t="array" ref="U657">_xlfn.IFS(M657&lt;=34,"YOUNG",M657&lt;=54,"MIDDLE AGE",M657&gt;=55,"OLD")</f>
        <v>MIDDLE AGE</v>
      </c>
      <c r="V657" t="str">
        <f t="shared" si="43"/>
        <v>NORMAL</v>
      </c>
    </row>
    <row r="658" spans="1:22" x14ac:dyDescent="0.35">
      <c r="A658" t="s">
        <v>2021</v>
      </c>
      <c r="B658" t="s">
        <v>145</v>
      </c>
      <c r="C658">
        <v>427</v>
      </c>
      <c r="D658" s="1">
        <v>45138.711446759262</v>
      </c>
      <c r="E658" s="2">
        <f t="shared" si="40"/>
        <v>0.71144675926188938</v>
      </c>
      <c r="F658" s="3">
        <f t="shared" si="41"/>
        <v>45138</v>
      </c>
      <c r="G658" t="s">
        <v>46</v>
      </c>
      <c r="H658" t="s">
        <v>53</v>
      </c>
      <c r="I658" t="s">
        <v>2022</v>
      </c>
      <c r="J658" t="s">
        <v>754</v>
      </c>
      <c r="K658" t="s">
        <v>149</v>
      </c>
      <c r="L658" t="s">
        <v>69</v>
      </c>
      <c r="M658">
        <v>49</v>
      </c>
      <c r="N658" t="s">
        <v>77</v>
      </c>
      <c r="O658">
        <v>163</v>
      </c>
      <c r="P658">
        <v>1</v>
      </c>
      <c r="Q658">
        <v>8253.65</v>
      </c>
      <c r="R658" s="4">
        <v>45600</v>
      </c>
      <c r="S658" s="6">
        <v>0.33854166666666669</v>
      </c>
      <c r="T658">
        <f t="shared" si="42"/>
        <v>17</v>
      </c>
      <c r="U658" t="str" cm="1">
        <f t="array" ref="U658">_xlfn.IFS(M658&lt;=34,"YOUNG",M658&lt;=54,"MIDDLE AGE",M658&gt;=55,"OLD")</f>
        <v>MIDDLE AGE</v>
      </c>
      <c r="V658" t="str">
        <f t="shared" si="43"/>
        <v>NORMAL</v>
      </c>
    </row>
    <row r="659" spans="1:22" x14ac:dyDescent="0.35">
      <c r="A659" t="s">
        <v>2023</v>
      </c>
      <c r="B659" t="s">
        <v>2024</v>
      </c>
      <c r="C659">
        <v>443.68</v>
      </c>
      <c r="D659" s="1">
        <v>45041.790648148148</v>
      </c>
      <c r="E659" s="2">
        <f t="shared" si="40"/>
        <v>0.79064814814773854</v>
      </c>
      <c r="F659" s="3">
        <f t="shared" si="41"/>
        <v>45041</v>
      </c>
      <c r="G659" t="s">
        <v>17</v>
      </c>
      <c r="H659" t="s">
        <v>255</v>
      </c>
      <c r="I659" t="s">
        <v>541</v>
      </c>
      <c r="J659" t="s">
        <v>2025</v>
      </c>
      <c r="K659" t="s">
        <v>445</v>
      </c>
      <c r="L659" t="s">
        <v>22</v>
      </c>
      <c r="M659">
        <v>18</v>
      </c>
      <c r="N659" t="s">
        <v>37</v>
      </c>
      <c r="O659">
        <v>137</v>
      </c>
      <c r="P659">
        <v>1</v>
      </c>
      <c r="Q659">
        <v>874.15</v>
      </c>
      <c r="R659" s="4">
        <v>45600</v>
      </c>
      <c r="S659" s="6">
        <v>0.34057870370370369</v>
      </c>
      <c r="T659">
        <f t="shared" si="42"/>
        <v>18</v>
      </c>
      <c r="U659" t="str" cm="1">
        <f t="array" ref="U659">_xlfn.IFS(M659&lt;=34,"YOUNG",M659&lt;=54,"MIDDLE AGE",M659&gt;=55,"OLD")</f>
        <v>YOUNG</v>
      </c>
      <c r="V659" t="str">
        <f t="shared" si="43"/>
        <v>NORMAL</v>
      </c>
    </row>
    <row r="660" spans="1:22" x14ac:dyDescent="0.35">
      <c r="A660" t="s">
        <v>2026</v>
      </c>
      <c r="B660" t="s">
        <v>1631</v>
      </c>
      <c r="C660">
        <v>101.76</v>
      </c>
      <c r="D660" s="1">
        <v>44977.727361111109</v>
      </c>
      <c r="E660" s="2">
        <f t="shared" si="40"/>
        <v>0.72736111110862112</v>
      </c>
      <c r="F660" s="3">
        <f t="shared" si="41"/>
        <v>44977</v>
      </c>
      <c r="G660" t="s">
        <v>17</v>
      </c>
      <c r="H660" t="s">
        <v>243</v>
      </c>
      <c r="I660" t="s">
        <v>873</v>
      </c>
      <c r="J660" t="s">
        <v>2027</v>
      </c>
      <c r="K660" t="s">
        <v>358</v>
      </c>
      <c r="L660" t="s">
        <v>69</v>
      </c>
      <c r="M660">
        <v>31</v>
      </c>
      <c r="N660" t="s">
        <v>23</v>
      </c>
      <c r="O660">
        <v>26</v>
      </c>
      <c r="P660">
        <v>1</v>
      </c>
      <c r="Q660">
        <v>6043.25</v>
      </c>
      <c r="R660" s="4">
        <v>45600</v>
      </c>
      <c r="S660" s="6">
        <v>0.34106481481481482</v>
      </c>
      <c r="T660">
        <f t="shared" si="42"/>
        <v>17</v>
      </c>
      <c r="U660" t="str" cm="1">
        <f t="array" ref="U660">_xlfn.IFS(M660&lt;=34,"YOUNG",M660&lt;=54,"MIDDLE AGE",M660&gt;=55,"OLD")</f>
        <v>YOUNG</v>
      </c>
      <c r="V660" t="str">
        <f t="shared" si="43"/>
        <v>NORMAL</v>
      </c>
    </row>
    <row r="661" spans="1:22" x14ac:dyDescent="0.35">
      <c r="A661" t="s">
        <v>2028</v>
      </c>
      <c r="B661" t="s">
        <v>742</v>
      </c>
      <c r="C661">
        <v>67.569999999999993</v>
      </c>
      <c r="D661" s="1">
        <v>45155.697662037041</v>
      </c>
      <c r="E661" s="2">
        <f t="shared" si="40"/>
        <v>0.69766203704057261</v>
      </c>
      <c r="F661" s="3">
        <f t="shared" si="41"/>
        <v>45155</v>
      </c>
      <c r="G661" t="s">
        <v>17</v>
      </c>
      <c r="H661" t="s">
        <v>249</v>
      </c>
      <c r="I661" t="s">
        <v>2029</v>
      </c>
      <c r="J661" t="s">
        <v>2030</v>
      </c>
      <c r="K661" t="s">
        <v>482</v>
      </c>
      <c r="L661" t="s">
        <v>69</v>
      </c>
      <c r="M661">
        <v>37</v>
      </c>
      <c r="N661" t="s">
        <v>77</v>
      </c>
      <c r="O661">
        <v>107</v>
      </c>
      <c r="P661">
        <v>1</v>
      </c>
      <c r="Q661">
        <v>2766.12</v>
      </c>
      <c r="R661" s="4">
        <v>45600</v>
      </c>
      <c r="S661" s="6">
        <v>0.34114583333333331</v>
      </c>
      <c r="T661">
        <f t="shared" si="42"/>
        <v>16</v>
      </c>
      <c r="U661" t="str" cm="1">
        <f t="array" ref="U661">_xlfn.IFS(M661&lt;=34,"YOUNG",M661&lt;=54,"MIDDLE AGE",M661&gt;=55,"OLD")</f>
        <v>MIDDLE AGE</v>
      </c>
      <c r="V661" t="str">
        <f t="shared" si="43"/>
        <v>NORMAL</v>
      </c>
    </row>
    <row r="662" spans="1:22" x14ac:dyDescent="0.35">
      <c r="A662" t="s">
        <v>2031</v>
      </c>
      <c r="B662" t="s">
        <v>729</v>
      </c>
      <c r="C662">
        <v>326.29000000000002</v>
      </c>
      <c r="D662" s="1">
        <v>45266.715682870374</v>
      </c>
      <c r="E662" s="2">
        <f t="shared" si="40"/>
        <v>0.71568287037371192</v>
      </c>
      <c r="F662" s="3">
        <f t="shared" si="41"/>
        <v>45266</v>
      </c>
      <c r="G662" t="s">
        <v>17</v>
      </c>
      <c r="H662" t="s">
        <v>114</v>
      </c>
      <c r="I662" t="s">
        <v>2032</v>
      </c>
      <c r="J662" t="s">
        <v>1048</v>
      </c>
      <c r="K662" t="s">
        <v>105</v>
      </c>
      <c r="L662" t="s">
        <v>36</v>
      </c>
      <c r="M662">
        <v>56</v>
      </c>
      <c r="N662" t="s">
        <v>77</v>
      </c>
      <c r="O662">
        <v>179</v>
      </c>
      <c r="P662">
        <v>1</v>
      </c>
      <c r="Q662">
        <v>8171.26</v>
      </c>
      <c r="R662" s="4">
        <v>45600</v>
      </c>
      <c r="S662" s="6">
        <v>0.34078703703703705</v>
      </c>
      <c r="T662">
        <f t="shared" si="42"/>
        <v>17</v>
      </c>
      <c r="U662" t="str" cm="1">
        <f t="array" ref="U662">_xlfn.IFS(M662&lt;=34,"YOUNG",M662&lt;=54,"MIDDLE AGE",M662&gt;=55,"OLD")</f>
        <v>OLD</v>
      </c>
      <c r="V662" t="str">
        <f t="shared" si="43"/>
        <v>NORMAL</v>
      </c>
    </row>
    <row r="663" spans="1:22" x14ac:dyDescent="0.35">
      <c r="A663" t="s">
        <v>2033</v>
      </c>
      <c r="B663" t="s">
        <v>909</v>
      </c>
      <c r="C663">
        <v>158.56</v>
      </c>
      <c r="D663" s="1">
        <v>44985.72792824074</v>
      </c>
      <c r="E663" s="2">
        <f t="shared" si="40"/>
        <v>0.72792824073985685</v>
      </c>
      <c r="F663" s="3">
        <f t="shared" si="41"/>
        <v>44985</v>
      </c>
      <c r="G663" t="s">
        <v>17</v>
      </c>
      <c r="H663" t="s">
        <v>285</v>
      </c>
      <c r="I663" t="s">
        <v>2034</v>
      </c>
      <c r="J663" t="s">
        <v>983</v>
      </c>
      <c r="K663" t="s">
        <v>343</v>
      </c>
      <c r="L663" t="s">
        <v>22</v>
      </c>
      <c r="M663">
        <v>33</v>
      </c>
      <c r="N663" t="s">
        <v>23</v>
      </c>
      <c r="O663">
        <v>100</v>
      </c>
      <c r="P663">
        <v>1</v>
      </c>
      <c r="Q663">
        <v>5401.21</v>
      </c>
      <c r="R663" s="4">
        <v>45600</v>
      </c>
      <c r="S663" s="6">
        <v>0.34083333333333332</v>
      </c>
      <c r="T663">
        <f t="shared" si="42"/>
        <v>17</v>
      </c>
      <c r="U663" t="str" cm="1">
        <f t="array" ref="U663">_xlfn.IFS(M663&lt;=34,"YOUNG",M663&lt;=54,"MIDDLE AGE",M663&gt;=55,"OLD")</f>
        <v>YOUNG</v>
      </c>
      <c r="V663" t="str">
        <f t="shared" si="43"/>
        <v>NORMAL</v>
      </c>
    </row>
    <row r="664" spans="1:22" x14ac:dyDescent="0.35">
      <c r="A664" t="s">
        <v>2035</v>
      </c>
      <c r="B664" t="s">
        <v>1074</v>
      </c>
      <c r="C664">
        <v>56.02</v>
      </c>
      <c r="D664" s="1">
        <v>45096.743391203701</v>
      </c>
      <c r="E664" s="2">
        <f t="shared" si="40"/>
        <v>0.7433912037013215</v>
      </c>
      <c r="F664" s="3">
        <f t="shared" si="41"/>
        <v>45096</v>
      </c>
      <c r="G664" t="s">
        <v>17</v>
      </c>
      <c r="H664" t="s">
        <v>92</v>
      </c>
      <c r="I664" t="s">
        <v>790</v>
      </c>
      <c r="J664" t="s">
        <v>168</v>
      </c>
      <c r="K664" t="s">
        <v>362</v>
      </c>
      <c r="L664" t="s">
        <v>36</v>
      </c>
      <c r="M664">
        <v>27</v>
      </c>
      <c r="N664" t="s">
        <v>37</v>
      </c>
      <c r="O664">
        <v>142</v>
      </c>
      <c r="P664">
        <v>1</v>
      </c>
      <c r="Q664">
        <v>3548.02</v>
      </c>
      <c r="R664" s="4">
        <v>45600</v>
      </c>
      <c r="S664" s="6">
        <v>0.33886574074074072</v>
      </c>
      <c r="T664">
        <f t="shared" si="42"/>
        <v>17</v>
      </c>
      <c r="U664" t="str" cm="1">
        <f t="array" ref="U664">_xlfn.IFS(M664&lt;=34,"YOUNG",M664&lt;=54,"MIDDLE AGE",M664&gt;=55,"OLD")</f>
        <v>YOUNG</v>
      </c>
      <c r="V664" t="str">
        <f t="shared" si="43"/>
        <v>NORMAL</v>
      </c>
    </row>
    <row r="665" spans="1:22" x14ac:dyDescent="0.35">
      <c r="A665" t="s">
        <v>2036</v>
      </c>
      <c r="B665" t="s">
        <v>1381</v>
      </c>
      <c r="C665">
        <v>288.27999999999997</v>
      </c>
      <c r="D665" s="1">
        <v>44943.716249999998</v>
      </c>
      <c r="E665" s="2">
        <f t="shared" si="40"/>
        <v>0.71624999999767169</v>
      </c>
      <c r="F665" s="3">
        <f t="shared" si="41"/>
        <v>44943</v>
      </c>
      <c r="G665" t="s">
        <v>17</v>
      </c>
      <c r="H665" t="s">
        <v>595</v>
      </c>
      <c r="I665" t="s">
        <v>2037</v>
      </c>
      <c r="J665" t="s">
        <v>2038</v>
      </c>
      <c r="K665" t="s">
        <v>343</v>
      </c>
      <c r="L665" t="s">
        <v>36</v>
      </c>
      <c r="M665">
        <v>27</v>
      </c>
      <c r="N665" t="s">
        <v>37</v>
      </c>
      <c r="O665">
        <v>36</v>
      </c>
      <c r="P665">
        <v>1</v>
      </c>
      <c r="Q665">
        <v>160.83000000000001</v>
      </c>
      <c r="R665" s="4">
        <v>45600</v>
      </c>
      <c r="S665" s="6">
        <v>0.33788194444444447</v>
      </c>
      <c r="T665">
        <f t="shared" si="42"/>
        <v>17</v>
      </c>
      <c r="U665" t="str" cm="1">
        <f t="array" ref="U665">_xlfn.IFS(M665&lt;=34,"YOUNG",M665&lt;=54,"MIDDLE AGE",M665&gt;=55,"OLD")</f>
        <v>YOUNG</v>
      </c>
      <c r="V665" t="str">
        <f t="shared" si="43"/>
        <v>NORMAL</v>
      </c>
    </row>
    <row r="666" spans="1:22" x14ac:dyDescent="0.35">
      <c r="A666" t="s">
        <v>2039</v>
      </c>
      <c r="B666" t="s">
        <v>1111</v>
      </c>
      <c r="C666">
        <v>245.67</v>
      </c>
      <c r="D666" s="1">
        <v>44928.774386574078</v>
      </c>
      <c r="E666" s="2">
        <f t="shared" si="40"/>
        <v>0.77438657407765277</v>
      </c>
      <c r="F666" s="3">
        <f t="shared" si="41"/>
        <v>44928</v>
      </c>
      <c r="G666" t="s">
        <v>46</v>
      </c>
      <c r="H666" t="s">
        <v>595</v>
      </c>
      <c r="I666" t="s">
        <v>426</v>
      </c>
      <c r="J666" t="s">
        <v>1686</v>
      </c>
      <c r="K666" t="s">
        <v>769</v>
      </c>
      <c r="L666" t="s">
        <v>69</v>
      </c>
      <c r="M666">
        <v>24</v>
      </c>
      <c r="N666" t="s">
        <v>37</v>
      </c>
      <c r="O666">
        <v>107</v>
      </c>
      <c r="P666">
        <v>1</v>
      </c>
      <c r="Q666">
        <v>752.25</v>
      </c>
      <c r="R666" s="4">
        <v>45600</v>
      </c>
      <c r="S666" s="6">
        <v>0.33871527777777777</v>
      </c>
      <c r="T666">
        <f t="shared" si="42"/>
        <v>18</v>
      </c>
      <c r="U666" t="str" cm="1">
        <f t="array" ref="U666">_xlfn.IFS(M666&lt;=34,"YOUNG",M666&lt;=54,"MIDDLE AGE",M666&gt;=55,"OLD")</f>
        <v>YOUNG</v>
      </c>
      <c r="V666" t="str">
        <f t="shared" si="43"/>
        <v>NORMAL</v>
      </c>
    </row>
    <row r="667" spans="1:22" x14ac:dyDescent="0.35">
      <c r="A667" t="s">
        <v>2040</v>
      </c>
      <c r="B667" t="s">
        <v>52</v>
      </c>
      <c r="C667">
        <v>152.18</v>
      </c>
      <c r="D667" s="1">
        <v>45145.706504629627</v>
      </c>
      <c r="E667" s="2">
        <f t="shared" si="40"/>
        <v>0.70650462962657912</v>
      </c>
      <c r="F667" s="3">
        <f t="shared" si="41"/>
        <v>45145</v>
      </c>
      <c r="G667" t="s">
        <v>46</v>
      </c>
      <c r="H667" t="s">
        <v>140</v>
      </c>
      <c r="I667" t="s">
        <v>917</v>
      </c>
      <c r="J667" t="s">
        <v>2041</v>
      </c>
      <c r="K667" t="s">
        <v>482</v>
      </c>
      <c r="L667" t="s">
        <v>36</v>
      </c>
      <c r="M667">
        <v>39</v>
      </c>
      <c r="N667" t="s">
        <v>77</v>
      </c>
      <c r="O667">
        <v>176</v>
      </c>
      <c r="P667">
        <v>4</v>
      </c>
      <c r="Q667">
        <v>2459.84</v>
      </c>
      <c r="R667" s="4">
        <v>45600</v>
      </c>
      <c r="S667" s="6">
        <v>0.34085648148148145</v>
      </c>
      <c r="T667">
        <f t="shared" si="42"/>
        <v>16</v>
      </c>
      <c r="U667" t="str" cm="1">
        <f t="array" ref="U667">_xlfn.IFS(M667&lt;=34,"YOUNG",M667&lt;=54,"MIDDLE AGE",M667&gt;=55,"OLD")</f>
        <v>MIDDLE AGE</v>
      </c>
      <c r="V667" t="str">
        <f t="shared" si="43"/>
        <v>HIGH</v>
      </c>
    </row>
    <row r="668" spans="1:22" x14ac:dyDescent="0.35">
      <c r="A668" t="s">
        <v>2042</v>
      </c>
      <c r="B668" t="s">
        <v>2043</v>
      </c>
      <c r="C668">
        <v>114.35</v>
      </c>
      <c r="D668" s="1">
        <v>45257.677997685183</v>
      </c>
      <c r="E668" s="2">
        <f t="shared" si="40"/>
        <v>0.67799768518307246</v>
      </c>
      <c r="F668" s="3">
        <f t="shared" si="41"/>
        <v>45257</v>
      </c>
      <c r="G668" t="s">
        <v>46</v>
      </c>
      <c r="H668" t="s">
        <v>506</v>
      </c>
      <c r="I668" t="s">
        <v>1548</v>
      </c>
      <c r="J668" t="s">
        <v>2044</v>
      </c>
      <c r="K668" t="s">
        <v>105</v>
      </c>
      <c r="L668" t="s">
        <v>69</v>
      </c>
      <c r="M668">
        <v>41</v>
      </c>
      <c r="N668" t="s">
        <v>77</v>
      </c>
      <c r="O668">
        <v>21</v>
      </c>
      <c r="P668">
        <v>1</v>
      </c>
      <c r="Q668">
        <v>469.12</v>
      </c>
      <c r="R668" s="4">
        <v>45600</v>
      </c>
      <c r="S668" s="6">
        <v>0.34042824074074074</v>
      </c>
      <c r="T668">
        <f t="shared" si="42"/>
        <v>16</v>
      </c>
      <c r="U668" t="str" cm="1">
        <f t="array" ref="U668">_xlfn.IFS(M668&lt;=34,"YOUNG",M668&lt;=54,"MIDDLE AGE",M668&gt;=55,"OLD")</f>
        <v>MIDDLE AGE</v>
      </c>
      <c r="V668" t="str">
        <f t="shared" si="43"/>
        <v>NORMAL</v>
      </c>
    </row>
    <row r="669" spans="1:22" x14ac:dyDescent="0.35">
      <c r="A669" t="s">
        <v>2045</v>
      </c>
      <c r="B669" t="s">
        <v>578</v>
      </c>
      <c r="C669">
        <v>373.27</v>
      </c>
      <c r="D669" s="1">
        <v>45125.752118055556</v>
      </c>
      <c r="E669" s="2">
        <f t="shared" si="40"/>
        <v>0.75211805555591127</v>
      </c>
      <c r="F669" s="3">
        <f t="shared" si="41"/>
        <v>45125</v>
      </c>
      <c r="G669" t="s">
        <v>46</v>
      </c>
      <c r="H669" t="s">
        <v>172</v>
      </c>
      <c r="I669" t="s">
        <v>2046</v>
      </c>
      <c r="J669" t="s">
        <v>194</v>
      </c>
      <c r="K669" t="s">
        <v>200</v>
      </c>
      <c r="L669" t="s">
        <v>36</v>
      </c>
      <c r="M669">
        <v>61</v>
      </c>
      <c r="N669" t="s">
        <v>23</v>
      </c>
      <c r="O669">
        <v>79</v>
      </c>
      <c r="P669">
        <v>1</v>
      </c>
      <c r="Q669">
        <v>8441.61</v>
      </c>
      <c r="R669" s="4">
        <v>45600</v>
      </c>
      <c r="S669" s="6">
        <v>0.33791666666666664</v>
      </c>
      <c r="T669">
        <f t="shared" si="42"/>
        <v>18</v>
      </c>
      <c r="U669" t="str" cm="1">
        <f t="array" ref="U669">_xlfn.IFS(M669&lt;=34,"YOUNG",M669&lt;=54,"MIDDLE AGE",M669&gt;=55,"OLD")</f>
        <v>OLD</v>
      </c>
      <c r="V669" t="str">
        <f t="shared" si="43"/>
        <v>NORMAL</v>
      </c>
    </row>
    <row r="670" spans="1:22" x14ac:dyDescent="0.35">
      <c r="A670" t="s">
        <v>2047</v>
      </c>
      <c r="B670" t="s">
        <v>1244</v>
      </c>
      <c r="C670">
        <v>504.63</v>
      </c>
      <c r="D670" s="1">
        <v>45243.713310185187</v>
      </c>
      <c r="E670" s="2">
        <f t="shared" si="40"/>
        <v>0.71331018518685596</v>
      </c>
      <c r="F670" s="3">
        <f t="shared" si="41"/>
        <v>45243</v>
      </c>
      <c r="G670" t="s">
        <v>17</v>
      </c>
      <c r="H670" t="s">
        <v>595</v>
      </c>
      <c r="I670" t="s">
        <v>865</v>
      </c>
      <c r="J670" t="s">
        <v>615</v>
      </c>
      <c r="K670" t="s">
        <v>1524</v>
      </c>
      <c r="L670" t="s">
        <v>36</v>
      </c>
      <c r="M670">
        <v>60</v>
      </c>
      <c r="N670" t="s">
        <v>77</v>
      </c>
      <c r="O670">
        <v>168</v>
      </c>
      <c r="P670">
        <v>1</v>
      </c>
      <c r="Q670">
        <v>3806.16</v>
      </c>
      <c r="R670" s="4">
        <v>45600</v>
      </c>
      <c r="S670" s="6">
        <v>0.33877314814814813</v>
      </c>
      <c r="T670">
        <f t="shared" si="42"/>
        <v>17</v>
      </c>
      <c r="U670" t="str" cm="1">
        <f t="array" ref="U670">_xlfn.IFS(M670&lt;=34,"YOUNG",M670&lt;=54,"MIDDLE AGE",M670&gt;=55,"OLD")</f>
        <v>OLD</v>
      </c>
      <c r="V670" t="str">
        <f t="shared" si="43"/>
        <v>NORMAL</v>
      </c>
    </row>
    <row r="671" spans="1:22" x14ac:dyDescent="0.35">
      <c r="A671" t="s">
        <v>2048</v>
      </c>
      <c r="B671" t="s">
        <v>1085</v>
      </c>
      <c r="C671">
        <v>126.22</v>
      </c>
      <c r="D671" s="1">
        <v>45050.684201388889</v>
      </c>
      <c r="E671" s="2">
        <f t="shared" si="40"/>
        <v>0.68420138888905058</v>
      </c>
      <c r="F671" s="3">
        <f t="shared" si="41"/>
        <v>45050</v>
      </c>
      <c r="G671" t="s">
        <v>17</v>
      </c>
      <c r="H671" t="s">
        <v>47</v>
      </c>
      <c r="I671" t="s">
        <v>1786</v>
      </c>
      <c r="J671" t="s">
        <v>347</v>
      </c>
      <c r="K671" t="s">
        <v>427</v>
      </c>
      <c r="L671" t="s">
        <v>22</v>
      </c>
      <c r="M671">
        <v>46</v>
      </c>
      <c r="N671" t="s">
        <v>77</v>
      </c>
      <c r="O671">
        <v>77</v>
      </c>
      <c r="P671">
        <v>4</v>
      </c>
      <c r="Q671">
        <v>6133.41</v>
      </c>
      <c r="R671" s="4">
        <v>45600</v>
      </c>
      <c r="S671" s="6">
        <v>0.3386689814814815</v>
      </c>
      <c r="T671">
        <f t="shared" si="42"/>
        <v>16</v>
      </c>
      <c r="U671" t="str" cm="1">
        <f t="array" ref="U671">_xlfn.IFS(M671&lt;=34,"YOUNG",M671&lt;=54,"MIDDLE AGE",M671&gt;=55,"OLD")</f>
        <v>MIDDLE AGE</v>
      </c>
      <c r="V671" t="str">
        <f t="shared" si="43"/>
        <v>HIGH</v>
      </c>
    </row>
    <row r="672" spans="1:22" x14ac:dyDescent="0.35">
      <c r="A672" t="s">
        <v>2049</v>
      </c>
      <c r="B672" t="s">
        <v>2050</v>
      </c>
      <c r="C672">
        <v>820.15</v>
      </c>
      <c r="D672" s="1">
        <v>45278.68959490741</v>
      </c>
      <c r="E672" s="2">
        <f t="shared" si="40"/>
        <v>0.68959490740962792</v>
      </c>
      <c r="F672" s="3">
        <f t="shared" si="41"/>
        <v>45278</v>
      </c>
      <c r="G672" t="s">
        <v>17</v>
      </c>
      <c r="H672" t="s">
        <v>291</v>
      </c>
      <c r="I672" t="s">
        <v>738</v>
      </c>
      <c r="J672" t="s">
        <v>2051</v>
      </c>
      <c r="K672" t="s">
        <v>482</v>
      </c>
      <c r="L672" t="s">
        <v>69</v>
      </c>
      <c r="M672">
        <v>47</v>
      </c>
      <c r="N672" t="s">
        <v>23</v>
      </c>
      <c r="O672">
        <v>181</v>
      </c>
      <c r="P672">
        <v>1</v>
      </c>
      <c r="Q672">
        <v>8802.9699999999993</v>
      </c>
      <c r="R672" s="4">
        <v>45600</v>
      </c>
      <c r="S672" s="6">
        <v>0.34067129629629628</v>
      </c>
      <c r="T672">
        <f t="shared" si="42"/>
        <v>16</v>
      </c>
      <c r="U672" t="str" cm="1">
        <f t="array" ref="U672">_xlfn.IFS(M672&lt;=34,"YOUNG",M672&lt;=54,"MIDDLE AGE",M672&gt;=55,"OLD")</f>
        <v>MIDDLE AGE</v>
      </c>
      <c r="V672" t="str">
        <f t="shared" si="43"/>
        <v>NORMAL</v>
      </c>
    </row>
    <row r="673" spans="1:22" x14ac:dyDescent="0.35">
      <c r="A673" t="s">
        <v>2052</v>
      </c>
      <c r="B673" t="s">
        <v>2053</v>
      </c>
      <c r="C673">
        <v>986.81</v>
      </c>
      <c r="D673" s="1">
        <v>45016.703182870369</v>
      </c>
      <c r="E673" s="2">
        <f t="shared" si="40"/>
        <v>0.70318287036934635</v>
      </c>
      <c r="F673" s="3">
        <f t="shared" si="41"/>
        <v>45016</v>
      </c>
      <c r="G673" t="s">
        <v>46</v>
      </c>
      <c r="H673" t="s">
        <v>26</v>
      </c>
      <c r="I673" t="s">
        <v>495</v>
      </c>
      <c r="J673" t="s">
        <v>2054</v>
      </c>
      <c r="K673" t="s">
        <v>137</v>
      </c>
      <c r="L673" t="s">
        <v>36</v>
      </c>
      <c r="M673">
        <v>68</v>
      </c>
      <c r="N673" t="s">
        <v>23</v>
      </c>
      <c r="O673">
        <v>127</v>
      </c>
      <c r="P673">
        <v>1</v>
      </c>
      <c r="Q673">
        <v>14881.77</v>
      </c>
      <c r="R673" s="4">
        <v>45600</v>
      </c>
      <c r="S673" s="6">
        <v>0.33968749999999998</v>
      </c>
      <c r="T673">
        <f t="shared" si="42"/>
        <v>16</v>
      </c>
      <c r="U673" t="str" cm="1">
        <f t="array" ref="U673">_xlfn.IFS(M673&lt;=34,"YOUNG",M673&lt;=54,"MIDDLE AGE",M673&gt;=55,"OLD")</f>
        <v>OLD</v>
      </c>
      <c r="V673" t="str">
        <f t="shared" si="43"/>
        <v>NORMAL</v>
      </c>
    </row>
    <row r="674" spans="1:22" x14ac:dyDescent="0.35">
      <c r="A674" t="s">
        <v>2055</v>
      </c>
      <c r="B674" t="s">
        <v>2056</v>
      </c>
      <c r="C674">
        <v>8.3699999999999992</v>
      </c>
      <c r="D674" s="1">
        <v>44938.681562500002</v>
      </c>
      <c r="E674" s="2">
        <f t="shared" si="40"/>
        <v>0.68156250000174623</v>
      </c>
      <c r="F674" s="3">
        <f t="shared" si="41"/>
        <v>44938</v>
      </c>
      <c r="G674" t="s">
        <v>17</v>
      </c>
      <c r="H674" t="s">
        <v>521</v>
      </c>
      <c r="I674" t="s">
        <v>2057</v>
      </c>
      <c r="J674" t="s">
        <v>552</v>
      </c>
      <c r="K674" t="s">
        <v>1349</v>
      </c>
      <c r="L674" t="s">
        <v>22</v>
      </c>
      <c r="M674">
        <v>63</v>
      </c>
      <c r="N674" t="s">
        <v>70</v>
      </c>
      <c r="O674">
        <v>135</v>
      </c>
      <c r="P674">
        <v>1</v>
      </c>
      <c r="Q674">
        <v>1106.3399999999999</v>
      </c>
      <c r="R674" s="4">
        <v>45600</v>
      </c>
      <c r="S674" s="6">
        <v>0.3412384259259259</v>
      </c>
      <c r="T674">
        <f t="shared" si="42"/>
        <v>16</v>
      </c>
      <c r="U674" t="str" cm="1">
        <f t="array" ref="U674">_xlfn.IFS(M674&lt;=34,"YOUNG",M674&lt;=54,"MIDDLE AGE",M674&gt;=55,"OLD")</f>
        <v>OLD</v>
      </c>
      <c r="V674" t="str">
        <f t="shared" si="43"/>
        <v>NORMAL</v>
      </c>
    </row>
    <row r="675" spans="1:22" x14ac:dyDescent="0.35">
      <c r="A675" t="s">
        <v>2058</v>
      </c>
      <c r="B675" t="s">
        <v>905</v>
      </c>
      <c r="C675">
        <v>197.49</v>
      </c>
      <c r="D675" s="1">
        <v>45110.692187499997</v>
      </c>
      <c r="E675" s="2">
        <f t="shared" si="40"/>
        <v>0.69218749999708962</v>
      </c>
      <c r="F675" s="3">
        <f t="shared" si="41"/>
        <v>45110</v>
      </c>
      <c r="G675" t="s">
        <v>46</v>
      </c>
      <c r="H675" t="s">
        <v>558</v>
      </c>
      <c r="I675" t="s">
        <v>1713</v>
      </c>
      <c r="J675" t="s">
        <v>2059</v>
      </c>
      <c r="K675" t="s">
        <v>83</v>
      </c>
      <c r="L675" t="s">
        <v>36</v>
      </c>
      <c r="M675">
        <v>53</v>
      </c>
      <c r="N675" t="s">
        <v>70</v>
      </c>
      <c r="O675">
        <v>30</v>
      </c>
      <c r="P675">
        <v>1</v>
      </c>
      <c r="Q675">
        <v>5005.33</v>
      </c>
      <c r="R675" s="4">
        <v>45600</v>
      </c>
      <c r="S675" s="6">
        <v>0.33796296296296297</v>
      </c>
      <c r="T675">
        <f t="shared" si="42"/>
        <v>16</v>
      </c>
      <c r="U675" t="str" cm="1">
        <f t="array" ref="U675">_xlfn.IFS(M675&lt;=34,"YOUNG",M675&lt;=54,"MIDDLE AGE",M675&gt;=55,"OLD")</f>
        <v>MIDDLE AGE</v>
      </c>
      <c r="V675" t="str">
        <f t="shared" si="43"/>
        <v>NORMAL</v>
      </c>
    </row>
    <row r="676" spans="1:22" x14ac:dyDescent="0.35">
      <c r="A676" t="s">
        <v>2060</v>
      </c>
      <c r="B676" t="s">
        <v>1304</v>
      </c>
      <c r="C676">
        <v>637.97</v>
      </c>
      <c r="D676" s="1">
        <v>45222.720347222225</v>
      </c>
      <c r="E676" s="2">
        <f t="shared" si="40"/>
        <v>0.72034722222451819</v>
      </c>
      <c r="F676" s="3">
        <f t="shared" si="41"/>
        <v>45222</v>
      </c>
      <c r="G676" t="s">
        <v>17</v>
      </c>
      <c r="H676" t="s">
        <v>203</v>
      </c>
      <c r="I676" t="s">
        <v>2015</v>
      </c>
      <c r="J676" t="s">
        <v>2061</v>
      </c>
      <c r="K676" t="s">
        <v>386</v>
      </c>
      <c r="L676" t="s">
        <v>69</v>
      </c>
      <c r="M676">
        <v>58</v>
      </c>
      <c r="N676" t="s">
        <v>70</v>
      </c>
      <c r="O676">
        <v>90</v>
      </c>
      <c r="P676">
        <v>1</v>
      </c>
      <c r="Q676">
        <v>7949.03</v>
      </c>
      <c r="R676" s="4">
        <v>45600</v>
      </c>
      <c r="S676" s="6">
        <v>0.33884259259259258</v>
      </c>
      <c r="T676">
        <f t="shared" si="42"/>
        <v>17</v>
      </c>
      <c r="U676" t="str" cm="1">
        <f t="array" ref="U676">_xlfn.IFS(M676&lt;=34,"YOUNG",M676&lt;=54,"MIDDLE AGE",M676&gt;=55,"OLD")</f>
        <v>OLD</v>
      </c>
      <c r="V676" t="str">
        <f t="shared" si="43"/>
        <v>NORMAL</v>
      </c>
    </row>
    <row r="677" spans="1:22" x14ac:dyDescent="0.35">
      <c r="A677" t="s">
        <v>2062</v>
      </c>
      <c r="B677" t="s">
        <v>1240</v>
      </c>
      <c r="C677">
        <v>13.52</v>
      </c>
      <c r="D677" s="1">
        <v>45061.702407407407</v>
      </c>
      <c r="E677" s="2">
        <f t="shared" si="40"/>
        <v>0.70240740740700858</v>
      </c>
      <c r="F677" s="3">
        <f t="shared" si="41"/>
        <v>45061</v>
      </c>
      <c r="G677" t="s">
        <v>17</v>
      </c>
      <c r="H677" t="s">
        <v>59</v>
      </c>
      <c r="I677" t="s">
        <v>2063</v>
      </c>
      <c r="J677" t="s">
        <v>2059</v>
      </c>
      <c r="K677" t="s">
        <v>353</v>
      </c>
      <c r="L677" t="s">
        <v>22</v>
      </c>
      <c r="M677">
        <v>26</v>
      </c>
      <c r="N677" t="s">
        <v>37</v>
      </c>
      <c r="O677">
        <v>65</v>
      </c>
      <c r="P677">
        <v>1</v>
      </c>
      <c r="Q677">
        <v>259.77</v>
      </c>
      <c r="R677" s="4">
        <v>45600</v>
      </c>
      <c r="S677" s="6">
        <v>0.33784722222222224</v>
      </c>
      <c r="T677">
        <f t="shared" si="42"/>
        <v>16</v>
      </c>
      <c r="U677" t="str" cm="1">
        <f t="array" ref="U677">_xlfn.IFS(M677&lt;=34,"YOUNG",M677&lt;=54,"MIDDLE AGE",M677&gt;=55,"OLD")</f>
        <v>YOUNG</v>
      </c>
      <c r="V677" t="str">
        <f t="shared" si="43"/>
        <v>NORMAL</v>
      </c>
    </row>
    <row r="678" spans="1:22" x14ac:dyDescent="0.35">
      <c r="A678" t="s">
        <v>2064</v>
      </c>
      <c r="B678" t="s">
        <v>1293</v>
      </c>
      <c r="C678">
        <v>432.1</v>
      </c>
      <c r="D678" s="1">
        <v>45005.686307870368</v>
      </c>
      <c r="E678" s="2">
        <f t="shared" si="40"/>
        <v>0.68630787036818219</v>
      </c>
      <c r="F678" s="3">
        <f t="shared" si="41"/>
        <v>45005</v>
      </c>
      <c r="G678" t="s">
        <v>17</v>
      </c>
      <c r="H678" t="s">
        <v>212</v>
      </c>
      <c r="I678" t="s">
        <v>1548</v>
      </c>
      <c r="J678" t="s">
        <v>2065</v>
      </c>
      <c r="K678" t="s">
        <v>122</v>
      </c>
      <c r="L678" t="s">
        <v>22</v>
      </c>
      <c r="M678">
        <v>49</v>
      </c>
      <c r="N678" t="s">
        <v>77</v>
      </c>
      <c r="O678">
        <v>240</v>
      </c>
      <c r="P678">
        <v>1</v>
      </c>
      <c r="Q678">
        <v>2114.3000000000002</v>
      </c>
      <c r="R678" s="4">
        <v>45600</v>
      </c>
      <c r="S678" s="6">
        <v>0.34046296296296297</v>
      </c>
      <c r="T678">
        <f t="shared" si="42"/>
        <v>16</v>
      </c>
      <c r="U678" t="str" cm="1">
        <f t="array" ref="U678">_xlfn.IFS(M678&lt;=34,"YOUNG",M678&lt;=54,"MIDDLE AGE",M678&gt;=55,"OLD")</f>
        <v>MIDDLE AGE</v>
      </c>
      <c r="V678" t="str">
        <f t="shared" si="43"/>
        <v>NORMAL</v>
      </c>
    </row>
    <row r="679" spans="1:22" x14ac:dyDescent="0.35">
      <c r="A679" t="s">
        <v>2066</v>
      </c>
      <c r="B679" t="s">
        <v>742</v>
      </c>
      <c r="C679">
        <v>375.17</v>
      </c>
      <c r="D679" s="1">
        <v>45085.72283564815</v>
      </c>
      <c r="E679" s="2">
        <f t="shared" si="40"/>
        <v>0.72283564815006685</v>
      </c>
      <c r="F679" s="3">
        <f t="shared" si="41"/>
        <v>45085</v>
      </c>
      <c r="G679" t="s">
        <v>17</v>
      </c>
      <c r="H679" t="s">
        <v>157</v>
      </c>
      <c r="I679" t="s">
        <v>705</v>
      </c>
      <c r="J679" t="s">
        <v>1459</v>
      </c>
      <c r="K679" t="s">
        <v>200</v>
      </c>
      <c r="L679" t="s">
        <v>22</v>
      </c>
      <c r="M679">
        <v>51</v>
      </c>
      <c r="N679" t="s">
        <v>77</v>
      </c>
      <c r="O679">
        <v>66</v>
      </c>
      <c r="P679">
        <v>2</v>
      </c>
      <c r="Q679">
        <v>5495.3</v>
      </c>
      <c r="R679" s="4">
        <v>45600</v>
      </c>
      <c r="S679" s="6">
        <v>0.34127314814814813</v>
      </c>
      <c r="T679">
        <f t="shared" si="42"/>
        <v>17</v>
      </c>
      <c r="U679" t="str" cm="1">
        <f t="array" ref="U679">_xlfn.IFS(M679&lt;=34,"YOUNG",M679&lt;=54,"MIDDLE AGE",M679&gt;=55,"OLD")</f>
        <v>MIDDLE AGE</v>
      </c>
      <c r="V679" t="str">
        <f t="shared" si="43"/>
        <v>HIGH</v>
      </c>
    </row>
    <row r="680" spans="1:22" x14ac:dyDescent="0.35">
      <c r="A680" t="s">
        <v>2067</v>
      </c>
      <c r="B680" t="s">
        <v>1472</v>
      </c>
      <c r="C680">
        <v>642.67999999999995</v>
      </c>
      <c r="D680" s="1">
        <v>44974.706377314818</v>
      </c>
      <c r="E680" s="2">
        <f t="shared" si="40"/>
        <v>0.70637731481838273</v>
      </c>
      <c r="F680" s="3">
        <f t="shared" si="41"/>
        <v>44974</v>
      </c>
      <c r="G680" t="s">
        <v>17</v>
      </c>
      <c r="H680" t="s">
        <v>558</v>
      </c>
      <c r="I680" t="s">
        <v>2068</v>
      </c>
      <c r="J680" t="s">
        <v>1929</v>
      </c>
      <c r="K680" t="s">
        <v>639</v>
      </c>
      <c r="L680" t="s">
        <v>69</v>
      </c>
      <c r="M680">
        <v>50</v>
      </c>
      <c r="N680" t="s">
        <v>23</v>
      </c>
      <c r="O680">
        <v>94</v>
      </c>
      <c r="P680">
        <v>1</v>
      </c>
      <c r="Q680">
        <v>8461.4599999999991</v>
      </c>
      <c r="R680" s="4">
        <v>45600</v>
      </c>
      <c r="S680" s="6">
        <v>0.33932870370370372</v>
      </c>
      <c r="T680">
        <f t="shared" si="42"/>
        <v>16</v>
      </c>
      <c r="U680" t="str" cm="1">
        <f t="array" ref="U680">_xlfn.IFS(M680&lt;=34,"YOUNG",M680&lt;=54,"MIDDLE AGE",M680&gt;=55,"OLD")</f>
        <v>MIDDLE AGE</v>
      </c>
      <c r="V680" t="str">
        <f t="shared" si="43"/>
        <v>NORMAL</v>
      </c>
    </row>
    <row r="681" spans="1:22" x14ac:dyDescent="0.35">
      <c r="A681" t="s">
        <v>2069</v>
      </c>
      <c r="B681" t="s">
        <v>2070</v>
      </c>
      <c r="C681">
        <v>78.44</v>
      </c>
      <c r="D681" s="1">
        <v>45251.726041666669</v>
      </c>
      <c r="E681" s="2">
        <f t="shared" si="40"/>
        <v>0.72604166666860692</v>
      </c>
      <c r="F681" s="3">
        <f t="shared" si="41"/>
        <v>45251</v>
      </c>
      <c r="G681" t="s">
        <v>46</v>
      </c>
      <c r="H681" t="s">
        <v>223</v>
      </c>
      <c r="I681" t="s">
        <v>1097</v>
      </c>
      <c r="J681" t="s">
        <v>2071</v>
      </c>
      <c r="K681" t="s">
        <v>450</v>
      </c>
      <c r="L681" t="s">
        <v>36</v>
      </c>
      <c r="M681">
        <v>52</v>
      </c>
      <c r="N681" t="s">
        <v>70</v>
      </c>
      <c r="O681">
        <v>292</v>
      </c>
      <c r="P681">
        <v>1</v>
      </c>
      <c r="Q681">
        <v>6870.84</v>
      </c>
      <c r="R681" s="4">
        <v>45600</v>
      </c>
      <c r="S681" s="6">
        <v>0.34072916666666669</v>
      </c>
      <c r="T681">
        <f t="shared" si="42"/>
        <v>17</v>
      </c>
      <c r="U681" t="str" cm="1">
        <f t="array" ref="U681">_xlfn.IFS(M681&lt;=34,"YOUNG",M681&lt;=54,"MIDDLE AGE",M681&gt;=55,"OLD")</f>
        <v>MIDDLE AGE</v>
      </c>
      <c r="V681" t="str">
        <f t="shared" si="43"/>
        <v>NORMAL</v>
      </c>
    </row>
    <row r="682" spans="1:22" x14ac:dyDescent="0.35">
      <c r="A682" t="s">
        <v>2072</v>
      </c>
      <c r="B682" t="s">
        <v>2073</v>
      </c>
      <c r="C682">
        <v>139.72</v>
      </c>
      <c r="D682" s="1">
        <v>44942.745138888888</v>
      </c>
      <c r="E682" s="2">
        <f t="shared" si="40"/>
        <v>0.74513888888759539</v>
      </c>
      <c r="F682" s="3">
        <f t="shared" si="41"/>
        <v>44942</v>
      </c>
      <c r="G682" t="s">
        <v>17</v>
      </c>
      <c r="H682" t="s">
        <v>92</v>
      </c>
      <c r="I682" t="s">
        <v>346</v>
      </c>
      <c r="J682" t="s">
        <v>1477</v>
      </c>
      <c r="K682" t="s">
        <v>450</v>
      </c>
      <c r="L682" t="s">
        <v>69</v>
      </c>
      <c r="M682">
        <v>49</v>
      </c>
      <c r="N682" t="s">
        <v>77</v>
      </c>
      <c r="O682">
        <v>201</v>
      </c>
      <c r="P682">
        <v>1</v>
      </c>
      <c r="Q682">
        <v>5058.83</v>
      </c>
      <c r="R682" s="4">
        <v>45600</v>
      </c>
      <c r="S682" s="6">
        <v>0.33916666666666667</v>
      </c>
      <c r="T682">
        <f t="shared" si="42"/>
        <v>17</v>
      </c>
      <c r="U682" t="str" cm="1">
        <f t="array" ref="U682">_xlfn.IFS(M682&lt;=34,"YOUNG",M682&lt;=54,"MIDDLE AGE",M682&gt;=55,"OLD")</f>
        <v>MIDDLE AGE</v>
      </c>
      <c r="V682" t="str">
        <f t="shared" si="43"/>
        <v>NORMAL</v>
      </c>
    </row>
    <row r="683" spans="1:22" x14ac:dyDescent="0.35">
      <c r="A683" t="s">
        <v>2074</v>
      </c>
      <c r="B683" t="s">
        <v>1794</v>
      </c>
      <c r="C683">
        <v>499.99</v>
      </c>
      <c r="D683" s="1">
        <v>45140.667557870373</v>
      </c>
      <c r="E683" s="2">
        <f t="shared" si="40"/>
        <v>0.66755787037254777</v>
      </c>
      <c r="F683" s="3">
        <f t="shared" si="41"/>
        <v>45140</v>
      </c>
      <c r="G683" t="s">
        <v>17</v>
      </c>
      <c r="H683" t="s">
        <v>223</v>
      </c>
      <c r="I683" t="s">
        <v>1875</v>
      </c>
      <c r="J683" t="s">
        <v>347</v>
      </c>
      <c r="K683" t="s">
        <v>246</v>
      </c>
      <c r="L683" t="s">
        <v>69</v>
      </c>
      <c r="M683">
        <v>31</v>
      </c>
      <c r="N683" t="s">
        <v>77</v>
      </c>
      <c r="O683">
        <v>296</v>
      </c>
      <c r="P683">
        <v>1</v>
      </c>
      <c r="Q683">
        <v>8885</v>
      </c>
      <c r="R683" s="4">
        <v>45600</v>
      </c>
      <c r="S683" s="6">
        <v>0.33964120370370371</v>
      </c>
      <c r="T683">
        <f t="shared" si="42"/>
        <v>16</v>
      </c>
      <c r="U683" t="str" cm="1">
        <f t="array" ref="U683">_xlfn.IFS(M683&lt;=34,"YOUNG",M683&lt;=54,"MIDDLE AGE",M683&gt;=55,"OLD")</f>
        <v>YOUNG</v>
      </c>
      <c r="V683" t="str">
        <f t="shared" si="43"/>
        <v>NORMAL</v>
      </c>
    </row>
    <row r="684" spans="1:22" x14ac:dyDescent="0.35">
      <c r="A684" t="s">
        <v>2075</v>
      </c>
      <c r="B684" t="s">
        <v>1915</v>
      </c>
      <c r="C684">
        <v>10.07</v>
      </c>
      <c r="D684" s="1">
        <v>44943.699780092589</v>
      </c>
      <c r="E684" s="2">
        <f t="shared" si="40"/>
        <v>0.69978009258920792</v>
      </c>
      <c r="F684" s="3">
        <f t="shared" si="41"/>
        <v>44943</v>
      </c>
      <c r="G684" t="s">
        <v>17</v>
      </c>
      <c r="H684" t="s">
        <v>86</v>
      </c>
      <c r="I684" t="s">
        <v>439</v>
      </c>
      <c r="J684" t="s">
        <v>681</v>
      </c>
      <c r="K684" t="s">
        <v>175</v>
      </c>
      <c r="L684" t="s">
        <v>36</v>
      </c>
      <c r="M684">
        <v>24</v>
      </c>
      <c r="N684" t="s">
        <v>37</v>
      </c>
      <c r="O684">
        <v>49</v>
      </c>
      <c r="P684">
        <v>1</v>
      </c>
      <c r="Q684">
        <v>530.80999999999995</v>
      </c>
      <c r="R684" s="4">
        <v>45600</v>
      </c>
      <c r="S684" s="6">
        <v>0.33954861111111112</v>
      </c>
      <c r="T684">
        <f t="shared" si="42"/>
        <v>16</v>
      </c>
      <c r="U684" t="str" cm="1">
        <f t="array" ref="U684">_xlfn.IFS(M684&lt;=34,"YOUNG",M684&lt;=54,"MIDDLE AGE",M684&gt;=55,"OLD")</f>
        <v>YOUNG</v>
      </c>
      <c r="V684" t="str">
        <f t="shared" si="43"/>
        <v>NORMAL</v>
      </c>
    </row>
    <row r="685" spans="1:22" x14ac:dyDescent="0.35">
      <c r="A685" t="s">
        <v>2076</v>
      </c>
      <c r="B685" t="s">
        <v>130</v>
      </c>
      <c r="C685">
        <v>120.62</v>
      </c>
      <c r="D685" s="1">
        <v>44984.692488425928</v>
      </c>
      <c r="E685" s="2">
        <f t="shared" si="40"/>
        <v>0.69248842592787696</v>
      </c>
      <c r="F685" s="3">
        <f t="shared" si="41"/>
        <v>44984</v>
      </c>
      <c r="G685" t="s">
        <v>17</v>
      </c>
      <c r="H685" t="s">
        <v>40</v>
      </c>
      <c r="I685" t="s">
        <v>1697</v>
      </c>
      <c r="J685" t="s">
        <v>500</v>
      </c>
      <c r="K685" t="s">
        <v>343</v>
      </c>
      <c r="L685" t="s">
        <v>22</v>
      </c>
      <c r="M685">
        <v>23</v>
      </c>
      <c r="N685" t="s">
        <v>37</v>
      </c>
      <c r="O685">
        <v>85</v>
      </c>
      <c r="P685">
        <v>1</v>
      </c>
      <c r="Q685">
        <v>9379.5300000000007</v>
      </c>
      <c r="R685" s="4">
        <v>45600</v>
      </c>
      <c r="S685" s="6">
        <v>0.33795138888888887</v>
      </c>
      <c r="T685">
        <f t="shared" si="42"/>
        <v>16</v>
      </c>
      <c r="U685" t="str" cm="1">
        <f t="array" ref="U685">_xlfn.IFS(M685&lt;=34,"YOUNG",M685&lt;=54,"MIDDLE AGE",M685&gt;=55,"OLD")</f>
        <v>YOUNG</v>
      </c>
      <c r="V685" t="str">
        <f t="shared" si="43"/>
        <v>NORMAL</v>
      </c>
    </row>
    <row r="686" spans="1:22" x14ac:dyDescent="0.35">
      <c r="A686" t="s">
        <v>2077</v>
      </c>
      <c r="B686" t="s">
        <v>2078</v>
      </c>
      <c r="C686">
        <v>578.49</v>
      </c>
      <c r="D686" s="1">
        <v>45215.740868055553</v>
      </c>
      <c r="E686" s="2">
        <f t="shared" si="40"/>
        <v>0.74086805555270985</v>
      </c>
      <c r="F686" s="3">
        <f t="shared" si="41"/>
        <v>45215</v>
      </c>
      <c r="G686" t="s">
        <v>17</v>
      </c>
      <c r="H686" t="s">
        <v>80</v>
      </c>
      <c r="I686" t="s">
        <v>2079</v>
      </c>
      <c r="J686" t="s">
        <v>849</v>
      </c>
      <c r="K686" t="s">
        <v>418</v>
      </c>
      <c r="L686" t="s">
        <v>69</v>
      </c>
      <c r="M686">
        <v>59</v>
      </c>
      <c r="N686" t="s">
        <v>70</v>
      </c>
      <c r="O686">
        <v>180</v>
      </c>
      <c r="P686">
        <v>1</v>
      </c>
      <c r="Q686">
        <v>6475.13</v>
      </c>
      <c r="R686" s="4">
        <v>45600</v>
      </c>
      <c r="S686" s="6">
        <v>0.33807870370370369</v>
      </c>
      <c r="T686">
        <f t="shared" si="42"/>
        <v>17</v>
      </c>
      <c r="U686" t="str" cm="1">
        <f t="array" ref="U686">_xlfn.IFS(M686&lt;=34,"YOUNG",M686&lt;=54,"MIDDLE AGE",M686&gt;=55,"OLD")</f>
        <v>OLD</v>
      </c>
      <c r="V686" t="str">
        <f t="shared" si="43"/>
        <v>NORMAL</v>
      </c>
    </row>
    <row r="687" spans="1:22" x14ac:dyDescent="0.35">
      <c r="A687" t="s">
        <v>2080</v>
      </c>
      <c r="B687" t="s">
        <v>2024</v>
      </c>
      <c r="C687">
        <v>119.3</v>
      </c>
      <c r="D687" s="1">
        <v>45166.672847222224</v>
      </c>
      <c r="E687" s="2">
        <f t="shared" si="40"/>
        <v>0.67284722222393611</v>
      </c>
      <c r="F687" s="3">
        <f t="shared" si="41"/>
        <v>45166</v>
      </c>
      <c r="G687" t="s">
        <v>17</v>
      </c>
      <c r="H687" t="s">
        <v>32</v>
      </c>
      <c r="I687" t="s">
        <v>1290</v>
      </c>
      <c r="J687" t="s">
        <v>1540</v>
      </c>
      <c r="K687" t="s">
        <v>707</v>
      </c>
      <c r="L687" t="s">
        <v>69</v>
      </c>
      <c r="M687">
        <v>34</v>
      </c>
      <c r="N687" t="s">
        <v>77</v>
      </c>
      <c r="O687">
        <v>22</v>
      </c>
      <c r="P687">
        <v>5</v>
      </c>
      <c r="Q687">
        <v>319.04000000000002</v>
      </c>
      <c r="R687" s="4">
        <v>45600</v>
      </c>
      <c r="S687" s="6">
        <v>0.33952546296296299</v>
      </c>
      <c r="T687">
        <f t="shared" si="42"/>
        <v>16</v>
      </c>
      <c r="U687" t="str" cm="1">
        <f t="array" ref="U687">_xlfn.IFS(M687&lt;=34,"YOUNG",M687&lt;=54,"MIDDLE AGE",M687&gt;=55,"OLD")</f>
        <v>YOUNG</v>
      </c>
      <c r="V687" t="str">
        <f t="shared" si="43"/>
        <v>HIGH</v>
      </c>
    </row>
    <row r="688" spans="1:22" x14ac:dyDescent="0.35">
      <c r="A688" t="s">
        <v>2081</v>
      </c>
      <c r="B688" t="s">
        <v>884</v>
      </c>
      <c r="C688">
        <v>280.92</v>
      </c>
      <c r="D688" s="1">
        <v>45292.765162037038</v>
      </c>
      <c r="E688" s="2">
        <f t="shared" si="40"/>
        <v>0.76516203703795327</v>
      </c>
      <c r="F688" s="3">
        <f t="shared" si="41"/>
        <v>45292</v>
      </c>
      <c r="G688" t="s">
        <v>17</v>
      </c>
      <c r="H688" t="s">
        <v>425</v>
      </c>
      <c r="I688" t="s">
        <v>1160</v>
      </c>
      <c r="J688" t="s">
        <v>136</v>
      </c>
      <c r="K688" t="s">
        <v>122</v>
      </c>
      <c r="L688" t="s">
        <v>36</v>
      </c>
      <c r="M688">
        <v>41</v>
      </c>
      <c r="N688" t="s">
        <v>23</v>
      </c>
      <c r="O688">
        <v>168</v>
      </c>
      <c r="P688">
        <v>1</v>
      </c>
      <c r="Q688">
        <v>5298.85</v>
      </c>
      <c r="R688" s="4">
        <v>45600</v>
      </c>
      <c r="S688" s="6">
        <v>0.33797453703703706</v>
      </c>
      <c r="T688">
        <f t="shared" si="42"/>
        <v>18</v>
      </c>
      <c r="U688" t="str" cm="1">
        <f t="array" ref="U688">_xlfn.IFS(M688&lt;=34,"YOUNG",M688&lt;=54,"MIDDLE AGE",M688&gt;=55,"OLD")</f>
        <v>MIDDLE AGE</v>
      </c>
      <c r="V688" t="str">
        <f t="shared" si="43"/>
        <v>NORMAL</v>
      </c>
    </row>
    <row r="689" spans="1:22" x14ac:dyDescent="0.35">
      <c r="A689" t="s">
        <v>2082</v>
      </c>
      <c r="B689" t="s">
        <v>2083</v>
      </c>
      <c r="C689">
        <v>42.42</v>
      </c>
      <c r="D689" s="1">
        <v>45078.722187500003</v>
      </c>
      <c r="E689" s="2">
        <f t="shared" si="40"/>
        <v>0.72218750000320142</v>
      </c>
      <c r="F689" s="3">
        <f t="shared" si="41"/>
        <v>45078</v>
      </c>
      <c r="G689" t="s">
        <v>17</v>
      </c>
      <c r="H689" t="s">
        <v>285</v>
      </c>
      <c r="I689" t="s">
        <v>2084</v>
      </c>
      <c r="J689" t="s">
        <v>791</v>
      </c>
      <c r="K689" t="s">
        <v>564</v>
      </c>
      <c r="L689" t="s">
        <v>36</v>
      </c>
      <c r="M689">
        <v>21</v>
      </c>
      <c r="N689" t="s">
        <v>37</v>
      </c>
      <c r="O689">
        <v>102</v>
      </c>
      <c r="P689">
        <v>1</v>
      </c>
      <c r="Q689">
        <v>490.57</v>
      </c>
      <c r="R689" s="4">
        <v>45600</v>
      </c>
      <c r="S689" s="6">
        <v>0.33971064814814816</v>
      </c>
      <c r="T689">
        <f t="shared" si="42"/>
        <v>17</v>
      </c>
      <c r="U689" t="str" cm="1">
        <f t="array" ref="U689">_xlfn.IFS(M689&lt;=34,"YOUNG",M689&lt;=54,"MIDDLE AGE",M689&gt;=55,"OLD")</f>
        <v>YOUNG</v>
      </c>
      <c r="V689" t="str">
        <f t="shared" si="43"/>
        <v>NORMAL</v>
      </c>
    </row>
    <row r="690" spans="1:22" x14ac:dyDescent="0.35">
      <c r="A690" t="s">
        <v>2085</v>
      </c>
      <c r="B690" t="s">
        <v>1612</v>
      </c>
      <c r="C690">
        <v>77.03</v>
      </c>
      <c r="D690" s="1">
        <v>45096.706863425927</v>
      </c>
      <c r="E690" s="2">
        <f t="shared" si="40"/>
        <v>0.70686342592671281</v>
      </c>
      <c r="F690" s="3">
        <f t="shared" si="41"/>
        <v>45096</v>
      </c>
      <c r="G690" t="s">
        <v>17</v>
      </c>
      <c r="H690" t="s">
        <v>558</v>
      </c>
      <c r="I690" t="s">
        <v>2086</v>
      </c>
      <c r="J690" t="s">
        <v>662</v>
      </c>
      <c r="K690" t="s">
        <v>95</v>
      </c>
      <c r="L690" t="s">
        <v>22</v>
      </c>
      <c r="M690">
        <v>67</v>
      </c>
      <c r="N690" t="s">
        <v>23</v>
      </c>
      <c r="O690">
        <v>259</v>
      </c>
      <c r="P690">
        <v>1</v>
      </c>
      <c r="Q690">
        <v>11310.27</v>
      </c>
      <c r="R690" s="4">
        <v>45600</v>
      </c>
      <c r="S690" s="6">
        <v>0.33895833333333331</v>
      </c>
      <c r="T690">
        <f t="shared" si="42"/>
        <v>16</v>
      </c>
      <c r="U690" t="str" cm="1">
        <f t="array" ref="U690">_xlfn.IFS(M690&lt;=34,"YOUNG",M690&lt;=54,"MIDDLE AGE",M690&gt;=55,"OLD")</f>
        <v>OLD</v>
      </c>
      <c r="V690" t="str">
        <f t="shared" si="43"/>
        <v>NORMAL</v>
      </c>
    </row>
    <row r="691" spans="1:22" x14ac:dyDescent="0.35">
      <c r="A691" t="s">
        <v>2087</v>
      </c>
      <c r="B691" t="s">
        <v>460</v>
      </c>
      <c r="C691">
        <v>22.59</v>
      </c>
      <c r="D691" s="1">
        <v>45012.675416666665</v>
      </c>
      <c r="E691" s="2">
        <f t="shared" si="40"/>
        <v>0.67541666666511446</v>
      </c>
      <c r="F691" s="3">
        <f t="shared" si="41"/>
        <v>45012</v>
      </c>
      <c r="G691" t="s">
        <v>17</v>
      </c>
      <c r="H691" t="s">
        <v>59</v>
      </c>
      <c r="I691" t="s">
        <v>2088</v>
      </c>
      <c r="J691" t="s">
        <v>271</v>
      </c>
      <c r="K691" t="s">
        <v>406</v>
      </c>
      <c r="L691" t="s">
        <v>22</v>
      </c>
      <c r="M691">
        <v>62</v>
      </c>
      <c r="N691" t="s">
        <v>70</v>
      </c>
      <c r="O691">
        <v>45</v>
      </c>
      <c r="P691">
        <v>1</v>
      </c>
      <c r="Q691">
        <v>3988.75</v>
      </c>
      <c r="R691" s="4">
        <v>45600</v>
      </c>
      <c r="S691" s="6">
        <v>0.33914351851851854</v>
      </c>
      <c r="T691">
        <f t="shared" si="42"/>
        <v>16</v>
      </c>
      <c r="U691" t="str" cm="1">
        <f t="array" ref="U691">_xlfn.IFS(M691&lt;=34,"YOUNG",M691&lt;=54,"MIDDLE AGE",M691&gt;=55,"OLD")</f>
        <v>OLD</v>
      </c>
      <c r="V691" t="str">
        <f t="shared" si="43"/>
        <v>NORMAL</v>
      </c>
    </row>
    <row r="692" spans="1:22" x14ac:dyDescent="0.35">
      <c r="A692" t="s">
        <v>2089</v>
      </c>
      <c r="B692" t="s">
        <v>2090</v>
      </c>
      <c r="C692">
        <v>568.76</v>
      </c>
      <c r="D692" s="1">
        <v>45208.700578703705</v>
      </c>
      <c r="E692" s="2">
        <f t="shared" si="40"/>
        <v>0.700578703705105</v>
      </c>
      <c r="F692" s="3">
        <f t="shared" si="41"/>
        <v>45208</v>
      </c>
      <c r="G692" t="s">
        <v>17</v>
      </c>
      <c r="H692" t="s">
        <v>197</v>
      </c>
      <c r="I692" t="s">
        <v>982</v>
      </c>
      <c r="J692" t="s">
        <v>2091</v>
      </c>
      <c r="K692" t="s">
        <v>348</v>
      </c>
      <c r="L692" t="s">
        <v>22</v>
      </c>
      <c r="M692">
        <v>51</v>
      </c>
      <c r="N692" t="s">
        <v>70</v>
      </c>
      <c r="O692">
        <v>155</v>
      </c>
      <c r="P692">
        <v>1</v>
      </c>
      <c r="Q692">
        <v>7484.32</v>
      </c>
      <c r="R692" s="4">
        <v>45600</v>
      </c>
      <c r="S692" s="6">
        <v>0.34177083333333336</v>
      </c>
      <c r="T692">
        <f t="shared" si="42"/>
        <v>16</v>
      </c>
      <c r="U692" t="str" cm="1">
        <f t="array" ref="U692">_xlfn.IFS(M692&lt;=34,"YOUNG",M692&lt;=54,"MIDDLE AGE",M692&gt;=55,"OLD")</f>
        <v>MIDDLE AGE</v>
      </c>
      <c r="V692" t="str">
        <f t="shared" si="43"/>
        <v>NORMAL</v>
      </c>
    </row>
    <row r="693" spans="1:22" x14ac:dyDescent="0.35">
      <c r="A693" t="s">
        <v>2092</v>
      </c>
      <c r="B693" t="s">
        <v>1264</v>
      </c>
      <c r="C693">
        <v>25.94</v>
      </c>
      <c r="D693" s="1">
        <v>45215.787164351852</v>
      </c>
      <c r="E693" s="2">
        <f t="shared" si="40"/>
        <v>0.78716435185197042</v>
      </c>
      <c r="F693" s="3">
        <f t="shared" si="41"/>
        <v>45215</v>
      </c>
      <c r="G693" t="s">
        <v>46</v>
      </c>
      <c r="H693" t="s">
        <v>223</v>
      </c>
      <c r="I693" t="s">
        <v>184</v>
      </c>
      <c r="J693" t="s">
        <v>307</v>
      </c>
      <c r="K693" t="s">
        <v>362</v>
      </c>
      <c r="L693" t="s">
        <v>36</v>
      </c>
      <c r="M693">
        <v>58</v>
      </c>
      <c r="N693" t="s">
        <v>70</v>
      </c>
      <c r="O693">
        <v>211</v>
      </c>
      <c r="P693">
        <v>5</v>
      </c>
      <c r="Q693">
        <v>4815.1099999999997</v>
      </c>
      <c r="R693" s="4">
        <v>45600</v>
      </c>
      <c r="S693" s="6">
        <v>0.33793981481481483</v>
      </c>
      <c r="T693">
        <f t="shared" si="42"/>
        <v>18</v>
      </c>
      <c r="U693" t="str" cm="1">
        <f t="array" ref="U693">_xlfn.IFS(M693&lt;=34,"YOUNG",M693&lt;=54,"MIDDLE AGE",M693&gt;=55,"OLD")</f>
        <v>OLD</v>
      </c>
      <c r="V693" t="str">
        <f t="shared" si="43"/>
        <v>HIGH</v>
      </c>
    </row>
    <row r="694" spans="1:22" x14ac:dyDescent="0.35">
      <c r="A694" t="s">
        <v>2093</v>
      </c>
      <c r="B694" t="s">
        <v>1796</v>
      </c>
      <c r="C694">
        <v>105.94</v>
      </c>
      <c r="D694" s="1">
        <v>45145.668692129628</v>
      </c>
      <c r="E694" s="2">
        <f t="shared" si="40"/>
        <v>0.66869212962774327</v>
      </c>
      <c r="F694" s="3">
        <f t="shared" si="41"/>
        <v>45145</v>
      </c>
      <c r="G694" t="s">
        <v>17</v>
      </c>
      <c r="H694" t="s">
        <v>53</v>
      </c>
      <c r="I694" t="s">
        <v>1958</v>
      </c>
      <c r="J694" t="s">
        <v>2094</v>
      </c>
      <c r="K694" t="s">
        <v>226</v>
      </c>
      <c r="L694" t="s">
        <v>69</v>
      </c>
      <c r="M694">
        <v>51</v>
      </c>
      <c r="N694" t="s">
        <v>77</v>
      </c>
      <c r="O694">
        <v>207</v>
      </c>
      <c r="P694">
        <v>1</v>
      </c>
      <c r="Q694">
        <v>5963.1</v>
      </c>
      <c r="R694" s="4">
        <v>45600</v>
      </c>
      <c r="S694" s="6">
        <v>0.3402662037037037</v>
      </c>
      <c r="T694">
        <f t="shared" si="42"/>
        <v>16</v>
      </c>
      <c r="U694" t="str" cm="1">
        <f t="array" ref="U694">_xlfn.IFS(M694&lt;=34,"YOUNG",M694&lt;=54,"MIDDLE AGE",M694&gt;=55,"OLD")</f>
        <v>MIDDLE AGE</v>
      </c>
      <c r="V694" t="str">
        <f t="shared" si="43"/>
        <v>NORMAL</v>
      </c>
    </row>
    <row r="695" spans="1:22" x14ac:dyDescent="0.35">
      <c r="A695" t="s">
        <v>2095</v>
      </c>
      <c r="B695" t="s">
        <v>259</v>
      </c>
      <c r="C695">
        <v>733.29</v>
      </c>
      <c r="D695" s="1">
        <v>45000.779351851852</v>
      </c>
      <c r="E695" s="2">
        <f t="shared" si="40"/>
        <v>0.77935185185197042</v>
      </c>
      <c r="F695" s="3">
        <f t="shared" si="41"/>
        <v>45000</v>
      </c>
      <c r="G695" t="s">
        <v>17</v>
      </c>
      <c r="H695" t="s">
        <v>301</v>
      </c>
      <c r="I695" t="s">
        <v>1091</v>
      </c>
      <c r="J695" t="s">
        <v>866</v>
      </c>
      <c r="K695" t="s">
        <v>418</v>
      </c>
      <c r="L695" t="s">
        <v>22</v>
      </c>
      <c r="M695">
        <v>52</v>
      </c>
      <c r="N695" t="s">
        <v>23</v>
      </c>
      <c r="O695">
        <v>94</v>
      </c>
      <c r="P695">
        <v>5</v>
      </c>
      <c r="Q695">
        <v>10427</v>
      </c>
      <c r="R695" s="4">
        <v>45600</v>
      </c>
      <c r="S695" s="6">
        <v>0.33833333333333332</v>
      </c>
      <c r="T695">
        <f t="shared" si="42"/>
        <v>18</v>
      </c>
      <c r="U695" t="str" cm="1">
        <f t="array" ref="U695">_xlfn.IFS(M695&lt;=34,"YOUNG",M695&lt;=54,"MIDDLE AGE",M695&gt;=55,"OLD")</f>
        <v>MIDDLE AGE</v>
      </c>
      <c r="V695" t="str">
        <f t="shared" si="43"/>
        <v>HIGH</v>
      </c>
    </row>
    <row r="696" spans="1:22" x14ac:dyDescent="0.35">
      <c r="A696" t="s">
        <v>2096</v>
      </c>
      <c r="B696" t="s">
        <v>2097</v>
      </c>
      <c r="C696">
        <v>350.15</v>
      </c>
      <c r="D696" s="1">
        <v>45257.679456018515</v>
      </c>
      <c r="E696" s="2">
        <f t="shared" si="40"/>
        <v>0.67945601851533866</v>
      </c>
      <c r="F696" s="3">
        <f t="shared" si="41"/>
        <v>45257</v>
      </c>
      <c r="G696" t="s">
        <v>46</v>
      </c>
      <c r="H696" t="s">
        <v>558</v>
      </c>
      <c r="I696" t="s">
        <v>1502</v>
      </c>
      <c r="J696" t="s">
        <v>1925</v>
      </c>
      <c r="K696" t="s">
        <v>29</v>
      </c>
      <c r="L696" t="s">
        <v>22</v>
      </c>
      <c r="M696">
        <v>21</v>
      </c>
      <c r="N696" t="s">
        <v>37</v>
      </c>
      <c r="O696">
        <v>195</v>
      </c>
      <c r="P696">
        <v>1</v>
      </c>
      <c r="Q696">
        <v>296.47000000000003</v>
      </c>
      <c r="R696" s="4">
        <v>45600</v>
      </c>
      <c r="S696" s="6">
        <v>0.33931712962962962</v>
      </c>
      <c r="T696">
        <f t="shared" si="42"/>
        <v>16</v>
      </c>
      <c r="U696" t="str" cm="1">
        <f t="array" ref="U696">_xlfn.IFS(M696&lt;=34,"YOUNG",M696&lt;=54,"MIDDLE AGE",M696&gt;=55,"OLD")</f>
        <v>YOUNG</v>
      </c>
      <c r="V696" t="str">
        <f t="shared" si="43"/>
        <v>NORMAL</v>
      </c>
    </row>
    <row r="697" spans="1:22" x14ac:dyDescent="0.35">
      <c r="A697" t="s">
        <v>2098</v>
      </c>
      <c r="B697" t="s">
        <v>1832</v>
      </c>
      <c r="C697">
        <v>1151.18</v>
      </c>
      <c r="D697" s="1">
        <v>45163.726701388892</v>
      </c>
      <c r="E697" s="2">
        <f t="shared" si="40"/>
        <v>0.726701388892252</v>
      </c>
      <c r="F697" s="3">
        <f t="shared" si="41"/>
        <v>45163</v>
      </c>
      <c r="G697" t="s">
        <v>17</v>
      </c>
      <c r="H697" t="s">
        <v>291</v>
      </c>
      <c r="I697" t="s">
        <v>814</v>
      </c>
      <c r="J697" t="s">
        <v>1366</v>
      </c>
      <c r="K697" t="s">
        <v>288</v>
      </c>
      <c r="L697" t="s">
        <v>22</v>
      </c>
      <c r="M697">
        <v>65</v>
      </c>
      <c r="N697" t="s">
        <v>23</v>
      </c>
      <c r="O697">
        <v>105</v>
      </c>
      <c r="P697">
        <v>1</v>
      </c>
      <c r="Q697">
        <v>1100.06</v>
      </c>
      <c r="R697" s="4">
        <v>45600</v>
      </c>
      <c r="S697" s="6">
        <v>0.3382175925925926</v>
      </c>
      <c r="T697">
        <f t="shared" si="42"/>
        <v>17</v>
      </c>
      <c r="U697" t="str" cm="1">
        <f t="array" ref="U697">_xlfn.IFS(M697&lt;=34,"YOUNG",M697&lt;=54,"MIDDLE AGE",M697&gt;=55,"OLD")</f>
        <v>OLD</v>
      </c>
      <c r="V697" t="str">
        <f t="shared" si="43"/>
        <v>NORMAL</v>
      </c>
    </row>
    <row r="698" spans="1:22" x14ac:dyDescent="0.35">
      <c r="A698" t="s">
        <v>2099</v>
      </c>
      <c r="B698" t="s">
        <v>2056</v>
      </c>
      <c r="C698">
        <v>183.67</v>
      </c>
      <c r="D698" s="1">
        <v>45103.674641203703</v>
      </c>
      <c r="E698" s="2">
        <f t="shared" si="40"/>
        <v>0.67464120370277669</v>
      </c>
      <c r="F698" s="3">
        <f t="shared" si="41"/>
        <v>45103</v>
      </c>
      <c r="G698" t="s">
        <v>17</v>
      </c>
      <c r="H698" t="s">
        <v>18</v>
      </c>
      <c r="I698" t="s">
        <v>41</v>
      </c>
      <c r="J698" t="s">
        <v>542</v>
      </c>
      <c r="K698" t="s">
        <v>674</v>
      </c>
      <c r="L698" t="s">
        <v>36</v>
      </c>
      <c r="M698">
        <v>19</v>
      </c>
      <c r="N698" t="s">
        <v>37</v>
      </c>
      <c r="O698">
        <v>238</v>
      </c>
      <c r="P698">
        <v>1</v>
      </c>
      <c r="Q698">
        <v>910.26</v>
      </c>
      <c r="R698" s="4">
        <v>45600</v>
      </c>
      <c r="S698" s="6">
        <v>0.34103009259259259</v>
      </c>
      <c r="T698">
        <f t="shared" si="42"/>
        <v>16</v>
      </c>
      <c r="U698" t="str" cm="1">
        <f t="array" ref="U698">_xlfn.IFS(M698&lt;=34,"YOUNG",M698&lt;=54,"MIDDLE AGE",M698&gt;=55,"OLD")</f>
        <v>YOUNG</v>
      </c>
      <c r="V698" t="str">
        <f t="shared" si="43"/>
        <v>NORMAL</v>
      </c>
    </row>
    <row r="699" spans="1:22" x14ac:dyDescent="0.35">
      <c r="A699" t="s">
        <v>2100</v>
      </c>
      <c r="B699" t="s">
        <v>989</v>
      </c>
      <c r="C699">
        <v>278.27</v>
      </c>
      <c r="D699" s="1">
        <v>45026.699942129628</v>
      </c>
      <c r="E699" s="2">
        <f t="shared" si="40"/>
        <v>0.69994212962774327</v>
      </c>
      <c r="F699" s="3">
        <f t="shared" si="41"/>
        <v>45026</v>
      </c>
      <c r="G699" t="s">
        <v>17</v>
      </c>
      <c r="H699" t="s">
        <v>255</v>
      </c>
      <c r="I699" t="s">
        <v>461</v>
      </c>
      <c r="J699" t="s">
        <v>1254</v>
      </c>
      <c r="K699" t="s">
        <v>1562</v>
      </c>
      <c r="L699" t="s">
        <v>69</v>
      </c>
      <c r="M699">
        <v>29</v>
      </c>
      <c r="N699" t="s">
        <v>23</v>
      </c>
      <c r="O699">
        <v>123</v>
      </c>
      <c r="P699">
        <v>1</v>
      </c>
      <c r="Q699">
        <v>6684.34</v>
      </c>
      <c r="R699" s="4">
        <v>45600</v>
      </c>
      <c r="S699" s="6">
        <v>0.34025462962962966</v>
      </c>
      <c r="T699">
        <f t="shared" si="42"/>
        <v>16</v>
      </c>
      <c r="U699" t="str" cm="1">
        <f t="array" ref="U699">_xlfn.IFS(M699&lt;=34,"YOUNG",M699&lt;=54,"MIDDLE AGE",M699&gt;=55,"OLD")</f>
        <v>YOUNG</v>
      </c>
      <c r="V699" t="str">
        <f t="shared" si="43"/>
        <v>NORMAL</v>
      </c>
    </row>
    <row r="700" spans="1:22" x14ac:dyDescent="0.35">
      <c r="A700" t="s">
        <v>2101</v>
      </c>
      <c r="B700" t="s">
        <v>2102</v>
      </c>
      <c r="C700">
        <v>470.3</v>
      </c>
      <c r="D700" s="1">
        <v>45181.782465277778</v>
      </c>
      <c r="E700" s="2">
        <f t="shared" si="40"/>
        <v>0.78246527777810115</v>
      </c>
      <c r="F700" s="3">
        <f t="shared" si="41"/>
        <v>45181</v>
      </c>
      <c r="G700" t="s">
        <v>17</v>
      </c>
      <c r="H700" t="s">
        <v>119</v>
      </c>
      <c r="I700" t="s">
        <v>2103</v>
      </c>
      <c r="J700" t="s">
        <v>2104</v>
      </c>
      <c r="K700" t="s">
        <v>50</v>
      </c>
      <c r="L700" t="s">
        <v>22</v>
      </c>
      <c r="M700">
        <v>40</v>
      </c>
      <c r="N700" t="s">
        <v>23</v>
      </c>
      <c r="O700">
        <v>88</v>
      </c>
      <c r="P700">
        <v>1</v>
      </c>
      <c r="Q700">
        <v>8524.09</v>
      </c>
      <c r="R700" s="4">
        <v>45600</v>
      </c>
      <c r="S700" s="6">
        <v>0.33888888888888891</v>
      </c>
      <c r="T700">
        <f t="shared" si="42"/>
        <v>18</v>
      </c>
      <c r="U700" t="str" cm="1">
        <f t="array" ref="U700">_xlfn.IFS(M700&lt;=34,"YOUNG",M700&lt;=54,"MIDDLE AGE",M700&gt;=55,"OLD")</f>
        <v>MIDDLE AGE</v>
      </c>
      <c r="V700" t="str">
        <f t="shared" si="43"/>
        <v>NORMAL</v>
      </c>
    </row>
    <row r="701" spans="1:22" x14ac:dyDescent="0.35">
      <c r="A701" t="s">
        <v>2105</v>
      </c>
      <c r="B701" t="s">
        <v>1425</v>
      </c>
      <c r="C701">
        <v>261.69</v>
      </c>
      <c r="D701" s="1">
        <v>45257.728761574072</v>
      </c>
      <c r="E701" s="2">
        <f t="shared" si="40"/>
        <v>0.72876157407154096</v>
      </c>
      <c r="F701" s="3">
        <f t="shared" si="41"/>
        <v>45257</v>
      </c>
      <c r="G701" t="s">
        <v>17</v>
      </c>
      <c r="H701" t="s">
        <v>243</v>
      </c>
      <c r="I701" t="s">
        <v>2106</v>
      </c>
      <c r="J701" t="s">
        <v>2107</v>
      </c>
      <c r="K701" t="s">
        <v>564</v>
      </c>
      <c r="L701" t="s">
        <v>22</v>
      </c>
      <c r="M701">
        <v>53</v>
      </c>
      <c r="N701" t="s">
        <v>70</v>
      </c>
      <c r="O701">
        <v>84</v>
      </c>
      <c r="P701">
        <v>1</v>
      </c>
      <c r="Q701">
        <v>5126.6499999999996</v>
      </c>
      <c r="R701" s="4">
        <v>45600</v>
      </c>
      <c r="S701" s="6">
        <v>0.33968749999999998</v>
      </c>
      <c r="T701">
        <f t="shared" si="42"/>
        <v>17</v>
      </c>
      <c r="U701" t="str" cm="1">
        <f t="array" ref="U701">_xlfn.IFS(M701&lt;=34,"YOUNG",M701&lt;=54,"MIDDLE AGE",M701&gt;=55,"OLD")</f>
        <v>MIDDLE AGE</v>
      </c>
      <c r="V701" t="str">
        <f t="shared" si="43"/>
        <v>NORMAL</v>
      </c>
    </row>
    <row r="702" spans="1:22" x14ac:dyDescent="0.35">
      <c r="A702" t="s">
        <v>2108</v>
      </c>
      <c r="B702" t="s">
        <v>192</v>
      </c>
      <c r="C702">
        <v>365.04</v>
      </c>
      <c r="D702" s="1">
        <v>44991.687465277777</v>
      </c>
      <c r="E702" s="2">
        <f t="shared" si="40"/>
        <v>0.687465277776937</v>
      </c>
      <c r="F702" s="3">
        <f t="shared" si="41"/>
        <v>44991</v>
      </c>
      <c r="G702" t="s">
        <v>17</v>
      </c>
      <c r="H702" t="s">
        <v>301</v>
      </c>
      <c r="I702" t="s">
        <v>184</v>
      </c>
      <c r="J702" t="s">
        <v>1208</v>
      </c>
      <c r="K702" t="s">
        <v>362</v>
      </c>
      <c r="L702" t="s">
        <v>69</v>
      </c>
      <c r="M702">
        <v>22</v>
      </c>
      <c r="N702" t="s">
        <v>37</v>
      </c>
      <c r="O702">
        <v>94</v>
      </c>
      <c r="P702">
        <v>1</v>
      </c>
      <c r="Q702">
        <v>873.89</v>
      </c>
      <c r="R702" s="4">
        <v>45600</v>
      </c>
      <c r="S702" s="6">
        <v>0.34175925925925926</v>
      </c>
      <c r="T702">
        <f t="shared" si="42"/>
        <v>16</v>
      </c>
      <c r="U702" t="str" cm="1">
        <f t="array" ref="U702">_xlfn.IFS(M702&lt;=34,"YOUNG",M702&lt;=54,"MIDDLE AGE",M702&gt;=55,"OLD")</f>
        <v>YOUNG</v>
      </c>
      <c r="V702" t="str">
        <f t="shared" si="43"/>
        <v>NORMAL</v>
      </c>
    </row>
    <row r="703" spans="1:22" x14ac:dyDescent="0.35">
      <c r="A703" t="s">
        <v>2109</v>
      </c>
      <c r="B703" t="s">
        <v>1814</v>
      </c>
      <c r="C703">
        <v>211.1</v>
      </c>
      <c r="D703" s="1">
        <v>45183.707499999997</v>
      </c>
      <c r="E703" s="2">
        <f t="shared" si="40"/>
        <v>0.70749999999679858</v>
      </c>
      <c r="F703" s="3">
        <f t="shared" si="41"/>
        <v>45183</v>
      </c>
      <c r="G703" t="s">
        <v>17</v>
      </c>
      <c r="H703" t="s">
        <v>172</v>
      </c>
      <c r="I703" t="s">
        <v>2110</v>
      </c>
      <c r="J703" t="s">
        <v>2111</v>
      </c>
      <c r="K703" t="s">
        <v>272</v>
      </c>
      <c r="L703" t="s">
        <v>69</v>
      </c>
      <c r="M703">
        <v>57</v>
      </c>
      <c r="N703" t="s">
        <v>70</v>
      </c>
      <c r="O703">
        <v>136</v>
      </c>
      <c r="P703">
        <v>1</v>
      </c>
      <c r="Q703">
        <v>7059.77</v>
      </c>
      <c r="R703" s="4">
        <v>45600</v>
      </c>
      <c r="S703" s="6">
        <v>0.3382060185185185</v>
      </c>
      <c r="T703">
        <f t="shared" si="42"/>
        <v>16</v>
      </c>
      <c r="U703" t="str" cm="1">
        <f t="array" ref="U703">_xlfn.IFS(M703&lt;=34,"YOUNG",M703&lt;=54,"MIDDLE AGE",M703&gt;=55,"OLD")</f>
        <v>OLD</v>
      </c>
      <c r="V703" t="str">
        <f t="shared" si="43"/>
        <v>NORMAL</v>
      </c>
    </row>
    <row r="704" spans="1:22" x14ac:dyDescent="0.35">
      <c r="A704" t="s">
        <v>2112</v>
      </c>
      <c r="B704" t="s">
        <v>712</v>
      </c>
      <c r="C704">
        <v>21.49</v>
      </c>
      <c r="D704" s="1">
        <v>45050.702280092592</v>
      </c>
      <c r="E704" s="2">
        <f t="shared" si="40"/>
        <v>0.70228009259153623</v>
      </c>
      <c r="F704" s="3">
        <f t="shared" si="41"/>
        <v>45050</v>
      </c>
      <c r="G704" t="s">
        <v>17</v>
      </c>
      <c r="H704" t="s">
        <v>114</v>
      </c>
      <c r="I704" t="s">
        <v>713</v>
      </c>
      <c r="J704" t="s">
        <v>473</v>
      </c>
      <c r="K704" t="s">
        <v>1345</v>
      </c>
      <c r="L704" t="s">
        <v>22</v>
      </c>
      <c r="M704">
        <v>58</v>
      </c>
      <c r="N704" t="s">
        <v>23</v>
      </c>
      <c r="O704">
        <v>240</v>
      </c>
      <c r="P704">
        <v>1</v>
      </c>
      <c r="Q704">
        <v>11991.24</v>
      </c>
      <c r="R704" s="4">
        <v>45600</v>
      </c>
      <c r="S704" s="6">
        <v>0.33898148148148149</v>
      </c>
      <c r="T704">
        <f t="shared" si="42"/>
        <v>16</v>
      </c>
      <c r="U704" t="str" cm="1">
        <f t="array" ref="U704">_xlfn.IFS(M704&lt;=34,"YOUNG",M704&lt;=54,"MIDDLE AGE",M704&gt;=55,"OLD")</f>
        <v>OLD</v>
      </c>
      <c r="V704" t="str">
        <f t="shared" si="43"/>
        <v>NORMAL</v>
      </c>
    </row>
    <row r="705" spans="1:22" x14ac:dyDescent="0.35">
      <c r="A705" t="s">
        <v>2113</v>
      </c>
      <c r="B705" t="s">
        <v>434</v>
      </c>
      <c r="C705">
        <v>63.58</v>
      </c>
      <c r="D705" s="1">
        <v>45180.738356481481</v>
      </c>
      <c r="E705" s="2">
        <f t="shared" si="40"/>
        <v>0.73835648148087785</v>
      </c>
      <c r="F705" s="3">
        <f t="shared" si="41"/>
        <v>45180</v>
      </c>
      <c r="G705" t="s">
        <v>17</v>
      </c>
      <c r="H705" t="s">
        <v>125</v>
      </c>
      <c r="I705" t="s">
        <v>2114</v>
      </c>
      <c r="J705" t="s">
        <v>673</v>
      </c>
      <c r="K705" t="s">
        <v>482</v>
      </c>
      <c r="L705" t="s">
        <v>22</v>
      </c>
      <c r="M705">
        <v>18</v>
      </c>
      <c r="N705" t="s">
        <v>37</v>
      </c>
      <c r="O705">
        <v>199</v>
      </c>
      <c r="P705">
        <v>1</v>
      </c>
      <c r="Q705">
        <v>8086.04</v>
      </c>
      <c r="R705" s="4">
        <v>45600</v>
      </c>
      <c r="S705" s="6">
        <v>0.34162037037037035</v>
      </c>
      <c r="T705">
        <f t="shared" si="42"/>
        <v>17</v>
      </c>
      <c r="U705" t="str" cm="1">
        <f t="array" ref="U705">_xlfn.IFS(M705&lt;=34,"YOUNG",M705&lt;=54,"MIDDLE AGE",M705&gt;=55,"OLD")</f>
        <v>YOUNG</v>
      </c>
      <c r="V705" t="str">
        <f t="shared" si="43"/>
        <v>NORMAL</v>
      </c>
    </row>
    <row r="706" spans="1:22" x14ac:dyDescent="0.35">
      <c r="A706" t="s">
        <v>2115</v>
      </c>
      <c r="B706" t="s">
        <v>581</v>
      </c>
      <c r="C706">
        <v>321.86</v>
      </c>
      <c r="D706" s="1">
        <v>45131.684618055559</v>
      </c>
      <c r="E706" s="2">
        <f t="shared" ref="E706:E769" si="44">D706-INT(D706)</f>
        <v>0.68461805555853061</v>
      </c>
      <c r="F706" s="3">
        <f t="shared" ref="F706:F769" si="45">INT(D706)</f>
        <v>45131</v>
      </c>
      <c r="G706" t="s">
        <v>17</v>
      </c>
      <c r="H706" t="s">
        <v>237</v>
      </c>
      <c r="I706" t="s">
        <v>2116</v>
      </c>
      <c r="J706" t="s">
        <v>1605</v>
      </c>
      <c r="K706" t="s">
        <v>262</v>
      </c>
      <c r="L706" t="s">
        <v>22</v>
      </c>
      <c r="M706">
        <v>63</v>
      </c>
      <c r="N706" t="s">
        <v>23</v>
      </c>
      <c r="O706">
        <v>167</v>
      </c>
      <c r="P706">
        <v>1</v>
      </c>
      <c r="Q706">
        <v>12626.49</v>
      </c>
      <c r="R706" s="4">
        <v>45600</v>
      </c>
      <c r="S706" s="6">
        <v>0.3379050925925926</v>
      </c>
      <c r="T706">
        <f t="shared" si="42"/>
        <v>16</v>
      </c>
      <c r="U706" t="str" cm="1">
        <f t="array" ref="U706">_xlfn.IFS(M706&lt;=34,"YOUNG",M706&lt;=54,"MIDDLE AGE",M706&gt;=55,"OLD")</f>
        <v>OLD</v>
      </c>
      <c r="V706" t="str">
        <f t="shared" si="43"/>
        <v>NORMAL</v>
      </c>
    </row>
    <row r="707" spans="1:22" x14ac:dyDescent="0.35">
      <c r="A707" t="s">
        <v>2117</v>
      </c>
      <c r="B707" t="s">
        <v>2118</v>
      </c>
      <c r="C707">
        <v>12.11</v>
      </c>
      <c r="D707" s="1">
        <v>45272.678784722222</v>
      </c>
      <c r="E707" s="2">
        <f t="shared" si="44"/>
        <v>0.67878472222218988</v>
      </c>
      <c r="F707" s="3">
        <f t="shared" si="45"/>
        <v>45272</v>
      </c>
      <c r="G707" t="s">
        <v>17</v>
      </c>
      <c r="H707" t="s">
        <v>392</v>
      </c>
      <c r="I707" t="s">
        <v>2119</v>
      </c>
      <c r="J707" t="s">
        <v>2120</v>
      </c>
      <c r="K707" t="s">
        <v>858</v>
      </c>
      <c r="L707" t="s">
        <v>69</v>
      </c>
      <c r="M707">
        <v>75</v>
      </c>
      <c r="N707" t="s">
        <v>70</v>
      </c>
      <c r="O707">
        <v>127</v>
      </c>
      <c r="P707">
        <v>1</v>
      </c>
      <c r="Q707">
        <v>1730.28</v>
      </c>
      <c r="R707" s="4">
        <v>45600</v>
      </c>
      <c r="S707" s="6">
        <v>0.33831018518518519</v>
      </c>
      <c r="T707">
        <f t="shared" ref="T707:T770" si="46">HOUR(E707)</f>
        <v>16</v>
      </c>
      <c r="U707" t="str" cm="1">
        <f t="array" ref="U707">_xlfn.IFS(M707&lt;=34,"YOUNG",M707&lt;=54,"MIDDLE AGE",M707&gt;=55,"OLD")</f>
        <v>OLD</v>
      </c>
      <c r="V707" t="str">
        <f t="shared" ref="V707:V770" si="47">IF(P707&gt;1,"HIGH","NORMAL")</f>
        <v>NORMAL</v>
      </c>
    </row>
    <row r="708" spans="1:22" x14ac:dyDescent="0.35">
      <c r="A708" t="s">
        <v>2121</v>
      </c>
      <c r="B708" t="s">
        <v>935</v>
      </c>
      <c r="C708">
        <v>642.54</v>
      </c>
      <c r="D708" s="1">
        <v>45056.784259259257</v>
      </c>
      <c r="E708" s="2">
        <f t="shared" si="44"/>
        <v>0.78425925925694173</v>
      </c>
      <c r="F708" s="3">
        <f t="shared" si="45"/>
        <v>45056</v>
      </c>
      <c r="G708" t="s">
        <v>17</v>
      </c>
      <c r="H708" t="s">
        <v>178</v>
      </c>
      <c r="I708" t="s">
        <v>579</v>
      </c>
      <c r="J708" t="s">
        <v>1819</v>
      </c>
      <c r="K708" t="s">
        <v>105</v>
      </c>
      <c r="L708" t="s">
        <v>69</v>
      </c>
      <c r="M708">
        <v>44</v>
      </c>
      <c r="N708" t="s">
        <v>77</v>
      </c>
      <c r="O708">
        <v>28</v>
      </c>
      <c r="P708">
        <v>1</v>
      </c>
      <c r="Q708">
        <v>3143.17</v>
      </c>
      <c r="R708" s="4">
        <v>45600</v>
      </c>
      <c r="S708" s="6">
        <v>0.34070601851851851</v>
      </c>
      <c r="T708">
        <f t="shared" si="46"/>
        <v>18</v>
      </c>
      <c r="U708" t="str" cm="1">
        <f t="array" ref="U708">_xlfn.IFS(M708&lt;=34,"YOUNG",M708&lt;=54,"MIDDLE AGE",M708&gt;=55,"OLD")</f>
        <v>MIDDLE AGE</v>
      </c>
      <c r="V708" t="str">
        <f t="shared" si="47"/>
        <v>NORMAL</v>
      </c>
    </row>
    <row r="709" spans="1:22" x14ac:dyDescent="0.35">
      <c r="A709" t="s">
        <v>2122</v>
      </c>
      <c r="B709" t="s">
        <v>698</v>
      </c>
      <c r="C709">
        <v>210.45</v>
      </c>
      <c r="D709" s="1">
        <v>45271.699363425927</v>
      </c>
      <c r="E709" s="2">
        <f t="shared" si="44"/>
        <v>0.69936342592700385</v>
      </c>
      <c r="F709" s="3">
        <f t="shared" si="45"/>
        <v>45271</v>
      </c>
      <c r="G709" t="s">
        <v>17</v>
      </c>
      <c r="H709" t="s">
        <v>146</v>
      </c>
      <c r="I709" t="s">
        <v>2123</v>
      </c>
      <c r="J709" t="s">
        <v>1779</v>
      </c>
      <c r="K709" t="s">
        <v>1349</v>
      </c>
      <c r="L709" t="s">
        <v>22</v>
      </c>
      <c r="M709">
        <v>27</v>
      </c>
      <c r="N709" t="s">
        <v>37</v>
      </c>
      <c r="O709">
        <v>146</v>
      </c>
      <c r="P709">
        <v>1</v>
      </c>
      <c r="Q709">
        <v>1242.49</v>
      </c>
      <c r="R709" s="4">
        <v>45600</v>
      </c>
      <c r="S709" s="6">
        <v>0.33777777777777779</v>
      </c>
      <c r="T709">
        <f t="shared" si="46"/>
        <v>16</v>
      </c>
      <c r="U709" t="str" cm="1">
        <f t="array" ref="U709">_xlfn.IFS(M709&lt;=34,"YOUNG",M709&lt;=54,"MIDDLE AGE",M709&gt;=55,"OLD")</f>
        <v>YOUNG</v>
      </c>
      <c r="V709" t="str">
        <f t="shared" si="47"/>
        <v>NORMAL</v>
      </c>
    </row>
    <row r="710" spans="1:22" x14ac:dyDescent="0.35">
      <c r="A710" t="s">
        <v>2124</v>
      </c>
      <c r="B710" t="s">
        <v>2125</v>
      </c>
      <c r="C710">
        <v>313.64999999999998</v>
      </c>
      <c r="D710" s="1">
        <v>44956.672303240739</v>
      </c>
      <c r="E710" s="2">
        <f t="shared" si="44"/>
        <v>0.67230324073898373</v>
      </c>
      <c r="F710" s="3">
        <f t="shared" si="45"/>
        <v>44956</v>
      </c>
      <c r="G710" t="s">
        <v>46</v>
      </c>
      <c r="H710" t="s">
        <v>265</v>
      </c>
      <c r="I710" t="s">
        <v>2126</v>
      </c>
      <c r="J710" t="s">
        <v>1262</v>
      </c>
      <c r="K710" t="s">
        <v>111</v>
      </c>
      <c r="L710" t="s">
        <v>69</v>
      </c>
      <c r="M710">
        <v>55</v>
      </c>
      <c r="N710" t="s">
        <v>70</v>
      </c>
      <c r="O710">
        <v>173</v>
      </c>
      <c r="P710">
        <v>1</v>
      </c>
      <c r="Q710">
        <v>1886.36</v>
      </c>
      <c r="R710" s="4">
        <v>45600</v>
      </c>
      <c r="S710" s="6">
        <v>0.34084490740740742</v>
      </c>
      <c r="T710">
        <f t="shared" si="46"/>
        <v>16</v>
      </c>
      <c r="U710" t="str" cm="1">
        <f t="array" ref="U710">_xlfn.IFS(M710&lt;=34,"YOUNG",M710&lt;=54,"MIDDLE AGE",M710&gt;=55,"OLD")</f>
        <v>OLD</v>
      </c>
      <c r="V710" t="str">
        <f t="shared" si="47"/>
        <v>NORMAL</v>
      </c>
    </row>
    <row r="711" spans="1:22" x14ac:dyDescent="0.35">
      <c r="A711" t="s">
        <v>2127</v>
      </c>
      <c r="B711" t="s">
        <v>2128</v>
      </c>
      <c r="C711">
        <v>99.76</v>
      </c>
      <c r="D711" s="1">
        <v>45145.68167824074</v>
      </c>
      <c r="E711" s="2">
        <f t="shared" si="44"/>
        <v>0.68167824074043892</v>
      </c>
      <c r="F711" s="3">
        <f t="shared" si="45"/>
        <v>45145</v>
      </c>
      <c r="G711" t="s">
        <v>17</v>
      </c>
      <c r="H711" t="s">
        <v>285</v>
      </c>
      <c r="I711" t="s">
        <v>1584</v>
      </c>
      <c r="J711" t="s">
        <v>2129</v>
      </c>
      <c r="K711" t="s">
        <v>137</v>
      </c>
      <c r="L711" t="s">
        <v>69</v>
      </c>
      <c r="M711">
        <v>26</v>
      </c>
      <c r="N711" t="s">
        <v>37</v>
      </c>
      <c r="O711">
        <v>131</v>
      </c>
      <c r="P711">
        <v>1</v>
      </c>
      <c r="Q711">
        <v>416.89</v>
      </c>
      <c r="R711" s="4">
        <v>45600</v>
      </c>
      <c r="S711" s="6">
        <v>0.33780092592592592</v>
      </c>
      <c r="T711">
        <f t="shared" si="46"/>
        <v>16</v>
      </c>
      <c r="U711" t="str" cm="1">
        <f t="array" ref="U711">_xlfn.IFS(M711&lt;=34,"YOUNG",M711&lt;=54,"MIDDLE AGE",M711&gt;=55,"OLD")</f>
        <v>YOUNG</v>
      </c>
      <c r="V711" t="str">
        <f t="shared" si="47"/>
        <v>NORMAL</v>
      </c>
    </row>
    <row r="712" spans="1:22" x14ac:dyDescent="0.35">
      <c r="A712" t="s">
        <v>2130</v>
      </c>
      <c r="B712" t="s">
        <v>183</v>
      </c>
      <c r="C712">
        <v>115.32</v>
      </c>
      <c r="D712" s="1">
        <v>45132.725081018521</v>
      </c>
      <c r="E712" s="2">
        <f t="shared" si="44"/>
        <v>0.72508101852145046</v>
      </c>
      <c r="F712" s="3">
        <f t="shared" si="45"/>
        <v>45132</v>
      </c>
      <c r="G712" t="s">
        <v>17</v>
      </c>
      <c r="H712" t="s">
        <v>114</v>
      </c>
      <c r="I712" t="s">
        <v>579</v>
      </c>
      <c r="J712" t="s">
        <v>2131</v>
      </c>
      <c r="K712" t="s">
        <v>326</v>
      </c>
      <c r="L712" t="s">
        <v>69</v>
      </c>
      <c r="M712">
        <v>53</v>
      </c>
      <c r="N712" t="s">
        <v>70</v>
      </c>
      <c r="O712">
        <v>113</v>
      </c>
      <c r="P712">
        <v>1</v>
      </c>
      <c r="Q712">
        <v>5929.08</v>
      </c>
      <c r="R712" s="4">
        <v>45600</v>
      </c>
      <c r="S712" s="6">
        <v>0.33930555555555558</v>
      </c>
      <c r="T712">
        <f t="shared" si="46"/>
        <v>17</v>
      </c>
      <c r="U712" t="str" cm="1">
        <f t="array" ref="U712">_xlfn.IFS(M712&lt;=34,"YOUNG",M712&lt;=54,"MIDDLE AGE",M712&gt;=55,"OLD")</f>
        <v>MIDDLE AGE</v>
      </c>
      <c r="V712" t="str">
        <f t="shared" si="47"/>
        <v>NORMAL</v>
      </c>
    </row>
    <row r="713" spans="1:22" x14ac:dyDescent="0.35">
      <c r="A713" t="s">
        <v>2132</v>
      </c>
      <c r="B713" t="s">
        <v>2133</v>
      </c>
      <c r="C713">
        <v>33.61</v>
      </c>
      <c r="D713" s="1">
        <v>45159.725694444445</v>
      </c>
      <c r="E713" s="2">
        <f t="shared" si="44"/>
        <v>0.72569444444525288</v>
      </c>
      <c r="F713" s="3">
        <f t="shared" si="45"/>
        <v>45159</v>
      </c>
      <c r="G713" t="s">
        <v>17</v>
      </c>
      <c r="H713" t="s">
        <v>178</v>
      </c>
      <c r="I713" t="s">
        <v>1610</v>
      </c>
      <c r="J713" t="s">
        <v>1641</v>
      </c>
      <c r="K713" t="s">
        <v>240</v>
      </c>
      <c r="L713" t="s">
        <v>36</v>
      </c>
      <c r="M713">
        <v>23</v>
      </c>
      <c r="N713" t="s">
        <v>37</v>
      </c>
      <c r="O713">
        <v>72</v>
      </c>
      <c r="P713">
        <v>1</v>
      </c>
      <c r="Q713">
        <v>479.08</v>
      </c>
      <c r="R713" s="4">
        <v>45600</v>
      </c>
      <c r="S713" s="6">
        <v>0.33935185185185185</v>
      </c>
      <c r="T713">
        <f t="shared" si="46"/>
        <v>17</v>
      </c>
      <c r="U713" t="str" cm="1">
        <f t="array" ref="U713">_xlfn.IFS(M713&lt;=34,"YOUNG",M713&lt;=54,"MIDDLE AGE",M713&gt;=55,"OLD")</f>
        <v>YOUNG</v>
      </c>
      <c r="V713" t="str">
        <f t="shared" si="47"/>
        <v>NORMAL</v>
      </c>
    </row>
    <row r="714" spans="1:22" x14ac:dyDescent="0.35">
      <c r="A714" t="s">
        <v>2134</v>
      </c>
      <c r="B714" t="s">
        <v>1745</v>
      </c>
      <c r="C714">
        <v>498.59</v>
      </c>
      <c r="D714" s="1">
        <v>44956.680856481478</v>
      </c>
      <c r="E714" s="2">
        <f t="shared" si="44"/>
        <v>0.6808564814782585</v>
      </c>
      <c r="F714" s="3">
        <f t="shared" si="45"/>
        <v>44956</v>
      </c>
      <c r="G714" t="s">
        <v>46</v>
      </c>
      <c r="H714" t="s">
        <v>53</v>
      </c>
      <c r="I714" t="s">
        <v>1685</v>
      </c>
      <c r="J714" t="s">
        <v>1443</v>
      </c>
      <c r="K714" t="s">
        <v>418</v>
      </c>
      <c r="L714" t="s">
        <v>36</v>
      </c>
      <c r="M714">
        <v>33</v>
      </c>
      <c r="N714" t="s">
        <v>23</v>
      </c>
      <c r="O714">
        <v>32</v>
      </c>
      <c r="P714">
        <v>1</v>
      </c>
      <c r="Q714">
        <v>5862.99</v>
      </c>
      <c r="R714" s="4">
        <v>45600</v>
      </c>
      <c r="S714" s="6">
        <v>0.33817129629629628</v>
      </c>
      <c r="T714">
        <f t="shared" si="46"/>
        <v>16</v>
      </c>
      <c r="U714" t="str" cm="1">
        <f t="array" ref="U714">_xlfn.IFS(M714&lt;=34,"YOUNG",M714&lt;=54,"MIDDLE AGE",M714&gt;=55,"OLD")</f>
        <v>YOUNG</v>
      </c>
      <c r="V714" t="str">
        <f t="shared" si="47"/>
        <v>NORMAL</v>
      </c>
    </row>
    <row r="715" spans="1:22" x14ac:dyDescent="0.35">
      <c r="A715" t="s">
        <v>2135</v>
      </c>
      <c r="B715" t="s">
        <v>621</v>
      </c>
      <c r="C715">
        <v>98.81</v>
      </c>
      <c r="D715" s="1">
        <v>45173.700150462966</v>
      </c>
      <c r="E715" s="2">
        <f t="shared" si="44"/>
        <v>0.70015046296612127</v>
      </c>
      <c r="F715" s="3">
        <f t="shared" si="45"/>
        <v>45173</v>
      </c>
      <c r="G715" t="s">
        <v>17</v>
      </c>
      <c r="H715" t="s">
        <v>212</v>
      </c>
      <c r="I715" t="s">
        <v>1588</v>
      </c>
      <c r="J715" t="s">
        <v>1249</v>
      </c>
      <c r="K715" t="s">
        <v>478</v>
      </c>
      <c r="L715" t="s">
        <v>69</v>
      </c>
      <c r="M715">
        <v>27</v>
      </c>
      <c r="N715" t="s">
        <v>37</v>
      </c>
      <c r="O715">
        <v>91</v>
      </c>
      <c r="P715">
        <v>1</v>
      </c>
      <c r="Q715">
        <v>797.1</v>
      </c>
      <c r="R715" s="4">
        <v>45600</v>
      </c>
      <c r="S715" s="6">
        <v>0.33901620370370372</v>
      </c>
      <c r="T715">
        <f t="shared" si="46"/>
        <v>16</v>
      </c>
      <c r="U715" t="str" cm="1">
        <f t="array" ref="U715">_xlfn.IFS(M715&lt;=34,"YOUNG",M715&lt;=54,"MIDDLE AGE",M715&gt;=55,"OLD")</f>
        <v>YOUNG</v>
      </c>
      <c r="V715" t="str">
        <f t="shared" si="47"/>
        <v>NORMAL</v>
      </c>
    </row>
    <row r="716" spans="1:22" x14ac:dyDescent="0.35">
      <c r="A716" t="s">
        <v>2136</v>
      </c>
      <c r="B716" t="s">
        <v>974</v>
      </c>
      <c r="C716">
        <v>1.87</v>
      </c>
      <c r="D716" s="1">
        <v>45219.774085648147</v>
      </c>
      <c r="E716" s="2">
        <f t="shared" si="44"/>
        <v>0.77408564814686542</v>
      </c>
      <c r="F716" s="3">
        <f t="shared" si="45"/>
        <v>45219</v>
      </c>
      <c r="G716" t="s">
        <v>17</v>
      </c>
      <c r="H716" t="s">
        <v>453</v>
      </c>
      <c r="I716" t="s">
        <v>1721</v>
      </c>
      <c r="J716" t="s">
        <v>811</v>
      </c>
      <c r="K716" t="s">
        <v>240</v>
      </c>
      <c r="L716" t="s">
        <v>22</v>
      </c>
      <c r="M716">
        <v>65</v>
      </c>
      <c r="N716" t="s">
        <v>70</v>
      </c>
      <c r="O716">
        <v>147</v>
      </c>
      <c r="P716">
        <v>1</v>
      </c>
      <c r="Q716">
        <v>7287.94</v>
      </c>
      <c r="R716" s="4">
        <v>45600</v>
      </c>
      <c r="S716" s="6">
        <v>0.34013888888888888</v>
      </c>
      <c r="T716">
        <f t="shared" si="46"/>
        <v>18</v>
      </c>
      <c r="U716" t="str" cm="1">
        <f t="array" ref="U716">_xlfn.IFS(M716&lt;=34,"YOUNG",M716&lt;=54,"MIDDLE AGE",M716&gt;=55,"OLD")</f>
        <v>OLD</v>
      </c>
      <c r="V716" t="str">
        <f t="shared" si="47"/>
        <v>NORMAL</v>
      </c>
    </row>
    <row r="717" spans="1:22" x14ac:dyDescent="0.35">
      <c r="A717" t="s">
        <v>2137</v>
      </c>
      <c r="B717" t="s">
        <v>777</v>
      </c>
      <c r="C717">
        <v>78.92</v>
      </c>
      <c r="D717" s="1">
        <v>45092.790069444447</v>
      </c>
      <c r="E717" s="2">
        <f t="shared" si="44"/>
        <v>0.79006944444699911</v>
      </c>
      <c r="F717" s="3">
        <f t="shared" si="45"/>
        <v>45092</v>
      </c>
      <c r="G717" t="s">
        <v>46</v>
      </c>
      <c r="H717" t="s">
        <v>392</v>
      </c>
      <c r="I717" t="s">
        <v>622</v>
      </c>
      <c r="J717" t="s">
        <v>496</v>
      </c>
      <c r="K717" t="s">
        <v>326</v>
      </c>
      <c r="L717" t="s">
        <v>36</v>
      </c>
      <c r="M717">
        <v>59</v>
      </c>
      <c r="N717" t="s">
        <v>77</v>
      </c>
      <c r="O717">
        <v>95</v>
      </c>
      <c r="P717">
        <v>1</v>
      </c>
      <c r="Q717">
        <v>5624.86</v>
      </c>
      <c r="R717" s="4">
        <v>45600</v>
      </c>
      <c r="S717" s="6">
        <v>0.33921296296296294</v>
      </c>
      <c r="T717">
        <f t="shared" si="46"/>
        <v>18</v>
      </c>
      <c r="U717" t="str" cm="1">
        <f t="array" ref="U717">_xlfn.IFS(M717&lt;=34,"YOUNG",M717&lt;=54,"MIDDLE AGE",M717&gt;=55,"OLD")</f>
        <v>OLD</v>
      </c>
      <c r="V717" t="str">
        <f t="shared" si="47"/>
        <v>NORMAL</v>
      </c>
    </row>
    <row r="718" spans="1:22" x14ac:dyDescent="0.35">
      <c r="A718" t="s">
        <v>2138</v>
      </c>
      <c r="B718" t="s">
        <v>1206</v>
      </c>
      <c r="C718">
        <v>194.29</v>
      </c>
      <c r="D718" s="1">
        <v>44949.670624999999</v>
      </c>
      <c r="E718" s="2">
        <f t="shared" si="44"/>
        <v>0.67062499999883585</v>
      </c>
      <c r="F718" s="3">
        <f t="shared" si="45"/>
        <v>44949</v>
      </c>
      <c r="G718" t="s">
        <v>46</v>
      </c>
      <c r="H718" t="s">
        <v>59</v>
      </c>
      <c r="I718" t="s">
        <v>2139</v>
      </c>
      <c r="J718" t="s">
        <v>2140</v>
      </c>
      <c r="K718" t="s">
        <v>128</v>
      </c>
      <c r="L718" t="s">
        <v>69</v>
      </c>
      <c r="M718">
        <v>39</v>
      </c>
      <c r="N718" t="s">
        <v>77</v>
      </c>
      <c r="O718">
        <v>10</v>
      </c>
      <c r="P718">
        <v>1</v>
      </c>
      <c r="Q718">
        <v>2988.41</v>
      </c>
      <c r="R718" s="4">
        <v>45600</v>
      </c>
      <c r="S718" s="6">
        <v>0.33954861111111112</v>
      </c>
      <c r="T718">
        <f t="shared" si="46"/>
        <v>16</v>
      </c>
      <c r="U718" t="str" cm="1">
        <f t="array" ref="U718">_xlfn.IFS(M718&lt;=34,"YOUNG",M718&lt;=54,"MIDDLE AGE",M718&gt;=55,"OLD")</f>
        <v>MIDDLE AGE</v>
      </c>
      <c r="V718" t="str">
        <f t="shared" si="47"/>
        <v>NORMAL</v>
      </c>
    </row>
    <row r="719" spans="1:22" x14ac:dyDescent="0.35">
      <c r="A719" t="s">
        <v>2141</v>
      </c>
      <c r="B719" t="s">
        <v>1982</v>
      </c>
      <c r="C719">
        <v>28.73</v>
      </c>
      <c r="D719" s="1">
        <v>45230.67496527778</v>
      </c>
      <c r="E719" s="2">
        <f t="shared" si="44"/>
        <v>0.67496527777984738</v>
      </c>
      <c r="F719" s="3">
        <f t="shared" si="45"/>
        <v>45230</v>
      </c>
      <c r="G719" t="s">
        <v>17</v>
      </c>
      <c r="H719" t="s">
        <v>291</v>
      </c>
      <c r="I719" t="s">
        <v>2142</v>
      </c>
      <c r="J719" t="s">
        <v>783</v>
      </c>
      <c r="K719" t="s">
        <v>1810</v>
      </c>
      <c r="L719" t="s">
        <v>22</v>
      </c>
      <c r="M719">
        <v>53</v>
      </c>
      <c r="N719" t="s">
        <v>77</v>
      </c>
      <c r="O719">
        <v>185</v>
      </c>
      <c r="P719">
        <v>1</v>
      </c>
      <c r="Q719">
        <v>2712.96</v>
      </c>
      <c r="R719" s="4">
        <v>45600</v>
      </c>
      <c r="S719" s="6">
        <v>0.33931712962962962</v>
      </c>
      <c r="T719">
        <f t="shared" si="46"/>
        <v>16</v>
      </c>
      <c r="U719" t="str" cm="1">
        <f t="array" ref="U719">_xlfn.IFS(M719&lt;=34,"YOUNG",M719&lt;=54,"MIDDLE AGE",M719&gt;=55,"OLD")</f>
        <v>MIDDLE AGE</v>
      </c>
      <c r="V719" t="str">
        <f t="shared" si="47"/>
        <v>NORMAL</v>
      </c>
    </row>
    <row r="720" spans="1:22" x14ac:dyDescent="0.35">
      <c r="A720" t="s">
        <v>2143</v>
      </c>
      <c r="B720" t="s">
        <v>1781</v>
      </c>
      <c r="C720">
        <v>105.53</v>
      </c>
      <c r="D720" s="1">
        <v>45093.69189814815</v>
      </c>
      <c r="E720" s="2">
        <f t="shared" si="44"/>
        <v>0.69189814815035788</v>
      </c>
      <c r="F720" s="3">
        <f t="shared" si="45"/>
        <v>45093</v>
      </c>
      <c r="G720" t="s">
        <v>17</v>
      </c>
      <c r="H720" t="s">
        <v>521</v>
      </c>
      <c r="I720" t="s">
        <v>2144</v>
      </c>
      <c r="J720" t="s">
        <v>2145</v>
      </c>
      <c r="K720" t="s">
        <v>607</v>
      </c>
      <c r="L720" t="s">
        <v>36</v>
      </c>
      <c r="M720">
        <v>24</v>
      </c>
      <c r="N720" t="s">
        <v>37</v>
      </c>
      <c r="O720">
        <v>88</v>
      </c>
      <c r="P720">
        <v>1</v>
      </c>
      <c r="Q720">
        <v>1433.66</v>
      </c>
      <c r="R720" s="4">
        <v>45600</v>
      </c>
      <c r="S720" s="6">
        <v>0.34043981481481483</v>
      </c>
      <c r="T720">
        <f t="shared" si="46"/>
        <v>16</v>
      </c>
      <c r="U720" t="str" cm="1">
        <f t="array" ref="U720">_xlfn.IFS(M720&lt;=34,"YOUNG",M720&lt;=54,"MIDDLE AGE",M720&gt;=55,"OLD")</f>
        <v>YOUNG</v>
      </c>
      <c r="V720" t="str">
        <f t="shared" si="47"/>
        <v>NORMAL</v>
      </c>
    </row>
    <row r="721" spans="1:22" x14ac:dyDescent="0.35">
      <c r="A721" t="s">
        <v>2146</v>
      </c>
      <c r="B721" t="s">
        <v>1796</v>
      </c>
      <c r="C721">
        <v>737.34</v>
      </c>
      <c r="D721" s="1">
        <v>45005.739837962959</v>
      </c>
      <c r="E721" s="2">
        <f t="shared" si="44"/>
        <v>0.73983796295942739</v>
      </c>
      <c r="F721" s="3">
        <f t="shared" si="45"/>
        <v>45005</v>
      </c>
      <c r="G721" t="s">
        <v>17</v>
      </c>
      <c r="H721" t="s">
        <v>172</v>
      </c>
      <c r="I721" t="s">
        <v>2147</v>
      </c>
      <c r="J721" t="s">
        <v>281</v>
      </c>
      <c r="K721" t="s">
        <v>598</v>
      </c>
      <c r="L721" t="s">
        <v>36</v>
      </c>
      <c r="M721">
        <v>30</v>
      </c>
      <c r="N721" t="s">
        <v>23</v>
      </c>
      <c r="O721">
        <v>34</v>
      </c>
      <c r="P721">
        <v>1</v>
      </c>
      <c r="Q721">
        <v>7336.56</v>
      </c>
      <c r="R721" s="4">
        <v>45600</v>
      </c>
      <c r="S721" s="6">
        <v>0.33895833333333331</v>
      </c>
      <c r="T721">
        <f t="shared" si="46"/>
        <v>17</v>
      </c>
      <c r="U721" t="str" cm="1">
        <f t="array" ref="U721">_xlfn.IFS(M721&lt;=34,"YOUNG",M721&lt;=54,"MIDDLE AGE",M721&gt;=55,"OLD")</f>
        <v>YOUNG</v>
      </c>
      <c r="V721" t="str">
        <f t="shared" si="47"/>
        <v>NORMAL</v>
      </c>
    </row>
    <row r="722" spans="1:22" x14ac:dyDescent="0.35">
      <c r="A722" t="s">
        <v>2148</v>
      </c>
      <c r="B722" t="s">
        <v>2149</v>
      </c>
      <c r="C722">
        <v>237.86</v>
      </c>
      <c r="D722" s="1">
        <v>44963.742118055554</v>
      </c>
      <c r="E722" s="2">
        <f t="shared" si="44"/>
        <v>0.742118055553874</v>
      </c>
      <c r="F722" s="3">
        <f t="shared" si="45"/>
        <v>44963</v>
      </c>
      <c r="G722" t="s">
        <v>17</v>
      </c>
      <c r="H722" t="s">
        <v>243</v>
      </c>
      <c r="I722" t="s">
        <v>1419</v>
      </c>
      <c r="J722" t="s">
        <v>2150</v>
      </c>
      <c r="K722" t="s">
        <v>252</v>
      </c>
      <c r="L722" t="s">
        <v>22</v>
      </c>
      <c r="M722">
        <v>18</v>
      </c>
      <c r="N722" t="s">
        <v>37</v>
      </c>
      <c r="O722">
        <v>210</v>
      </c>
      <c r="P722">
        <v>1</v>
      </c>
      <c r="Q722">
        <v>475.63</v>
      </c>
      <c r="R722" s="4">
        <v>45600</v>
      </c>
      <c r="S722" s="6">
        <v>0.34050925925925923</v>
      </c>
      <c r="T722">
        <f t="shared" si="46"/>
        <v>17</v>
      </c>
      <c r="U722" t="str" cm="1">
        <f t="array" ref="U722">_xlfn.IFS(M722&lt;=34,"YOUNG",M722&lt;=54,"MIDDLE AGE",M722&gt;=55,"OLD")</f>
        <v>YOUNG</v>
      </c>
      <c r="V722" t="str">
        <f t="shared" si="47"/>
        <v>NORMAL</v>
      </c>
    </row>
    <row r="723" spans="1:22" x14ac:dyDescent="0.35">
      <c r="A723" t="s">
        <v>2151</v>
      </c>
      <c r="B723" t="s">
        <v>1167</v>
      </c>
      <c r="C723">
        <v>409.61</v>
      </c>
      <c r="D723" s="1">
        <v>45133.670694444445</v>
      </c>
      <c r="E723" s="2">
        <f t="shared" si="44"/>
        <v>0.67069444444496185</v>
      </c>
      <c r="F723" s="3">
        <f t="shared" si="45"/>
        <v>45133</v>
      </c>
      <c r="G723" t="s">
        <v>17</v>
      </c>
      <c r="H723" t="s">
        <v>291</v>
      </c>
      <c r="I723" t="s">
        <v>1091</v>
      </c>
      <c r="J723" t="s">
        <v>1852</v>
      </c>
      <c r="K723" t="s">
        <v>1209</v>
      </c>
      <c r="L723" t="s">
        <v>69</v>
      </c>
      <c r="M723">
        <v>65</v>
      </c>
      <c r="N723" t="s">
        <v>23</v>
      </c>
      <c r="O723">
        <v>89</v>
      </c>
      <c r="P723">
        <v>1</v>
      </c>
      <c r="Q723">
        <v>11698.15</v>
      </c>
      <c r="R723" s="4">
        <v>45600</v>
      </c>
      <c r="S723" s="6">
        <v>0.34046296296296297</v>
      </c>
      <c r="T723">
        <f t="shared" si="46"/>
        <v>16</v>
      </c>
      <c r="U723" t="str" cm="1">
        <f t="array" ref="U723">_xlfn.IFS(M723&lt;=34,"YOUNG",M723&lt;=54,"MIDDLE AGE",M723&gt;=55,"OLD")</f>
        <v>OLD</v>
      </c>
      <c r="V723" t="str">
        <f t="shared" si="47"/>
        <v>NORMAL</v>
      </c>
    </row>
    <row r="724" spans="1:22" x14ac:dyDescent="0.35">
      <c r="A724" t="s">
        <v>2152</v>
      </c>
      <c r="B724" t="s">
        <v>1264</v>
      </c>
      <c r="C724">
        <v>75.53</v>
      </c>
      <c r="D724" s="1">
        <v>45159.733391203707</v>
      </c>
      <c r="E724" s="2">
        <f t="shared" si="44"/>
        <v>0.73339120370656019</v>
      </c>
      <c r="F724" s="3">
        <f t="shared" si="45"/>
        <v>45159</v>
      </c>
      <c r="G724" t="s">
        <v>46</v>
      </c>
      <c r="H724" t="s">
        <v>558</v>
      </c>
      <c r="I724" t="s">
        <v>1290</v>
      </c>
      <c r="J724" t="s">
        <v>1683</v>
      </c>
      <c r="K724" t="s">
        <v>35</v>
      </c>
      <c r="L724" t="s">
        <v>36</v>
      </c>
      <c r="M724">
        <v>21</v>
      </c>
      <c r="N724" t="s">
        <v>37</v>
      </c>
      <c r="O724">
        <v>157</v>
      </c>
      <c r="P724">
        <v>1</v>
      </c>
      <c r="Q724">
        <v>1034.3499999999999</v>
      </c>
      <c r="R724" s="4">
        <v>45600</v>
      </c>
      <c r="S724" s="6">
        <v>0.33832175925925928</v>
      </c>
      <c r="T724">
        <f t="shared" si="46"/>
        <v>17</v>
      </c>
      <c r="U724" t="str" cm="1">
        <f t="array" ref="U724">_xlfn.IFS(M724&lt;=34,"YOUNG",M724&lt;=54,"MIDDLE AGE",M724&gt;=55,"OLD")</f>
        <v>YOUNG</v>
      </c>
      <c r="V724" t="str">
        <f t="shared" si="47"/>
        <v>NORMAL</v>
      </c>
    </row>
    <row r="725" spans="1:22" x14ac:dyDescent="0.35">
      <c r="A725" t="s">
        <v>2153</v>
      </c>
      <c r="B725" t="s">
        <v>855</v>
      </c>
      <c r="C725">
        <v>72.75</v>
      </c>
      <c r="D725" s="1">
        <v>45047.687534722223</v>
      </c>
      <c r="E725" s="2">
        <f t="shared" si="44"/>
        <v>0.687534722223063</v>
      </c>
      <c r="F725" s="3">
        <f t="shared" si="45"/>
        <v>45047</v>
      </c>
      <c r="G725" t="s">
        <v>17</v>
      </c>
      <c r="H725" t="s">
        <v>425</v>
      </c>
      <c r="I725" t="s">
        <v>692</v>
      </c>
      <c r="J725" t="s">
        <v>1420</v>
      </c>
      <c r="K725" t="s">
        <v>652</v>
      </c>
      <c r="L725" t="s">
        <v>22</v>
      </c>
      <c r="M725">
        <v>64</v>
      </c>
      <c r="N725" t="s">
        <v>23</v>
      </c>
      <c r="O725">
        <v>15</v>
      </c>
      <c r="P725">
        <v>1</v>
      </c>
      <c r="Q725">
        <v>12042.79</v>
      </c>
      <c r="R725" s="4">
        <v>45600</v>
      </c>
      <c r="S725" s="6">
        <v>0.33841435185185187</v>
      </c>
      <c r="T725">
        <f t="shared" si="46"/>
        <v>16</v>
      </c>
      <c r="U725" t="str" cm="1">
        <f t="array" ref="U725">_xlfn.IFS(M725&lt;=34,"YOUNG",M725&lt;=54,"MIDDLE AGE",M725&gt;=55,"OLD")</f>
        <v>OLD</v>
      </c>
      <c r="V725" t="str">
        <f t="shared" si="47"/>
        <v>NORMAL</v>
      </c>
    </row>
    <row r="726" spans="1:22" x14ac:dyDescent="0.35">
      <c r="A726" t="s">
        <v>2154</v>
      </c>
      <c r="B726" t="s">
        <v>687</v>
      </c>
      <c r="C726">
        <v>39.11</v>
      </c>
      <c r="D726" s="1">
        <v>45170.753900462965</v>
      </c>
      <c r="E726" s="2">
        <f t="shared" si="44"/>
        <v>0.75390046296524815</v>
      </c>
      <c r="F726" s="3">
        <f t="shared" si="45"/>
        <v>45170</v>
      </c>
      <c r="G726" t="s">
        <v>17</v>
      </c>
      <c r="H726" t="s">
        <v>125</v>
      </c>
      <c r="I726" t="s">
        <v>60</v>
      </c>
      <c r="J726" t="s">
        <v>1025</v>
      </c>
      <c r="K726" t="s">
        <v>29</v>
      </c>
      <c r="L726" t="s">
        <v>36</v>
      </c>
      <c r="M726">
        <v>26</v>
      </c>
      <c r="N726" t="s">
        <v>37</v>
      </c>
      <c r="O726">
        <v>143</v>
      </c>
      <c r="P726">
        <v>1</v>
      </c>
      <c r="Q726">
        <v>518.54</v>
      </c>
      <c r="R726" s="4">
        <v>45600</v>
      </c>
      <c r="S726" s="6">
        <v>0.3392013888888889</v>
      </c>
      <c r="T726">
        <f t="shared" si="46"/>
        <v>18</v>
      </c>
      <c r="U726" t="str" cm="1">
        <f t="array" ref="U726">_xlfn.IFS(M726&lt;=34,"YOUNG",M726&lt;=54,"MIDDLE AGE",M726&gt;=55,"OLD")</f>
        <v>YOUNG</v>
      </c>
      <c r="V726" t="str">
        <f t="shared" si="47"/>
        <v>NORMAL</v>
      </c>
    </row>
    <row r="727" spans="1:22" x14ac:dyDescent="0.35">
      <c r="A727" t="s">
        <v>2155</v>
      </c>
      <c r="B727" t="s">
        <v>1193</v>
      </c>
      <c r="C727">
        <v>1309.79</v>
      </c>
      <c r="D727" s="1">
        <v>44991.690081018518</v>
      </c>
      <c r="E727" s="2">
        <f t="shared" si="44"/>
        <v>0.690081018517958</v>
      </c>
      <c r="F727" s="3">
        <f t="shared" si="45"/>
        <v>44991</v>
      </c>
      <c r="G727" t="s">
        <v>17</v>
      </c>
      <c r="H727" t="s">
        <v>212</v>
      </c>
      <c r="I727" t="s">
        <v>2156</v>
      </c>
      <c r="J727" t="s">
        <v>2157</v>
      </c>
      <c r="K727" t="s">
        <v>432</v>
      </c>
      <c r="L727" t="s">
        <v>22</v>
      </c>
      <c r="M727">
        <v>23</v>
      </c>
      <c r="N727" t="s">
        <v>37</v>
      </c>
      <c r="O727">
        <v>139</v>
      </c>
      <c r="P727">
        <v>1</v>
      </c>
      <c r="Q727">
        <v>1258.93</v>
      </c>
      <c r="R727" s="4">
        <v>45600</v>
      </c>
      <c r="S727" s="6">
        <v>0.34113425925925928</v>
      </c>
      <c r="T727">
        <f t="shared" si="46"/>
        <v>16</v>
      </c>
      <c r="U727" t="str" cm="1">
        <f t="array" ref="U727">_xlfn.IFS(M727&lt;=34,"YOUNG",M727&lt;=54,"MIDDLE AGE",M727&gt;=55,"OLD")</f>
        <v>YOUNG</v>
      </c>
      <c r="V727" t="str">
        <f t="shared" si="47"/>
        <v>NORMAL</v>
      </c>
    </row>
    <row r="728" spans="1:22" x14ac:dyDescent="0.35">
      <c r="A728" t="s">
        <v>2158</v>
      </c>
      <c r="B728" t="s">
        <v>1739</v>
      </c>
      <c r="C728">
        <v>729.38</v>
      </c>
      <c r="D728" s="1">
        <v>45244.724803240744</v>
      </c>
      <c r="E728" s="2">
        <f t="shared" si="44"/>
        <v>0.72480324074422242</v>
      </c>
      <c r="F728" s="3">
        <f t="shared" si="45"/>
        <v>45244</v>
      </c>
      <c r="G728" t="s">
        <v>17</v>
      </c>
      <c r="H728" t="s">
        <v>140</v>
      </c>
      <c r="I728" t="s">
        <v>1187</v>
      </c>
      <c r="J728" t="s">
        <v>2010</v>
      </c>
      <c r="K728" t="s">
        <v>482</v>
      </c>
      <c r="L728" t="s">
        <v>22</v>
      </c>
      <c r="M728">
        <v>68</v>
      </c>
      <c r="N728" t="s">
        <v>23</v>
      </c>
      <c r="O728">
        <v>90</v>
      </c>
      <c r="P728">
        <v>1</v>
      </c>
      <c r="Q728">
        <v>9127.65</v>
      </c>
      <c r="R728" s="4">
        <v>45600</v>
      </c>
      <c r="S728" s="6">
        <v>0.33907407407407408</v>
      </c>
      <c r="T728">
        <f t="shared" si="46"/>
        <v>17</v>
      </c>
      <c r="U728" t="str" cm="1">
        <f t="array" ref="U728">_xlfn.IFS(M728&lt;=34,"YOUNG",M728&lt;=54,"MIDDLE AGE",M728&gt;=55,"OLD")</f>
        <v>OLD</v>
      </c>
      <c r="V728" t="str">
        <f t="shared" si="47"/>
        <v>NORMAL</v>
      </c>
    </row>
    <row r="729" spans="1:22" x14ac:dyDescent="0.35">
      <c r="A729" t="s">
        <v>2159</v>
      </c>
      <c r="B729" t="s">
        <v>1710</v>
      </c>
      <c r="C729">
        <v>137.49</v>
      </c>
      <c r="D729" s="1">
        <v>45133.704259259262</v>
      </c>
      <c r="E729" s="2">
        <f t="shared" si="44"/>
        <v>0.70425925926247146</v>
      </c>
      <c r="F729" s="3">
        <f t="shared" si="45"/>
        <v>45133</v>
      </c>
      <c r="G729" t="s">
        <v>17</v>
      </c>
      <c r="H729" t="s">
        <v>157</v>
      </c>
      <c r="I729" t="s">
        <v>2160</v>
      </c>
      <c r="J729" t="s">
        <v>837</v>
      </c>
      <c r="K729" t="s">
        <v>143</v>
      </c>
      <c r="L729" t="s">
        <v>22</v>
      </c>
      <c r="M729">
        <v>34</v>
      </c>
      <c r="N729" t="s">
        <v>77</v>
      </c>
      <c r="O729">
        <v>50</v>
      </c>
      <c r="P729">
        <v>1</v>
      </c>
      <c r="Q729">
        <v>4471.05</v>
      </c>
      <c r="R729" s="4">
        <v>45600</v>
      </c>
      <c r="S729" s="6">
        <v>0.33824074074074073</v>
      </c>
      <c r="T729">
        <f t="shared" si="46"/>
        <v>16</v>
      </c>
      <c r="U729" t="str" cm="1">
        <f t="array" ref="U729">_xlfn.IFS(M729&lt;=34,"YOUNG",M729&lt;=54,"MIDDLE AGE",M729&gt;=55,"OLD")</f>
        <v>YOUNG</v>
      </c>
      <c r="V729" t="str">
        <f t="shared" si="47"/>
        <v>NORMAL</v>
      </c>
    </row>
    <row r="730" spans="1:22" x14ac:dyDescent="0.35">
      <c r="A730" t="s">
        <v>2161</v>
      </c>
      <c r="B730" t="s">
        <v>2162</v>
      </c>
      <c r="C730">
        <v>504.71</v>
      </c>
      <c r="D730" s="1">
        <v>45026.76934027778</v>
      </c>
      <c r="E730" s="2">
        <f t="shared" si="44"/>
        <v>0.76934027778042946</v>
      </c>
      <c r="F730" s="3">
        <f t="shared" si="45"/>
        <v>45026</v>
      </c>
      <c r="G730" t="s">
        <v>17</v>
      </c>
      <c r="H730" t="s">
        <v>73</v>
      </c>
      <c r="I730" t="s">
        <v>2163</v>
      </c>
      <c r="J730" t="s">
        <v>75</v>
      </c>
      <c r="K730" t="s">
        <v>406</v>
      </c>
      <c r="L730" t="s">
        <v>36</v>
      </c>
      <c r="M730">
        <v>29</v>
      </c>
      <c r="N730" t="s">
        <v>77</v>
      </c>
      <c r="O730">
        <v>61</v>
      </c>
      <c r="P730">
        <v>1</v>
      </c>
      <c r="Q730">
        <v>6214.54</v>
      </c>
      <c r="R730" s="4">
        <v>45600</v>
      </c>
      <c r="S730" s="6">
        <v>0.33931712962962962</v>
      </c>
      <c r="T730">
        <f t="shared" si="46"/>
        <v>18</v>
      </c>
      <c r="U730" t="str" cm="1">
        <f t="array" ref="U730">_xlfn.IFS(M730&lt;=34,"YOUNG",M730&lt;=54,"MIDDLE AGE",M730&gt;=55,"OLD")</f>
        <v>YOUNG</v>
      </c>
      <c r="V730" t="str">
        <f t="shared" si="47"/>
        <v>NORMAL</v>
      </c>
    </row>
    <row r="731" spans="1:22" x14ac:dyDescent="0.35">
      <c r="A731" t="s">
        <v>2164</v>
      </c>
      <c r="B731" t="s">
        <v>376</v>
      </c>
      <c r="C731">
        <v>371.47</v>
      </c>
      <c r="D731" s="1">
        <v>45076.677199074074</v>
      </c>
      <c r="E731" s="2">
        <f t="shared" si="44"/>
        <v>0.67719907407445135</v>
      </c>
      <c r="F731" s="3">
        <f t="shared" si="45"/>
        <v>45076</v>
      </c>
      <c r="G731" t="s">
        <v>46</v>
      </c>
      <c r="H731" t="s">
        <v>178</v>
      </c>
      <c r="I731" t="s">
        <v>292</v>
      </c>
      <c r="J731" t="s">
        <v>1518</v>
      </c>
      <c r="K731" t="s">
        <v>348</v>
      </c>
      <c r="L731" t="s">
        <v>69</v>
      </c>
      <c r="M731">
        <v>24</v>
      </c>
      <c r="N731" t="s">
        <v>37</v>
      </c>
      <c r="O731">
        <v>58</v>
      </c>
      <c r="P731">
        <v>1</v>
      </c>
      <c r="Q731">
        <v>1187.04</v>
      </c>
      <c r="R731" s="4">
        <v>45600</v>
      </c>
      <c r="S731" s="6">
        <v>0.33829861111111109</v>
      </c>
      <c r="T731">
        <f t="shared" si="46"/>
        <v>16</v>
      </c>
      <c r="U731" t="str" cm="1">
        <f t="array" ref="U731">_xlfn.IFS(M731&lt;=34,"YOUNG",M731&lt;=54,"MIDDLE AGE",M731&gt;=55,"OLD")</f>
        <v>YOUNG</v>
      </c>
      <c r="V731" t="str">
        <f t="shared" si="47"/>
        <v>NORMAL</v>
      </c>
    </row>
    <row r="732" spans="1:22" x14ac:dyDescent="0.35">
      <c r="A732" t="s">
        <v>2165</v>
      </c>
      <c r="B732" t="s">
        <v>1020</v>
      </c>
      <c r="C732">
        <v>430.35</v>
      </c>
      <c r="D732" s="1">
        <v>44977.724340277775</v>
      </c>
      <c r="E732" s="2">
        <f t="shared" si="44"/>
        <v>0.72434027777489973</v>
      </c>
      <c r="F732" s="3">
        <f t="shared" si="45"/>
        <v>44977</v>
      </c>
      <c r="G732" t="s">
        <v>17</v>
      </c>
      <c r="H732" t="s">
        <v>249</v>
      </c>
      <c r="I732" t="s">
        <v>1800</v>
      </c>
      <c r="J732" t="s">
        <v>1133</v>
      </c>
      <c r="K732" t="s">
        <v>83</v>
      </c>
      <c r="L732" t="s">
        <v>36</v>
      </c>
      <c r="M732">
        <v>36</v>
      </c>
      <c r="N732" t="s">
        <v>23</v>
      </c>
      <c r="O732">
        <v>205</v>
      </c>
      <c r="P732">
        <v>1</v>
      </c>
      <c r="Q732">
        <v>354.9</v>
      </c>
      <c r="R732" s="4">
        <v>45600</v>
      </c>
      <c r="S732" s="6">
        <v>0.34086805555555555</v>
      </c>
      <c r="T732">
        <f t="shared" si="46"/>
        <v>17</v>
      </c>
      <c r="U732" t="str" cm="1">
        <f t="array" ref="U732">_xlfn.IFS(M732&lt;=34,"YOUNG",M732&lt;=54,"MIDDLE AGE",M732&gt;=55,"OLD")</f>
        <v>MIDDLE AGE</v>
      </c>
      <c r="V732" t="str">
        <f t="shared" si="47"/>
        <v>NORMAL</v>
      </c>
    </row>
    <row r="733" spans="1:22" x14ac:dyDescent="0.35">
      <c r="A733" t="s">
        <v>2166</v>
      </c>
      <c r="B733" t="s">
        <v>986</v>
      </c>
      <c r="C733">
        <v>230.32</v>
      </c>
      <c r="D733" s="1">
        <v>45061.760798611111</v>
      </c>
      <c r="E733" s="2">
        <f t="shared" si="44"/>
        <v>0.76079861111065838</v>
      </c>
      <c r="F733" s="3">
        <f t="shared" si="45"/>
        <v>45061</v>
      </c>
      <c r="G733" t="s">
        <v>17</v>
      </c>
      <c r="H733" t="s">
        <v>146</v>
      </c>
      <c r="I733" t="s">
        <v>802</v>
      </c>
      <c r="J733" t="s">
        <v>2167</v>
      </c>
      <c r="K733" t="s">
        <v>21</v>
      </c>
      <c r="L733" t="s">
        <v>69</v>
      </c>
      <c r="M733">
        <v>35</v>
      </c>
      <c r="N733" t="s">
        <v>77</v>
      </c>
      <c r="O733">
        <v>56</v>
      </c>
      <c r="P733">
        <v>1</v>
      </c>
      <c r="Q733">
        <v>791.46</v>
      </c>
      <c r="R733" s="4">
        <v>45600</v>
      </c>
      <c r="S733" s="6">
        <v>0.33928240740740739</v>
      </c>
      <c r="T733">
        <f t="shared" si="46"/>
        <v>18</v>
      </c>
      <c r="U733" t="str" cm="1">
        <f t="array" ref="U733">_xlfn.IFS(M733&lt;=34,"YOUNG",M733&lt;=54,"MIDDLE AGE",M733&gt;=55,"OLD")</f>
        <v>MIDDLE AGE</v>
      </c>
      <c r="V733" t="str">
        <f t="shared" si="47"/>
        <v>NORMAL</v>
      </c>
    </row>
    <row r="734" spans="1:22" x14ac:dyDescent="0.35">
      <c r="A734" t="s">
        <v>2168</v>
      </c>
      <c r="B734" t="s">
        <v>2169</v>
      </c>
      <c r="C734">
        <v>121.71</v>
      </c>
      <c r="D734" s="1">
        <v>45174.709988425922</v>
      </c>
      <c r="E734" s="2">
        <f t="shared" si="44"/>
        <v>0.70998842592234723</v>
      </c>
      <c r="F734" s="3">
        <f t="shared" si="45"/>
        <v>45174</v>
      </c>
      <c r="G734" t="s">
        <v>17</v>
      </c>
      <c r="H734" t="s">
        <v>265</v>
      </c>
      <c r="I734" t="s">
        <v>2170</v>
      </c>
      <c r="J734" t="s">
        <v>261</v>
      </c>
      <c r="K734" t="s">
        <v>21</v>
      </c>
      <c r="L734" t="s">
        <v>22</v>
      </c>
      <c r="M734">
        <v>52</v>
      </c>
      <c r="N734" t="s">
        <v>70</v>
      </c>
      <c r="O734">
        <v>140</v>
      </c>
      <c r="P734">
        <v>1</v>
      </c>
      <c r="Q734">
        <v>5878.89</v>
      </c>
      <c r="R734" s="4">
        <v>45600</v>
      </c>
      <c r="S734" s="6">
        <v>0.3412384259259259</v>
      </c>
      <c r="T734">
        <f t="shared" si="46"/>
        <v>17</v>
      </c>
      <c r="U734" t="str" cm="1">
        <f t="array" ref="U734">_xlfn.IFS(M734&lt;=34,"YOUNG",M734&lt;=54,"MIDDLE AGE",M734&gt;=55,"OLD")</f>
        <v>MIDDLE AGE</v>
      </c>
      <c r="V734" t="str">
        <f t="shared" si="47"/>
        <v>NORMAL</v>
      </c>
    </row>
    <row r="735" spans="1:22" x14ac:dyDescent="0.35">
      <c r="A735" t="s">
        <v>2171</v>
      </c>
      <c r="B735" t="s">
        <v>2172</v>
      </c>
      <c r="C735">
        <v>98.87</v>
      </c>
      <c r="D735" s="1">
        <v>44929.743831018517</v>
      </c>
      <c r="E735" s="2">
        <f t="shared" si="44"/>
        <v>0.74383101851708489</v>
      </c>
      <c r="F735" s="3">
        <f t="shared" si="45"/>
        <v>44929</v>
      </c>
      <c r="G735" t="s">
        <v>17</v>
      </c>
      <c r="H735" t="s">
        <v>73</v>
      </c>
      <c r="I735" t="s">
        <v>1967</v>
      </c>
      <c r="J735" t="s">
        <v>1830</v>
      </c>
      <c r="K735" t="s">
        <v>406</v>
      </c>
      <c r="L735" t="s">
        <v>36</v>
      </c>
      <c r="M735">
        <v>20</v>
      </c>
      <c r="N735" t="s">
        <v>37</v>
      </c>
      <c r="O735">
        <v>179</v>
      </c>
      <c r="P735">
        <v>1</v>
      </c>
      <c r="Q735">
        <v>533.20000000000005</v>
      </c>
      <c r="R735" s="4">
        <v>45600</v>
      </c>
      <c r="S735" s="6">
        <v>0.33817129629629628</v>
      </c>
      <c r="T735">
        <f t="shared" si="46"/>
        <v>17</v>
      </c>
      <c r="U735" t="str" cm="1">
        <f t="array" ref="U735">_xlfn.IFS(M735&lt;=34,"YOUNG",M735&lt;=54,"MIDDLE AGE",M735&gt;=55,"OLD")</f>
        <v>YOUNG</v>
      </c>
      <c r="V735" t="str">
        <f t="shared" si="47"/>
        <v>NORMAL</v>
      </c>
    </row>
    <row r="736" spans="1:22" x14ac:dyDescent="0.35">
      <c r="A736" t="s">
        <v>2173</v>
      </c>
      <c r="B736" t="s">
        <v>259</v>
      </c>
      <c r="C736">
        <v>117.55</v>
      </c>
      <c r="D736" s="1">
        <v>45065.691053240742</v>
      </c>
      <c r="E736" s="2">
        <f t="shared" si="44"/>
        <v>0.69105324074189411</v>
      </c>
      <c r="F736" s="3">
        <f t="shared" si="45"/>
        <v>45065</v>
      </c>
      <c r="G736" t="s">
        <v>17</v>
      </c>
      <c r="H736" t="s">
        <v>558</v>
      </c>
      <c r="I736" t="s">
        <v>1941</v>
      </c>
      <c r="J736" t="s">
        <v>1921</v>
      </c>
      <c r="K736" t="s">
        <v>246</v>
      </c>
      <c r="L736" t="s">
        <v>22</v>
      </c>
      <c r="M736">
        <v>24</v>
      </c>
      <c r="N736" t="s">
        <v>37</v>
      </c>
      <c r="O736">
        <v>35</v>
      </c>
      <c r="P736">
        <v>1</v>
      </c>
      <c r="Q736">
        <v>897.94</v>
      </c>
      <c r="R736" s="4">
        <v>45600</v>
      </c>
      <c r="S736" s="6">
        <v>0.34112268518518518</v>
      </c>
      <c r="T736">
        <f t="shared" si="46"/>
        <v>16</v>
      </c>
      <c r="U736" t="str" cm="1">
        <f t="array" ref="U736">_xlfn.IFS(M736&lt;=34,"YOUNG",M736&lt;=54,"MIDDLE AGE",M736&gt;=55,"OLD")</f>
        <v>YOUNG</v>
      </c>
      <c r="V736" t="str">
        <f t="shared" si="47"/>
        <v>NORMAL</v>
      </c>
    </row>
    <row r="737" spans="1:22" x14ac:dyDescent="0.35">
      <c r="A737" t="s">
        <v>2174</v>
      </c>
      <c r="B737" t="s">
        <v>1785</v>
      </c>
      <c r="C737">
        <v>244.64</v>
      </c>
      <c r="D737" s="1">
        <v>44978.778923611113</v>
      </c>
      <c r="E737" s="2">
        <f t="shared" si="44"/>
        <v>0.77892361111298669</v>
      </c>
      <c r="F737" s="3">
        <f t="shared" si="45"/>
        <v>44978</v>
      </c>
      <c r="G737" t="s">
        <v>17</v>
      </c>
      <c r="H737" t="s">
        <v>255</v>
      </c>
      <c r="I737" t="s">
        <v>1945</v>
      </c>
      <c r="J737" t="s">
        <v>2175</v>
      </c>
      <c r="K737" t="s">
        <v>831</v>
      </c>
      <c r="L737" t="s">
        <v>69</v>
      </c>
      <c r="M737">
        <v>30</v>
      </c>
      <c r="N737" t="s">
        <v>23</v>
      </c>
      <c r="O737">
        <v>103</v>
      </c>
      <c r="P737">
        <v>1</v>
      </c>
      <c r="Q737">
        <v>9159.56</v>
      </c>
      <c r="R737" s="4">
        <v>45600</v>
      </c>
      <c r="S737" s="6">
        <v>0.33811342592592591</v>
      </c>
      <c r="T737">
        <f t="shared" si="46"/>
        <v>18</v>
      </c>
      <c r="U737" t="str" cm="1">
        <f t="array" ref="U737">_xlfn.IFS(M737&lt;=34,"YOUNG",M737&lt;=54,"MIDDLE AGE",M737&gt;=55,"OLD")</f>
        <v>YOUNG</v>
      </c>
      <c r="V737" t="str">
        <f t="shared" si="47"/>
        <v>NORMAL</v>
      </c>
    </row>
    <row r="738" spans="1:22" x14ac:dyDescent="0.35">
      <c r="A738" t="s">
        <v>2176</v>
      </c>
      <c r="B738" t="s">
        <v>880</v>
      </c>
      <c r="C738">
        <v>321.93</v>
      </c>
      <c r="D738" s="1">
        <v>45264.768877314818</v>
      </c>
      <c r="E738" s="2">
        <f t="shared" si="44"/>
        <v>0.76887731481838273</v>
      </c>
      <c r="F738" s="3">
        <f t="shared" si="45"/>
        <v>45264</v>
      </c>
      <c r="G738" t="s">
        <v>17</v>
      </c>
      <c r="H738" t="s">
        <v>80</v>
      </c>
      <c r="I738" t="s">
        <v>1469</v>
      </c>
      <c r="J738" t="s">
        <v>1242</v>
      </c>
      <c r="K738" t="s">
        <v>186</v>
      </c>
      <c r="L738" t="s">
        <v>22</v>
      </c>
      <c r="M738">
        <v>45</v>
      </c>
      <c r="N738" t="s">
        <v>77</v>
      </c>
      <c r="O738">
        <v>12</v>
      </c>
      <c r="P738">
        <v>1</v>
      </c>
      <c r="Q738">
        <v>4392.7299999999996</v>
      </c>
      <c r="R738" s="4">
        <v>45600</v>
      </c>
      <c r="S738" s="6">
        <v>0.33878472222222222</v>
      </c>
      <c r="T738">
        <f t="shared" si="46"/>
        <v>18</v>
      </c>
      <c r="U738" t="str" cm="1">
        <f t="array" ref="U738">_xlfn.IFS(M738&lt;=34,"YOUNG",M738&lt;=54,"MIDDLE AGE",M738&gt;=55,"OLD")</f>
        <v>MIDDLE AGE</v>
      </c>
      <c r="V738" t="str">
        <f t="shared" si="47"/>
        <v>NORMAL</v>
      </c>
    </row>
    <row r="739" spans="1:22" x14ac:dyDescent="0.35">
      <c r="A739" t="s">
        <v>2177</v>
      </c>
      <c r="B739" t="s">
        <v>471</v>
      </c>
      <c r="C739">
        <v>1092.73</v>
      </c>
      <c r="D739" s="1">
        <v>44949.725335648145</v>
      </c>
      <c r="E739" s="2">
        <f t="shared" si="44"/>
        <v>0.72533564814511919</v>
      </c>
      <c r="F739" s="3">
        <f t="shared" si="45"/>
        <v>44949</v>
      </c>
      <c r="G739" t="s">
        <v>17</v>
      </c>
      <c r="H739" t="s">
        <v>125</v>
      </c>
      <c r="I739" t="s">
        <v>1987</v>
      </c>
      <c r="J739" t="s">
        <v>1551</v>
      </c>
      <c r="K739" t="s">
        <v>331</v>
      </c>
      <c r="L739" t="s">
        <v>69</v>
      </c>
      <c r="M739">
        <v>58</v>
      </c>
      <c r="N739" t="s">
        <v>70</v>
      </c>
      <c r="O739">
        <v>11</v>
      </c>
      <c r="P739">
        <v>1</v>
      </c>
      <c r="Q739">
        <v>1390.98</v>
      </c>
      <c r="R739" s="4">
        <v>45600</v>
      </c>
      <c r="S739" s="6">
        <v>0.33877314814814813</v>
      </c>
      <c r="T739">
        <f t="shared" si="46"/>
        <v>17</v>
      </c>
      <c r="U739" t="str" cm="1">
        <f t="array" ref="U739">_xlfn.IFS(M739&lt;=34,"YOUNG",M739&lt;=54,"MIDDLE AGE",M739&gt;=55,"OLD")</f>
        <v>OLD</v>
      </c>
      <c r="V739" t="str">
        <f t="shared" si="47"/>
        <v>NORMAL</v>
      </c>
    </row>
    <row r="740" spans="1:22" x14ac:dyDescent="0.35">
      <c r="A740" t="s">
        <v>2178</v>
      </c>
      <c r="B740" t="s">
        <v>2179</v>
      </c>
      <c r="C740">
        <v>283.23</v>
      </c>
      <c r="D740" s="1">
        <v>44963.700520833336</v>
      </c>
      <c r="E740" s="2">
        <f t="shared" si="44"/>
        <v>0.70052083333575865</v>
      </c>
      <c r="F740" s="3">
        <f t="shared" si="45"/>
        <v>44963</v>
      </c>
      <c r="G740" t="s">
        <v>17</v>
      </c>
      <c r="H740" t="s">
        <v>506</v>
      </c>
      <c r="I740" t="s">
        <v>2103</v>
      </c>
      <c r="J740" t="s">
        <v>1119</v>
      </c>
      <c r="K740" t="s">
        <v>885</v>
      </c>
      <c r="L740" t="s">
        <v>36</v>
      </c>
      <c r="M740">
        <v>40</v>
      </c>
      <c r="N740" t="s">
        <v>77</v>
      </c>
      <c r="O740">
        <v>98</v>
      </c>
      <c r="P740">
        <v>1</v>
      </c>
      <c r="Q740">
        <v>2008.77</v>
      </c>
      <c r="R740" s="4">
        <v>45600</v>
      </c>
      <c r="S740" s="6">
        <v>0.33863425925925927</v>
      </c>
      <c r="T740">
        <f t="shared" si="46"/>
        <v>16</v>
      </c>
      <c r="U740" t="str" cm="1">
        <f t="array" ref="U740">_xlfn.IFS(M740&lt;=34,"YOUNG",M740&lt;=54,"MIDDLE AGE",M740&gt;=55,"OLD")</f>
        <v>MIDDLE AGE</v>
      </c>
      <c r="V740" t="str">
        <f t="shared" si="47"/>
        <v>NORMAL</v>
      </c>
    </row>
    <row r="741" spans="1:22" x14ac:dyDescent="0.35">
      <c r="A741" t="s">
        <v>2180</v>
      </c>
      <c r="B741" t="s">
        <v>145</v>
      </c>
      <c r="C741">
        <v>346.65</v>
      </c>
      <c r="D741" s="1">
        <v>45292.678622685184</v>
      </c>
      <c r="E741" s="2">
        <f t="shared" si="44"/>
        <v>0.67862268518365454</v>
      </c>
      <c r="F741" s="3">
        <f t="shared" si="45"/>
        <v>45292</v>
      </c>
      <c r="G741" t="s">
        <v>17</v>
      </c>
      <c r="H741" t="s">
        <v>453</v>
      </c>
      <c r="I741" t="s">
        <v>229</v>
      </c>
      <c r="J741" t="s">
        <v>2181</v>
      </c>
      <c r="K741" t="s">
        <v>619</v>
      </c>
      <c r="L741" t="s">
        <v>36</v>
      </c>
      <c r="M741">
        <v>30</v>
      </c>
      <c r="N741" t="s">
        <v>77</v>
      </c>
      <c r="O741">
        <v>60</v>
      </c>
      <c r="P741">
        <v>1</v>
      </c>
      <c r="Q741">
        <v>6356.96</v>
      </c>
      <c r="R741" s="4">
        <v>45600</v>
      </c>
      <c r="S741" s="6">
        <v>0.33817129629629628</v>
      </c>
      <c r="T741">
        <f t="shared" si="46"/>
        <v>16</v>
      </c>
      <c r="U741" t="str" cm="1">
        <f t="array" ref="U741">_xlfn.IFS(M741&lt;=34,"YOUNG",M741&lt;=54,"MIDDLE AGE",M741&gt;=55,"OLD")</f>
        <v>YOUNG</v>
      </c>
      <c r="V741" t="str">
        <f t="shared" si="47"/>
        <v>NORMAL</v>
      </c>
    </row>
    <row r="742" spans="1:22" x14ac:dyDescent="0.35">
      <c r="A742" t="s">
        <v>2182</v>
      </c>
      <c r="B742" t="s">
        <v>1707</v>
      </c>
      <c r="C742">
        <v>381.62</v>
      </c>
      <c r="D742" s="1">
        <v>44953.694768518515</v>
      </c>
      <c r="E742" s="2">
        <f t="shared" si="44"/>
        <v>0.69476851851504762</v>
      </c>
      <c r="F742" s="3">
        <f t="shared" si="45"/>
        <v>44953</v>
      </c>
      <c r="G742" t="s">
        <v>17</v>
      </c>
      <c r="H742" t="s">
        <v>146</v>
      </c>
      <c r="I742" t="s">
        <v>1522</v>
      </c>
      <c r="J742" t="s">
        <v>2183</v>
      </c>
      <c r="K742" t="s">
        <v>348</v>
      </c>
      <c r="L742" t="s">
        <v>36</v>
      </c>
      <c r="M742">
        <v>64</v>
      </c>
      <c r="N742" t="s">
        <v>70</v>
      </c>
      <c r="O742">
        <v>164</v>
      </c>
      <c r="P742">
        <v>1</v>
      </c>
      <c r="Q742">
        <v>6009.12</v>
      </c>
      <c r="R742" s="4">
        <v>45600</v>
      </c>
      <c r="S742" s="6">
        <v>0.34150462962962963</v>
      </c>
      <c r="T742">
        <f t="shared" si="46"/>
        <v>16</v>
      </c>
      <c r="U742" t="str" cm="1">
        <f t="array" ref="U742">_xlfn.IFS(M742&lt;=34,"YOUNG",M742&lt;=54,"MIDDLE AGE",M742&gt;=55,"OLD")</f>
        <v>OLD</v>
      </c>
      <c r="V742" t="str">
        <f t="shared" si="47"/>
        <v>NORMAL</v>
      </c>
    </row>
    <row r="743" spans="1:22" x14ac:dyDescent="0.35">
      <c r="A743" t="s">
        <v>2184</v>
      </c>
      <c r="B743" t="s">
        <v>1217</v>
      </c>
      <c r="C743">
        <v>388.65</v>
      </c>
      <c r="D743" s="1">
        <v>44978.668437499997</v>
      </c>
      <c r="E743" s="2">
        <f t="shared" si="44"/>
        <v>0.66843749999679858</v>
      </c>
      <c r="F743" s="3">
        <f t="shared" si="45"/>
        <v>44978</v>
      </c>
      <c r="G743" t="s">
        <v>17</v>
      </c>
      <c r="H743" t="s">
        <v>53</v>
      </c>
      <c r="I743" t="s">
        <v>280</v>
      </c>
      <c r="J743" t="s">
        <v>2041</v>
      </c>
      <c r="K743" t="s">
        <v>149</v>
      </c>
      <c r="L743" t="s">
        <v>22</v>
      </c>
      <c r="M743">
        <v>76</v>
      </c>
      <c r="N743" t="s">
        <v>70</v>
      </c>
      <c r="O743">
        <v>43</v>
      </c>
      <c r="P743">
        <v>1</v>
      </c>
      <c r="Q743">
        <v>7896.85</v>
      </c>
      <c r="R743" s="4">
        <v>45600</v>
      </c>
      <c r="S743" s="6">
        <v>0.33906249999999999</v>
      </c>
      <c r="T743">
        <f t="shared" si="46"/>
        <v>16</v>
      </c>
      <c r="U743" t="str" cm="1">
        <f t="array" ref="U743">_xlfn.IFS(M743&lt;=34,"YOUNG",M743&lt;=54,"MIDDLE AGE",M743&gt;=55,"OLD")</f>
        <v>OLD</v>
      </c>
      <c r="V743" t="str">
        <f t="shared" si="47"/>
        <v>NORMAL</v>
      </c>
    </row>
    <row r="744" spans="1:22" x14ac:dyDescent="0.35">
      <c r="A744" t="s">
        <v>2185</v>
      </c>
      <c r="B744" t="s">
        <v>290</v>
      </c>
      <c r="C744">
        <v>29.22</v>
      </c>
      <c r="D744" s="1">
        <v>45113.76116898148</v>
      </c>
      <c r="E744" s="2">
        <f t="shared" si="44"/>
        <v>0.76116898148029577</v>
      </c>
      <c r="F744" s="3">
        <f t="shared" si="45"/>
        <v>45113</v>
      </c>
      <c r="G744" t="s">
        <v>17</v>
      </c>
      <c r="H744" t="s">
        <v>237</v>
      </c>
      <c r="I744" t="s">
        <v>126</v>
      </c>
      <c r="J744" t="s">
        <v>2186</v>
      </c>
      <c r="K744" t="s">
        <v>1524</v>
      </c>
      <c r="L744" t="s">
        <v>22</v>
      </c>
      <c r="M744">
        <v>24</v>
      </c>
      <c r="N744" t="s">
        <v>37</v>
      </c>
      <c r="O744">
        <v>151</v>
      </c>
      <c r="P744">
        <v>1</v>
      </c>
      <c r="Q744">
        <v>1649.43</v>
      </c>
      <c r="R744" s="4">
        <v>45600</v>
      </c>
      <c r="S744" s="6">
        <v>0.33961805555555558</v>
      </c>
      <c r="T744">
        <f t="shared" si="46"/>
        <v>18</v>
      </c>
      <c r="U744" t="str" cm="1">
        <f t="array" ref="U744">_xlfn.IFS(M744&lt;=34,"YOUNG",M744&lt;=54,"MIDDLE AGE",M744&gt;=55,"OLD")</f>
        <v>YOUNG</v>
      </c>
      <c r="V744" t="str">
        <f t="shared" si="47"/>
        <v>NORMAL</v>
      </c>
    </row>
    <row r="745" spans="1:22" x14ac:dyDescent="0.35">
      <c r="A745" t="s">
        <v>2187</v>
      </c>
      <c r="B745" t="s">
        <v>1736</v>
      </c>
      <c r="C745">
        <v>46.75</v>
      </c>
      <c r="D745" s="1">
        <v>45138.734386574077</v>
      </c>
      <c r="E745" s="2">
        <f t="shared" si="44"/>
        <v>0.73438657407677965</v>
      </c>
      <c r="F745" s="3">
        <f t="shared" si="45"/>
        <v>45138</v>
      </c>
      <c r="G745" t="s">
        <v>17</v>
      </c>
      <c r="H745" t="s">
        <v>521</v>
      </c>
      <c r="I745" t="s">
        <v>538</v>
      </c>
      <c r="J745" t="s">
        <v>1484</v>
      </c>
      <c r="K745" t="s">
        <v>303</v>
      </c>
      <c r="L745" t="s">
        <v>69</v>
      </c>
      <c r="M745">
        <v>67</v>
      </c>
      <c r="N745" t="s">
        <v>70</v>
      </c>
      <c r="O745">
        <v>150</v>
      </c>
      <c r="P745">
        <v>1</v>
      </c>
      <c r="Q745">
        <v>2840.43</v>
      </c>
      <c r="R745" s="4">
        <v>45600</v>
      </c>
      <c r="S745" s="6">
        <v>0.33981481481481479</v>
      </c>
      <c r="T745">
        <f t="shared" si="46"/>
        <v>17</v>
      </c>
      <c r="U745" t="str" cm="1">
        <f t="array" ref="U745">_xlfn.IFS(M745&lt;=34,"YOUNG",M745&lt;=54,"MIDDLE AGE",M745&gt;=55,"OLD")</f>
        <v>OLD</v>
      </c>
      <c r="V745" t="str">
        <f t="shared" si="47"/>
        <v>NORMAL</v>
      </c>
    </row>
    <row r="746" spans="1:22" x14ac:dyDescent="0.35">
      <c r="A746" t="s">
        <v>2188</v>
      </c>
      <c r="B746" t="s">
        <v>1433</v>
      </c>
      <c r="C746">
        <v>348.64</v>
      </c>
      <c r="D746" s="1">
        <v>45086.716770833336</v>
      </c>
      <c r="E746" s="2">
        <f t="shared" si="44"/>
        <v>0.71677083333634073</v>
      </c>
      <c r="F746" s="3">
        <f t="shared" si="45"/>
        <v>45086</v>
      </c>
      <c r="G746" t="s">
        <v>17</v>
      </c>
      <c r="H746" t="s">
        <v>223</v>
      </c>
      <c r="I746" t="s">
        <v>982</v>
      </c>
      <c r="J746" t="s">
        <v>500</v>
      </c>
      <c r="K746" t="s">
        <v>634</v>
      </c>
      <c r="L746" t="s">
        <v>36</v>
      </c>
      <c r="M746">
        <v>57</v>
      </c>
      <c r="N746" t="s">
        <v>70</v>
      </c>
      <c r="O746">
        <v>128</v>
      </c>
      <c r="P746">
        <v>1</v>
      </c>
      <c r="Q746">
        <v>3274.96</v>
      </c>
      <c r="R746" s="4">
        <v>45600</v>
      </c>
      <c r="S746" s="6">
        <v>0.34122685185185186</v>
      </c>
      <c r="T746">
        <f t="shared" si="46"/>
        <v>17</v>
      </c>
      <c r="U746" t="str" cm="1">
        <f t="array" ref="U746">_xlfn.IFS(M746&lt;=34,"YOUNG",M746&lt;=54,"MIDDLE AGE",M746&gt;=55,"OLD")</f>
        <v>OLD</v>
      </c>
      <c r="V746" t="str">
        <f t="shared" si="47"/>
        <v>NORMAL</v>
      </c>
    </row>
    <row r="747" spans="1:22" x14ac:dyDescent="0.35">
      <c r="A747" t="s">
        <v>2189</v>
      </c>
      <c r="B747" t="s">
        <v>391</v>
      </c>
      <c r="C747">
        <v>319.17</v>
      </c>
      <c r="D747" s="1">
        <v>44937.706967592596</v>
      </c>
      <c r="E747" s="2">
        <f t="shared" si="44"/>
        <v>0.70696759259590181</v>
      </c>
      <c r="F747" s="3">
        <f t="shared" si="45"/>
        <v>44937</v>
      </c>
      <c r="G747" t="s">
        <v>17</v>
      </c>
      <c r="H747" t="s">
        <v>255</v>
      </c>
      <c r="I747" t="s">
        <v>1550</v>
      </c>
      <c r="J747" t="s">
        <v>2190</v>
      </c>
      <c r="K747" t="s">
        <v>769</v>
      </c>
      <c r="L747" t="s">
        <v>36</v>
      </c>
      <c r="M747">
        <v>73</v>
      </c>
      <c r="N747" t="s">
        <v>70</v>
      </c>
      <c r="O747">
        <v>81</v>
      </c>
      <c r="P747">
        <v>1</v>
      </c>
      <c r="Q747">
        <v>6501.56</v>
      </c>
      <c r="R747" s="4">
        <v>45600</v>
      </c>
      <c r="S747" s="6">
        <v>0.33945601851851853</v>
      </c>
      <c r="T747">
        <f t="shared" si="46"/>
        <v>16</v>
      </c>
      <c r="U747" t="str" cm="1">
        <f t="array" ref="U747">_xlfn.IFS(M747&lt;=34,"YOUNG",M747&lt;=54,"MIDDLE AGE",M747&gt;=55,"OLD")</f>
        <v>OLD</v>
      </c>
      <c r="V747" t="str">
        <f t="shared" si="47"/>
        <v>NORMAL</v>
      </c>
    </row>
    <row r="748" spans="1:22" x14ac:dyDescent="0.35">
      <c r="A748" t="s">
        <v>2191</v>
      </c>
      <c r="B748" t="s">
        <v>391</v>
      </c>
      <c r="C748">
        <v>73.95</v>
      </c>
      <c r="D748" s="1">
        <v>45233.69427083333</v>
      </c>
      <c r="E748" s="2">
        <f t="shared" si="44"/>
        <v>0.69427083332993789</v>
      </c>
      <c r="F748" s="3">
        <f t="shared" si="45"/>
        <v>45233</v>
      </c>
      <c r="G748" t="s">
        <v>17</v>
      </c>
      <c r="H748" t="s">
        <v>291</v>
      </c>
      <c r="I748" t="s">
        <v>2192</v>
      </c>
      <c r="J748" t="s">
        <v>2193</v>
      </c>
      <c r="K748" t="s">
        <v>445</v>
      </c>
      <c r="L748" t="s">
        <v>22</v>
      </c>
      <c r="M748">
        <v>26</v>
      </c>
      <c r="N748" t="s">
        <v>37</v>
      </c>
      <c r="O748">
        <v>76</v>
      </c>
      <c r="P748">
        <v>1</v>
      </c>
      <c r="Q748">
        <v>363.92</v>
      </c>
      <c r="R748" s="4">
        <v>45600</v>
      </c>
      <c r="S748" s="6">
        <v>0.3384490740740741</v>
      </c>
      <c r="T748">
        <f t="shared" si="46"/>
        <v>16</v>
      </c>
      <c r="U748" t="str" cm="1">
        <f t="array" ref="U748">_xlfn.IFS(M748&lt;=34,"YOUNG",M748&lt;=54,"MIDDLE AGE",M748&gt;=55,"OLD")</f>
        <v>YOUNG</v>
      </c>
      <c r="V748" t="str">
        <f t="shared" si="47"/>
        <v>NORMAL</v>
      </c>
    </row>
    <row r="749" spans="1:22" x14ac:dyDescent="0.35">
      <c r="A749" t="s">
        <v>2194</v>
      </c>
      <c r="B749" t="s">
        <v>729</v>
      </c>
      <c r="C749">
        <v>389.63</v>
      </c>
      <c r="D749" s="1">
        <v>44973.680625000001</v>
      </c>
      <c r="E749" s="2">
        <f t="shared" si="44"/>
        <v>0.68062500000087311</v>
      </c>
      <c r="F749" s="3">
        <f t="shared" si="45"/>
        <v>44973</v>
      </c>
      <c r="G749" t="s">
        <v>17</v>
      </c>
      <c r="H749" t="s">
        <v>32</v>
      </c>
      <c r="I749" t="s">
        <v>476</v>
      </c>
      <c r="J749" t="s">
        <v>1202</v>
      </c>
      <c r="K749" t="s">
        <v>740</v>
      </c>
      <c r="L749" t="s">
        <v>36</v>
      </c>
      <c r="M749">
        <v>27</v>
      </c>
      <c r="N749" t="s">
        <v>77</v>
      </c>
      <c r="O749">
        <v>99</v>
      </c>
      <c r="P749">
        <v>1</v>
      </c>
      <c r="Q749">
        <v>9748.48</v>
      </c>
      <c r="R749" s="4">
        <v>45600</v>
      </c>
      <c r="S749" s="6">
        <v>0.33952546296296299</v>
      </c>
      <c r="T749">
        <f t="shared" si="46"/>
        <v>16</v>
      </c>
      <c r="U749" t="str" cm="1">
        <f t="array" ref="U749">_xlfn.IFS(M749&lt;=34,"YOUNG",M749&lt;=54,"MIDDLE AGE",M749&gt;=55,"OLD")</f>
        <v>YOUNG</v>
      </c>
      <c r="V749" t="str">
        <f t="shared" si="47"/>
        <v>NORMAL</v>
      </c>
    </row>
    <row r="750" spans="1:22" x14ac:dyDescent="0.35">
      <c r="A750" t="s">
        <v>2195</v>
      </c>
      <c r="B750" t="s">
        <v>1446</v>
      </c>
      <c r="C750">
        <v>217.61</v>
      </c>
      <c r="D750" s="1">
        <v>45001.73369212963</v>
      </c>
      <c r="E750" s="2">
        <f t="shared" si="44"/>
        <v>0.73369212963007158</v>
      </c>
      <c r="F750" s="3">
        <f t="shared" si="45"/>
        <v>45001</v>
      </c>
      <c r="G750" t="s">
        <v>17</v>
      </c>
      <c r="H750" t="s">
        <v>265</v>
      </c>
      <c r="I750" t="s">
        <v>1945</v>
      </c>
      <c r="J750" t="s">
        <v>696</v>
      </c>
      <c r="K750" t="s">
        <v>105</v>
      </c>
      <c r="L750" t="s">
        <v>22</v>
      </c>
      <c r="M750">
        <v>19</v>
      </c>
      <c r="N750" t="s">
        <v>37</v>
      </c>
      <c r="O750">
        <v>45</v>
      </c>
      <c r="P750">
        <v>1</v>
      </c>
      <c r="Q750">
        <v>1404.53</v>
      </c>
      <c r="R750" s="4">
        <v>45600</v>
      </c>
      <c r="S750" s="6">
        <v>0.34037037037037038</v>
      </c>
      <c r="T750">
        <f t="shared" si="46"/>
        <v>17</v>
      </c>
      <c r="U750" t="str" cm="1">
        <f t="array" ref="U750">_xlfn.IFS(M750&lt;=34,"YOUNG",M750&lt;=54,"MIDDLE AGE",M750&gt;=55,"OLD")</f>
        <v>YOUNG</v>
      </c>
      <c r="V750" t="str">
        <f t="shared" si="47"/>
        <v>NORMAL</v>
      </c>
    </row>
    <row r="751" spans="1:22" x14ac:dyDescent="0.35">
      <c r="A751" t="s">
        <v>2196</v>
      </c>
      <c r="B751" t="s">
        <v>25</v>
      </c>
      <c r="C751">
        <v>199.84</v>
      </c>
      <c r="D751" s="1">
        <v>44942.667754629627</v>
      </c>
      <c r="E751" s="2">
        <f t="shared" si="44"/>
        <v>0.66775462962687016</v>
      </c>
      <c r="F751" s="3">
        <f t="shared" si="45"/>
        <v>44942</v>
      </c>
      <c r="G751" t="s">
        <v>17</v>
      </c>
      <c r="H751" t="s">
        <v>323</v>
      </c>
      <c r="I751" t="s">
        <v>685</v>
      </c>
      <c r="J751" t="s">
        <v>1295</v>
      </c>
      <c r="K751" t="s">
        <v>984</v>
      </c>
      <c r="L751" t="s">
        <v>22</v>
      </c>
      <c r="M751">
        <v>21</v>
      </c>
      <c r="N751" t="s">
        <v>37</v>
      </c>
      <c r="O751">
        <v>150</v>
      </c>
      <c r="P751">
        <v>1</v>
      </c>
      <c r="Q751">
        <v>706.44</v>
      </c>
      <c r="R751" s="4">
        <v>45600</v>
      </c>
      <c r="S751" s="6">
        <v>0.33974537037037039</v>
      </c>
      <c r="T751">
        <f t="shared" si="46"/>
        <v>16</v>
      </c>
      <c r="U751" t="str" cm="1">
        <f t="array" ref="U751">_xlfn.IFS(M751&lt;=34,"YOUNG",M751&lt;=54,"MIDDLE AGE",M751&gt;=55,"OLD")</f>
        <v>YOUNG</v>
      </c>
      <c r="V751" t="str">
        <f t="shared" si="47"/>
        <v>NORMAL</v>
      </c>
    </row>
    <row r="752" spans="1:22" x14ac:dyDescent="0.35">
      <c r="A752" t="s">
        <v>2197</v>
      </c>
      <c r="B752" t="s">
        <v>269</v>
      </c>
      <c r="C752">
        <v>56.35</v>
      </c>
      <c r="D752" s="1">
        <v>44966.67291666667</v>
      </c>
      <c r="E752" s="2">
        <f t="shared" si="44"/>
        <v>0.67291666667006211</v>
      </c>
      <c r="F752" s="3">
        <f t="shared" si="45"/>
        <v>44966</v>
      </c>
      <c r="G752" t="s">
        <v>17</v>
      </c>
      <c r="H752" t="s">
        <v>249</v>
      </c>
      <c r="I752" t="s">
        <v>566</v>
      </c>
      <c r="J752" t="s">
        <v>1819</v>
      </c>
      <c r="K752" t="s">
        <v>450</v>
      </c>
      <c r="L752" t="s">
        <v>22</v>
      </c>
      <c r="M752">
        <v>44</v>
      </c>
      <c r="N752" t="s">
        <v>23</v>
      </c>
      <c r="O752">
        <v>75</v>
      </c>
      <c r="P752">
        <v>1</v>
      </c>
      <c r="Q752">
        <v>5095.7299999999996</v>
      </c>
      <c r="R752" s="4">
        <v>45600</v>
      </c>
      <c r="S752" s="6">
        <v>0.33861111111111108</v>
      </c>
      <c r="T752">
        <f t="shared" si="46"/>
        <v>16</v>
      </c>
      <c r="U752" t="str" cm="1">
        <f t="array" ref="U752">_xlfn.IFS(M752&lt;=34,"YOUNG",M752&lt;=54,"MIDDLE AGE",M752&gt;=55,"OLD")</f>
        <v>MIDDLE AGE</v>
      </c>
      <c r="V752" t="str">
        <f t="shared" si="47"/>
        <v>NORMAL</v>
      </c>
    </row>
    <row r="753" spans="1:22" x14ac:dyDescent="0.35">
      <c r="A753" t="s">
        <v>2198</v>
      </c>
      <c r="B753" t="s">
        <v>1785</v>
      </c>
      <c r="C753">
        <v>248.95</v>
      </c>
      <c r="D753" s="1">
        <v>45093.680266203701</v>
      </c>
      <c r="E753" s="2">
        <f t="shared" si="44"/>
        <v>0.68026620370073942</v>
      </c>
      <c r="F753" s="3">
        <f t="shared" si="45"/>
        <v>45093</v>
      </c>
      <c r="G753" t="s">
        <v>46</v>
      </c>
      <c r="H753" t="s">
        <v>212</v>
      </c>
      <c r="I753" t="s">
        <v>2199</v>
      </c>
      <c r="J753" t="s">
        <v>1249</v>
      </c>
      <c r="K753" t="s">
        <v>1524</v>
      </c>
      <c r="L753" t="s">
        <v>69</v>
      </c>
      <c r="M753">
        <v>65</v>
      </c>
      <c r="N753" t="s">
        <v>70</v>
      </c>
      <c r="O753">
        <v>29</v>
      </c>
      <c r="P753">
        <v>1</v>
      </c>
      <c r="Q753">
        <v>3059.79</v>
      </c>
      <c r="R753" s="4">
        <v>45600</v>
      </c>
      <c r="S753" s="6">
        <v>0.3399537037037037</v>
      </c>
      <c r="T753">
        <f t="shared" si="46"/>
        <v>16</v>
      </c>
      <c r="U753" t="str" cm="1">
        <f t="array" ref="U753">_xlfn.IFS(M753&lt;=34,"YOUNG",M753&lt;=54,"MIDDLE AGE",M753&gt;=55,"OLD")</f>
        <v>OLD</v>
      </c>
      <c r="V753" t="str">
        <f t="shared" si="47"/>
        <v>NORMAL</v>
      </c>
    </row>
    <row r="754" spans="1:22" x14ac:dyDescent="0.35">
      <c r="A754" t="s">
        <v>2200</v>
      </c>
      <c r="B754" t="s">
        <v>183</v>
      </c>
      <c r="C754">
        <v>142.58000000000001</v>
      </c>
      <c r="D754" s="1">
        <v>45096.681145833332</v>
      </c>
      <c r="E754" s="2">
        <f t="shared" si="44"/>
        <v>0.68114583333226619</v>
      </c>
      <c r="F754" s="3">
        <f t="shared" si="45"/>
        <v>45096</v>
      </c>
      <c r="G754" t="s">
        <v>17</v>
      </c>
      <c r="H754" t="s">
        <v>237</v>
      </c>
      <c r="I754" t="s">
        <v>517</v>
      </c>
      <c r="J754" t="s">
        <v>293</v>
      </c>
      <c r="K754" t="s">
        <v>122</v>
      </c>
      <c r="L754" t="s">
        <v>22</v>
      </c>
      <c r="M754">
        <v>33</v>
      </c>
      <c r="N754" t="s">
        <v>77</v>
      </c>
      <c r="O754">
        <v>145</v>
      </c>
      <c r="P754">
        <v>1</v>
      </c>
      <c r="Q754">
        <v>7844.23</v>
      </c>
      <c r="R754" s="4">
        <v>45600</v>
      </c>
      <c r="S754" s="6">
        <v>0.33803240740740742</v>
      </c>
      <c r="T754">
        <f t="shared" si="46"/>
        <v>16</v>
      </c>
      <c r="U754" t="str" cm="1">
        <f t="array" ref="U754">_xlfn.IFS(M754&lt;=34,"YOUNG",M754&lt;=54,"MIDDLE AGE",M754&gt;=55,"OLD")</f>
        <v>YOUNG</v>
      </c>
      <c r="V754" t="str">
        <f t="shared" si="47"/>
        <v>NORMAL</v>
      </c>
    </row>
    <row r="755" spans="1:22" x14ac:dyDescent="0.35">
      <c r="A755" t="s">
        <v>2201</v>
      </c>
      <c r="B755" t="s">
        <v>1992</v>
      </c>
      <c r="C755">
        <v>1020.73</v>
      </c>
      <c r="D755" s="1">
        <v>45131.695902777778</v>
      </c>
      <c r="E755" s="2">
        <f t="shared" si="44"/>
        <v>0.69590277777751908</v>
      </c>
      <c r="F755" s="3">
        <f t="shared" si="45"/>
        <v>45131</v>
      </c>
      <c r="G755" t="s">
        <v>17</v>
      </c>
      <c r="H755" t="s">
        <v>157</v>
      </c>
      <c r="I755" t="s">
        <v>924</v>
      </c>
      <c r="J755" t="s">
        <v>1819</v>
      </c>
      <c r="K755" t="s">
        <v>343</v>
      </c>
      <c r="L755" t="s">
        <v>22</v>
      </c>
      <c r="M755">
        <v>28</v>
      </c>
      <c r="N755" t="s">
        <v>37</v>
      </c>
      <c r="O755">
        <v>87</v>
      </c>
      <c r="P755">
        <v>1</v>
      </c>
      <c r="Q755">
        <v>1119.6099999999999</v>
      </c>
      <c r="R755" s="4">
        <v>45600</v>
      </c>
      <c r="S755" s="6">
        <v>0.34134259259259259</v>
      </c>
      <c r="T755">
        <f t="shared" si="46"/>
        <v>16</v>
      </c>
      <c r="U755" t="str" cm="1">
        <f t="array" ref="U755">_xlfn.IFS(M755&lt;=34,"YOUNG",M755&lt;=54,"MIDDLE AGE",M755&gt;=55,"OLD")</f>
        <v>YOUNG</v>
      </c>
      <c r="V755" t="str">
        <f t="shared" si="47"/>
        <v>NORMAL</v>
      </c>
    </row>
    <row r="756" spans="1:22" x14ac:dyDescent="0.35">
      <c r="A756" t="s">
        <v>2202</v>
      </c>
      <c r="B756" t="s">
        <v>1707</v>
      </c>
      <c r="C756">
        <v>84.34</v>
      </c>
      <c r="D756" s="1">
        <v>45085.686064814814</v>
      </c>
      <c r="E756" s="2">
        <f t="shared" si="44"/>
        <v>0.68606481481401715</v>
      </c>
      <c r="F756" s="3">
        <f t="shared" si="45"/>
        <v>45085</v>
      </c>
      <c r="G756" t="s">
        <v>17</v>
      </c>
      <c r="H756" t="s">
        <v>92</v>
      </c>
      <c r="I756" t="s">
        <v>2203</v>
      </c>
      <c r="J756" t="s">
        <v>1414</v>
      </c>
      <c r="K756" t="s">
        <v>137</v>
      </c>
      <c r="L756" t="s">
        <v>36</v>
      </c>
      <c r="M756">
        <v>58</v>
      </c>
      <c r="N756" t="s">
        <v>70</v>
      </c>
      <c r="O756">
        <v>248</v>
      </c>
      <c r="P756">
        <v>3</v>
      </c>
      <c r="Q756">
        <v>5313.97</v>
      </c>
      <c r="R756" s="4">
        <v>45600</v>
      </c>
      <c r="S756" s="6">
        <v>0.33994212962962961</v>
      </c>
      <c r="T756">
        <f t="shared" si="46"/>
        <v>16</v>
      </c>
      <c r="U756" t="str" cm="1">
        <f t="array" ref="U756">_xlfn.IFS(M756&lt;=34,"YOUNG",M756&lt;=54,"MIDDLE AGE",M756&gt;=55,"OLD")</f>
        <v>OLD</v>
      </c>
      <c r="V756" t="str">
        <f t="shared" si="47"/>
        <v>HIGH</v>
      </c>
    </row>
    <row r="757" spans="1:22" x14ac:dyDescent="0.35">
      <c r="A757" t="s">
        <v>2204</v>
      </c>
      <c r="B757" t="s">
        <v>367</v>
      </c>
      <c r="C757">
        <v>1607.55</v>
      </c>
      <c r="D757" s="1">
        <v>45176.68545138889</v>
      </c>
      <c r="E757" s="2">
        <f t="shared" si="44"/>
        <v>0.68545138889021473</v>
      </c>
      <c r="F757" s="3">
        <f t="shared" si="45"/>
        <v>45176</v>
      </c>
      <c r="G757" t="s">
        <v>17</v>
      </c>
      <c r="H757" t="s">
        <v>425</v>
      </c>
      <c r="I757" t="s">
        <v>404</v>
      </c>
      <c r="J757" t="s">
        <v>410</v>
      </c>
      <c r="K757" t="s">
        <v>1000</v>
      </c>
      <c r="L757" t="s">
        <v>22</v>
      </c>
      <c r="M757">
        <v>31</v>
      </c>
      <c r="N757" t="s">
        <v>77</v>
      </c>
      <c r="O757">
        <v>156</v>
      </c>
      <c r="P757">
        <v>1</v>
      </c>
      <c r="Q757">
        <v>6227.99</v>
      </c>
      <c r="R757" s="4">
        <v>45600</v>
      </c>
      <c r="S757" s="6">
        <v>0.33857638888888891</v>
      </c>
      <c r="T757">
        <f t="shared" si="46"/>
        <v>16</v>
      </c>
      <c r="U757" t="str" cm="1">
        <f t="array" ref="U757">_xlfn.IFS(M757&lt;=34,"YOUNG",M757&lt;=54,"MIDDLE AGE",M757&gt;=55,"OLD")</f>
        <v>YOUNG</v>
      </c>
      <c r="V757" t="str">
        <f t="shared" si="47"/>
        <v>NORMAL</v>
      </c>
    </row>
    <row r="758" spans="1:22" x14ac:dyDescent="0.35">
      <c r="A758" t="s">
        <v>2205</v>
      </c>
      <c r="B758" t="s">
        <v>537</v>
      </c>
      <c r="C758">
        <v>333.78</v>
      </c>
      <c r="D758" s="1">
        <v>45260.745694444442</v>
      </c>
      <c r="E758" s="2">
        <f t="shared" si="44"/>
        <v>0.74569444444205146</v>
      </c>
      <c r="F758" s="3">
        <f t="shared" si="45"/>
        <v>45260</v>
      </c>
      <c r="G758" t="s">
        <v>17</v>
      </c>
      <c r="H758" t="s">
        <v>18</v>
      </c>
      <c r="I758" t="s">
        <v>1550</v>
      </c>
      <c r="J758" t="s">
        <v>2206</v>
      </c>
      <c r="K758" t="s">
        <v>100</v>
      </c>
      <c r="L758" t="s">
        <v>22</v>
      </c>
      <c r="M758">
        <v>60</v>
      </c>
      <c r="N758" t="s">
        <v>70</v>
      </c>
      <c r="O758">
        <v>98</v>
      </c>
      <c r="P758">
        <v>1</v>
      </c>
      <c r="Q758">
        <v>6810.94</v>
      </c>
      <c r="R758" s="4">
        <v>45600</v>
      </c>
      <c r="S758" s="6">
        <v>0.33877314814814813</v>
      </c>
      <c r="T758">
        <f t="shared" si="46"/>
        <v>17</v>
      </c>
      <c r="U758" t="str" cm="1">
        <f t="array" ref="U758">_xlfn.IFS(M758&lt;=34,"YOUNG",M758&lt;=54,"MIDDLE AGE",M758&gt;=55,"OLD")</f>
        <v>OLD</v>
      </c>
      <c r="V758" t="str">
        <f t="shared" si="47"/>
        <v>NORMAL</v>
      </c>
    </row>
    <row r="759" spans="1:22" x14ac:dyDescent="0.35">
      <c r="A759" t="s">
        <v>2207</v>
      </c>
      <c r="B759" t="s">
        <v>2208</v>
      </c>
      <c r="C759">
        <v>332.59</v>
      </c>
      <c r="D759" s="1">
        <v>45120.743206018517</v>
      </c>
      <c r="E759" s="2">
        <f t="shared" si="44"/>
        <v>0.74320601851650281</v>
      </c>
      <c r="F759" s="3">
        <f t="shared" si="45"/>
        <v>45120</v>
      </c>
      <c r="G759" t="s">
        <v>17</v>
      </c>
      <c r="H759" t="s">
        <v>237</v>
      </c>
      <c r="I759" t="s">
        <v>2209</v>
      </c>
      <c r="J759" t="s">
        <v>1571</v>
      </c>
      <c r="K759" t="s">
        <v>406</v>
      </c>
      <c r="L759" t="s">
        <v>36</v>
      </c>
      <c r="M759">
        <v>55</v>
      </c>
      <c r="N759" t="s">
        <v>70</v>
      </c>
      <c r="O759">
        <v>143</v>
      </c>
      <c r="P759">
        <v>1</v>
      </c>
      <c r="Q759">
        <v>1457.07</v>
      </c>
      <c r="R759" s="4">
        <v>45600</v>
      </c>
      <c r="S759" s="6">
        <v>0.33964120370370371</v>
      </c>
      <c r="T759">
        <f t="shared" si="46"/>
        <v>17</v>
      </c>
      <c r="U759" t="str" cm="1">
        <f t="array" ref="U759">_xlfn.IFS(M759&lt;=34,"YOUNG",M759&lt;=54,"MIDDLE AGE",M759&gt;=55,"OLD")</f>
        <v>OLD</v>
      </c>
      <c r="V759" t="str">
        <f t="shared" si="47"/>
        <v>NORMAL</v>
      </c>
    </row>
    <row r="760" spans="1:22" x14ac:dyDescent="0.35">
      <c r="A760" t="s">
        <v>2210</v>
      </c>
      <c r="B760" t="s">
        <v>789</v>
      </c>
      <c r="C760">
        <v>236.81</v>
      </c>
      <c r="D760" s="1">
        <v>45225.708275462966</v>
      </c>
      <c r="E760" s="2">
        <f t="shared" si="44"/>
        <v>0.70827546296641231</v>
      </c>
      <c r="F760" s="3">
        <f t="shared" si="45"/>
        <v>45225</v>
      </c>
      <c r="G760" t="s">
        <v>17</v>
      </c>
      <c r="H760" t="s">
        <v>53</v>
      </c>
      <c r="I760" t="s">
        <v>1419</v>
      </c>
      <c r="J760" t="s">
        <v>2211</v>
      </c>
      <c r="K760" t="s">
        <v>759</v>
      </c>
      <c r="L760" t="s">
        <v>69</v>
      </c>
      <c r="M760">
        <v>22</v>
      </c>
      <c r="N760" t="s">
        <v>37</v>
      </c>
      <c r="O760">
        <v>15</v>
      </c>
      <c r="P760">
        <v>1</v>
      </c>
      <c r="Q760">
        <v>813.68</v>
      </c>
      <c r="R760" s="4">
        <v>45600</v>
      </c>
      <c r="S760" s="6">
        <v>0.33840277777777777</v>
      </c>
      <c r="T760">
        <f t="shared" si="46"/>
        <v>16</v>
      </c>
      <c r="U760" t="str" cm="1">
        <f t="array" ref="U760">_xlfn.IFS(M760&lt;=34,"YOUNG",M760&lt;=54,"MIDDLE AGE",M760&gt;=55,"OLD")</f>
        <v>YOUNG</v>
      </c>
      <c r="V760" t="str">
        <f t="shared" si="47"/>
        <v>NORMAL</v>
      </c>
    </row>
    <row r="761" spans="1:22" x14ac:dyDescent="0.35">
      <c r="A761" t="s">
        <v>2212</v>
      </c>
      <c r="B761" t="s">
        <v>843</v>
      </c>
      <c r="C761">
        <v>417.8</v>
      </c>
      <c r="D761" s="1">
        <v>45103.68141203704</v>
      </c>
      <c r="E761" s="2">
        <f t="shared" si="44"/>
        <v>0.68141203703999054</v>
      </c>
      <c r="F761" s="3">
        <f t="shared" si="45"/>
        <v>45103</v>
      </c>
      <c r="G761" t="s">
        <v>46</v>
      </c>
      <c r="H761" t="s">
        <v>243</v>
      </c>
      <c r="I761" t="s">
        <v>1600</v>
      </c>
      <c r="J761" t="s">
        <v>2206</v>
      </c>
      <c r="K761" t="s">
        <v>386</v>
      </c>
      <c r="L761" t="s">
        <v>69</v>
      </c>
      <c r="M761">
        <v>27</v>
      </c>
      <c r="N761" t="s">
        <v>37</v>
      </c>
      <c r="O761">
        <v>130</v>
      </c>
      <c r="P761">
        <v>1</v>
      </c>
      <c r="Q761">
        <v>1518.82</v>
      </c>
      <c r="R761" s="4">
        <v>45600</v>
      </c>
      <c r="S761" s="6">
        <v>0.33978009259259262</v>
      </c>
      <c r="T761">
        <f t="shared" si="46"/>
        <v>16</v>
      </c>
      <c r="U761" t="str" cm="1">
        <f t="array" ref="U761">_xlfn.IFS(M761&lt;=34,"YOUNG",M761&lt;=54,"MIDDLE AGE",M761&gt;=55,"OLD")</f>
        <v>YOUNG</v>
      </c>
      <c r="V761" t="str">
        <f t="shared" si="47"/>
        <v>NORMAL</v>
      </c>
    </row>
    <row r="762" spans="1:22" x14ac:dyDescent="0.35">
      <c r="A762" t="s">
        <v>2213</v>
      </c>
      <c r="B762" t="s">
        <v>1023</v>
      </c>
      <c r="C762">
        <v>319.27</v>
      </c>
      <c r="D762" s="1">
        <v>45145.704837962963</v>
      </c>
      <c r="E762" s="2">
        <f t="shared" si="44"/>
        <v>0.70483796296321088</v>
      </c>
      <c r="F762" s="3">
        <f t="shared" si="45"/>
        <v>45145</v>
      </c>
      <c r="G762" t="s">
        <v>17</v>
      </c>
      <c r="H762" t="s">
        <v>237</v>
      </c>
      <c r="I762" t="s">
        <v>1945</v>
      </c>
      <c r="J762" t="s">
        <v>999</v>
      </c>
      <c r="K762" t="s">
        <v>29</v>
      </c>
      <c r="L762" t="s">
        <v>22</v>
      </c>
      <c r="M762">
        <v>50</v>
      </c>
      <c r="N762" t="s">
        <v>23</v>
      </c>
      <c r="O762">
        <v>150</v>
      </c>
      <c r="P762">
        <v>1</v>
      </c>
      <c r="Q762">
        <v>10269.780000000001</v>
      </c>
      <c r="R762" s="4">
        <v>45600</v>
      </c>
      <c r="S762" s="6">
        <v>0.34187499999999998</v>
      </c>
      <c r="T762">
        <f t="shared" si="46"/>
        <v>16</v>
      </c>
      <c r="U762" t="str" cm="1">
        <f t="array" ref="U762">_xlfn.IFS(M762&lt;=34,"YOUNG",M762&lt;=54,"MIDDLE AGE",M762&gt;=55,"OLD")</f>
        <v>MIDDLE AGE</v>
      </c>
      <c r="V762" t="str">
        <f t="shared" si="47"/>
        <v>NORMAL</v>
      </c>
    </row>
    <row r="763" spans="1:22" x14ac:dyDescent="0.35">
      <c r="A763" t="s">
        <v>2214</v>
      </c>
      <c r="B763" t="s">
        <v>2125</v>
      </c>
      <c r="C763">
        <v>384.1</v>
      </c>
      <c r="D763" s="1">
        <v>45070.772893518515</v>
      </c>
      <c r="E763" s="2">
        <f t="shared" si="44"/>
        <v>0.77289351851504762</v>
      </c>
      <c r="F763" s="3">
        <f t="shared" si="45"/>
        <v>45070</v>
      </c>
      <c r="G763" t="s">
        <v>17</v>
      </c>
      <c r="H763" t="s">
        <v>73</v>
      </c>
      <c r="I763" t="s">
        <v>2215</v>
      </c>
      <c r="J763" t="s">
        <v>1467</v>
      </c>
      <c r="K763" t="s">
        <v>432</v>
      </c>
      <c r="L763" t="s">
        <v>69</v>
      </c>
      <c r="M763">
        <v>42</v>
      </c>
      <c r="N763" t="s">
        <v>77</v>
      </c>
      <c r="O763">
        <v>172</v>
      </c>
      <c r="P763">
        <v>1</v>
      </c>
      <c r="Q763">
        <v>672.79</v>
      </c>
      <c r="R763" s="4">
        <v>45600</v>
      </c>
      <c r="S763" s="6">
        <v>0.34145833333333331</v>
      </c>
      <c r="T763">
        <f t="shared" si="46"/>
        <v>18</v>
      </c>
      <c r="U763" t="str" cm="1">
        <f t="array" ref="U763">_xlfn.IFS(M763&lt;=34,"YOUNG",M763&lt;=54,"MIDDLE AGE",M763&gt;=55,"OLD")</f>
        <v>MIDDLE AGE</v>
      </c>
      <c r="V763" t="str">
        <f t="shared" si="47"/>
        <v>NORMAL</v>
      </c>
    </row>
    <row r="764" spans="1:22" x14ac:dyDescent="0.35">
      <c r="A764" t="s">
        <v>2216</v>
      </c>
      <c r="B764" t="s">
        <v>1333</v>
      </c>
      <c r="C764">
        <v>820.62</v>
      </c>
      <c r="D764" s="1">
        <v>44988.721516203703</v>
      </c>
      <c r="E764" s="2">
        <f t="shared" si="44"/>
        <v>0.72151620370277669</v>
      </c>
      <c r="F764" s="3">
        <f t="shared" si="45"/>
        <v>44988</v>
      </c>
      <c r="G764" t="s">
        <v>46</v>
      </c>
      <c r="H764" t="s">
        <v>558</v>
      </c>
      <c r="I764" t="s">
        <v>485</v>
      </c>
      <c r="J764" t="s">
        <v>1291</v>
      </c>
      <c r="K764" t="s">
        <v>820</v>
      </c>
      <c r="L764" t="s">
        <v>69</v>
      </c>
      <c r="M764">
        <v>61</v>
      </c>
      <c r="N764" t="s">
        <v>23</v>
      </c>
      <c r="O764">
        <v>158</v>
      </c>
      <c r="P764">
        <v>1</v>
      </c>
      <c r="Q764">
        <v>6024.8</v>
      </c>
      <c r="R764" s="4">
        <v>45600</v>
      </c>
      <c r="S764" s="6">
        <v>0.3385185185185185</v>
      </c>
      <c r="T764">
        <f t="shared" si="46"/>
        <v>17</v>
      </c>
      <c r="U764" t="str" cm="1">
        <f t="array" ref="U764">_xlfn.IFS(M764&lt;=34,"YOUNG",M764&lt;=54,"MIDDLE AGE",M764&gt;=55,"OLD")</f>
        <v>OLD</v>
      </c>
      <c r="V764" t="str">
        <f t="shared" si="47"/>
        <v>NORMAL</v>
      </c>
    </row>
    <row r="765" spans="1:22" x14ac:dyDescent="0.35">
      <c r="A765" t="s">
        <v>2217</v>
      </c>
      <c r="B765" t="s">
        <v>1542</v>
      </c>
      <c r="C765">
        <v>474.77</v>
      </c>
      <c r="D765" s="1">
        <v>45285.686342592591</v>
      </c>
      <c r="E765" s="2">
        <f t="shared" si="44"/>
        <v>0.68634259259124519</v>
      </c>
      <c r="F765" s="3">
        <f t="shared" si="45"/>
        <v>45285</v>
      </c>
      <c r="G765" t="s">
        <v>46</v>
      </c>
      <c r="H765" t="s">
        <v>65</v>
      </c>
      <c r="I765" t="s">
        <v>173</v>
      </c>
      <c r="J765" t="s">
        <v>1277</v>
      </c>
      <c r="K765" t="s">
        <v>89</v>
      </c>
      <c r="L765" t="s">
        <v>36</v>
      </c>
      <c r="M765">
        <v>56</v>
      </c>
      <c r="N765" t="s">
        <v>77</v>
      </c>
      <c r="O765">
        <v>50</v>
      </c>
      <c r="P765">
        <v>1</v>
      </c>
      <c r="Q765">
        <v>2158.59</v>
      </c>
      <c r="R765" s="4">
        <v>45600</v>
      </c>
      <c r="S765" s="6">
        <v>0.33930555555555558</v>
      </c>
      <c r="T765">
        <f t="shared" si="46"/>
        <v>16</v>
      </c>
      <c r="U765" t="str" cm="1">
        <f t="array" ref="U765">_xlfn.IFS(M765&lt;=34,"YOUNG",M765&lt;=54,"MIDDLE AGE",M765&gt;=55,"OLD")</f>
        <v>OLD</v>
      </c>
      <c r="V765" t="str">
        <f t="shared" si="47"/>
        <v>NORMAL</v>
      </c>
    </row>
    <row r="766" spans="1:22" x14ac:dyDescent="0.35">
      <c r="A766" t="s">
        <v>2218</v>
      </c>
      <c r="B766" t="s">
        <v>1391</v>
      </c>
      <c r="C766">
        <v>542.72</v>
      </c>
      <c r="D766" s="1">
        <v>45173.776354166665</v>
      </c>
      <c r="E766" s="2">
        <f t="shared" si="44"/>
        <v>0.77635416666453239</v>
      </c>
      <c r="F766" s="3">
        <f t="shared" si="45"/>
        <v>45173</v>
      </c>
      <c r="G766" t="s">
        <v>46</v>
      </c>
      <c r="H766" t="s">
        <v>65</v>
      </c>
      <c r="I766" t="s">
        <v>1453</v>
      </c>
      <c r="J766" t="s">
        <v>1629</v>
      </c>
      <c r="K766" t="s">
        <v>740</v>
      </c>
      <c r="L766" t="s">
        <v>69</v>
      </c>
      <c r="M766">
        <v>43</v>
      </c>
      <c r="N766" t="s">
        <v>23</v>
      </c>
      <c r="O766">
        <v>92</v>
      </c>
      <c r="P766">
        <v>1</v>
      </c>
      <c r="Q766">
        <v>6011.8</v>
      </c>
      <c r="R766" s="4">
        <v>45600</v>
      </c>
      <c r="S766" s="6">
        <v>0.3395023148148148</v>
      </c>
      <c r="T766">
        <f t="shared" si="46"/>
        <v>18</v>
      </c>
      <c r="U766" t="str" cm="1">
        <f t="array" ref="U766">_xlfn.IFS(M766&lt;=34,"YOUNG",M766&lt;=54,"MIDDLE AGE",M766&gt;=55,"OLD")</f>
        <v>MIDDLE AGE</v>
      </c>
      <c r="V766" t="str">
        <f t="shared" si="47"/>
        <v>NORMAL</v>
      </c>
    </row>
    <row r="767" spans="1:22" x14ac:dyDescent="0.35">
      <c r="A767" t="s">
        <v>2219</v>
      </c>
      <c r="B767" t="s">
        <v>2220</v>
      </c>
      <c r="C767">
        <v>79.8</v>
      </c>
      <c r="D767" s="1">
        <v>45282.720532407409</v>
      </c>
      <c r="E767" s="2">
        <f t="shared" si="44"/>
        <v>0.72053240740933688</v>
      </c>
      <c r="F767" s="3">
        <f t="shared" si="45"/>
        <v>45282</v>
      </c>
      <c r="G767" t="s">
        <v>17</v>
      </c>
      <c r="H767" t="s">
        <v>157</v>
      </c>
      <c r="I767" t="s">
        <v>551</v>
      </c>
      <c r="J767" t="s">
        <v>1235</v>
      </c>
      <c r="K767" t="s">
        <v>272</v>
      </c>
      <c r="L767" t="s">
        <v>22</v>
      </c>
      <c r="M767">
        <v>73</v>
      </c>
      <c r="N767" t="s">
        <v>70</v>
      </c>
      <c r="O767">
        <v>76</v>
      </c>
      <c r="P767">
        <v>1</v>
      </c>
      <c r="Q767">
        <v>6372.58</v>
      </c>
      <c r="R767" s="4">
        <v>45600</v>
      </c>
      <c r="S767" s="6">
        <v>0.33805555555555555</v>
      </c>
      <c r="T767">
        <f t="shared" si="46"/>
        <v>17</v>
      </c>
      <c r="U767" t="str" cm="1">
        <f t="array" ref="U767">_xlfn.IFS(M767&lt;=34,"YOUNG",M767&lt;=54,"MIDDLE AGE",M767&gt;=55,"OLD")</f>
        <v>OLD</v>
      </c>
      <c r="V767" t="str">
        <f t="shared" si="47"/>
        <v>NORMAL</v>
      </c>
    </row>
    <row r="768" spans="1:22" x14ac:dyDescent="0.35">
      <c r="A768" t="s">
        <v>2221</v>
      </c>
      <c r="B768" t="s">
        <v>1440</v>
      </c>
      <c r="C768">
        <v>46.24</v>
      </c>
      <c r="D768" s="1">
        <v>44998.670671296299</v>
      </c>
      <c r="E768" s="2">
        <f t="shared" si="44"/>
        <v>0.6706712962986785</v>
      </c>
      <c r="F768" s="3">
        <f t="shared" si="45"/>
        <v>44998</v>
      </c>
      <c r="G768" t="s">
        <v>17</v>
      </c>
      <c r="H768" t="s">
        <v>18</v>
      </c>
      <c r="I768" t="s">
        <v>2222</v>
      </c>
      <c r="J768" t="s">
        <v>2223</v>
      </c>
      <c r="K768" t="s">
        <v>169</v>
      </c>
      <c r="L768" t="s">
        <v>69</v>
      </c>
      <c r="M768">
        <v>57</v>
      </c>
      <c r="N768" t="s">
        <v>77</v>
      </c>
      <c r="O768">
        <v>52</v>
      </c>
      <c r="P768">
        <v>1</v>
      </c>
      <c r="Q768">
        <v>2569.56</v>
      </c>
      <c r="R768" s="4">
        <v>45600</v>
      </c>
      <c r="S768" s="6">
        <v>0.33847222222222223</v>
      </c>
      <c r="T768">
        <f t="shared" si="46"/>
        <v>16</v>
      </c>
      <c r="U768" t="str" cm="1">
        <f t="array" ref="U768">_xlfn.IFS(M768&lt;=34,"YOUNG",M768&lt;=54,"MIDDLE AGE",M768&gt;=55,"OLD")</f>
        <v>OLD</v>
      </c>
      <c r="V768" t="str">
        <f t="shared" si="47"/>
        <v>NORMAL</v>
      </c>
    </row>
    <row r="769" spans="1:22" x14ac:dyDescent="0.35">
      <c r="A769" t="s">
        <v>2224</v>
      </c>
      <c r="B769" t="s">
        <v>2225</v>
      </c>
      <c r="C769">
        <v>327.8</v>
      </c>
      <c r="D769" s="1">
        <v>45253.739224537036</v>
      </c>
      <c r="E769" s="2">
        <f t="shared" si="44"/>
        <v>0.73922453703562496</v>
      </c>
      <c r="F769" s="3">
        <f t="shared" si="45"/>
        <v>45253</v>
      </c>
      <c r="G769" t="s">
        <v>17</v>
      </c>
      <c r="H769" t="s">
        <v>212</v>
      </c>
      <c r="I769" t="s">
        <v>914</v>
      </c>
      <c r="J769" t="s">
        <v>1540</v>
      </c>
      <c r="K769" t="s">
        <v>56</v>
      </c>
      <c r="L769" t="s">
        <v>22</v>
      </c>
      <c r="M769">
        <v>61</v>
      </c>
      <c r="N769" t="s">
        <v>23</v>
      </c>
      <c r="O769">
        <v>54</v>
      </c>
      <c r="P769">
        <v>1</v>
      </c>
      <c r="Q769">
        <v>10585.48</v>
      </c>
      <c r="R769" s="4">
        <v>45600</v>
      </c>
      <c r="S769" s="6">
        <v>0.33979166666666666</v>
      </c>
      <c r="T769">
        <f t="shared" si="46"/>
        <v>17</v>
      </c>
      <c r="U769" t="str" cm="1">
        <f t="array" ref="U769">_xlfn.IFS(M769&lt;=34,"YOUNG",M769&lt;=54,"MIDDLE AGE",M769&gt;=55,"OLD")</f>
        <v>OLD</v>
      </c>
      <c r="V769" t="str">
        <f t="shared" si="47"/>
        <v>NORMAL</v>
      </c>
    </row>
    <row r="770" spans="1:22" x14ac:dyDescent="0.35">
      <c r="A770" t="s">
        <v>2226</v>
      </c>
      <c r="B770" t="s">
        <v>1186</v>
      </c>
      <c r="C770">
        <v>445.79</v>
      </c>
      <c r="D770" s="1">
        <v>45114.721979166665</v>
      </c>
      <c r="E770" s="2">
        <f t="shared" ref="E770:E833" si="48">D770-INT(D770)</f>
        <v>0.72197916666482342</v>
      </c>
      <c r="F770" s="3">
        <f t="shared" ref="F770:F833" si="49">INT(D770)</f>
        <v>45114</v>
      </c>
      <c r="G770" t="s">
        <v>17</v>
      </c>
      <c r="H770" t="s">
        <v>146</v>
      </c>
      <c r="I770" t="s">
        <v>48</v>
      </c>
      <c r="J770" t="s">
        <v>1100</v>
      </c>
      <c r="K770" t="s">
        <v>29</v>
      </c>
      <c r="L770" t="s">
        <v>22</v>
      </c>
      <c r="M770">
        <v>52</v>
      </c>
      <c r="N770" t="s">
        <v>23</v>
      </c>
      <c r="O770">
        <v>161</v>
      </c>
      <c r="P770">
        <v>1</v>
      </c>
      <c r="Q770">
        <v>717.99</v>
      </c>
      <c r="R770" s="4">
        <v>45600</v>
      </c>
      <c r="S770" s="6">
        <v>0.34172453703703703</v>
      </c>
      <c r="T770">
        <f t="shared" si="46"/>
        <v>17</v>
      </c>
      <c r="U770" t="str" cm="1">
        <f t="array" ref="U770">_xlfn.IFS(M770&lt;=34,"YOUNG",M770&lt;=54,"MIDDLE AGE",M770&gt;=55,"OLD")</f>
        <v>MIDDLE AGE</v>
      </c>
      <c r="V770" t="str">
        <f t="shared" si="47"/>
        <v>NORMAL</v>
      </c>
    </row>
    <row r="771" spans="1:22" x14ac:dyDescent="0.35">
      <c r="A771" t="s">
        <v>2227</v>
      </c>
      <c r="B771" t="s">
        <v>520</v>
      </c>
      <c r="C771">
        <v>55.89</v>
      </c>
      <c r="D771" s="1">
        <v>45155.704513888886</v>
      </c>
      <c r="E771" s="2">
        <f t="shared" si="48"/>
        <v>0.70451388888614019</v>
      </c>
      <c r="F771" s="3">
        <f t="shared" si="49"/>
        <v>45155</v>
      </c>
      <c r="G771" t="s">
        <v>17</v>
      </c>
      <c r="H771" t="s">
        <v>558</v>
      </c>
      <c r="I771" t="s">
        <v>356</v>
      </c>
      <c r="J771" t="s">
        <v>490</v>
      </c>
      <c r="K771" t="s">
        <v>607</v>
      </c>
      <c r="L771" t="s">
        <v>36</v>
      </c>
      <c r="M771">
        <v>72</v>
      </c>
      <c r="N771" t="s">
        <v>70</v>
      </c>
      <c r="O771">
        <v>150</v>
      </c>
      <c r="P771">
        <v>1</v>
      </c>
      <c r="Q771">
        <v>3689.65</v>
      </c>
      <c r="R771" s="4">
        <v>45600</v>
      </c>
      <c r="S771" s="6">
        <v>0.34135416666666668</v>
      </c>
      <c r="T771">
        <f t="shared" ref="T771:T834" si="50">HOUR(E771)</f>
        <v>16</v>
      </c>
      <c r="U771" t="str" cm="1">
        <f t="array" ref="U771">_xlfn.IFS(M771&lt;=34,"YOUNG",M771&lt;=54,"MIDDLE AGE",M771&gt;=55,"OLD")</f>
        <v>OLD</v>
      </c>
      <c r="V771" t="str">
        <f t="shared" ref="V771:V834" si="51">IF(P771&gt;1,"HIGH","NORMAL")</f>
        <v>NORMAL</v>
      </c>
    </row>
    <row r="772" spans="1:22" x14ac:dyDescent="0.35">
      <c r="A772" t="s">
        <v>2228</v>
      </c>
      <c r="B772" t="s">
        <v>2229</v>
      </c>
      <c r="C772">
        <v>158.41</v>
      </c>
      <c r="D772" s="1">
        <v>44966.686782407407</v>
      </c>
      <c r="E772" s="2">
        <f t="shared" si="48"/>
        <v>0.68678240740700858</v>
      </c>
      <c r="F772" s="3">
        <f t="shared" si="49"/>
        <v>44966</v>
      </c>
      <c r="G772" t="s">
        <v>17</v>
      </c>
      <c r="H772" t="s">
        <v>285</v>
      </c>
      <c r="I772" t="s">
        <v>2230</v>
      </c>
      <c r="J772" t="s">
        <v>1595</v>
      </c>
      <c r="K772" t="s">
        <v>759</v>
      </c>
      <c r="L772" t="s">
        <v>69</v>
      </c>
      <c r="M772">
        <v>28</v>
      </c>
      <c r="N772" t="s">
        <v>37</v>
      </c>
      <c r="O772">
        <v>16</v>
      </c>
      <c r="P772">
        <v>1</v>
      </c>
      <c r="Q772">
        <v>1512.16</v>
      </c>
      <c r="R772" s="4">
        <v>45600</v>
      </c>
      <c r="S772" s="6">
        <v>0.34031250000000002</v>
      </c>
      <c r="T772">
        <f t="shared" si="50"/>
        <v>16</v>
      </c>
      <c r="U772" t="str" cm="1">
        <f t="array" ref="U772">_xlfn.IFS(M772&lt;=34,"YOUNG",M772&lt;=54,"MIDDLE AGE",M772&gt;=55,"OLD")</f>
        <v>YOUNG</v>
      </c>
      <c r="V772" t="str">
        <f t="shared" si="51"/>
        <v>NORMAL</v>
      </c>
    </row>
    <row r="773" spans="1:22" x14ac:dyDescent="0.35">
      <c r="A773" t="s">
        <v>2231</v>
      </c>
      <c r="B773" t="s">
        <v>1311</v>
      </c>
      <c r="C773">
        <v>101.19</v>
      </c>
      <c r="D773" s="1">
        <v>45259.776863425926</v>
      </c>
      <c r="E773" s="2">
        <f t="shared" si="48"/>
        <v>0.77686342592642177</v>
      </c>
      <c r="F773" s="3">
        <f t="shared" si="49"/>
        <v>45259</v>
      </c>
      <c r="G773" t="s">
        <v>46</v>
      </c>
      <c r="H773" t="s">
        <v>114</v>
      </c>
      <c r="I773" t="s">
        <v>2232</v>
      </c>
      <c r="J773" t="s">
        <v>2223</v>
      </c>
      <c r="K773" t="s">
        <v>450</v>
      </c>
      <c r="L773" t="s">
        <v>36</v>
      </c>
      <c r="M773">
        <v>64</v>
      </c>
      <c r="N773" t="s">
        <v>23</v>
      </c>
      <c r="O773">
        <v>75</v>
      </c>
      <c r="P773">
        <v>1</v>
      </c>
      <c r="Q773">
        <v>14389.45</v>
      </c>
      <c r="R773" s="4">
        <v>45600</v>
      </c>
      <c r="S773" s="6">
        <v>0.34009259259259261</v>
      </c>
      <c r="T773">
        <f t="shared" si="50"/>
        <v>18</v>
      </c>
      <c r="U773" t="str" cm="1">
        <f t="array" ref="U773">_xlfn.IFS(M773&lt;=34,"YOUNG",M773&lt;=54,"MIDDLE AGE",M773&gt;=55,"OLD")</f>
        <v>OLD</v>
      </c>
      <c r="V773" t="str">
        <f t="shared" si="51"/>
        <v>NORMAL</v>
      </c>
    </row>
    <row r="774" spans="1:22" x14ac:dyDescent="0.35">
      <c r="A774" t="s">
        <v>2233</v>
      </c>
      <c r="B774" t="s">
        <v>1137</v>
      </c>
      <c r="C774">
        <v>827.14</v>
      </c>
      <c r="D774" s="1">
        <v>44943.725844907407</v>
      </c>
      <c r="E774" s="2">
        <f t="shared" si="48"/>
        <v>0.72584490740700858</v>
      </c>
      <c r="F774" s="3">
        <f t="shared" si="49"/>
        <v>44943</v>
      </c>
      <c r="G774" t="s">
        <v>17</v>
      </c>
      <c r="H774" t="s">
        <v>506</v>
      </c>
      <c r="I774" t="s">
        <v>476</v>
      </c>
      <c r="J774" t="s">
        <v>34</v>
      </c>
      <c r="K774" t="s">
        <v>762</v>
      </c>
      <c r="L774" t="s">
        <v>69</v>
      </c>
      <c r="M774">
        <v>36</v>
      </c>
      <c r="N774" t="s">
        <v>77</v>
      </c>
      <c r="O774">
        <v>265</v>
      </c>
      <c r="P774">
        <v>4</v>
      </c>
      <c r="Q774">
        <v>9800.2099999999991</v>
      </c>
      <c r="R774" s="4">
        <v>45600</v>
      </c>
      <c r="S774" s="6">
        <v>0.33905092592592595</v>
      </c>
      <c r="T774">
        <f t="shared" si="50"/>
        <v>17</v>
      </c>
      <c r="U774" t="str" cm="1">
        <f t="array" ref="U774">_xlfn.IFS(M774&lt;=34,"YOUNG",M774&lt;=54,"MIDDLE AGE",M774&gt;=55,"OLD")</f>
        <v>MIDDLE AGE</v>
      </c>
      <c r="V774" t="str">
        <f t="shared" si="51"/>
        <v>HIGH</v>
      </c>
    </row>
    <row r="775" spans="1:22" x14ac:dyDescent="0.35">
      <c r="A775" t="s">
        <v>2234</v>
      </c>
      <c r="B775" t="s">
        <v>1272</v>
      </c>
      <c r="C775">
        <v>61.97</v>
      </c>
      <c r="D775" s="1">
        <v>45068.7815162037</v>
      </c>
      <c r="E775" s="2">
        <f t="shared" si="48"/>
        <v>0.78151620370044839</v>
      </c>
      <c r="F775" s="3">
        <f t="shared" si="49"/>
        <v>45068</v>
      </c>
      <c r="G775" t="s">
        <v>17</v>
      </c>
      <c r="H775" t="s">
        <v>425</v>
      </c>
      <c r="I775" t="s">
        <v>2235</v>
      </c>
      <c r="J775" t="s">
        <v>2236</v>
      </c>
      <c r="K775" t="s">
        <v>682</v>
      </c>
      <c r="L775" t="s">
        <v>22</v>
      </c>
      <c r="M775">
        <v>74</v>
      </c>
      <c r="N775" t="s">
        <v>70</v>
      </c>
      <c r="O775">
        <v>95</v>
      </c>
      <c r="P775">
        <v>1</v>
      </c>
      <c r="Q775">
        <v>7014.69</v>
      </c>
      <c r="R775" s="4">
        <v>45600</v>
      </c>
      <c r="S775" s="6">
        <v>0.34082175925925928</v>
      </c>
      <c r="T775">
        <f t="shared" si="50"/>
        <v>18</v>
      </c>
      <c r="U775" t="str" cm="1">
        <f t="array" ref="U775">_xlfn.IFS(M775&lt;=34,"YOUNG",M775&lt;=54,"MIDDLE AGE",M775&gt;=55,"OLD")</f>
        <v>OLD</v>
      </c>
      <c r="V775" t="str">
        <f t="shared" si="51"/>
        <v>NORMAL</v>
      </c>
    </row>
    <row r="776" spans="1:22" x14ac:dyDescent="0.35">
      <c r="A776" t="s">
        <v>2237</v>
      </c>
      <c r="B776" t="s">
        <v>2238</v>
      </c>
      <c r="C776">
        <v>27.21</v>
      </c>
      <c r="D776" s="1">
        <v>45091.69090277778</v>
      </c>
      <c r="E776" s="2">
        <f t="shared" si="48"/>
        <v>0.69090277778013842</v>
      </c>
      <c r="F776" s="3">
        <f t="shared" si="49"/>
        <v>45091</v>
      </c>
      <c r="G776" t="s">
        <v>17</v>
      </c>
      <c r="H776" t="s">
        <v>223</v>
      </c>
      <c r="I776" t="s">
        <v>893</v>
      </c>
      <c r="J776" t="s">
        <v>921</v>
      </c>
      <c r="K776" t="s">
        <v>1345</v>
      </c>
      <c r="L776" t="s">
        <v>22</v>
      </c>
      <c r="M776">
        <v>79</v>
      </c>
      <c r="N776" t="s">
        <v>70</v>
      </c>
      <c r="O776">
        <v>102</v>
      </c>
      <c r="P776">
        <v>1</v>
      </c>
      <c r="Q776">
        <v>3520.61</v>
      </c>
      <c r="R776" s="4">
        <v>45600</v>
      </c>
      <c r="S776" s="6">
        <v>0.33806712962962965</v>
      </c>
      <c r="T776">
        <f t="shared" si="50"/>
        <v>16</v>
      </c>
      <c r="U776" t="str" cm="1">
        <f t="array" ref="U776">_xlfn.IFS(M776&lt;=34,"YOUNG",M776&lt;=54,"MIDDLE AGE",M776&gt;=55,"OLD")</f>
        <v>OLD</v>
      </c>
      <c r="V776" t="str">
        <f t="shared" si="51"/>
        <v>NORMAL</v>
      </c>
    </row>
    <row r="777" spans="1:22" x14ac:dyDescent="0.35">
      <c r="A777" t="s">
        <v>2239</v>
      </c>
      <c r="B777" t="s">
        <v>578</v>
      </c>
      <c r="C777">
        <v>173.74</v>
      </c>
      <c r="D777" s="1">
        <v>45177.7419212963</v>
      </c>
      <c r="E777" s="2">
        <f t="shared" si="48"/>
        <v>0.74192129629955161</v>
      </c>
      <c r="F777" s="3">
        <f t="shared" si="49"/>
        <v>45177</v>
      </c>
      <c r="G777" t="s">
        <v>17</v>
      </c>
      <c r="H777" t="s">
        <v>26</v>
      </c>
      <c r="I777" t="s">
        <v>2037</v>
      </c>
      <c r="J777" t="s">
        <v>643</v>
      </c>
      <c r="K777" t="s">
        <v>226</v>
      </c>
      <c r="L777" t="s">
        <v>36</v>
      </c>
      <c r="M777">
        <v>80</v>
      </c>
      <c r="N777" t="s">
        <v>70</v>
      </c>
      <c r="O777">
        <v>64</v>
      </c>
      <c r="P777">
        <v>1</v>
      </c>
      <c r="Q777">
        <v>4913.42</v>
      </c>
      <c r="R777" s="4">
        <v>45600</v>
      </c>
      <c r="S777" s="6">
        <v>0.34157407407407409</v>
      </c>
      <c r="T777">
        <f t="shared" si="50"/>
        <v>17</v>
      </c>
      <c r="U777" t="str" cm="1">
        <f t="array" ref="U777">_xlfn.IFS(M777&lt;=34,"YOUNG",M777&lt;=54,"MIDDLE AGE",M777&gt;=55,"OLD")</f>
        <v>OLD</v>
      </c>
      <c r="V777" t="str">
        <f t="shared" si="51"/>
        <v>NORMAL</v>
      </c>
    </row>
    <row r="778" spans="1:22" x14ac:dyDescent="0.35">
      <c r="A778" t="s">
        <v>2240</v>
      </c>
      <c r="B778" t="s">
        <v>1955</v>
      </c>
      <c r="C778">
        <v>176.11</v>
      </c>
      <c r="D778" s="1">
        <v>45148.700636574074</v>
      </c>
      <c r="E778" s="2">
        <f t="shared" si="48"/>
        <v>0.70063657407445135</v>
      </c>
      <c r="F778" s="3">
        <f t="shared" si="49"/>
        <v>45148</v>
      </c>
      <c r="G778" t="s">
        <v>17</v>
      </c>
      <c r="H778" t="s">
        <v>223</v>
      </c>
      <c r="I778" t="s">
        <v>2241</v>
      </c>
      <c r="J778" t="s">
        <v>1208</v>
      </c>
      <c r="K778" t="s">
        <v>50</v>
      </c>
      <c r="L778" t="s">
        <v>69</v>
      </c>
      <c r="M778">
        <v>38</v>
      </c>
      <c r="N778" t="s">
        <v>77</v>
      </c>
      <c r="O778">
        <v>105</v>
      </c>
      <c r="P778">
        <v>1</v>
      </c>
      <c r="Q778">
        <v>9155.35</v>
      </c>
      <c r="R778" s="4">
        <v>45600</v>
      </c>
      <c r="S778" s="6">
        <v>0.34062500000000001</v>
      </c>
      <c r="T778">
        <f t="shared" si="50"/>
        <v>16</v>
      </c>
      <c r="U778" t="str" cm="1">
        <f t="array" ref="U778">_xlfn.IFS(M778&lt;=34,"YOUNG",M778&lt;=54,"MIDDLE AGE",M778&gt;=55,"OLD")</f>
        <v>MIDDLE AGE</v>
      </c>
      <c r="V778" t="str">
        <f t="shared" si="51"/>
        <v>NORMAL</v>
      </c>
    </row>
    <row r="779" spans="1:22" x14ac:dyDescent="0.35">
      <c r="A779" t="s">
        <v>2242</v>
      </c>
      <c r="B779" t="s">
        <v>585</v>
      </c>
      <c r="C779">
        <v>88.4</v>
      </c>
      <c r="D779" s="1">
        <v>45240.751469907409</v>
      </c>
      <c r="E779" s="2">
        <f t="shared" si="48"/>
        <v>0.75146990740904585</v>
      </c>
      <c r="F779" s="3">
        <f t="shared" si="49"/>
        <v>45240</v>
      </c>
      <c r="G779" t="s">
        <v>17</v>
      </c>
      <c r="H779" t="s">
        <v>157</v>
      </c>
      <c r="I779" t="s">
        <v>605</v>
      </c>
      <c r="J779" t="s">
        <v>1459</v>
      </c>
      <c r="K779" t="s">
        <v>149</v>
      </c>
      <c r="L779" t="s">
        <v>36</v>
      </c>
      <c r="M779">
        <v>46</v>
      </c>
      <c r="N779" t="s">
        <v>77</v>
      </c>
      <c r="O779">
        <v>174</v>
      </c>
      <c r="P779">
        <v>1</v>
      </c>
      <c r="Q779">
        <v>2567.5300000000002</v>
      </c>
      <c r="R779" s="4">
        <v>45600</v>
      </c>
      <c r="S779" s="6">
        <v>0.34005787037037039</v>
      </c>
      <c r="T779">
        <f t="shared" si="50"/>
        <v>18</v>
      </c>
      <c r="U779" t="str" cm="1">
        <f t="array" ref="U779">_xlfn.IFS(M779&lt;=34,"YOUNG",M779&lt;=54,"MIDDLE AGE",M779&gt;=55,"OLD")</f>
        <v>MIDDLE AGE</v>
      </c>
      <c r="V779" t="str">
        <f t="shared" si="51"/>
        <v>NORMAL</v>
      </c>
    </row>
    <row r="780" spans="1:22" x14ac:dyDescent="0.35">
      <c r="A780" t="s">
        <v>2243</v>
      </c>
      <c r="B780" t="s">
        <v>1927</v>
      </c>
      <c r="C780">
        <v>567.91999999999996</v>
      </c>
      <c r="D780" s="1">
        <v>45097.685497685183</v>
      </c>
      <c r="E780" s="2">
        <f t="shared" si="48"/>
        <v>0.68549768518278142</v>
      </c>
      <c r="F780" s="3">
        <f t="shared" si="49"/>
        <v>45097</v>
      </c>
      <c r="G780" t="s">
        <v>17</v>
      </c>
      <c r="H780" t="s">
        <v>125</v>
      </c>
      <c r="I780" t="s">
        <v>2244</v>
      </c>
      <c r="J780" t="s">
        <v>2245</v>
      </c>
      <c r="K780" t="s">
        <v>564</v>
      </c>
      <c r="L780" t="s">
        <v>36</v>
      </c>
      <c r="M780">
        <v>53</v>
      </c>
      <c r="N780" t="s">
        <v>70</v>
      </c>
      <c r="O780">
        <v>14</v>
      </c>
      <c r="P780">
        <v>1</v>
      </c>
      <c r="Q780">
        <v>3779.47</v>
      </c>
      <c r="R780" s="4">
        <v>45600</v>
      </c>
      <c r="S780" s="6">
        <v>0.34180555555555553</v>
      </c>
      <c r="T780">
        <f t="shared" si="50"/>
        <v>16</v>
      </c>
      <c r="U780" t="str" cm="1">
        <f t="array" ref="U780">_xlfn.IFS(M780&lt;=34,"YOUNG",M780&lt;=54,"MIDDLE AGE",M780&gt;=55,"OLD")</f>
        <v>MIDDLE AGE</v>
      </c>
      <c r="V780" t="str">
        <f t="shared" si="51"/>
        <v>NORMAL</v>
      </c>
    </row>
    <row r="781" spans="1:22" x14ac:dyDescent="0.35">
      <c r="A781" t="s">
        <v>2246</v>
      </c>
      <c r="B781" t="s">
        <v>525</v>
      </c>
      <c r="C781">
        <v>138.11000000000001</v>
      </c>
      <c r="D781" s="1">
        <v>45271.728495370371</v>
      </c>
      <c r="E781" s="2">
        <f t="shared" si="48"/>
        <v>0.72849537037109258</v>
      </c>
      <c r="F781" s="3">
        <f t="shared" si="49"/>
        <v>45271</v>
      </c>
      <c r="G781" t="s">
        <v>46</v>
      </c>
      <c r="H781" t="s">
        <v>425</v>
      </c>
      <c r="I781" t="s">
        <v>2247</v>
      </c>
      <c r="J781" t="s">
        <v>1474</v>
      </c>
      <c r="K781" t="s">
        <v>353</v>
      </c>
      <c r="L781" t="s">
        <v>36</v>
      </c>
      <c r="M781">
        <v>68</v>
      </c>
      <c r="N781" t="s">
        <v>70</v>
      </c>
      <c r="O781">
        <v>104</v>
      </c>
      <c r="P781">
        <v>1</v>
      </c>
      <c r="Q781">
        <v>4177.6499999999996</v>
      </c>
      <c r="R781" s="4">
        <v>45600</v>
      </c>
      <c r="S781" s="6">
        <v>0.33824074074074073</v>
      </c>
      <c r="T781">
        <f t="shared" si="50"/>
        <v>17</v>
      </c>
      <c r="U781" t="str" cm="1">
        <f t="array" ref="U781">_xlfn.IFS(M781&lt;=34,"YOUNG",M781&lt;=54,"MIDDLE AGE",M781&gt;=55,"OLD")</f>
        <v>OLD</v>
      </c>
      <c r="V781" t="str">
        <f t="shared" si="51"/>
        <v>NORMAL</v>
      </c>
    </row>
    <row r="782" spans="1:22" x14ac:dyDescent="0.35">
      <c r="A782" t="s">
        <v>2248</v>
      </c>
      <c r="B782" t="s">
        <v>1814</v>
      </c>
      <c r="C782">
        <v>456.93</v>
      </c>
      <c r="D782" s="1">
        <v>45195.679548611108</v>
      </c>
      <c r="E782" s="2">
        <f t="shared" si="48"/>
        <v>0.679548611107748</v>
      </c>
      <c r="F782" s="3">
        <f t="shared" si="49"/>
        <v>45195</v>
      </c>
      <c r="G782" t="s">
        <v>46</v>
      </c>
      <c r="H782" t="s">
        <v>301</v>
      </c>
      <c r="I782" t="s">
        <v>193</v>
      </c>
      <c r="J782" t="s">
        <v>1637</v>
      </c>
      <c r="K782" t="s">
        <v>598</v>
      </c>
      <c r="L782" t="s">
        <v>69</v>
      </c>
      <c r="M782">
        <v>28</v>
      </c>
      <c r="N782" t="s">
        <v>77</v>
      </c>
      <c r="O782">
        <v>193</v>
      </c>
      <c r="P782">
        <v>1</v>
      </c>
      <c r="Q782">
        <v>7284.76</v>
      </c>
      <c r="R782" s="4">
        <v>45600</v>
      </c>
      <c r="S782" s="6">
        <v>0.33991898148148147</v>
      </c>
      <c r="T782">
        <f t="shared" si="50"/>
        <v>16</v>
      </c>
      <c r="U782" t="str" cm="1">
        <f t="array" ref="U782">_xlfn.IFS(M782&lt;=34,"YOUNG",M782&lt;=54,"MIDDLE AGE",M782&gt;=55,"OLD")</f>
        <v>YOUNG</v>
      </c>
      <c r="V782" t="str">
        <f t="shared" si="51"/>
        <v>NORMAL</v>
      </c>
    </row>
    <row r="783" spans="1:22" x14ac:dyDescent="0.35">
      <c r="A783" t="s">
        <v>2249</v>
      </c>
      <c r="B783" t="s">
        <v>1599</v>
      </c>
      <c r="C783">
        <v>101.42</v>
      </c>
      <c r="D783" s="1">
        <v>45041.708506944444</v>
      </c>
      <c r="E783" s="2">
        <f t="shared" si="48"/>
        <v>0.70850694444379769</v>
      </c>
      <c r="F783" s="3">
        <f t="shared" si="49"/>
        <v>45041</v>
      </c>
      <c r="G783" t="s">
        <v>17</v>
      </c>
      <c r="H783" t="s">
        <v>47</v>
      </c>
      <c r="I783" t="s">
        <v>1645</v>
      </c>
      <c r="J783" t="s">
        <v>1109</v>
      </c>
      <c r="K783" t="s">
        <v>308</v>
      </c>
      <c r="L783" t="s">
        <v>36</v>
      </c>
      <c r="M783">
        <v>66</v>
      </c>
      <c r="N783" t="s">
        <v>70</v>
      </c>
      <c r="O783">
        <v>146</v>
      </c>
      <c r="P783">
        <v>1</v>
      </c>
      <c r="Q783">
        <v>6530.59</v>
      </c>
      <c r="R783" s="4">
        <v>45600</v>
      </c>
      <c r="S783" s="6">
        <v>0.34192129629629631</v>
      </c>
      <c r="T783">
        <f t="shared" si="50"/>
        <v>17</v>
      </c>
      <c r="U783" t="str" cm="1">
        <f t="array" ref="U783">_xlfn.IFS(M783&lt;=34,"YOUNG",M783&lt;=54,"MIDDLE AGE",M783&gt;=55,"OLD")</f>
        <v>OLD</v>
      </c>
      <c r="V783" t="str">
        <f t="shared" si="51"/>
        <v>NORMAL</v>
      </c>
    </row>
    <row r="784" spans="1:22" x14ac:dyDescent="0.35">
      <c r="A784" t="s">
        <v>2250</v>
      </c>
      <c r="B784" t="s">
        <v>2251</v>
      </c>
      <c r="C784">
        <v>300.61</v>
      </c>
      <c r="D784" s="1">
        <v>45047.723449074074</v>
      </c>
      <c r="E784" s="2">
        <f t="shared" si="48"/>
        <v>0.72344907407386927</v>
      </c>
      <c r="F784" s="3">
        <f t="shared" si="49"/>
        <v>45047</v>
      </c>
      <c r="G784" t="s">
        <v>17</v>
      </c>
      <c r="H784" t="s">
        <v>506</v>
      </c>
      <c r="I784" t="s">
        <v>2252</v>
      </c>
      <c r="J784" t="s">
        <v>2030</v>
      </c>
      <c r="K784" t="s">
        <v>598</v>
      </c>
      <c r="L784" t="s">
        <v>36</v>
      </c>
      <c r="M784">
        <v>44</v>
      </c>
      <c r="N784" t="s">
        <v>23</v>
      </c>
      <c r="O784">
        <v>51</v>
      </c>
      <c r="P784">
        <v>1</v>
      </c>
      <c r="Q784">
        <v>7895.54</v>
      </c>
      <c r="R784" s="4">
        <v>45600</v>
      </c>
      <c r="S784" s="6">
        <v>0.34162037037037035</v>
      </c>
      <c r="T784">
        <f t="shared" si="50"/>
        <v>17</v>
      </c>
      <c r="U784" t="str" cm="1">
        <f t="array" ref="U784">_xlfn.IFS(M784&lt;=34,"YOUNG",M784&lt;=54,"MIDDLE AGE",M784&gt;=55,"OLD")</f>
        <v>MIDDLE AGE</v>
      </c>
      <c r="V784" t="str">
        <f t="shared" si="51"/>
        <v>NORMAL</v>
      </c>
    </row>
    <row r="785" spans="1:22" x14ac:dyDescent="0.35">
      <c r="A785" t="s">
        <v>2253</v>
      </c>
      <c r="B785" t="s">
        <v>2050</v>
      </c>
      <c r="C785">
        <v>265.94</v>
      </c>
      <c r="D785" s="1">
        <v>45082.674386574072</v>
      </c>
      <c r="E785" s="2">
        <f t="shared" si="48"/>
        <v>0.674386574071832</v>
      </c>
      <c r="F785" s="3">
        <f t="shared" si="49"/>
        <v>45082</v>
      </c>
      <c r="G785" t="s">
        <v>17</v>
      </c>
      <c r="H785" t="s">
        <v>388</v>
      </c>
      <c r="I785" t="s">
        <v>1218</v>
      </c>
      <c r="J785" t="s">
        <v>2254</v>
      </c>
      <c r="K785" t="s">
        <v>674</v>
      </c>
      <c r="L785" t="s">
        <v>36</v>
      </c>
      <c r="M785">
        <v>54</v>
      </c>
      <c r="N785" t="s">
        <v>77</v>
      </c>
      <c r="O785">
        <v>132</v>
      </c>
      <c r="P785">
        <v>1</v>
      </c>
      <c r="Q785">
        <v>6781.3</v>
      </c>
      <c r="R785" s="4">
        <v>45600</v>
      </c>
      <c r="S785" s="6">
        <v>0.33792824074074074</v>
      </c>
      <c r="T785">
        <f t="shared" si="50"/>
        <v>16</v>
      </c>
      <c r="U785" t="str" cm="1">
        <f t="array" ref="U785">_xlfn.IFS(M785&lt;=34,"YOUNG",M785&lt;=54,"MIDDLE AGE",M785&gt;=55,"OLD")</f>
        <v>MIDDLE AGE</v>
      </c>
      <c r="V785" t="str">
        <f t="shared" si="51"/>
        <v>NORMAL</v>
      </c>
    </row>
    <row r="786" spans="1:22" x14ac:dyDescent="0.35">
      <c r="A786" t="s">
        <v>2255</v>
      </c>
      <c r="B786" t="s">
        <v>851</v>
      </c>
      <c r="C786">
        <v>345.54</v>
      </c>
      <c r="D786" s="1">
        <v>44950.670601851853</v>
      </c>
      <c r="E786" s="2">
        <f t="shared" si="48"/>
        <v>0.6706018518525525</v>
      </c>
      <c r="F786" s="3">
        <f t="shared" si="49"/>
        <v>44950</v>
      </c>
      <c r="G786" t="s">
        <v>17</v>
      </c>
      <c r="H786" t="s">
        <v>18</v>
      </c>
      <c r="I786" t="s">
        <v>103</v>
      </c>
      <c r="J786" t="s">
        <v>34</v>
      </c>
      <c r="K786" t="s">
        <v>1345</v>
      </c>
      <c r="L786" t="s">
        <v>36</v>
      </c>
      <c r="M786">
        <v>29</v>
      </c>
      <c r="N786" t="s">
        <v>77</v>
      </c>
      <c r="O786">
        <v>50</v>
      </c>
      <c r="P786">
        <v>1</v>
      </c>
      <c r="Q786">
        <v>2091.7800000000002</v>
      </c>
      <c r="R786" s="4">
        <v>45600</v>
      </c>
      <c r="S786" s="6">
        <v>0.34107638888888892</v>
      </c>
      <c r="T786">
        <f t="shared" si="50"/>
        <v>16</v>
      </c>
      <c r="U786" t="str" cm="1">
        <f t="array" ref="U786">_xlfn.IFS(M786&lt;=34,"YOUNG",M786&lt;=54,"MIDDLE AGE",M786&gt;=55,"OLD")</f>
        <v>YOUNG</v>
      </c>
      <c r="V786" t="str">
        <f t="shared" si="51"/>
        <v>NORMAL</v>
      </c>
    </row>
    <row r="787" spans="1:22" x14ac:dyDescent="0.35">
      <c r="A787" t="s">
        <v>2256</v>
      </c>
      <c r="B787" t="s">
        <v>1900</v>
      </c>
      <c r="C787">
        <v>411.52</v>
      </c>
      <c r="D787" s="1">
        <v>44936.736296296294</v>
      </c>
      <c r="E787" s="2">
        <f t="shared" si="48"/>
        <v>0.73629629629431292</v>
      </c>
      <c r="F787" s="3">
        <f t="shared" si="49"/>
        <v>44936</v>
      </c>
      <c r="G787" t="s">
        <v>17</v>
      </c>
      <c r="H787" t="s">
        <v>140</v>
      </c>
      <c r="I787" t="s">
        <v>439</v>
      </c>
      <c r="J787" t="s">
        <v>1046</v>
      </c>
      <c r="K787" t="s">
        <v>282</v>
      </c>
      <c r="L787" t="s">
        <v>22</v>
      </c>
      <c r="M787">
        <v>41</v>
      </c>
      <c r="N787" t="s">
        <v>23</v>
      </c>
      <c r="O787">
        <v>88</v>
      </c>
      <c r="P787">
        <v>1</v>
      </c>
      <c r="Q787">
        <v>11108.39</v>
      </c>
      <c r="R787" s="4">
        <v>45600</v>
      </c>
      <c r="S787" s="6">
        <v>0.3397337962962963</v>
      </c>
      <c r="T787">
        <f t="shared" si="50"/>
        <v>17</v>
      </c>
      <c r="U787" t="str" cm="1">
        <f t="array" ref="U787">_xlfn.IFS(M787&lt;=34,"YOUNG",M787&lt;=54,"MIDDLE AGE",M787&gt;=55,"OLD")</f>
        <v>MIDDLE AGE</v>
      </c>
      <c r="V787" t="str">
        <f t="shared" si="51"/>
        <v>NORMAL</v>
      </c>
    </row>
    <row r="788" spans="1:22" x14ac:dyDescent="0.35">
      <c r="A788" t="s">
        <v>2257</v>
      </c>
      <c r="B788" t="s">
        <v>2133</v>
      </c>
      <c r="C788">
        <v>111.21</v>
      </c>
      <c r="D788" s="1">
        <v>45159.77547453704</v>
      </c>
      <c r="E788" s="2">
        <f t="shared" si="48"/>
        <v>0.77547453704028158</v>
      </c>
      <c r="F788" s="3">
        <f t="shared" si="49"/>
        <v>45159</v>
      </c>
      <c r="G788" t="s">
        <v>17</v>
      </c>
      <c r="H788" t="s">
        <v>595</v>
      </c>
      <c r="I788" t="s">
        <v>1777</v>
      </c>
      <c r="J788" t="s">
        <v>535</v>
      </c>
      <c r="K788" t="s">
        <v>592</v>
      </c>
      <c r="L788" t="s">
        <v>69</v>
      </c>
      <c r="M788">
        <v>35</v>
      </c>
      <c r="N788" t="s">
        <v>23</v>
      </c>
      <c r="O788">
        <v>111</v>
      </c>
      <c r="P788">
        <v>1</v>
      </c>
      <c r="Q788">
        <v>9088.36</v>
      </c>
      <c r="R788" s="4">
        <v>45600</v>
      </c>
      <c r="S788" s="6">
        <v>0.34180555555555553</v>
      </c>
      <c r="T788">
        <f t="shared" si="50"/>
        <v>18</v>
      </c>
      <c r="U788" t="str" cm="1">
        <f t="array" ref="U788">_xlfn.IFS(M788&lt;=34,"YOUNG",M788&lt;=54,"MIDDLE AGE",M788&gt;=55,"OLD")</f>
        <v>MIDDLE AGE</v>
      </c>
      <c r="V788" t="str">
        <f t="shared" si="51"/>
        <v>NORMAL</v>
      </c>
    </row>
    <row r="789" spans="1:22" x14ac:dyDescent="0.35">
      <c r="A789" t="s">
        <v>2258</v>
      </c>
      <c r="B789" t="s">
        <v>2149</v>
      </c>
      <c r="C789">
        <v>316.37</v>
      </c>
      <c r="D789" s="1">
        <v>45166.732141203705</v>
      </c>
      <c r="E789" s="2">
        <f t="shared" si="48"/>
        <v>0.73214120370539604</v>
      </c>
      <c r="F789" s="3">
        <f t="shared" si="49"/>
        <v>45166</v>
      </c>
      <c r="G789" t="s">
        <v>17</v>
      </c>
      <c r="H789" t="s">
        <v>521</v>
      </c>
      <c r="I789" t="s">
        <v>1493</v>
      </c>
      <c r="J789" t="s">
        <v>2259</v>
      </c>
      <c r="K789" t="s">
        <v>769</v>
      </c>
      <c r="L789" t="s">
        <v>22</v>
      </c>
      <c r="M789">
        <v>53</v>
      </c>
      <c r="N789" t="s">
        <v>77</v>
      </c>
      <c r="O789">
        <v>86</v>
      </c>
      <c r="P789">
        <v>1</v>
      </c>
      <c r="Q789">
        <v>4671.6899999999996</v>
      </c>
      <c r="R789" s="4">
        <v>45600</v>
      </c>
      <c r="S789" s="6">
        <v>0.33888888888888891</v>
      </c>
      <c r="T789">
        <f t="shared" si="50"/>
        <v>17</v>
      </c>
      <c r="U789" t="str" cm="1">
        <f t="array" ref="U789">_xlfn.IFS(M789&lt;=34,"YOUNG",M789&lt;=54,"MIDDLE AGE",M789&gt;=55,"OLD")</f>
        <v>MIDDLE AGE</v>
      </c>
      <c r="V789" t="str">
        <f t="shared" si="51"/>
        <v>NORMAL</v>
      </c>
    </row>
    <row r="790" spans="1:22" x14ac:dyDescent="0.35">
      <c r="A790" t="s">
        <v>2260</v>
      </c>
      <c r="B790" t="s">
        <v>1512</v>
      </c>
      <c r="C790">
        <v>260.63</v>
      </c>
      <c r="D790" s="1">
        <v>45280.790590277778</v>
      </c>
      <c r="E790" s="2">
        <f t="shared" si="48"/>
        <v>0.79059027777839219</v>
      </c>
      <c r="F790" s="3">
        <f t="shared" si="49"/>
        <v>45280</v>
      </c>
      <c r="G790" t="s">
        <v>17</v>
      </c>
      <c r="H790" t="s">
        <v>157</v>
      </c>
      <c r="I790" t="s">
        <v>1347</v>
      </c>
      <c r="J790" t="s">
        <v>436</v>
      </c>
      <c r="K790" t="s">
        <v>262</v>
      </c>
      <c r="L790" t="s">
        <v>69</v>
      </c>
      <c r="M790">
        <v>37</v>
      </c>
      <c r="N790" t="s">
        <v>77</v>
      </c>
      <c r="O790">
        <v>142</v>
      </c>
      <c r="P790">
        <v>1</v>
      </c>
      <c r="Q790">
        <v>7534.73</v>
      </c>
      <c r="R790" s="4">
        <v>45600</v>
      </c>
      <c r="S790" s="6">
        <v>0.33945601851851853</v>
      </c>
      <c r="T790">
        <f t="shared" si="50"/>
        <v>18</v>
      </c>
      <c r="U790" t="str" cm="1">
        <f t="array" ref="U790">_xlfn.IFS(M790&lt;=34,"YOUNG",M790&lt;=54,"MIDDLE AGE",M790&gt;=55,"OLD")</f>
        <v>MIDDLE AGE</v>
      </c>
      <c r="V790" t="str">
        <f t="shared" si="51"/>
        <v>NORMAL</v>
      </c>
    </row>
    <row r="791" spans="1:22" x14ac:dyDescent="0.35">
      <c r="A791" t="s">
        <v>2261</v>
      </c>
      <c r="B791" t="s">
        <v>2262</v>
      </c>
      <c r="C791">
        <v>92.36</v>
      </c>
      <c r="D791" s="1">
        <v>45012.70039351852</v>
      </c>
      <c r="E791" s="2">
        <f t="shared" si="48"/>
        <v>0.70039351852028631</v>
      </c>
      <c r="F791" s="3">
        <f t="shared" si="49"/>
        <v>45012</v>
      </c>
      <c r="G791" t="s">
        <v>17</v>
      </c>
      <c r="H791" t="s">
        <v>323</v>
      </c>
      <c r="I791" t="s">
        <v>297</v>
      </c>
      <c r="J791" t="s">
        <v>2157</v>
      </c>
      <c r="K791" t="s">
        <v>186</v>
      </c>
      <c r="L791" t="s">
        <v>22</v>
      </c>
      <c r="M791">
        <v>29</v>
      </c>
      <c r="N791" t="s">
        <v>77</v>
      </c>
      <c r="O791">
        <v>144</v>
      </c>
      <c r="P791">
        <v>1</v>
      </c>
      <c r="Q791">
        <v>6353.14</v>
      </c>
      <c r="R791" s="4">
        <v>45600</v>
      </c>
      <c r="S791" s="6">
        <v>0.33883101851851855</v>
      </c>
      <c r="T791">
        <f t="shared" si="50"/>
        <v>16</v>
      </c>
      <c r="U791" t="str" cm="1">
        <f t="array" ref="U791">_xlfn.IFS(M791&lt;=34,"YOUNG",M791&lt;=54,"MIDDLE AGE",M791&gt;=55,"OLD")</f>
        <v>YOUNG</v>
      </c>
      <c r="V791" t="str">
        <f t="shared" si="51"/>
        <v>NORMAL</v>
      </c>
    </row>
    <row r="792" spans="1:22" x14ac:dyDescent="0.35">
      <c r="A792" t="s">
        <v>2263</v>
      </c>
      <c r="B792" t="s">
        <v>2264</v>
      </c>
      <c r="C792">
        <v>262.06</v>
      </c>
      <c r="D792" s="1">
        <v>45180.673090277778</v>
      </c>
      <c r="E792" s="2">
        <f t="shared" si="48"/>
        <v>0.67309027777810115</v>
      </c>
      <c r="F792" s="3">
        <f t="shared" si="49"/>
        <v>45180</v>
      </c>
      <c r="G792" t="s">
        <v>17</v>
      </c>
      <c r="H792" t="s">
        <v>53</v>
      </c>
      <c r="I792" t="s">
        <v>2265</v>
      </c>
      <c r="J792" t="s">
        <v>563</v>
      </c>
      <c r="K792" t="s">
        <v>175</v>
      </c>
      <c r="L792" t="s">
        <v>69</v>
      </c>
      <c r="M792">
        <v>63</v>
      </c>
      <c r="N792" t="s">
        <v>23</v>
      </c>
      <c r="O792">
        <v>118</v>
      </c>
      <c r="P792">
        <v>1</v>
      </c>
      <c r="Q792">
        <v>13587.52</v>
      </c>
      <c r="R792" s="4">
        <v>45600</v>
      </c>
      <c r="S792" s="6">
        <v>0.34054398148148146</v>
      </c>
      <c r="T792">
        <f t="shared" si="50"/>
        <v>16</v>
      </c>
      <c r="U792" t="str" cm="1">
        <f t="array" ref="U792">_xlfn.IFS(M792&lt;=34,"YOUNG",M792&lt;=54,"MIDDLE AGE",M792&gt;=55,"OLD")</f>
        <v>OLD</v>
      </c>
      <c r="V792" t="str">
        <f t="shared" si="51"/>
        <v>NORMAL</v>
      </c>
    </row>
    <row r="793" spans="1:22" x14ac:dyDescent="0.35">
      <c r="A793" t="s">
        <v>2266</v>
      </c>
      <c r="B793" t="s">
        <v>889</v>
      </c>
      <c r="C793">
        <v>64.5</v>
      </c>
      <c r="D793" s="1">
        <v>45155.77244212963</v>
      </c>
      <c r="E793" s="2">
        <f t="shared" si="48"/>
        <v>0.77244212962978054</v>
      </c>
      <c r="F793" s="3">
        <f t="shared" si="49"/>
        <v>45155</v>
      </c>
      <c r="G793" t="s">
        <v>17</v>
      </c>
      <c r="H793" t="s">
        <v>114</v>
      </c>
      <c r="I793" t="s">
        <v>726</v>
      </c>
      <c r="J793" t="s">
        <v>503</v>
      </c>
      <c r="K793" t="s">
        <v>619</v>
      </c>
      <c r="L793" t="s">
        <v>22</v>
      </c>
      <c r="M793">
        <v>74</v>
      </c>
      <c r="N793" t="s">
        <v>70</v>
      </c>
      <c r="O793">
        <v>230</v>
      </c>
      <c r="P793">
        <v>1</v>
      </c>
      <c r="Q793">
        <v>1351.24</v>
      </c>
      <c r="R793" s="4">
        <v>45600</v>
      </c>
      <c r="S793" s="6">
        <v>0.33924768518518517</v>
      </c>
      <c r="T793">
        <f t="shared" si="50"/>
        <v>18</v>
      </c>
      <c r="U793" t="str" cm="1">
        <f t="array" ref="U793">_xlfn.IFS(M793&lt;=34,"YOUNG",M793&lt;=54,"MIDDLE AGE",M793&gt;=55,"OLD")</f>
        <v>OLD</v>
      </c>
      <c r="V793" t="str">
        <f t="shared" si="51"/>
        <v>NORMAL</v>
      </c>
    </row>
    <row r="794" spans="1:22" x14ac:dyDescent="0.35">
      <c r="A794" t="s">
        <v>2267</v>
      </c>
      <c r="B794" t="s">
        <v>561</v>
      </c>
      <c r="C794">
        <v>253.55</v>
      </c>
      <c r="D794" s="1">
        <v>44937.706226851849</v>
      </c>
      <c r="E794" s="2">
        <f t="shared" si="48"/>
        <v>0.70622685184935108</v>
      </c>
      <c r="F794" s="3">
        <f t="shared" si="49"/>
        <v>44937</v>
      </c>
      <c r="G794" t="s">
        <v>17</v>
      </c>
      <c r="H794" t="s">
        <v>392</v>
      </c>
      <c r="I794" t="s">
        <v>605</v>
      </c>
      <c r="J794" t="s">
        <v>2268</v>
      </c>
      <c r="K794" t="s">
        <v>83</v>
      </c>
      <c r="L794" t="s">
        <v>22</v>
      </c>
      <c r="M794">
        <v>28</v>
      </c>
      <c r="N794" t="s">
        <v>77</v>
      </c>
      <c r="O794">
        <v>85</v>
      </c>
      <c r="P794">
        <v>5</v>
      </c>
      <c r="Q794">
        <v>2797.26</v>
      </c>
      <c r="R794" s="4">
        <v>45600</v>
      </c>
      <c r="S794" s="6">
        <v>0.3397222222222222</v>
      </c>
      <c r="T794">
        <f t="shared" si="50"/>
        <v>16</v>
      </c>
      <c r="U794" t="str" cm="1">
        <f t="array" ref="U794">_xlfn.IFS(M794&lt;=34,"YOUNG",M794&lt;=54,"MIDDLE AGE",M794&gt;=55,"OLD")</f>
        <v>YOUNG</v>
      </c>
      <c r="V794" t="str">
        <f t="shared" si="51"/>
        <v>HIGH</v>
      </c>
    </row>
    <row r="795" spans="1:22" x14ac:dyDescent="0.35">
      <c r="A795" t="s">
        <v>2269</v>
      </c>
      <c r="B795" t="s">
        <v>1501</v>
      </c>
      <c r="C795">
        <v>408.28</v>
      </c>
      <c r="D795" s="1">
        <v>45000.689687500002</v>
      </c>
      <c r="E795" s="2">
        <f t="shared" si="48"/>
        <v>0.68968750000203727</v>
      </c>
      <c r="F795" s="3">
        <f t="shared" si="49"/>
        <v>45000</v>
      </c>
      <c r="G795" t="s">
        <v>46</v>
      </c>
      <c r="H795" t="s">
        <v>80</v>
      </c>
      <c r="I795" t="s">
        <v>2270</v>
      </c>
      <c r="J795" t="s">
        <v>1705</v>
      </c>
      <c r="K795" t="s">
        <v>165</v>
      </c>
      <c r="L795" t="s">
        <v>69</v>
      </c>
      <c r="M795">
        <v>21</v>
      </c>
      <c r="N795" t="s">
        <v>37</v>
      </c>
      <c r="O795">
        <v>125</v>
      </c>
      <c r="P795">
        <v>3</v>
      </c>
      <c r="Q795">
        <v>1222.77</v>
      </c>
      <c r="R795" s="4">
        <v>45600</v>
      </c>
      <c r="S795" s="6">
        <v>0.34039351851851851</v>
      </c>
      <c r="T795">
        <f t="shared" si="50"/>
        <v>16</v>
      </c>
      <c r="U795" t="str" cm="1">
        <f t="array" ref="U795">_xlfn.IFS(M795&lt;=34,"YOUNG",M795&lt;=54,"MIDDLE AGE",M795&gt;=55,"OLD")</f>
        <v>YOUNG</v>
      </c>
      <c r="V795" t="str">
        <f t="shared" si="51"/>
        <v>HIGH</v>
      </c>
    </row>
    <row r="796" spans="1:22" x14ac:dyDescent="0.35">
      <c r="A796" t="s">
        <v>2271</v>
      </c>
      <c r="B796" t="s">
        <v>345</v>
      </c>
      <c r="C796">
        <v>175.94</v>
      </c>
      <c r="D796" s="1">
        <v>45082.677928240744</v>
      </c>
      <c r="E796" s="2">
        <f t="shared" si="48"/>
        <v>0.67792824074422242</v>
      </c>
      <c r="F796" s="3">
        <f t="shared" si="49"/>
        <v>45082</v>
      </c>
      <c r="G796" t="s">
        <v>17</v>
      </c>
      <c r="H796" t="s">
        <v>65</v>
      </c>
      <c r="I796" t="s">
        <v>2272</v>
      </c>
      <c r="J796" t="s">
        <v>2273</v>
      </c>
      <c r="K796" t="s">
        <v>252</v>
      </c>
      <c r="L796" t="s">
        <v>22</v>
      </c>
      <c r="M796">
        <v>57</v>
      </c>
      <c r="N796" t="s">
        <v>70</v>
      </c>
      <c r="O796">
        <v>89</v>
      </c>
      <c r="P796">
        <v>1</v>
      </c>
      <c r="Q796">
        <v>3728.04</v>
      </c>
      <c r="R796" s="4">
        <v>45600</v>
      </c>
      <c r="S796" s="6">
        <v>0.33832175925925928</v>
      </c>
      <c r="T796">
        <f t="shared" si="50"/>
        <v>16</v>
      </c>
      <c r="U796" t="str" cm="1">
        <f t="array" ref="U796">_xlfn.IFS(M796&lt;=34,"YOUNG",M796&lt;=54,"MIDDLE AGE",M796&gt;=55,"OLD")</f>
        <v>OLD</v>
      </c>
      <c r="V796" t="str">
        <f t="shared" si="51"/>
        <v>NORMAL</v>
      </c>
    </row>
    <row r="797" spans="1:22" x14ac:dyDescent="0.35">
      <c r="A797" t="s">
        <v>2274</v>
      </c>
      <c r="B797" t="s">
        <v>679</v>
      </c>
      <c r="C797">
        <v>199.47</v>
      </c>
      <c r="D797" s="1">
        <v>45152.685162037036</v>
      </c>
      <c r="E797" s="2">
        <f t="shared" si="48"/>
        <v>0.68516203703620704</v>
      </c>
      <c r="F797" s="3">
        <f t="shared" si="49"/>
        <v>45152</v>
      </c>
      <c r="G797" t="s">
        <v>17</v>
      </c>
      <c r="H797" t="s">
        <v>73</v>
      </c>
      <c r="I797" t="s">
        <v>1194</v>
      </c>
      <c r="J797" t="s">
        <v>702</v>
      </c>
      <c r="K797" t="s">
        <v>576</v>
      </c>
      <c r="L797" t="s">
        <v>36</v>
      </c>
      <c r="M797">
        <v>57</v>
      </c>
      <c r="N797" t="s">
        <v>23</v>
      </c>
      <c r="O797">
        <v>142</v>
      </c>
      <c r="P797">
        <v>1</v>
      </c>
      <c r="Q797">
        <v>6067.44</v>
      </c>
      <c r="R797" s="4">
        <v>45600</v>
      </c>
      <c r="S797" s="6">
        <v>0.3384490740740741</v>
      </c>
      <c r="T797">
        <f t="shared" si="50"/>
        <v>16</v>
      </c>
      <c r="U797" t="str" cm="1">
        <f t="array" ref="U797">_xlfn.IFS(M797&lt;=34,"YOUNG",M797&lt;=54,"MIDDLE AGE",M797&gt;=55,"OLD")</f>
        <v>OLD</v>
      </c>
      <c r="V797" t="str">
        <f t="shared" si="51"/>
        <v>NORMAL</v>
      </c>
    </row>
    <row r="798" spans="1:22" x14ac:dyDescent="0.35">
      <c r="A798" t="s">
        <v>2275</v>
      </c>
      <c r="B798" t="s">
        <v>923</v>
      </c>
      <c r="C798">
        <v>51.07</v>
      </c>
      <c r="D798" s="1">
        <v>44949.754837962966</v>
      </c>
      <c r="E798" s="2">
        <f t="shared" si="48"/>
        <v>0.75483796296612127</v>
      </c>
      <c r="F798" s="3">
        <f t="shared" si="49"/>
        <v>44949</v>
      </c>
      <c r="G798" t="s">
        <v>17</v>
      </c>
      <c r="H798" t="s">
        <v>323</v>
      </c>
      <c r="I798" t="s">
        <v>2276</v>
      </c>
      <c r="J798" t="s">
        <v>20</v>
      </c>
      <c r="K798" t="s">
        <v>111</v>
      </c>
      <c r="L798" t="s">
        <v>69</v>
      </c>
      <c r="M798">
        <v>63</v>
      </c>
      <c r="N798" t="s">
        <v>70</v>
      </c>
      <c r="O798">
        <v>133</v>
      </c>
      <c r="P798">
        <v>1</v>
      </c>
      <c r="Q798">
        <v>4292.16</v>
      </c>
      <c r="R798" s="4">
        <v>45600</v>
      </c>
      <c r="S798" s="6">
        <v>0.34180555555555553</v>
      </c>
      <c r="T798">
        <f t="shared" si="50"/>
        <v>18</v>
      </c>
      <c r="U798" t="str" cm="1">
        <f t="array" ref="U798">_xlfn.IFS(M798&lt;=34,"YOUNG",M798&lt;=54,"MIDDLE AGE",M798&gt;=55,"OLD")</f>
        <v>OLD</v>
      </c>
      <c r="V798" t="str">
        <f t="shared" si="51"/>
        <v>NORMAL</v>
      </c>
    </row>
    <row r="799" spans="1:22" x14ac:dyDescent="0.35">
      <c r="A799" t="s">
        <v>2277</v>
      </c>
      <c r="B799" t="s">
        <v>609</v>
      </c>
      <c r="C799">
        <v>435.86</v>
      </c>
      <c r="D799" s="1">
        <v>45289.720694444448</v>
      </c>
      <c r="E799" s="2">
        <f t="shared" si="48"/>
        <v>0.72069444444787223</v>
      </c>
      <c r="F799" s="3">
        <f t="shared" si="49"/>
        <v>45289</v>
      </c>
      <c r="G799" t="s">
        <v>17</v>
      </c>
      <c r="H799" t="s">
        <v>392</v>
      </c>
      <c r="I799" t="s">
        <v>2278</v>
      </c>
      <c r="J799" t="s">
        <v>1913</v>
      </c>
      <c r="K799" t="s">
        <v>326</v>
      </c>
      <c r="L799" t="s">
        <v>22</v>
      </c>
      <c r="M799">
        <v>56</v>
      </c>
      <c r="N799" t="s">
        <v>70</v>
      </c>
      <c r="O799">
        <v>134</v>
      </c>
      <c r="P799">
        <v>1</v>
      </c>
      <c r="Q799">
        <v>3801.82</v>
      </c>
      <c r="R799" s="4">
        <v>45600</v>
      </c>
      <c r="S799" s="6">
        <v>0.33979166666666666</v>
      </c>
      <c r="T799">
        <f t="shared" si="50"/>
        <v>17</v>
      </c>
      <c r="U799" t="str" cm="1">
        <f t="array" ref="U799">_xlfn.IFS(M799&lt;=34,"YOUNG",M799&lt;=54,"MIDDLE AGE",M799&gt;=55,"OLD")</f>
        <v>OLD</v>
      </c>
      <c r="V799" t="str">
        <f t="shared" si="51"/>
        <v>NORMAL</v>
      </c>
    </row>
    <row r="800" spans="1:22" x14ac:dyDescent="0.35">
      <c r="A800" t="s">
        <v>2279</v>
      </c>
      <c r="B800" t="s">
        <v>1027</v>
      </c>
      <c r="C800">
        <v>74.73</v>
      </c>
      <c r="D800" s="1">
        <v>44956.720578703702</v>
      </c>
      <c r="E800" s="2">
        <f t="shared" si="48"/>
        <v>0.72057870370190358</v>
      </c>
      <c r="F800" s="3">
        <f t="shared" si="49"/>
        <v>44956</v>
      </c>
      <c r="G800" t="s">
        <v>46</v>
      </c>
      <c r="H800" t="s">
        <v>392</v>
      </c>
      <c r="I800" t="s">
        <v>2241</v>
      </c>
      <c r="J800" t="s">
        <v>2280</v>
      </c>
      <c r="K800" t="s">
        <v>35</v>
      </c>
      <c r="L800" t="s">
        <v>69</v>
      </c>
      <c r="M800">
        <v>64</v>
      </c>
      <c r="N800" t="s">
        <v>70</v>
      </c>
      <c r="O800">
        <v>162</v>
      </c>
      <c r="P800">
        <v>1</v>
      </c>
      <c r="Q800">
        <v>6353.22</v>
      </c>
      <c r="R800" s="4">
        <v>45600</v>
      </c>
      <c r="S800" s="6">
        <v>0.33918981481481481</v>
      </c>
      <c r="T800">
        <f t="shared" si="50"/>
        <v>17</v>
      </c>
      <c r="U800" t="str" cm="1">
        <f t="array" ref="U800">_xlfn.IFS(M800&lt;=34,"YOUNG",M800&lt;=54,"MIDDLE AGE",M800&gt;=55,"OLD")</f>
        <v>OLD</v>
      </c>
      <c r="V800" t="str">
        <f t="shared" si="51"/>
        <v>NORMAL</v>
      </c>
    </row>
    <row r="801" spans="1:22" x14ac:dyDescent="0.35">
      <c r="A801" t="s">
        <v>2281</v>
      </c>
      <c r="B801" t="s">
        <v>1659</v>
      </c>
      <c r="C801">
        <v>182.79</v>
      </c>
      <c r="D801" s="1">
        <v>45224.681423611109</v>
      </c>
      <c r="E801" s="2">
        <f t="shared" si="48"/>
        <v>0.68142361110949423</v>
      </c>
      <c r="F801" s="3">
        <f t="shared" si="49"/>
        <v>45224</v>
      </c>
      <c r="G801" t="s">
        <v>46</v>
      </c>
      <c r="H801" t="s">
        <v>108</v>
      </c>
      <c r="I801" t="s">
        <v>2282</v>
      </c>
      <c r="J801" t="s">
        <v>1623</v>
      </c>
      <c r="K801" t="s">
        <v>759</v>
      </c>
      <c r="L801" t="s">
        <v>36</v>
      </c>
      <c r="M801">
        <v>23</v>
      </c>
      <c r="N801" t="s">
        <v>37</v>
      </c>
      <c r="O801">
        <v>14</v>
      </c>
      <c r="P801">
        <v>1</v>
      </c>
      <c r="Q801">
        <v>1251.8499999999999</v>
      </c>
      <c r="R801" s="4">
        <v>45600</v>
      </c>
      <c r="S801" s="6">
        <v>0.33812500000000001</v>
      </c>
      <c r="T801">
        <f t="shared" si="50"/>
        <v>16</v>
      </c>
      <c r="U801" t="str" cm="1">
        <f t="array" ref="U801">_xlfn.IFS(M801&lt;=34,"YOUNG",M801&lt;=54,"MIDDLE AGE",M801&gt;=55,"OLD")</f>
        <v>YOUNG</v>
      </c>
      <c r="V801" t="str">
        <f t="shared" si="51"/>
        <v>NORMAL</v>
      </c>
    </row>
    <row r="802" spans="1:22" x14ac:dyDescent="0.35">
      <c r="A802" t="s">
        <v>2283</v>
      </c>
      <c r="B802" t="s">
        <v>687</v>
      </c>
      <c r="C802">
        <v>628.36</v>
      </c>
      <c r="D802" s="1">
        <v>44946.673344907409</v>
      </c>
      <c r="E802" s="2">
        <f t="shared" si="48"/>
        <v>0.67334490740904585</v>
      </c>
      <c r="F802" s="3">
        <f t="shared" si="49"/>
        <v>44946</v>
      </c>
      <c r="G802" t="s">
        <v>17</v>
      </c>
      <c r="H802" t="s">
        <v>119</v>
      </c>
      <c r="I802" t="s">
        <v>2284</v>
      </c>
      <c r="J802" t="s">
        <v>1025</v>
      </c>
      <c r="K802" t="s">
        <v>262</v>
      </c>
      <c r="L802" t="s">
        <v>36</v>
      </c>
      <c r="M802">
        <v>44</v>
      </c>
      <c r="N802" t="s">
        <v>23</v>
      </c>
      <c r="O802">
        <v>108</v>
      </c>
      <c r="P802">
        <v>1</v>
      </c>
      <c r="Q802">
        <v>11869.71</v>
      </c>
      <c r="R802" s="4">
        <v>45600</v>
      </c>
      <c r="S802" s="6">
        <v>0.33856481481481482</v>
      </c>
      <c r="T802">
        <f t="shared" si="50"/>
        <v>16</v>
      </c>
      <c r="U802" t="str" cm="1">
        <f t="array" ref="U802">_xlfn.IFS(M802&lt;=34,"YOUNG",M802&lt;=54,"MIDDLE AGE",M802&gt;=55,"OLD")</f>
        <v>MIDDLE AGE</v>
      </c>
      <c r="V802" t="str">
        <f t="shared" si="51"/>
        <v>NORMAL</v>
      </c>
    </row>
    <row r="803" spans="1:22" x14ac:dyDescent="0.35">
      <c r="A803" t="s">
        <v>2285</v>
      </c>
      <c r="B803" t="s">
        <v>660</v>
      </c>
      <c r="C803">
        <v>268.39</v>
      </c>
      <c r="D803" s="1">
        <v>44978.759050925924</v>
      </c>
      <c r="E803" s="2">
        <f t="shared" si="48"/>
        <v>0.7590509259243845</v>
      </c>
      <c r="F803" s="3">
        <f t="shared" si="49"/>
        <v>44978</v>
      </c>
      <c r="G803" t="s">
        <v>17</v>
      </c>
      <c r="H803" t="s">
        <v>237</v>
      </c>
      <c r="I803" t="s">
        <v>1245</v>
      </c>
      <c r="J803" t="s">
        <v>316</v>
      </c>
      <c r="K803" t="s">
        <v>1037</v>
      </c>
      <c r="L803" t="s">
        <v>36</v>
      </c>
      <c r="M803">
        <v>29</v>
      </c>
      <c r="N803" t="s">
        <v>23</v>
      </c>
      <c r="O803">
        <v>177</v>
      </c>
      <c r="P803">
        <v>1</v>
      </c>
      <c r="Q803">
        <v>9409.43</v>
      </c>
      <c r="R803" s="4">
        <v>45600</v>
      </c>
      <c r="S803" s="6">
        <v>0.34149305555555554</v>
      </c>
      <c r="T803">
        <f t="shared" si="50"/>
        <v>18</v>
      </c>
      <c r="U803" t="str" cm="1">
        <f t="array" ref="U803">_xlfn.IFS(M803&lt;=34,"YOUNG",M803&lt;=54,"MIDDLE AGE",M803&gt;=55,"OLD")</f>
        <v>YOUNG</v>
      </c>
      <c r="V803" t="str">
        <f t="shared" si="51"/>
        <v>NORMAL</v>
      </c>
    </row>
    <row r="804" spans="1:22" x14ac:dyDescent="0.35">
      <c r="A804" t="s">
        <v>2286</v>
      </c>
      <c r="B804" t="s">
        <v>45</v>
      </c>
      <c r="C804">
        <v>362.27</v>
      </c>
      <c r="D804" s="1">
        <v>45057.692106481481</v>
      </c>
      <c r="E804" s="2">
        <f t="shared" si="48"/>
        <v>0.69210648148145992</v>
      </c>
      <c r="F804" s="3">
        <f t="shared" si="49"/>
        <v>45057</v>
      </c>
      <c r="G804" t="s">
        <v>17</v>
      </c>
      <c r="H804" t="s">
        <v>392</v>
      </c>
      <c r="I804" t="s">
        <v>400</v>
      </c>
      <c r="J804" t="s">
        <v>2287</v>
      </c>
      <c r="K804" t="s">
        <v>267</v>
      </c>
      <c r="L804" t="s">
        <v>22</v>
      </c>
      <c r="M804">
        <v>80</v>
      </c>
      <c r="N804" t="s">
        <v>70</v>
      </c>
      <c r="O804">
        <v>47</v>
      </c>
      <c r="P804">
        <v>1</v>
      </c>
      <c r="Q804">
        <v>6003.59</v>
      </c>
      <c r="R804" s="4">
        <v>45600</v>
      </c>
      <c r="S804" s="6">
        <v>0.33859953703703705</v>
      </c>
      <c r="T804">
        <f t="shared" si="50"/>
        <v>16</v>
      </c>
      <c r="U804" t="str" cm="1">
        <f t="array" ref="U804">_xlfn.IFS(M804&lt;=34,"YOUNG",M804&lt;=54,"MIDDLE AGE",M804&gt;=55,"OLD")</f>
        <v>OLD</v>
      </c>
      <c r="V804" t="str">
        <f t="shared" si="51"/>
        <v>NORMAL</v>
      </c>
    </row>
    <row r="805" spans="1:22" x14ac:dyDescent="0.35">
      <c r="A805" t="s">
        <v>2288</v>
      </c>
      <c r="B805" t="s">
        <v>722</v>
      </c>
      <c r="C805">
        <v>560.15</v>
      </c>
      <c r="D805" s="1">
        <v>45152.751111111109</v>
      </c>
      <c r="E805" s="2">
        <f t="shared" si="48"/>
        <v>0.75111111110891216</v>
      </c>
      <c r="F805" s="3">
        <f t="shared" si="49"/>
        <v>45152</v>
      </c>
      <c r="G805" t="s">
        <v>46</v>
      </c>
      <c r="H805" t="s">
        <v>92</v>
      </c>
      <c r="I805" t="s">
        <v>2203</v>
      </c>
      <c r="J805" t="s">
        <v>1443</v>
      </c>
      <c r="K805" t="s">
        <v>128</v>
      </c>
      <c r="L805" t="s">
        <v>36</v>
      </c>
      <c r="M805">
        <v>50</v>
      </c>
      <c r="N805" t="s">
        <v>77</v>
      </c>
      <c r="O805">
        <v>92</v>
      </c>
      <c r="P805">
        <v>1</v>
      </c>
      <c r="Q805">
        <v>817.83</v>
      </c>
      <c r="R805" s="4">
        <v>45600</v>
      </c>
      <c r="S805" s="6">
        <v>0.34086805555555555</v>
      </c>
      <c r="T805">
        <f t="shared" si="50"/>
        <v>18</v>
      </c>
      <c r="U805" t="str" cm="1">
        <f t="array" ref="U805">_xlfn.IFS(M805&lt;=34,"YOUNG",M805&lt;=54,"MIDDLE AGE",M805&gt;=55,"OLD")</f>
        <v>MIDDLE AGE</v>
      </c>
      <c r="V805" t="str">
        <f t="shared" si="51"/>
        <v>NORMAL</v>
      </c>
    </row>
    <row r="806" spans="1:22" x14ac:dyDescent="0.35">
      <c r="A806" t="s">
        <v>2289</v>
      </c>
      <c r="B806" t="s">
        <v>648</v>
      </c>
      <c r="C806">
        <v>351.99</v>
      </c>
      <c r="D806" s="1">
        <v>45089.706990740742</v>
      </c>
      <c r="E806" s="2">
        <f t="shared" si="48"/>
        <v>0.70699074074218515</v>
      </c>
      <c r="F806" s="3">
        <f t="shared" si="49"/>
        <v>45089</v>
      </c>
      <c r="G806" t="s">
        <v>17</v>
      </c>
      <c r="H806" t="s">
        <v>265</v>
      </c>
      <c r="I806" t="s">
        <v>2290</v>
      </c>
      <c r="J806" t="s">
        <v>2291</v>
      </c>
      <c r="K806" t="s">
        <v>353</v>
      </c>
      <c r="L806" t="s">
        <v>22</v>
      </c>
      <c r="M806">
        <v>80</v>
      </c>
      <c r="N806" t="s">
        <v>70</v>
      </c>
      <c r="O806">
        <v>45</v>
      </c>
      <c r="P806">
        <v>2</v>
      </c>
      <c r="Q806">
        <v>3663.64</v>
      </c>
      <c r="R806" s="4">
        <v>45600</v>
      </c>
      <c r="S806" s="6">
        <v>0.3412384259259259</v>
      </c>
      <c r="T806">
        <f t="shared" si="50"/>
        <v>16</v>
      </c>
      <c r="U806" t="str" cm="1">
        <f t="array" ref="U806">_xlfn.IFS(M806&lt;=34,"YOUNG",M806&lt;=54,"MIDDLE AGE",M806&gt;=55,"OLD")</f>
        <v>OLD</v>
      </c>
      <c r="V806" t="str">
        <f t="shared" si="51"/>
        <v>HIGH</v>
      </c>
    </row>
    <row r="807" spans="1:22" x14ac:dyDescent="0.35">
      <c r="A807" t="s">
        <v>2292</v>
      </c>
      <c r="B807" t="s">
        <v>222</v>
      </c>
      <c r="C807">
        <v>132.36000000000001</v>
      </c>
      <c r="D807" s="1">
        <v>44998.709687499999</v>
      </c>
      <c r="E807" s="2">
        <f t="shared" si="48"/>
        <v>0.70968749999883585</v>
      </c>
      <c r="F807" s="3">
        <f t="shared" si="49"/>
        <v>44998</v>
      </c>
      <c r="G807" t="s">
        <v>17</v>
      </c>
      <c r="H807" t="s">
        <v>521</v>
      </c>
      <c r="I807" t="s">
        <v>928</v>
      </c>
      <c r="J807" t="s">
        <v>1127</v>
      </c>
      <c r="K807" t="s">
        <v>209</v>
      </c>
      <c r="L807" t="s">
        <v>69</v>
      </c>
      <c r="M807">
        <v>28</v>
      </c>
      <c r="N807" t="s">
        <v>37</v>
      </c>
      <c r="O807">
        <v>160</v>
      </c>
      <c r="P807">
        <v>1</v>
      </c>
      <c r="Q807">
        <v>319.64999999999998</v>
      </c>
      <c r="R807" s="4">
        <v>45600</v>
      </c>
      <c r="S807" s="6">
        <v>0.34033564814814815</v>
      </c>
      <c r="T807">
        <f t="shared" si="50"/>
        <v>17</v>
      </c>
      <c r="U807" t="str" cm="1">
        <f t="array" ref="U807">_xlfn.IFS(M807&lt;=34,"YOUNG",M807&lt;=54,"MIDDLE AGE",M807&gt;=55,"OLD")</f>
        <v>YOUNG</v>
      </c>
      <c r="V807" t="str">
        <f t="shared" si="51"/>
        <v>NORMAL</v>
      </c>
    </row>
    <row r="808" spans="1:22" x14ac:dyDescent="0.35">
      <c r="A808" t="s">
        <v>2293</v>
      </c>
      <c r="B808" t="s">
        <v>384</v>
      </c>
      <c r="C808">
        <v>24.77</v>
      </c>
      <c r="D808" s="1">
        <v>45231.70553240741</v>
      </c>
      <c r="E808" s="2">
        <f t="shared" si="48"/>
        <v>0.70553240740991896</v>
      </c>
      <c r="F808" s="3">
        <f t="shared" si="49"/>
        <v>45231</v>
      </c>
      <c r="G808" t="s">
        <v>46</v>
      </c>
      <c r="H808" t="s">
        <v>80</v>
      </c>
      <c r="I808" t="s">
        <v>1903</v>
      </c>
      <c r="J808" t="s">
        <v>799</v>
      </c>
      <c r="K808" t="s">
        <v>43</v>
      </c>
      <c r="L808" t="s">
        <v>36</v>
      </c>
      <c r="M808">
        <v>40</v>
      </c>
      <c r="N808" t="s">
        <v>77</v>
      </c>
      <c r="O808">
        <v>17</v>
      </c>
      <c r="P808">
        <v>1</v>
      </c>
      <c r="Q808">
        <v>478.23</v>
      </c>
      <c r="R808" s="4">
        <v>45600</v>
      </c>
      <c r="S808" s="6">
        <v>0.33842592592592591</v>
      </c>
      <c r="T808">
        <f t="shared" si="50"/>
        <v>16</v>
      </c>
      <c r="U808" t="str" cm="1">
        <f t="array" ref="U808">_xlfn.IFS(M808&lt;=34,"YOUNG",M808&lt;=54,"MIDDLE AGE",M808&gt;=55,"OLD")</f>
        <v>MIDDLE AGE</v>
      </c>
      <c r="V808" t="str">
        <f t="shared" si="51"/>
        <v>NORMAL</v>
      </c>
    </row>
    <row r="809" spans="1:22" x14ac:dyDescent="0.35">
      <c r="A809" t="s">
        <v>2294</v>
      </c>
      <c r="B809" t="s">
        <v>1256</v>
      </c>
      <c r="C809">
        <v>668.67</v>
      </c>
      <c r="D809" s="1">
        <v>45237.734780092593</v>
      </c>
      <c r="E809" s="2">
        <f t="shared" si="48"/>
        <v>0.73478009259270038</v>
      </c>
      <c r="F809" s="3">
        <f t="shared" si="49"/>
        <v>45237</v>
      </c>
      <c r="G809" t="s">
        <v>17</v>
      </c>
      <c r="H809" t="s">
        <v>73</v>
      </c>
      <c r="I809" t="s">
        <v>2295</v>
      </c>
      <c r="J809" t="s">
        <v>773</v>
      </c>
      <c r="K809" t="s">
        <v>62</v>
      </c>
      <c r="L809" t="s">
        <v>36</v>
      </c>
      <c r="M809">
        <v>44</v>
      </c>
      <c r="N809" t="s">
        <v>23</v>
      </c>
      <c r="O809">
        <v>143</v>
      </c>
      <c r="P809">
        <v>4</v>
      </c>
      <c r="Q809">
        <v>13446.81</v>
      </c>
      <c r="R809" s="4">
        <v>45600</v>
      </c>
      <c r="S809" s="6">
        <v>0.33783564814814815</v>
      </c>
      <c r="T809">
        <f t="shared" si="50"/>
        <v>17</v>
      </c>
      <c r="U809" t="str" cm="1">
        <f t="array" ref="U809">_xlfn.IFS(M809&lt;=34,"YOUNG",M809&lt;=54,"MIDDLE AGE",M809&gt;=55,"OLD")</f>
        <v>MIDDLE AGE</v>
      </c>
      <c r="V809" t="str">
        <f t="shared" si="51"/>
        <v>HIGH</v>
      </c>
    </row>
    <row r="810" spans="1:22" x14ac:dyDescent="0.35">
      <c r="A810" t="s">
        <v>2296</v>
      </c>
      <c r="B810" t="s">
        <v>2297</v>
      </c>
      <c r="C810">
        <v>80.239999999999995</v>
      </c>
      <c r="D810" s="1">
        <v>45065.728263888886</v>
      </c>
      <c r="E810" s="2">
        <f t="shared" si="48"/>
        <v>0.72826388888643123</v>
      </c>
      <c r="F810" s="3">
        <f t="shared" si="49"/>
        <v>45065</v>
      </c>
      <c r="G810" t="s">
        <v>46</v>
      </c>
      <c r="H810" t="s">
        <v>203</v>
      </c>
      <c r="I810" t="s">
        <v>1685</v>
      </c>
      <c r="J810" t="s">
        <v>2298</v>
      </c>
      <c r="K810" t="s">
        <v>1810</v>
      </c>
      <c r="L810" t="s">
        <v>69</v>
      </c>
      <c r="M810">
        <v>53</v>
      </c>
      <c r="N810" t="s">
        <v>23</v>
      </c>
      <c r="O810">
        <v>58</v>
      </c>
      <c r="P810">
        <v>1</v>
      </c>
      <c r="Q810">
        <v>8012.81</v>
      </c>
      <c r="R810" s="4">
        <v>45600</v>
      </c>
      <c r="S810" s="6">
        <v>0.34181712962962962</v>
      </c>
      <c r="T810">
        <f t="shared" si="50"/>
        <v>17</v>
      </c>
      <c r="U810" t="str" cm="1">
        <f t="array" ref="U810">_xlfn.IFS(M810&lt;=34,"YOUNG",M810&lt;=54,"MIDDLE AGE",M810&gt;=55,"OLD")</f>
        <v>MIDDLE AGE</v>
      </c>
      <c r="V810" t="str">
        <f t="shared" si="51"/>
        <v>NORMAL</v>
      </c>
    </row>
    <row r="811" spans="1:22" x14ac:dyDescent="0.35">
      <c r="A811" t="s">
        <v>2299</v>
      </c>
      <c r="B811" t="s">
        <v>1806</v>
      </c>
      <c r="C811">
        <v>8.65</v>
      </c>
      <c r="D811" s="1">
        <v>45250.686331018522</v>
      </c>
      <c r="E811" s="2">
        <f t="shared" si="48"/>
        <v>0.6863310185217415</v>
      </c>
      <c r="F811" s="3">
        <f t="shared" si="49"/>
        <v>45250</v>
      </c>
      <c r="G811" t="s">
        <v>17</v>
      </c>
      <c r="H811" t="s">
        <v>32</v>
      </c>
      <c r="I811" t="s">
        <v>2012</v>
      </c>
      <c r="J811" t="s">
        <v>1133</v>
      </c>
      <c r="K811" t="s">
        <v>406</v>
      </c>
      <c r="L811" t="s">
        <v>22</v>
      </c>
      <c r="M811">
        <v>68</v>
      </c>
      <c r="N811" t="s">
        <v>70</v>
      </c>
      <c r="O811">
        <v>198</v>
      </c>
      <c r="P811">
        <v>1</v>
      </c>
      <c r="Q811">
        <v>4201.22</v>
      </c>
      <c r="R811" s="4">
        <v>45600</v>
      </c>
      <c r="S811" s="6">
        <v>0.34137731481481481</v>
      </c>
      <c r="T811">
        <f t="shared" si="50"/>
        <v>16</v>
      </c>
      <c r="U811" t="str" cm="1">
        <f t="array" ref="U811">_xlfn.IFS(M811&lt;=34,"YOUNG",M811&lt;=54,"MIDDLE AGE",M811&gt;=55,"OLD")</f>
        <v>OLD</v>
      </c>
      <c r="V811" t="str">
        <f t="shared" si="51"/>
        <v>NORMAL</v>
      </c>
    </row>
    <row r="812" spans="1:22" x14ac:dyDescent="0.35">
      <c r="A812" t="s">
        <v>2300</v>
      </c>
      <c r="B812" t="s">
        <v>1765</v>
      </c>
      <c r="C812">
        <v>178.91</v>
      </c>
      <c r="D812" s="1">
        <v>45000.692407407405</v>
      </c>
      <c r="E812" s="2">
        <f t="shared" si="48"/>
        <v>0.69240740740497131</v>
      </c>
      <c r="F812" s="3">
        <f t="shared" si="49"/>
        <v>45000</v>
      </c>
      <c r="G812" t="s">
        <v>17</v>
      </c>
      <c r="H812" t="s">
        <v>296</v>
      </c>
      <c r="I812" t="s">
        <v>2147</v>
      </c>
      <c r="J812" t="s">
        <v>194</v>
      </c>
      <c r="K812" t="s">
        <v>76</v>
      </c>
      <c r="L812" t="s">
        <v>22</v>
      </c>
      <c r="M812">
        <v>18</v>
      </c>
      <c r="N812" t="s">
        <v>37</v>
      </c>
      <c r="O812">
        <v>19</v>
      </c>
      <c r="P812">
        <v>1</v>
      </c>
      <c r="Q812">
        <v>8870.89</v>
      </c>
      <c r="R812" s="4">
        <v>45600</v>
      </c>
      <c r="S812" s="6">
        <v>0.33826388888888886</v>
      </c>
      <c r="T812">
        <f t="shared" si="50"/>
        <v>16</v>
      </c>
      <c r="U812" t="str" cm="1">
        <f t="array" ref="U812">_xlfn.IFS(M812&lt;=34,"YOUNG",M812&lt;=54,"MIDDLE AGE",M812&gt;=55,"OLD")</f>
        <v>YOUNG</v>
      </c>
      <c r="V812" t="str">
        <f t="shared" si="51"/>
        <v>NORMAL</v>
      </c>
    </row>
    <row r="813" spans="1:22" x14ac:dyDescent="0.35">
      <c r="A813" t="s">
        <v>2301</v>
      </c>
      <c r="B813" t="s">
        <v>725</v>
      </c>
      <c r="C813">
        <v>115.22</v>
      </c>
      <c r="D813" s="1">
        <v>45268.712187500001</v>
      </c>
      <c r="E813" s="2">
        <f t="shared" si="48"/>
        <v>0.71218750000116415</v>
      </c>
      <c r="F813" s="3">
        <f t="shared" si="49"/>
        <v>45268</v>
      </c>
      <c r="G813" t="s">
        <v>17</v>
      </c>
      <c r="H813" t="s">
        <v>212</v>
      </c>
      <c r="I813" t="s">
        <v>2302</v>
      </c>
      <c r="J813" t="s">
        <v>1309</v>
      </c>
      <c r="K813" t="s">
        <v>370</v>
      </c>
      <c r="L813" t="s">
        <v>69</v>
      </c>
      <c r="M813">
        <v>27</v>
      </c>
      <c r="N813" t="s">
        <v>77</v>
      </c>
      <c r="O813">
        <v>108</v>
      </c>
      <c r="P813">
        <v>1</v>
      </c>
      <c r="Q813">
        <v>906.2</v>
      </c>
      <c r="R813" s="4">
        <v>45600</v>
      </c>
      <c r="S813" s="6">
        <v>0.33966435185185184</v>
      </c>
      <c r="T813">
        <f t="shared" si="50"/>
        <v>17</v>
      </c>
      <c r="U813" t="str" cm="1">
        <f t="array" ref="U813">_xlfn.IFS(M813&lt;=34,"YOUNG",M813&lt;=54,"MIDDLE AGE",M813&gt;=55,"OLD")</f>
        <v>YOUNG</v>
      </c>
      <c r="V813" t="str">
        <f t="shared" si="51"/>
        <v>NORMAL</v>
      </c>
    </row>
    <row r="814" spans="1:22" x14ac:dyDescent="0.35">
      <c r="A814" t="s">
        <v>2303</v>
      </c>
      <c r="B814" t="s">
        <v>1452</v>
      </c>
      <c r="C814">
        <v>161.63</v>
      </c>
      <c r="D814" s="1">
        <v>45285.689398148148</v>
      </c>
      <c r="E814" s="2">
        <f t="shared" si="48"/>
        <v>0.68939814814802958</v>
      </c>
      <c r="F814" s="3">
        <f t="shared" si="49"/>
        <v>45285</v>
      </c>
      <c r="G814" t="s">
        <v>17</v>
      </c>
      <c r="H814" t="s">
        <v>223</v>
      </c>
      <c r="I814" t="s">
        <v>807</v>
      </c>
      <c r="J814" t="s">
        <v>1629</v>
      </c>
      <c r="K814" t="s">
        <v>543</v>
      </c>
      <c r="L814" t="s">
        <v>36</v>
      </c>
      <c r="M814">
        <v>46</v>
      </c>
      <c r="N814" t="s">
        <v>23</v>
      </c>
      <c r="O814">
        <v>276</v>
      </c>
      <c r="P814">
        <v>1</v>
      </c>
      <c r="Q814">
        <v>9286.3700000000008</v>
      </c>
      <c r="R814" s="4">
        <v>45600</v>
      </c>
      <c r="S814" s="6">
        <v>0.33913194444444444</v>
      </c>
      <c r="T814">
        <f t="shared" si="50"/>
        <v>16</v>
      </c>
      <c r="U814" t="str" cm="1">
        <f t="array" ref="U814">_xlfn.IFS(M814&lt;=34,"YOUNG",M814&lt;=54,"MIDDLE AGE",M814&gt;=55,"OLD")</f>
        <v>MIDDLE AGE</v>
      </c>
      <c r="V814" t="str">
        <f t="shared" si="51"/>
        <v>NORMAL</v>
      </c>
    </row>
    <row r="815" spans="1:22" x14ac:dyDescent="0.35">
      <c r="A815" t="s">
        <v>2304</v>
      </c>
      <c r="B815" t="s">
        <v>364</v>
      </c>
      <c r="C815">
        <v>542.75</v>
      </c>
      <c r="D815" s="1">
        <v>45267.77002314815</v>
      </c>
      <c r="E815" s="2">
        <f t="shared" si="48"/>
        <v>0.77002314815035788</v>
      </c>
      <c r="F815" s="3">
        <f t="shared" si="49"/>
        <v>45267</v>
      </c>
      <c r="G815" t="s">
        <v>46</v>
      </c>
      <c r="H815" t="s">
        <v>80</v>
      </c>
      <c r="I815" t="s">
        <v>1108</v>
      </c>
      <c r="J815" t="s">
        <v>2305</v>
      </c>
      <c r="K815" t="s">
        <v>414</v>
      </c>
      <c r="L815" t="s">
        <v>69</v>
      </c>
      <c r="M815">
        <v>70</v>
      </c>
      <c r="N815" t="s">
        <v>70</v>
      </c>
      <c r="O815">
        <v>63</v>
      </c>
      <c r="P815">
        <v>1</v>
      </c>
      <c r="Q815">
        <v>2224.08</v>
      </c>
      <c r="R815" s="4">
        <v>45600</v>
      </c>
      <c r="S815" s="6">
        <v>0.3392013888888889</v>
      </c>
      <c r="T815">
        <f t="shared" si="50"/>
        <v>18</v>
      </c>
      <c r="U815" t="str" cm="1">
        <f t="array" ref="U815">_xlfn.IFS(M815&lt;=34,"YOUNG",M815&lt;=54,"MIDDLE AGE",M815&gt;=55,"OLD")</f>
        <v>OLD</v>
      </c>
      <c r="V815" t="str">
        <f t="shared" si="51"/>
        <v>NORMAL</v>
      </c>
    </row>
    <row r="816" spans="1:22" x14ac:dyDescent="0.35">
      <c r="A816" t="s">
        <v>2306</v>
      </c>
      <c r="B816" t="s">
        <v>1183</v>
      </c>
      <c r="C816">
        <v>317.47000000000003</v>
      </c>
      <c r="D816" s="1">
        <v>45047.730254629627</v>
      </c>
      <c r="E816" s="2">
        <f t="shared" si="48"/>
        <v>0.73025462962687016</v>
      </c>
      <c r="F816" s="3">
        <f t="shared" si="49"/>
        <v>45047</v>
      </c>
      <c r="G816" t="s">
        <v>46</v>
      </c>
      <c r="H816" t="s">
        <v>285</v>
      </c>
      <c r="I816" t="s">
        <v>1916</v>
      </c>
      <c r="J816" t="s">
        <v>915</v>
      </c>
      <c r="K816" t="s">
        <v>160</v>
      </c>
      <c r="L816" t="s">
        <v>36</v>
      </c>
      <c r="M816">
        <v>67</v>
      </c>
      <c r="N816" t="s">
        <v>23</v>
      </c>
      <c r="O816">
        <v>16</v>
      </c>
      <c r="P816">
        <v>1</v>
      </c>
      <c r="Q816">
        <v>14639.28</v>
      </c>
      <c r="R816" s="4">
        <v>45600</v>
      </c>
      <c r="S816" s="6">
        <v>0.33886574074074072</v>
      </c>
      <c r="T816">
        <f t="shared" si="50"/>
        <v>17</v>
      </c>
      <c r="U816" t="str" cm="1">
        <f t="array" ref="U816">_xlfn.IFS(M816&lt;=34,"YOUNG",M816&lt;=54,"MIDDLE AGE",M816&gt;=55,"OLD")</f>
        <v>OLD</v>
      </c>
      <c r="V816" t="str">
        <f t="shared" si="51"/>
        <v>NORMAL</v>
      </c>
    </row>
    <row r="817" spans="1:22" x14ac:dyDescent="0.35">
      <c r="A817" t="s">
        <v>2307</v>
      </c>
      <c r="B817" t="s">
        <v>211</v>
      </c>
      <c r="C817">
        <v>280.99</v>
      </c>
      <c r="D817" s="1">
        <v>44977.75209490741</v>
      </c>
      <c r="E817" s="2">
        <f t="shared" si="48"/>
        <v>0.75209490740962792</v>
      </c>
      <c r="F817" s="3">
        <f t="shared" si="49"/>
        <v>44977</v>
      </c>
      <c r="G817" t="s">
        <v>17</v>
      </c>
      <c r="H817" t="s">
        <v>26</v>
      </c>
      <c r="I817" t="s">
        <v>873</v>
      </c>
      <c r="J817" t="s">
        <v>1925</v>
      </c>
      <c r="K817" t="s">
        <v>1287</v>
      </c>
      <c r="L817" t="s">
        <v>69</v>
      </c>
      <c r="M817">
        <v>45</v>
      </c>
      <c r="N817" t="s">
        <v>77</v>
      </c>
      <c r="O817">
        <v>29</v>
      </c>
      <c r="P817">
        <v>1</v>
      </c>
      <c r="Q817">
        <v>9733.59</v>
      </c>
      <c r="R817" s="4">
        <v>45600</v>
      </c>
      <c r="S817" s="6">
        <v>0.33847222222222223</v>
      </c>
      <c r="T817">
        <f t="shared" si="50"/>
        <v>18</v>
      </c>
      <c r="U817" t="str" cm="1">
        <f t="array" ref="U817">_xlfn.IFS(M817&lt;=34,"YOUNG",M817&lt;=54,"MIDDLE AGE",M817&gt;=55,"OLD")</f>
        <v>MIDDLE AGE</v>
      </c>
      <c r="V817" t="str">
        <f t="shared" si="51"/>
        <v>NORMAL</v>
      </c>
    </row>
    <row r="818" spans="1:22" x14ac:dyDescent="0.35">
      <c r="A818" t="s">
        <v>2308</v>
      </c>
      <c r="B818" t="s">
        <v>2309</v>
      </c>
      <c r="C818">
        <v>24.19</v>
      </c>
      <c r="D818" s="1">
        <v>44965.731342592589</v>
      </c>
      <c r="E818" s="2">
        <f t="shared" si="48"/>
        <v>0.73134259258949896</v>
      </c>
      <c r="F818" s="3">
        <f t="shared" si="49"/>
        <v>44965</v>
      </c>
      <c r="G818" t="s">
        <v>17</v>
      </c>
      <c r="H818" t="s">
        <v>18</v>
      </c>
      <c r="I818" t="s">
        <v>1971</v>
      </c>
      <c r="J818" t="s">
        <v>276</v>
      </c>
      <c r="K818" t="s">
        <v>885</v>
      </c>
      <c r="L818" t="s">
        <v>22</v>
      </c>
      <c r="M818">
        <v>29</v>
      </c>
      <c r="N818" t="s">
        <v>77</v>
      </c>
      <c r="O818">
        <v>28</v>
      </c>
      <c r="P818">
        <v>1</v>
      </c>
      <c r="Q818">
        <v>2756.2</v>
      </c>
      <c r="R818" s="4">
        <v>45600</v>
      </c>
      <c r="S818" s="6">
        <v>0.33849537037037036</v>
      </c>
      <c r="T818">
        <f t="shared" si="50"/>
        <v>17</v>
      </c>
      <c r="U818" t="str" cm="1">
        <f t="array" ref="U818">_xlfn.IFS(M818&lt;=34,"YOUNG",M818&lt;=54,"MIDDLE AGE",M818&gt;=55,"OLD")</f>
        <v>YOUNG</v>
      </c>
      <c r="V818" t="str">
        <f t="shared" si="51"/>
        <v>NORMAL</v>
      </c>
    </row>
    <row r="819" spans="1:22" x14ac:dyDescent="0.35">
      <c r="A819" t="s">
        <v>2310</v>
      </c>
      <c r="B819" t="s">
        <v>2311</v>
      </c>
      <c r="C819">
        <v>586.85</v>
      </c>
      <c r="D819" s="1">
        <v>45153.706562500003</v>
      </c>
      <c r="E819" s="2">
        <f t="shared" si="48"/>
        <v>0.70656250000320142</v>
      </c>
      <c r="F819" s="3">
        <f t="shared" si="49"/>
        <v>45153</v>
      </c>
      <c r="G819" t="s">
        <v>17</v>
      </c>
      <c r="H819" t="s">
        <v>32</v>
      </c>
      <c r="I819" t="s">
        <v>2312</v>
      </c>
      <c r="J819" t="s">
        <v>199</v>
      </c>
      <c r="K819" t="s">
        <v>240</v>
      </c>
      <c r="L819" t="s">
        <v>22</v>
      </c>
      <c r="M819">
        <v>36</v>
      </c>
      <c r="N819" t="s">
        <v>23</v>
      </c>
      <c r="O819">
        <v>86</v>
      </c>
      <c r="P819">
        <v>1</v>
      </c>
      <c r="Q819">
        <v>6655.15</v>
      </c>
      <c r="R819" s="4">
        <v>45600</v>
      </c>
      <c r="S819" s="6">
        <v>0.34187499999999998</v>
      </c>
      <c r="T819">
        <f t="shared" si="50"/>
        <v>16</v>
      </c>
      <c r="U819" t="str" cm="1">
        <f t="array" ref="U819">_xlfn.IFS(M819&lt;=34,"YOUNG",M819&lt;=54,"MIDDLE AGE",M819&gt;=55,"OLD")</f>
        <v>MIDDLE AGE</v>
      </c>
      <c r="V819" t="str">
        <f t="shared" si="51"/>
        <v>NORMAL</v>
      </c>
    </row>
    <row r="820" spans="1:22" x14ac:dyDescent="0.35">
      <c r="A820" t="s">
        <v>2313</v>
      </c>
      <c r="B820" t="s">
        <v>1066</v>
      </c>
      <c r="C820">
        <v>372.41</v>
      </c>
      <c r="D820" s="1">
        <v>45096.758518518516</v>
      </c>
      <c r="E820" s="2">
        <f t="shared" si="48"/>
        <v>0.75851851851621177</v>
      </c>
      <c r="F820" s="3">
        <f t="shared" si="49"/>
        <v>45096</v>
      </c>
      <c r="G820" t="s">
        <v>17</v>
      </c>
      <c r="H820" t="s">
        <v>18</v>
      </c>
      <c r="I820" t="s">
        <v>1891</v>
      </c>
      <c r="J820" t="s">
        <v>2314</v>
      </c>
      <c r="K820" t="s">
        <v>769</v>
      </c>
      <c r="L820" t="s">
        <v>22</v>
      </c>
      <c r="M820">
        <v>55</v>
      </c>
      <c r="N820" t="s">
        <v>70</v>
      </c>
      <c r="O820">
        <v>143</v>
      </c>
      <c r="P820">
        <v>1</v>
      </c>
      <c r="Q820">
        <v>3233.87</v>
      </c>
      <c r="R820" s="4">
        <v>45600</v>
      </c>
      <c r="S820" s="6">
        <v>0.33789351851851851</v>
      </c>
      <c r="T820">
        <f t="shared" si="50"/>
        <v>18</v>
      </c>
      <c r="U820" t="str" cm="1">
        <f t="array" ref="U820">_xlfn.IFS(M820&lt;=34,"YOUNG",M820&lt;=54,"MIDDLE AGE",M820&gt;=55,"OLD")</f>
        <v>OLD</v>
      </c>
      <c r="V820" t="str">
        <f t="shared" si="51"/>
        <v>NORMAL</v>
      </c>
    </row>
    <row r="821" spans="1:22" x14ac:dyDescent="0.35">
      <c r="A821" t="s">
        <v>2315</v>
      </c>
      <c r="B821" t="s">
        <v>872</v>
      </c>
      <c r="C821">
        <v>63.17</v>
      </c>
      <c r="D821" s="1">
        <v>45132.770104166666</v>
      </c>
      <c r="E821" s="2">
        <f t="shared" si="48"/>
        <v>0.77010416666598758</v>
      </c>
      <c r="F821" s="3">
        <f t="shared" si="49"/>
        <v>45132</v>
      </c>
      <c r="G821" t="s">
        <v>17</v>
      </c>
      <c r="H821" t="s">
        <v>558</v>
      </c>
      <c r="I821" t="s">
        <v>517</v>
      </c>
      <c r="J821" t="s">
        <v>2316</v>
      </c>
      <c r="K821" t="s">
        <v>137</v>
      </c>
      <c r="L821" t="s">
        <v>22</v>
      </c>
      <c r="M821">
        <v>20</v>
      </c>
      <c r="N821" t="s">
        <v>37</v>
      </c>
      <c r="O821">
        <v>148</v>
      </c>
      <c r="P821">
        <v>1</v>
      </c>
      <c r="Q821">
        <v>1676.57</v>
      </c>
      <c r="R821" s="4">
        <v>45600</v>
      </c>
      <c r="S821" s="6">
        <v>0.33840277777777777</v>
      </c>
      <c r="T821">
        <f t="shared" si="50"/>
        <v>18</v>
      </c>
      <c r="U821" t="str" cm="1">
        <f t="array" ref="U821">_xlfn.IFS(M821&lt;=34,"YOUNG",M821&lt;=54,"MIDDLE AGE",M821&gt;=55,"OLD")</f>
        <v>YOUNG</v>
      </c>
      <c r="V821" t="str">
        <f t="shared" si="51"/>
        <v>NORMAL</v>
      </c>
    </row>
    <row r="822" spans="1:22" x14ac:dyDescent="0.35">
      <c r="A822" t="s">
        <v>2317</v>
      </c>
      <c r="B822" t="s">
        <v>889</v>
      </c>
      <c r="C822">
        <v>383.69</v>
      </c>
      <c r="D822" s="1">
        <v>45230.712592592594</v>
      </c>
      <c r="E822" s="2">
        <f t="shared" si="48"/>
        <v>0.71259259259386454</v>
      </c>
      <c r="F822" s="3">
        <f t="shared" si="49"/>
        <v>45230</v>
      </c>
      <c r="G822" t="s">
        <v>17</v>
      </c>
      <c r="H822" t="s">
        <v>521</v>
      </c>
      <c r="I822" t="s">
        <v>2318</v>
      </c>
      <c r="J822" t="s">
        <v>2319</v>
      </c>
      <c r="K822" t="s">
        <v>331</v>
      </c>
      <c r="L822" t="s">
        <v>36</v>
      </c>
      <c r="M822">
        <v>54</v>
      </c>
      <c r="N822" t="s">
        <v>77</v>
      </c>
      <c r="O822">
        <v>285</v>
      </c>
      <c r="P822">
        <v>1</v>
      </c>
      <c r="Q822">
        <v>8371.11</v>
      </c>
      <c r="R822" s="4">
        <v>45600</v>
      </c>
      <c r="S822" s="6">
        <v>0.34031250000000002</v>
      </c>
      <c r="T822">
        <f t="shared" si="50"/>
        <v>17</v>
      </c>
      <c r="U822" t="str" cm="1">
        <f t="array" ref="U822">_xlfn.IFS(M822&lt;=34,"YOUNG",M822&lt;=54,"MIDDLE AGE",M822&gt;=55,"OLD")</f>
        <v>MIDDLE AGE</v>
      </c>
      <c r="V822" t="str">
        <f t="shared" si="51"/>
        <v>NORMAL</v>
      </c>
    </row>
    <row r="823" spans="1:22" x14ac:dyDescent="0.35">
      <c r="A823" t="s">
        <v>2320</v>
      </c>
      <c r="B823" t="s">
        <v>1190</v>
      </c>
      <c r="C823">
        <v>247.17</v>
      </c>
      <c r="D823" s="1">
        <v>45068.749247685184</v>
      </c>
      <c r="E823" s="2">
        <f t="shared" si="48"/>
        <v>0.74924768518394558</v>
      </c>
      <c r="F823" s="3">
        <f t="shared" si="49"/>
        <v>45068</v>
      </c>
      <c r="G823" t="s">
        <v>46</v>
      </c>
      <c r="H823" t="s">
        <v>265</v>
      </c>
      <c r="I823" t="s">
        <v>2114</v>
      </c>
      <c r="J823" t="s">
        <v>1551</v>
      </c>
      <c r="K823" t="s">
        <v>1287</v>
      </c>
      <c r="L823" t="s">
        <v>69</v>
      </c>
      <c r="M823">
        <v>65</v>
      </c>
      <c r="N823" t="s">
        <v>70</v>
      </c>
      <c r="O823">
        <v>149</v>
      </c>
      <c r="P823">
        <v>1</v>
      </c>
      <c r="Q823">
        <v>2611.64</v>
      </c>
      <c r="R823" s="4">
        <v>45600</v>
      </c>
      <c r="S823" s="6">
        <v>0.33869212962962963</v>
      </c>
      <c r="T823">
        <f t="shared" si="50"/>
        <v>17</v>
      </c>
      <c r="U823" t="str" cm="1">
        <f t="array" ref="U823">_xlfn.IFS(M823&lt;=34,"YOUNG",M823&lt;=54,"MIDDLE AGE",M823&gt;=55,"OLD")</f>
        <v>OLD</v>
      </c>
      <c r="V823" t="str">
        <f t="shared" si="51"/>
        <v>NORMAL</v>
      </c>
    </row>
    <row r="824" spans="1:22" x14ac:dyDescent="0.35">
      <c r="A824" t="s">
        <v>2321</v>
      </c>
      <c r="B824" t="s">
        <v>1398</v>
      </c>
      <c r="C824">
        <v>48.78</v>
      </c>
      <c r="D824" s="1">
        <v>45149.697002314817</v>
      </c>
      <c r="E824" s="2">
        <f t="shared" si="48"/>
        <v>0.69700231481692754</v>
      </c>
      <c r="F824" s="3">
        <f t="shared" si="49"/>
        <v>45149</v>
      </c>
      <c r="G824" t="s">
        <v>46</v>
      </c>
      <c r="H824" t="s">
        <v>291</v>
      </c>
      <c r="I824" t="s">
        <v>2322</v>
      </c>
      <c r="J824" t="s">
        <v>1490</v>
      </c>
      <c r="K824" t="s">
        <v>598</v>
      </c>
      <c r="L824" t="s">
        <v>69</v>
      </c>
      <c r="M824">
        <v>18</v>
      </c>
      <c r="N824" t="s">
        <v>37</v>
      </c>
      <c r="O824">
        <v>136</v>
      </c>
      <c r="P824">
        <v>1</v>
      </c>
      <c r="Q824">
        <v>552.05999999999995</v>
      </c>
      <c r="R824" s="4">
        <v>45600</v>
      </c>
      <c r="S824" s="6">
        <v>0.34040509259259261</v>
      </c>
      <c r="T824">
        <f t="shared" si="50"/>
        <v>16</v>
      </c>
      <c r="U824" t="str" cm="1">
        <f t="array" ref="U824">_xlfn.IFS(M824&lt;=34,"YOUNG",M824&lt;=54,"MIDDLE AGE",M824&gt;=55,"OLD")</f>
        <v>YOUNG</v>
      </c>
      <c r="V824" t="str">
        <f t="shared" si="51"/>
        <v>NORMAL</v>
      </c>
    </row>
    <row r="825" spans="1:22" x14ac:dyDescent="0.35">
      <c r="A825" t="s">
        <v>2323</v>
      </c>
      <c r="B825" t="s">
        <v>1438</v>
      </c>
      <c r="C825">
        <v>4.1500000000000004</v>
      </c>
      <c r="D825" s="1">
        <v>45218.690729166665</v>
      </c>
      <c r="E825" s="2">
        <f t="shared" si="48"/>
        <v>0.69072916666482342</v>
      </c>
      <c r="F825" s="3">
        <f t="shared" si="49"/>
        <v>45218</v>
      </c>
      <c r="G825" t="s">
        <v>46</v>
      </c>
      <c r="H825" t="s">
        <v>296</v>
      </c>
      <c r="I825" t="s">
        <v>939</v>
      </c>
      <c r="J825" t="s">
        <v>1571</v>
      </c>
      <c r="K825" t="s">
        <v>62</v>
      </c>
      <c r="L825" t="s">
        <v>69</v>
      </c>
      <c r="M825">
        <v>60</v>
      </c>
      <c r="N825" t="s">
        <v>70</v>
      </c>
      <c r="O825">
        <v>119</v>
      </c>
      <c r="P825">
        <v>1</v>
      </c>
      <c r="Q825">
        <v>6017.36</v>
      </c>
      <c r="R825" s="4">
        <v>45600</v>
      </c>
      <c r="S825" s="6">
        <v>0.34013888888888888</v>
      </c>
      <c r="T825">
        <f t="shared" si="50"/>
        <v>16</v>
      </c>
      <c r="U825" t="str" cm="1">
        <f t="array" ref="U825">_xlfn.IFS(M825&lt;=34,"YOUNG",M825&lt;=54,"MIDDLE AGE",M825&gt;=55,"OLD")</f>
        <v>OLD</v>
      </c>
      <c r="V825" t="str">
        <f t="shared" si="51"/>
        <v>NORMAL</v>
      </c>
    </row>
    <row r="826" spans="1:22" x14ac:dyDescent="0.35">
      <c r="A826" t="s">
        <v>2324</v>
      </c>
      <c r="B826" t="s">
        <v>364</v>
      </c>
      <c r="C826">
        <v>60.99</v>
      </c>
      <c r="D826" s="1">
        <v>45139.718252314815</v>
      </c>
      <c r="E826" s="2">
        <f t="shared" si="48"/>
        <v>0.71825231481489027</v>
      </c>
      <c r="F826" s="3">
        <f t="shared" si="49"/>
        <v>45139</v>
      </c>
      <c r="G826" t="s">
        <v>17</v>
      </c>
      <c r="H826" t="s">
        <v>53</v>
      </c>
      <c r="I826" t="s">
        <v>1028</v>
      </c>
      <c r="J826" t="s">
        <v>2325</v>
      </c>
      <c r="K826" t="s">
        <v>980</v>
      </c>
      <c r="L826" t="s">
        <v>69</v>
      </c>
      <c r="M826">
        <v>34</v>
      </c>
      <c r="N826" t="s">
        <v>77</v>
      </c>
      <c r="O826">
        <v>58</v>
      </c>
      <c r="P826">
        <v>1</v>
      </c>
      <c r="Q826">
        <v>7281.46</v>
      </c>
      <c r="R826" s="4">
        <v>45600</v>
      </c>
      <c r="S826" s="6">
        <v>0.33878472222222222</v>
      </c>
      <c r="T826">
        <f t="shared" si="50"/>
        <v>17</v>
      </c>
      <c r="U826" t="str" cm="1">
        <f t="array" ref="U826">_xlfn.IFS(M826&lt;=34,"YOUNG",M826&lt;=54,"MIDDLE AGE",M826&gt;=55,"OLD")</f>
        <v>YOUNG</v>
      </c>
      <c r="V826" t="str">
        <f t="shared" si="51"/>
        <v>NORMAL</v>
      </c>
    </row>
    <row r="827" spans="1:22" x14ac:dyDescent="0.35">
      <c r="A827" t="s">
        <v>2326</v>
      </c>
      <c r="B827" t="s">
        <v>804</v>
      </c>
      <c r="C827">
        <v>408.19</v>
      </c>
      <c r="D827" s="1">
        <v>45275.700092592589</v>
      </c>
      <c r="E827" s="2">
        <f t="shared" si="48"/>
        <v>0.70009259258949896</v>
      </c>
      <c r="F827" s="3">
        <f t="shared" si="49"/>
        <v>45275</v>
      </c>
      <c r="G827" t="s">
        <v>17</v>
      </c>
      <c r="H827" t="s">
        <v>32</v>
      </c>
      <c r="I827" t="s">
        <v>670</v>
      </c>
      <c r="J827" t="s">
        <v>2327</v>
      </c>
      <c r="K827" t="s">
        <v>858</v>
      </c>
      <c r="L827" t="s">
        <v>69</v>
      </c>
      <c r="M827">
        <v>26</v>
      </c>
      <c r="N827" t="s">
        <v>77</v>
      </c>
      <c r="O827">
        <v>241</v>
      </c>
      <c r="P827">
        <v>1</v>
      </c>
      <c r="Q827">
        <v>6847.47</v>
      </c>
      <c r="R827" s="4">
        <v>45600</v>
      </c>
      <c r="S827" s="6">
        <v>0.33922453703703703</v>
      </c>
      <c r="T827">
        <f t="shared" si="50"/>
        <v>16</v>
      </c>
      <c r="U827" t="str" cm="1">
        <f t="array" ref="U827">_xlfn.IFS(M827&lt;=34,"YOUNG",M827&lt;=54,"MIDDLE AGE",M827&gt;=55,"OLD")</f>
        <v>YOUNG</v>
      </c>
      <c r="V827" t="str">
        <f t="shared" si="51"/>
        <v>NORMAL</v>
      </c>
    </row>
    <row r="828" spans="1:22" x14ac:dyDescent="0.35">
      <c r="A828" t="s">
        <v>2328</v>
      </c>
      <c r="B828" t="s">
        <v>1381</v>
      </c>
      <c r="C828">
        <v>524.6</v>
      </c>
      <c r="D828" s="1">
        <v>45023.7344212963</v>
      </c>
      <c r="E828" s="2">
        <f t="shared" si="48"/>
        <v>0.73442129629984265</v>
      </c>
      <c r="F828" s="3">
        <f t="shared" si="49"/>
        <v>45023</v>
      </c>
      <c r="G828" t="s">
        <v>17</v>
      </c>
      <c r="H828" t="s">
        <v>506</v>
      </c>
      <c r="I828" t="s">
        <v>1555</v>
      </c>
      <c r="J828" t="s">
        <v>563</v>
      </c>
      <c r="K828" t="s">
        <v>43</v>
      </c>
      <c r="L828" t="s">
        <v>69</v>
      </c>
      <c r="M828">
        <v>58</v>
      </c>
      <c r="N828" t="s">
        <v>23</v>
      </c>
      <c r="O828">
        <v>76</v>
      </c>
      <c r="P828">
        <v>1</v>
      </c>
      <c r="Q828">
        <v>13017.7</v>
      </c>
      <c r="R828" s="4">
        <v>45600</v>
      </c>
      <c r="S828" s="6">
        <v>0.34011574074074075</v>
      </c>
      <c r="T828">
        <f t="shared" si="50"/>
        <v>17</v>
      </c>
      <c r="U828" t="str" cm="1">
        <f t="array" ref="U828">_xlfn.IFS(M828&lt;=34,"YOUNG",M828&lt;=54,"MIDDLE AGE",M828&gt;=55,"OLD")</f>
        <v>OLD</v>
      </c>
      <c r="V828" t="str">
        <f t="shared" si="51"/>
        <v>NORMAL</v>
      </c>
    </row>
    <row r="829" spans="1:22" x14ac:dyDescent="0.35">
      <c r="A829" t="s">
        <v>2329</v>
      </c>
      <c r="B829" t="s">
        <v>2330</v>
      </c>
      <c r="C829">
        <v>108.96</v>
      </c>
      <c r="D829" s="1">
        <v>45209.758414351854</v>
      </c>
      <c r="E829" s="2">
        <f t="shared" si="48"/>
        <v>0.75841435185429873</v>
      </c>
      <c r="F829" s="3">
        <f t="shared" si="49"/>
        <v>45209</v>
      </c>
      <c r="G829" t="s">
        <v>17</v>
      </c>
      <c r="H829" t="s">
        <v>178</v>
      </c>
      <c r="I829" t="s">
        <v>2331</v>
      </c>
      <c r="J829" t="s">
        <v>2206</v>
      </c>
      <c r="K829" t="s">
        <v>272</v>
      </c>
      <c r="L829" t="s">
        <v>22</v>
      </c>
      <c r="M829">
        <v>26</v>
      </c>
      <c r="N829" t="s">
        <v>37</v>
      </c>
      <c r="O829">
        <v>247</v>
      </c>
      <c r="P829">
        <v>1</v>
      </c>
      <c r="Q829">
        <v>7597.66</v>
      </c>
      <c r="R829" s="4">
        <v>45600</v>
      </c>
      <c r="S829" s="6">
        <v>0.33796296296296297</v>
      </c>
      <c r="T829">
        <f t="shared" si="50"/>
        <v>18</v>
      </c>
      <c r="U829" t="str" cm="1">
        <f t="array" ref="U829">_xlfn.IFS(M829&lt;=34,"YOUNG",M829&lt;=54,"MIDDLE AGE",M829&gt;=55,"OLD")</f>
        <v>YOUNG</v>
      </c>
      <c r="V829" t="str">
        <f t="shared" si="51"/>
        <v>NORMAL</v>
      </c>
    </row>
    <row r="830" spans="1:22" x14ac:dyDescent="0.35">
      <c r="A830" t="s">
        <v>2332</v>
      </c>
      <c r="B830" t="s">
        <v>892</v>
      </c>
      <c r="C830">
        <v>70.03</v>
      </c>
      <c r="D830" s="1">
        <v>45278.773993055554</v>
      </c>
      <c r="E830" s="2">
        <f t="shared" si="48"/>
        <v>0.77399305555445608</v>
      </c>
      <c r="F830" s="3">
        <f t="shared" si="49"/>
        <v>45278</v>
      </c>
      <c r="G830" t="s">
        <v>17</v>
      </c>
      <c r="H830" t="s">
        <v>80</v>
      </c>
      <c r="I830" t="s">
        <v>2333</v>
      </c>
      <c r="J830" t="s">
        <v>2044</v>
      </c>
      <c r="K830" t="s">
        <v>89</v>
      </c>
      <c r="L830" t="s">
        <v>69</v>
      </c>
      <c r="M830">
        <v>63</v>
      </c>
      <c r="N830" t="s">
        <v>70</v>
      </c>
      <c r="O830">
        <v>49</v>
      </c>
      <c r="P830">
        <v>1</v>
      </c>
      <c r="Q830">
        <v>7330.31</v>
      </c>
      <c r="R830" s="4">
        <v>45600</v>
      </c>
      <c r="S830" s="6">
        <v>0.33883101851851855</v>
      </c>
      <c r="T830">
        <f t="shared" si="50"/>
        <v>18</v>
      </c>
      <c r="U830" t="str" cm="1">
        <f t="array" ref="U830">_xlfn.IFS(M830&lt;=34,"YOUNG",M830&lt;=54,"MIDDLE AGE",M830&gt;=55,"OLD")</f>
        <v>OLD</v>
      </c>
      <c r="V830" t="str">
        <f t="shared" si="51"/>
        <v>NORMAL</v>
      </c>
    </row>
    <row r="831" spans="1:22" x14ac:dyDescent="0.35">
      <c r="A831" t="s">
        <v>2334</v>
      </c>
      <c r="B831" t="s">
        <v>1096</v>
      </c>
      <c r="C831">
        <v>124.84</v>
      </c>
      <c r="D831" s="1">
        <v>45191.739374999997</v>
      </c>
      <c r="E831" s="2">
        <f t="shared" si="48"/>
        <v>0.73937499999738066</v>
      </c>
      <c r="F831" s="3">
        <f t="shared" si="49"/>
        <v>45191</v>
      </c>
      <c r="G831" t="s">
        <v>17</v>
      </c>
      <c r="H831" t="s">
        <v>108</v>
      </c>
      <c r="I831" t="s">
        <v>1148</v>
      </c>
      <c r="J831" t="s">
        <v>503</v>
      </c>
      <c r="K831" t="s">
        <v>267</v>
      </c>
      <c r="L831" t="s">
        <v>36</v>
      </c>
      <c r="M831">
        <v>52</v>
      </c>
      <c r="N831" t="s">
        <v>70</v>
      </c>
      <c r="O831">
        <v>79</v>
      </c>
      <c r="P831">
        <v>1</v>
      </c>
      <c r="Q831">
        <v>6711.78</v>
      </c>
      <c r="R831" s="4">
        <v>45600</v>
      </c>
      <c r="S831" s="6">
        <v>0.34129629629629632</v>
      </c>
      <c r="T831">
        <f t="shared" si="50"/>
        <v>17</v>
      </c>
      <c r="U831" t="str" cm="1">
        <f t="array" ref="U831">_xlfn.IFS(M831&lt;=34,"YOUNG",M831&lt;=54,"MIDDLE AGE",M831&gt;=55,"OLD")</f>
        <v>MIDDLE AGE</v>
      </c>
      <c r="V831" t="str">
        <f t="shared" si="51"/>
        <v>NORMAL</v>
      </c>
    </row>
    <row r="832" spans="1:22" x14ac:dyDescent="0.35">
      <c r="A832" t="s">
        <v>2335</v>
      </c>
      <c r="B832" t="s">
        <v>993</v>
      </c>
      <c r="C832">
        <v>324.04000000000002</v>
      </c>
      <c r="D832" s="1">
        <v>45112.700752314813</v>
      </c>
      <c r="E832" s="2">
        <f t="shared" si="48"/>
        <v>0.70075231481314404</v>
      </c>
      <c r="F832" s="3">
        <f t="shared" si="49"/>
        <v>45112</v>
      </c>
      <c r="G832" t="s">
        <v>17</v>
      </c>
      <c r="H832" t="s">
        <v>301</v>
      </c>
      <c r="I832" t="s">
        <v>311</v>
      </c>
      <c r="J832" t="s">
        <v>2336</v>
      </c>
      <c r="K832" t="s">
        <v>169</v>
      </c>
      <c r="L832" t="s">
        <v>22</v>
      </c>
      <c r="M832">
        <v>54</v>
      </c>
      <c r="N832" t="s">
        <v>70</v>
      </c>
      <c r="O832">
        <v>30</v>
      </c>
      <c r="P832">
        <v>1</v>
      </c>
      <c r="Q832">
        <v>2248.06</v>
      </c>
      <c r="R832" s="4">
        <v>45600</v>
      </c>
      <c r="S832" s="6">
        <v>0.3389699074074074</v>
      </c>
      <c r="T832">
        <f t="shared" si="50"/>
        <v>16</v>
      </c>
      <c r="U832" t="str" cm="1">
        <f t="array" ref="U832">_xlfn.IFS(M832&lt;=34,"YOUNG",M832&lt;=54,"MIDDLE AGE",M832&gt;=55,"OLD")</f>
        <v>MIDDLE AGE</v>
      </c>
      <c r="V832" t="str">
        <f t="shared" si="51"/>
        <v>NORMAL</v>
      </c>
    </row>
    <row r="833" spans="1:22" x14ac:dyDescent="0.35">
      <c r="A833" t="s">
        <v>2337</v>
      </c>
      <c r="B833" t="s">
        <v>1200</v>
      </c>
      <c r="C833">
        <v>39.69</v>
      </c>
      <c r="D833" s="1">
        <v>45040.719756944447</v>
      </c>
      <c r="E833" s="2">
        <f t="shared" si="48"/>
        <v>0.71975694444699911</v>
      </c>
      <c r="F833" s="3">
        <f t="shared" si="49"/>
        <v>45040</v>
      </c>
      <c r="G833" t="s">
        <v>17</v>
      </c>
      <c r="H833" t="s">
        <v>119</v>
      </c>
      <c r="I833" t="s">
        <v>1434</v>
      </c>
      <c r="J833" t="s">
        <v>1477</v>
      </c>
      <c r="K833" t="s">
        <v>548</v>
      </c>
      <c r="L833" t="s">
        <v>36</v>
      </c>
      <c r="M833">
        <v>70</v>
      </c>
      <c r="N833" t="s">
        <v>70</v>
      </c>
      <c r="O833">
        <v>163</v>
      </c>
      <c r="P833">
        <v>1</v>
      </c>
      <c r="Q833">
        <v>3524.68</v>
      </c>
      <c r="R833" s="4">
        <v>45600</v>
      </c>
      <c r="S833" s="6">
        <v>0.33870370370370373</v>
      </c>
      <c r="T833">
        <f t="shared" si="50"/>
        <v>17</v>
      </c>
      <c r="U833" t="str" cm="1">
        <f t="array" ref="U833">_xlfn.IFS(M833&lt;=34,"YOUNG",M833&lt;=54,"MIDDLE AGE",M833&gt;=55,"OLD")</f>
        <v>OLD</v>
      </c>
      <c r="V833" t="str">
        <f t="shared" si="51"/>
        <v>NORMAL</v>
      </c>
    </row>
    <row r="834" spans="1:22" x14ac:dyDescent="0.35">
      <c r="A834" t="s">
        <v>2338</v>
      </c>
      <c r="B834" t="s">
        <v>1229</v>
      </c>
      <c r="C834">
        <v>157.69999999999999</v>
      </c>
      <c r="D834" s="1">
        <v>45261.728645833333</v>
      </c>
      <c r="E834" s="2">
        <f t="shared" ref="E834:E897" si="52">D834-INT(D834)</f>
        <v>0.72864583333284827</v>
      </c>
      <c r="F834" s="3">
        <f t="shared" ref="F834:F897" si="53">INT(D834)</f>
        <v>45261</v>
      </c>
      <c r="G834" t="s">
        <v>46</v>
      </c>
      <c r="H834" t="s">
        <v>296</v>
      </c>
      <c r="I834" t="s">
        <v>1931</v>
      </c>
      <c r="J834" t="s">
        <v>894</v>
      </c>
      <c r="K834" t="s">
        <v>62</v>
      </c>
      <c r="L834" t="s">
        <v>69</v>
      </c>
      <c r="M834">
        <v>58</v>
      </c>
      <c r="N834" t="s">
        <v>77</v>
      </c>
      <c r="O834">
        <v>46</v>
      </c>
      <c r="P834">
        <v>1</v>
      </c>
      <c r="Q834">
        <v>8332.58</v>
      </c>
      <c r="R834" s="4">
        <v>45600</v>
      </c>
      <c r="S834" s="6">
        <v>0.34097222222222223</v>
      </c>
      <c r="T834">
        <f t="shared" si="50"/>
        <v>17</v>
      </c>
      <c r="U834" t="str" cm="1">
        <f t="array" ref="U834">_xlfn.IFS(M834&lt;=34,"YOUNG",M834&lt;=54,"MIDDLE AGE",M834&gt;=55,"OLD")</f>
        <v>OLD</v>
      </c>
      <c r="V834" t="str">
        <f t="shared" si="51"/>
        <v>NORMAL</v>
      </c>
    </row>
    <row r="835" spans="1:22" x14ac:dyDescent="0.35">
      <c r="A835" t="s">
        <v>2339</v>
      </c>
      <c r="B835" t="s">
        <v>1052</v>
      </c>
      <c r="C835">
        <v>81.27</v>
      </c>
      <c r="D835" s="1">
        <v>45237.692060185182</v>
      </c>
      <c r="E835" s="2">
        <f t="shared" si="52"/>
        <v>0.69206018518161727</v>
      </c>
      <c r="F835" s="3">
        <f t="shared" si="53"/>
        <v>45237</v>
      </c>
      <c r="G835" t="s">
        <v>46</v>
      </c>
      <c r="H835" t="s">
        <v>59</v>
      </c>
      <c r="I835" t="s">
        <v>2340</v>
      </c>
      <c r="J835" t="s">
        <v>1953</v>
      </c>
      <c r="K835" t="s">
        <v>267</v>
      </c>
      <c r="L835" t="s">
        <v>36</v>
      </c>
      <c r="M835">
        <v>22</v>
      </c>
      <c r="N835" t="s">
        <v>37</v>
      </c>
      <c r="O835">
        <v>68</v>
      </c>
      <c r="P835">
        <v>1</v>
      </c>
      <c r="Q835">
        <v>1814.48</v>
      </c>
      <c r="R835" s="4">
        <v>45600</v>
      </c>
      <c r="S835" s="6">
        <v>0.34082175925925928</v>
      </c>
      <c r="T835">
        <f t="shared" ref="T835:T898" si="54">HOUR(E835)</f>
        <v>16</v>
      </c>
      <c r="U835" t="str" cm="1">
        <f t="array" ref="U835">_xlfn.IFS(M835&lt;=34,"YOUNG",M835&lt;=54,"MIDDLE AGE",M835&gt;=55,"OLD")</f>
        <v>YOUNG</v>
      </c>
      <c r="V835" t="str">
        <f t="shared" ref="V835:V898" si="55">IF(P835&gt;1,"HIGH","NORMAL")</f>
        <v>NORMAL</v>
      </c>
    </row>
    <row r="836" spans="1:22" x14ac:dyDescent="0.35">
      <c r="A836" t="s">
        <v>2341</v>
      </c>
      <c r="B836" t="s">
        <v>529</v>
      </c>
      <c r="C836">
        <v>193.82</v>
      </c>
      <c r="D836" s="1">
        <v>45036.744976851849</v>
      </c>
      <c r="E836" s="2">
        <f t="shared" si="52"/>
        <v>0.74497685184906004</v>
      </c>
      <c r="F836" s="3">
        <f t="shared" si="53"/>
        <v>45036</v>
      </c>
      <c r="G836" t="s">
        <v>17</v>
      </c>
      <c r="H836" t="s">
        <v>291</v>
      </c>
      <c r="I836" t="s">
        <v>902</v>
      </c>
      <c r="J836" t="s">
        <v>1669</v>
      </c>
      <c r="K836" t="s">
        <v>564</v>
      </c>
      <c r="L836" t="s">
        <v>69</v>
      </c>
      <c r="M836">
        <v>37</v>
      </c>
      <c r="N836" t="s">
        <v>77</v>
      </c>
      <c r="O836">
        <v>176</v>
      </c>
      <c r="P836">
        <v>1</v>
      </c>
      <c r="Q836">
        <v>3886.77</v>
      </c>
      <c r="R836" s="4">
        <v>45600</v>
      </c>
      <c r="S836" s="6">
        <v>0.34177083333333336</v>
      </c>
      <c r="T836">
        <f t="shared" si="54"/>
        <v>17</v>
      </c>
      <c r="U836" t="str" cm="1">
        <f t="array" ref="U836">_xlfn.IFS(M836&lt;=34,"YOUNG",M836&lt;=54,"MIDDLE AGE",M836&gt;=55,"OLD")</f>
        <v>MIDDLE AGE</v>
      </c>
      <c r="V836" t="str">
        <f t="shared" si="55"/>
        <v>NORMAL</v>
      </c>
    </row>
    <row r="837" spans="1:22" x14ac:dyDescent="0.35">
      <c r="A837" t="s">
        <v>2342</v>
      </c>
      <c r="B837" t="s">
        <v>1927</v>
      </c>
      <c r="C837">
        <v>16.73</v>
      </c>
      <c r="D837" s="1">
        <v>45260.742083333331</v>
      </c>
      <c r="E837" s="2">
        <f t="shared" si="52"/>
        <v>0.742083333330811</v>
      </c>
      <c r="F837" s="3">
        <f t="shared" si="53"/>
        <v>45260</v>
      </c>
      <c r="G837" t="s">
        <v>17</v>
      </c>
      <c r="H837" t="s">
        <v>296</v>
      </c>
      <c r="I837" t="s">
        <v>1498</v>
      </c>
      <c r="J837" t="s">
        <v>963</v>
      </c>
      <c r="K837" t="s">
        <v>154</v>
      </c>
      <c r="L837" t="s">
        <v>36</v>
      </c>
      <c r="M837">
        <v>79</v>
      </c>
      <c r="N837" t="s">
        <v>70</v>
      </c>
      <c r="O837">
        <v>165</v>
      </c>
      <c r="P837">
        <v>1</v>
      </c>
      <c r="Q837">
        <v>7591.13</v>
      </c>
      <c r="R837" s="4">
        <v>45600</v>
      </c>
      <c r="S837" s="6">
        <v>0.33893518518518517</v>
      </c>
      <c r="T837">
        <f t="shared" si="54"/>
        <v>17</v>
      </c>
      <c r="U837" t="str" cm="1">
        <f t="array" ref="U837">_xlfn.IFS(M837&lt;=34,"YOUNG",M837&lt;=54,"MIDDLE AGE",M837&gt;=55,"OLD")</f>
        <v>OLD</v>
      </c>
      <c r="V837" t="str">
        <f t="shared" si="55"/>
        <v>NORMAL</v>
      </c>
    </row>
    <row r="838" spans="1:22" x14ac:dyDescent="0.35">
      <c r="A838" t="s">
        <v>2343</v>
      </c>
      <c r="B838" t="s">
        <v>488</v>
      </c>
      <c r="C838">
        <v>474.05</v>
      </c>
      <c r="D838" s="1">
        <v>45148.771261574075</v>
      </c>
      <c r="E838" s="2">
        <f t="shared" si="52"/>
        <v>0.77126157407474238</v>
      </c>
      <c r="F838" s="3">
        <f t="shared" si="53"/>
        <v>45148</v>
      </c>
      <c r="G838" t="s">
        <v>17</v>
      </c>
      <c r="H838" t="s">
        <v>223</v>
      </c>
      <c r="I838" t="s">
        <v>1937</v>
      </c>
      <c r="J838" t="s">
        <v>1910</v>
      </c>
      <c r="K838" t="s">
        <v>1000</v>
      </c>
      <c r="L838" t="s">
        <v>22</v>
      </c>
      <c r="M838">
        <v>57</v>
      </c>
      <c r="N838" t="s">
        <v>70</v>
      </c>
      <c r="O838">
        <v>214</v>
      </c>
      <c r="P838">
        <v>1</v>
      </c>
      <c r="Q838">
        <v>1484.31</v>
      </c>
      <c r="R838" s="4">
        <v>45600</v>
      </c>
      <c r="S838" s="6">
        <v>0.34081018518518519</v>
      </c>
      <c r="T838">
        <f t="shared" si="54"/>
        <v>18</v>
      </c>
      <c r="U838" t="str" cm="1">
        <f t="array" ref="U838">_xlfn.IFS(M838&lt;=34,"YOUNG",M838&lt;=54,"MIDDLE AGE",M838&gt;=55,"OLD")</f>
        <v>OLD</v>
      </c>
      <c r="V838" t="str">
        <f t="shared" si="55"/>
        <v>NORMAL</v>
      </c>
    </row>
    <row r="839" spans="1:22" x14ac:dyDescent="0.35">
      <c r="A839" t="s">
        <v>2344</v>
      </c>
      <c r="B839" t="s">
        <v>2345</v>
      </c>
      <c r="C839">
        <v>39.21</v>
      </c>
      <c r="D839" s="1">
        <v>45056.677442129629</v>
      </c>
      <c r="E839" s="2">
        <f t="shared" si="52"/>
        <v>0.67744212962861639</v>
      </c>
      <c r="F839" s="3">
        <f t="shared" si="53"/>
        <v>45056</v>
      </c>
      <c r="G839" t="s">
        <v>17</v>
      </c>
      <c r="H839" t="s">
        <v>172</v>
      </c>
      <c r="I839" t="s">
        <v>778</v>
      </c>
      <c r="J839" t="s">
        <v>2346</v>
      </c>
      <c r="K839" t="s">
        <v>482</v>
      </c>
      <c r="L839" t="s">
        <v>22</v>
      </c>
      <c r="M839">
        <v>66</v>
      </c>
      <c r="N839" t="s">
        <v>23</v>
      </c>
      <c r="O839">
        <v>245</v>
      </c>
      <c r="P839">
        <v>4</v>
      </c>
      <c r="Q839">
        <v>9385.57</v>
      </c>
      <c r="R839" s="4">
        <v>45600</v>
      </c>
      <c r="S839" s="6">
        <v>0.34157407407407409</v>
      </c>
      <c r="T839">
        <f t="shared" si="54"/>
        <v>16</v>
      </c>
      <c r="U839" t="str" cm="1">
        <f t="array" ref="U839">_xlfn.IFS(M839&lt;=34,"YOUNG",M839&lt;=54,"MIDDLE AGE",M839&gt;=55,"OLD")</f>
        <v>OLD</v>
      </c>
      <c r="V839" t="str">
        <f t="shared" si="55"/>
        <v>HIGH</v>
      </c>
    </row>
    <row r="840" spans="1:22" x14ac:dyDescent="0.35">
      <c r="A840" t="s">
        <v>2347</v>
      </c>
      <c r="B840" t="s">
        <v>403</v>
      </c>
      <c r="C840">
        <v>637.75</v>
      </c>
      <c r="D840" s="1">
        <v>45131.671585648146</v>
      </c>
      <c r="E840" s="2">
        <f t="shared" si="52"/>
        <v>0.67158564814599231</v>
      </c>
      <c r="F840" s="3">
        <f t="shared" si="53"/>
        <v>45131</v>
      </c>
      <c r="G840" t="s">
        <v>17</v>
      </c>
      <c r="H840" t="s">
        <v>323</v>
      </c>
      <c r="I840" t="s">
        <v>413</v>
      </c>
      <c r="J840" t="s">
        <v>2348</v>
      </c>
      <c r="K840" t="s">
        <v>165</v>
      </c>
      <c r="L840" t="s">
        <v>69</v>
      </c>
      <c r="M840">
        <v>79</v>
      </c>
      <c r="N840" t="s">
        <v>70</v>
      </c>
      <c r="O840">
        <v>152</v>
      </c>
      <c r="P840">
        <v>1</v>
      </c>
      <c r="Q840">
        <v>4202.92</v>
      </c>
      <c r="R840" s="4">
        <v>45600</v>
      </c>
      <c r="S840" s="6">
        <v>0.33947916666666667</v>
      </c>
      <c r="T840">
        <f t="shared" si="54"/>
        <v>16</v>
      </c>
      <c r="U840" t="str" cm="1">
        <f t="array" ref="U840">_xlfn.IFS(M840&lt;=34,"YOUNG",M840&lt;=54,"MIDDLE AGE",M840&gt;=55,"OLD")</f>
        <v>OLD</v>
      </c>
      <c r="V840" t="str">
        <f t="shared" si="55"/>
        <v>NORMAL</v>
      </c>
    </row>
    <row r="841" spans="1:22" x14ac:dyDescent="0.35">
      <c r="A841" t="s">
        <v>2349</v>
      </c>
      <c r="B841" t="s">
        <v>1106</v>
      </c>
      <c r="C841">
        <v>153.59</v>
      </c>
      <c r="D841" s="1">
        <v>45050.738877314812</v>
      </c>
      <c r="E841" s="2">
        <f t="shared" si="52"/>
        <v>0.73887731481227092</v>
      </c>
      <c r="F841" s="3">
        <f t="shared" si="53"/>
        <v>45050</v>
      </c>
      <c r="G841" t="s">
        <v>46</v>
      </c>
      <c r="H841" t="s">
        <v>595</v>
      </c>
      <c r="I841" t="s">
        <v>1129</v>
      </c>
      <c r="J841" t="s">
        <v>2350</v>
      </c>
      <c r="K841" t="s">
        <v>353</v>
      </c>
      <c r="L841" t="s">
        <v>69</v>
      </c>
      <c r="M841">
        <v>66</v>
      </c>
      <c r="N841" t="s">
        <v>70</v>
      </c>
      <c r="O841">
        <v>174</v>
      </c>
      <c r="P841">
        <v>1</v>
      </c>
      <c r="Q841">
        <v>4813.12</v>
      </c>
      <c r="R841" s="4">
        <v>45600</v>
      </c>
      <c r="S841" s="6">
        <v>0.34008101851851852</v>
      </c>
      <c r="T841">
        <f t="shared" si="54"/>
        <v>17</v>
      </c>
      <c r="U841" t="str" cm="1">
        <f t="array" ref="U841">_xlfn.IFS(M841&lt;=34,"YOUNG",M841&lt;=54,"MIDDLE AGE",M841&gt;=55,"OLD")</f>
        <v>OLD</v>
      </c>
      <c r="V841" t="str">
        <f t="shared" si="55"/>
        <v>NORMAL</v>
      </c>
    </row>
    <row r="842" spans="1:22" x14ac:dyDescent="0.35">
      <c r="A842" t="s">
        <v>2351</v>
      </c>
      <c r="B842" t="s">
        <v>2352</v>
      </c>
      <c r="C842">
        <v>186.6</v>
      </c>
      <c r="D842" s="1">
        <v>45224.668935185182</v>
      </c>
      <c r="E842" s="2">
        <f t="shared" si="52"/>
        <v>0.66893518518190831</v>
      </c>
      <c r="F842" s="3">
        <f t="shared" si="53"/>
        <v>45224</v>
      </c>
      <c r="G842" t="s">
        <v>17</v>
      </c>
      <c r="H842" t="s">
        <v>255</v>
      </c>
      <c r="I842" t="s">
        <v>2116</v>
      </c>
      <c r="J842" t="s">
        <v>2353</v>
      </c>
      <c r="K842" t="s">
        <v>572</v>
      </c>
      <c r="L842" t="s">
        <v>69</v>
      </c>
      <c r="M842">
        <v>18</v>
      </c>
      <c r="N842" t="s">
        <v>37</v>
      </c>
      <c r="O842">
        <v>139</v>
      </c>
      <c r="P842">
        <v>1</v>
      </c>
      <c r="Q842">
        <v>9716.68</v>
      </c>
      <c r="R842" s="4">
        <v>45600</v>
      </c>
      <c r="S842" s="6">
        <v>0.34070601851851851</v>
      </c>
      <c r="T842">
        <f t="shared" si="54"/>
        <v>16</v>
      </c>
      <c r="U842" t="str" cm="1">
        <f t="array" ref="U842">_xlfn.IFS(M842&lt;=34,"YOUNG",M842&lt;=54,"MIDDLE AGE",M842&gt;=55,"OLD")</f>
        <v>YOUNG</v>
      </c>
      <c r="V842" t="str">
        <f t="shared" si="55"/>
        <v>NORMAL</v>
      </c>
    </row>
    <row r="843" spans="1:22" x14ac:dyDescent="0.35">
      <c r="A843" t="s">
        <v>2354</v>
      </c>
      <c r="B843" t="s">
        <v>1114</v>
      </c>
      <c r="C843">
        <v>644.08000000000004</v>
      </c>
      <c r="D843" s="1">
        <v>45054.728472222225</v>
      </c>
      <c r="E843" s="2">
        <f t="shared" si="52"/>
        <v>0.72847222222480923</v>
      </c>
      <c r="F843" s="3">
        <f t="shared" si="53"/>
        <v>45054</v>
      </c>
      <c r="G843" t="s">
        <v>17</v>
      </c>
      <c r="H843" t="s">
        <v>47</v>
      </c>
      <c r="I843" t="s">
        <v>2355</v>
      </c>
      <c r="J843" t="s">
        <v>1262</v>
      </c>
      <c r="K843" t="s">
        <v>762</v>
      </c>
      <c r="L843" t="s">
        <v>36</v>
      </c>
      <c r="M843">
        <v>24</v>
      </c>
      <c r="N843" t="s">
        <v>37</v>
      </c>
      <c r="O843">
        <v>55</v>
      </c>
      <c r="P843">
        <v>1</v>
      </c>
      <c r="Q843">
        <v>1980.62</v>
      </c>
      <c r="R843" s="4">
        <v>45600</v>
      </c>
      <c r="S843" s="6">
        <v>0.33840277777777777</v>
      </c>
      <c r="T843">
        <f t="shared" si="54"/>
        <v>17</v>
      </c>
      <c r="U843" t="str" cm="1">
        <f t="array" ref="U843">_xlfn.IFS(M843&lt;=34,"YOUNG",M843&lt;=54,"MIDDLE AGE",M843&gt;=55,"OLD")</f>
        <v>YOUNG</v>
      </c>
      <c r="V843" t="str">
        <f t="shared" si="55"/>
        <v>NORMAL</v>
      </c>
    </row>
    <row r="844" spans="1:22" x14ac:dyDescent="0.35">
      <c r="A844" t="s">
        <v>2356</v>
      </c>
      <c r="B844" t="s">
        <v>1229</v>
      </c>
      <c r="C844">
        <v>226.66</v>
      </c>
      <c r="D844" s="1">
        <v>45287.788344907407</v>
      </c>
      <c r="E844" s="2">
        <f t="shared" si="52"/>
        <v>0.78834490740700858</v>
      </c>
      <c r="F844" s="3">
        <f t="shared" si="53"/>
        <v>45287</v>
      </c>
      <c r="G844" t="s">
        <v>17</v>
      </c>
      <c r="H844" t="s">
        <v>119</v>
      </c>
      <c r="I844" t="s">
        <v>2357</v>
      </c>
      <c r="J844" t="s">
        <v>2025</v>
      </c>
      <c r="K844" t="s">
        <v>353</v>
      </c>
      <c r="L844" t="s">
        <v>69</v>
      </c>
      <c r="M844">
        <v>41</v>
      </c>
      <c r="N844" t="s">
        <v>23</v>
      </c>
      <c r="O844">
        <v>168</v>
      </c>
      <c r="P844">
        <v>1</v>
      </c>
      <c r="Q844">
        <v>10216.25</v>
      </c>
      <c r="R844" s="4">
        <v>45600</v>
      </c>
      <c r="S844" s="6">
        <v>0.33871527777777777</v>
      </c>
      <c r="T844">
        <f t="shared" si="54"/>
        <v>18</v>
      </c>
      <c r="U844" t="str" cm="1">
        <f t="array" ref="U844">_xlfn.IFS(M844&lt;=34,"YOUNG",M844&lt;=54,"MIDDLE AGE",M844&gt;=55,"OLD")</f>
        <v>MIDDLE AGE</v>
      </c>
      <c r="V844" t="str">
        <f t="shared" si="55"/>
        <v>NORMAL</v>
      </c>
    </row>
    <row r="845" spans="1:22" x14ac:dyDescent="0.35">
      <c r="A845" t="s">
        <v>2358</v>
      </c>
      <c r="B845" t="s">
        <v>463</v>
      </c>
      <c r="C845">
        <v>305</v>
      </c>
      <c r="D845" s="1">
        <v>45211.722569444442</v>
      </c>
      <c r="E845" s="2">
        <f t="shared" si="52"/>
        <v>0.7225694444423425</v>
      </c>
      <c r="F845" s="3">
        <f t="shared" si="53"/>
        <v>45211</v>
      </c>
      <c r="G845" t="s">
        <v>17</v>
      </c>
      <c r="H845" t="s">
        <v>425</v>
      </c>
      <c r="I845" t="s">
        <v>2359</v>
      </c>
      <c r="J845" t="s">
        <v>1467</v>
      </c>
      <c r="K845" t="s">
        <v>362</v>
      </c>
      <c r="L845" t="s">
        <v>22</v>
      </c>
      <c r="M845">
        <v>22</v>
      </c>
      <c r="N845" t="s">
        <v>37</v>
      </c>
      <c r="O845">
        <v>222</v>
      </c>
      <c r="P845">
        <v>1</v>
      </c>
      <c r="Q845">
        <v>944.83</v>
      </c>
      <c r="R845" s="4">
        <v>45600</v>
      </c>
      <c r="S845" s="6">
        <v>0.33807870370370369</v>
      </c>
      <c r="T845">
        <f t="shared" si="54"/>
        <v>17</v>
      </c>
      <c r="U845" t="str" cm="1">
        <f t="array" ref="U845">_xlfn.IFS(M845&lt;=34,"YOUNG",M845&lt;=54,"MIDDLE AGE",M845&gt;=55,"OLD")</f>
        <v>YOUNG</v>
      </c>
      <c r="V845" t="str">
        <f t="shared" si="55"/>
        <v>NORMAL</v>
      </c>
    </row>
    <row r="846" spans="1:22" x14ac:dyDescent="0.35">
      <c r="A846" t="s">
        <v>2360</v>
      </c>
      <c r="B846" t="s">
        <v>162</v>
      </c>
      <c r="C846">
        <v>233.1</v>
      </c>
      <c r="D846" s="1">
        <v>44942.728333333333</v>
      </c>
      <c r="E846" s="2">
        <f t="shared" si="52"/>
        <v>0.72833333333255723</v>
      </c>
      <c r="F846" s="3">
        <f t="shared" si="53"/>
        <v>44942</v>
      </c>
      <c r="G846" t="s">
        <v>46</v>
      </c>
      <c r="H846" t="s">
        <v>80</v>
      </c>
      <c r="I846" t="s">
        <v>2361</v>
      </c>
      <c r="J846" t="s">
        <v>2129</v>
      </c>
      <c r="K846" t="s">
        <v>1349</v>
      </c>
      <c r="L846" t="s">
        <v>69</v>
      </c>
      <c r="M846">
        <v>42</v>
      </c>
      <c r="N846" t="s">
        <v>23</v>
      </c>
      <c r="O846">
        <v>37</v>
      </c>
      <c r="P846">
        <v>1</v>
      </c>
      <c r="Q846">
        <v>7469.2</v>
      </c>
      <c r="R846" s="4">
        <v>45600</v>
      </c>
      <c r="S846" s="6">
        <v>0.34142361111111114</v>
      </c>
      <c r="T846">
        <f t="shared" si="54"/>
        <v>17</v>
      </c>
      <c r="U846" t="str" cm="1">
        <f t="array" ref="U846">_xlfn.IFS(M846&lt;=34,"YOUNG",M846&lt;=54,"MIDDLE AGE",M846&gt;=55,"OLD")</f>
        <v>MIDDLE AGE</v>
      </c>
      <c r="V846" t="str">
        <f t="shared" si="55"/>
        <v>NORMAL</v>
      </c>
    </row>
    <row r="847" spans="1:22" x14ac:dyDescent="0.35">
      <c r="A847" t="s">
        <v>2362</v>
      </c>
      <c r="B847" t="s">
        <v>578</v>
      </c>
      <c r="C847">
        <v>793.13</v>
      </c>
      <c r="D847" s="1">
        <v>45056.693136574075</v>
      </c>
      <c r="E847" s="2">
        <f t="shared" si="52"/>
        <v>0.69313657407474238</v>
      </c>
      <c r="F847" s="3">
        <f t="shared" si="53"/>
        <v>45056</v>
      </c>
      <c r="G847" t="s">
        <v>17</v>
      </c>
      <c r="H847" t="s">
        <v>92</v>
      </c>
      <c r="I847" t="s">
        <v>534</v>
      </c>
      <c r="J847" t="s">
        <v>1149</v>
      </c>
      <c r="K847" t="s">
        <v>76</v>
      </c>
      <c r="L847" t="s">
        <v>36</v>
      </c>
      <c r="M847">
        <v>68</v>
      </c>
      <c r="N847" t="s">
        <v>23</v>
      </c>
      <c r="O847">
        <v>76</v>
      </c>
      <c r="P847">
        <v>1</v>
      </c>
      <c r="Q847">
        <v>13389.16</v>
      </c>
      <c r="R847" s="4">
        <v>45600</v>
      </c>
      <c r="S847" s="6">
        <v>0.34010416666666665</v>
      </c>
      <c r="T847">
        <f t="shared" si="54"/>
        <v>16</v>
      </c>
      <c r="U847" t="str" cm="1">
        <f t="array" ref="U847">_xlfn.IFS(M847&lt;=34,"YOUNG",M847&lt;=54,"MIDDLE AGE",M847&gt;=55,"OLD")</f>
        <v>OLD</v>
      </c>
      <c r="V847" t="str">
        <f t="shared" si="55"/>
        <v>NORMAL</v>
      </c>
    </row>
    <row r="848" spans="1:22" x14ac:dyDescent="0.35">
      <c r="A848" t="s">
        <v>2363</v>
      </c>
      <c r="B848" t="s">
        <v>1745</v>
      </c>
      <c r="C848">
        <v>224.19</v>
      </c>
      <c r="D848" s="1">
        <v>45190.696273148147</v>
      </c>
      <c r="E848" s="2">
        <f t="shared" si="52"/>
        <v>0.69627314814715646</v>
      </c>
      <c r="F848" s="3">
        <f t="shared" si="53"/>
        <v>45190</v>
      </c>
      <c r="G848" t="s">
        <v>17</v>
      </c>
      <c r="H848" t="s">
        <v>26</v>
      </c>
      <c r="I848" t="s">
        <v>566</v>
      </c>
      <c r="J848" t="s">
        <v>374</v>
      </c>
      <c r="K848" t="s">
        <v>111</v>
      </c>
      <c r="L848" t="s">
        <v>22</v>
      </c>
      <c r="M848">
        <v>52</v>
      </c>
      <c r="N848" t="s">
        <v>23</v>
      </c>
      <c r="O848">
        <v>93</v>
      </c>
      <c r="P848">
        <v>1</v>
      </c>
      <c r="Q848">
        <v>8475.4699999999993</v>
      </c>
      <c r="R848" s="4">
        <v>45600</v>
      </c>
      <c r="S848" s="6">
        <v>0.33858796296296295</v>
      </c>
      <c r="T848">
        <f t="shared" si="54"/>
        <v>16</v>
      </c>
      <c r="U848" t="str" cm="1">
        <f t="array" ref="U848">_xlfn.IFS(M848&lt;=34,"YOUNG",M848&lt;=54,"MIDDLE AGE",M848&gt;=55,"OLD")</f>
        <v>MIDDLE AGE</v>
      </c>
      <c r="V848" t="str">
        <f t="shared" si="55"/>
        <v>NORMAL</v>
      </c>
    </row>
    <row r="849" spans="1:22" x14ac:dyDescent="0.35">
      <c r="A849" t="s">
        <v>2364</v>
      </c>
      <c r="B849" t="s">
        <v>781</v>
      </c>
      <c r="C849">
        <v>214.83</v>
      </c>
      <c r="D849" s="1">
        <v>45005.758680555555</v>
      </c>
      <c r="E849" s="2">
        <f t="shared" si="52"/>
        <v>0.75868055555474712</v>
      </c>
      <c r="F849" s="3">
        <f t="shared" si="53"/>
        <v>45005</v>
      </c>
      <c r="G849" t="s">
        <v>46</v>
      </c>
      <c r="H849" t="s">
        <v>255</v>
      </c>
      <c r="I849" t="s">
        <v>2340</v>
      </c>
      <c r="J849" t="s">
        <v>963</v>
      </c>
      <c r="K849" t="s">
        <v>35</v>
      </c>
      <c r="L849" t="s">
        <v>22</v>
      </c>
      <c r="M849">
        <v>23</v>
      </c>
      <c r="N849" t="s">
        <v>37</v>
      </c>
      <c r="O849">
        <v>63</v>
      </c>
      <c r="P849">
        <v>1</v>
      </c>
      <c r="Q849">
        <v>991.69</v>
      </c>
      <c r="R849" s="4">
        <v>45600</v>
      </c>
      <c r="S849" s="6">
        <v>0.34149305555555554</v>
      </c>
      <c r="T849">
        <f t="shared" si="54"/>
        <v>18</v>
      </c>
      <c r="U849" t="str" cm="1">
        <f t="array" ref="U849">_xlfn.IFS(M849&lt;=34,"YOUNG",M849&lt;=54,"MIDDLE AGE",M849&gt;=55,"OLD")</f>
        <v>YOUNG</v>
      </c>
      <c r="V849" t="str">
        <f t="shared" si="55"/>
        <v>NORMAL</v>
      </c>
    </row>
    <row r="850" spans="1:22" x14ac:dyDescent="0.35">
      <c r="A850" t="s">
        <v>2365</v>
      </c>
      <c r="B850" t="s">
        <v>2366</v>
      </c>
      <c r="C850">
        <v>163.46</v>
      </c>
      <c r="D850" s="1">
        <v>45177.715208333335</v>
      </c>
      <c r="E850" s="2">
        <f t="shared" si="52"/>
        <v>0.71520833333488554</v>
      </c>
      <c r="F850" s="3">
        <f t="shared" si="53"/>
        <v>45177</v>
      </c>
      <c r="G850" t="s">
        <v>46</v>
      </c>
      <c r="H850" t="s">
        <v>197</v>
      </c>
      <c r="I850" t="s">
        <v>798</v>
      </c>
      <c r="J850" t="s">
        <v>2367</v>
      </c>
      <c r="K850" t="s">
        <v>980</v>
      </c>
      <c r="L850" t="s">
        <v>69</v>
      </c>
      <c r="M850">
        <v>63</v>
      </c>
      <c r="N850" t="s">
        <v>70</v>
      </c>
      <c r="O850">
        <v>111</v>
      </c>
      <c r="P850">
        <v>1</v>
      </c>
      <c r="Q850">
        <v>6953.8</v>
      </c>
      <c r="R850" s="4">
        <v>45600</v>
      </c>
      <c r="S850" s="6">
        <v>0.34134259259259259</v>
      </c>
      <c r="T850">
        <f t="shared" si="54"/>
        <v>17</v>
      </c>
      <c r="U850" t="str" cm="1">
        <f t="array" ref="U850">_xlfn.IFS(M850&lt;=34,"YOUNG",M850&lt;=54,"MIDDLE AGE",M850&gt;=55,"OLD")</f>
        <v>OLD</v>
      </c>
      <c r="V850" t="str">
        <f t="shared" si="55"/>
        <v>NORMAL</v>
      </c>
    </row>
    <row r="851" spans="1:22" x14ac:dyDescent="0.35">
      <c r="A851" t="s">
        <v>2368</v>
      </c>
      <c r="B851" t="s">
        <v>884</v>
      </c>
      <c r="C851">
        <v>194.99</v>
      </c>
      <c r="D851" s="1">
        <v>45261.709374999999</v>
      </c>
      <c r="E851" s="2">
        <f t="shared" si="52"/>
        <v>0.70937499999854481</v>
      </c>
      <c r="F851" s="3">
        <f t="shared" si="53"/>
        <v>45261</v>
      </c>
      <c r="G851" t="s">
        <v>17</v>
      </c>
      <c r="H851" t="s">
        <v>392</v>
      </c>
      <c r="I851" t="s">
        <v>306</v>
      </c>
      <c r="J851" t="s">
        <v>1149</v>
      </c>
      <c r="K851" t="s">
        <v>348</v>
      </c>
      <c r="L851" t="s">
        <v>69</v>
      </c>
      <c r="M851">
        <v>34</v>
      </c>
      <c r="N851" t="s">
        <v>77</v>
      </c>
      <c r="O851">
        <v>91</v>
      </c>
      <c r="P851">
        <v>1</v>
      </c>
      <c r="Q851">
        <v>1370.03</v>
      </c>
      <c r="R851" s="4">
        <v>45600</v>
      </c>
      <c r="S851" s="6">
        <v>0.33877314814814813</v>
      </c>
      <c r="T851">
        <f t="shared" si="54"/>
        <v>17</v>
      </c>
      <c r="U851" t="str" cm="1">
        <f t="array" ref="U851">_xlfn.IFS(M851&lt;=34,"YOUNG",M851&lt;=54,"MIDDLE AGE",M851&gt;=55,"OLD")</f>
        <v>YOUNG</v>
      </c>
      <c r="V851" t="str">
        <f t="shared" si="55"/>
        <v>NORMAL</v>
      </c>
    </row>
    <row r="852" spans="1:22" x14ac:dyDescent="0.35">
      <c r="A852" t="s">
        <v>2369</v>
      </c>
      <c r="B852" t="s">
        <v>2370</v>
      </c>
      <c r="C852">
        <v>23.4</v>
      </c>
      <c r="D852" s="1">
        <v>44965.769317129627</v>
      </c>
      <c r="E852" s="2">
        <f t="shared" si="52"/>
        <v>0.76931712962687016</v>
      </c>
      <c r="F852" s="3">
        <f t="shared" si="53"/>
        <v>44965</v>
      </c>
      <c r="G852" t="s">
        <v>17</v>
      </c>
      <c r="H852" t="s">
        <v>506</v>
      </c>
      <c r="I852" t="s">
        <v>1575</v>
      </c>
      <c r="J852" t="s">
        <v>1481</v>
      </c>
      <c r="K852" t="s">
        <v>1562</v>
      </c>
      <c r="L852" t="s">
        <v>22</v>
      </c>
      <c r="M852">
        <v>46</v>
      </c>
      <c r="N852" t="s">
        <v>23</v>
      </c>
      <c r="O852">
        <v>175</v>
      </c>
      <c r="P852">
        <v>4</v>
      </c>
      <c r="Q852">
        <v>14851.28</v>
      </c>
      <c r="R852" s="4">
        <v>45600</v>
      </c>
      <c r="S852" s="6">
        <v>0.33835648148148151</v>
      </c>
      <c r="T852">
        <f t="shared" si="54"/>
        <v>18</v>
      </c>
      <c r="U852" t="str" cm="1">
        <f t="array" ref="U852">_xlfn.IFS(M852&lt;=34,"YOUNG",M852&lt;=54,"MIDDLE AGE",M852&gt;=55,"OLD")</f>
        <v>MIDDLE AGE</v>
      </c>
      <c r="V852" t="str">
        <f t="shared" si="55"/>
        <v>HIGH</v>
      </c>
    </row>
    <row r="853" spans="1:22" x14ac:dyDescent="0.35">
      <c r="A853" t="s">
        <v>2371</v>
      </c>
      <c r="B853" t="s">
        <v>2372</v>
      </c>
      <c r="C853">
        <v>227.5</v>
      </c>
      <c r="D853" s="1">
        <v>44998.708020833335</v>
      </c>
      <c r="E853" s="2">
        <f t="shared" si="52"/>
        <v>0.70802083333546761</v>
      </c>
      <c r="F853" s="3">
        <f t="shared" si="53"/>
        <v>44998</v>
      </c>
      <c r="G853" t="s">
        <v>17</v>
      </c>
      <c r="H853" t="s">
        <v>285</v>
      </c>
      <c r="I853" t="s">
        <v>2247</v>
      </c>
      <c r="J853" t="s">
        <v>208</v>
      </c>
      <c r="K853" t="s">
        <v>288</v>
      </c>
      <c r="L853" t="s">
        <v>36</v>
      </c>
      <c r="M853">
        <v>34</v>
      </c>
      <c r="N853" t="s">
        <v>23</v>
      </c>
      <c r="O853">
        <v>277</v>
      </c>
      <c r="P853">
        <v>1</v>
      </c>
      <c r="Q853">
        <v>11505.35</v>
      </c>
      <c r="R853" s="4">
        <v>45600</v>
      </c>
      <c r="S853" s="6">
        <v>0.34137731481481481</v>
      </c>
      <c r="T853">
        <f t="shared" si="54"/>
        <v>16</v>
      </c>
      <c r="U853" t="str" cm="1">
        <f t="array" ref="U853">_xlfn.IFS(M853&lt;=34,"YOUNG",M853&lt;=54,"MIDDLE AGE",M853&gt;=55,"OLD")</f>
        <v>YOUNG</v>
      </c>
      <c r="V853" t="str">
        <f t="shared" si="55"/>
        <v>NORMAL</v>
      </c>
    </row>
    <row r="854" spans="1:22" x14ac:dyDescent="0.35">
      <c r="A854" t="s">
        <v>2373</v>
      </c>
      <c r="B854" t="s">
        <v>540</v>
      </c>
      <c r="C854">
        <v>259.89999999999998</v>
      </c>
      <c r="D854" s="1">
        <v>45099.672719907408</v>
      </c>
      <c r="E854" s="2">
        <f t="shared" si="52"/>
        <v>0.67271990740846377</v>
      </c>
      <c r="F854" s="3">
        <f t="shared" si="53"/>
        <v>45099</v>
      </c>
      <c r="G854" t="s">
        <v>17</v>
      </c>
      <c r="H854" t="s">
        <v>53</v>
      </c>
      <c r="I854" t="s">
        <v>960</v>
      </c>
      <c r="J854" t="s">
        <v>1174</v>
      </c>
      <c r="K854" t="s">
        <v>160</v>
      </c>
      <c r="L854" t="s">
        <v>36</v>
      </c>
      <c r="M854">
        <v>26</v>
      </c>
      <c r="N854" t="s">
        <v>37</v>
      </c>
      <c r="O854">
        <v>100</v>
      </c>
      <c r="P854">
        <v>1</v>
      </c>
      <c r="Q854">
        <v>914.28</v>
      </c>
      <c r="R854" s="4">
        <v>45600</v>
      </c>
      <c r="S854" s="6">
        <v>0.33853009259259259</v>
      </c>
      <c r="T854">
        <f t="shared" si="54"/>
        <v>16</v>
      </c>
      <c r="U854" t="str" cm="1">
        <f t="array" ref="U854">_xlfn.IFS(M854&lt;=34,"YOUNG",M854&lt;=54,"MIDDLE AGE",M854&gt;=55,"OLD")</f>
        <v>YOUNG</v>
      </c>
      <c r="V854" t="str">
        <f t="shared" si="55"/>
        <v>NORMAL</v>
      </c>
    </row>
    <row r="855" spans="1:22" x14ac:dyDescent="0.35">
      <c r="A855" t="s">
        <v>2374</v>
      </c>
      <c r="B855" t="s">
        <v>809</v>
      </c>
      <c r="C855">
        <v>59.51</v>
      </c>
      <c r="D855" s="1">
        <v>45020.67528935185</v>
      </c>
      <c r="E855" s="2">
        <f t="shared" si="52"/>
        <v>0.67528935184964212</v>
      </c>
      <c r="F855" s="3">
        <f t="shared" si="53"/>
        <v>45020</v>
      </c>
      <c r="G855" t="s">
        <v>46</v>
      </c>
      <c r="H855" t="s">
        <v>323</v>
      </c>
      <c r="I855" t="s">
        <v>1141</v>
      </c>
      <c r="J855" t="s">
        <v>1208</v>
      </c>
      <c r="K855" t="s">
        <v>572</v>
      </c>
      <c r="L855" t="s">
        <v>36</v>
      </c>
      <c r="M855">
        <v>36</v>
      </c>
      <c r="N855" t="s">
        <v>23</v>
      </c>
      <c r="O855">
        <v>55</v>
      </c>
      <c r="P855">
        <v>1</v>
      </c>
      <c r="Q855">
        <v>9955.8799999999992</v>
      </c>
      <c r="R855" s="4">
        <v>45600</v>
      </c>
      <c r="S855" s="6">
        <v>0.34187499999999998</v>
      </c>
      <c r="T855">
        <f t="shared" si="54"/>
        <v>16</v>
      </c>
      <c r="U855" t="str" cm="1">
        <f t="array" ref="U855">_xlfn.IFS(M855&lt;=34,"YOUNG",M855&lt;=54,"MIDDLE AGE",M855&gt;=55,"OLD")</f>
        <v>MIDDLE AGE</v>
      </c>
      <c r="V855" t="str">
        <f t="shared" si="55"/>
        <v>NORMAL</v>
      </c>
    </row>
    <row r="856" spans="1:22" x14ac:dyDescent="0.35">
      <c r="A856" t="s">
        <v>2375</v>
      </c>
      <c r="B856" t="s">
        <v>2376</v>
      </c>
      <c r="C856">
        <v>50.63</v>
      </c>
      <c r="D856" s="1">
        <v>45070.681354166663</v>
      </c>
      <c r="E856" s="2">
        <f t="shared" si="52"/>
        <v>0.68135416666336823</v>
      </c>
      <c r="F856" s="3">
        <f t="shared" si="53"/>
        <v>45070</v>
      </c>
      <c r="G856" t="s">
        <v>17</v>
      </c>
      <c r="H856" t="s">
        <v>125</v>
      </c>
      <c r="I856" t="s">
        <v>590</v>
      </c>
      <c r="J856" t="s">
        <v>347</v>
      </c>
      <c r="K856" t="s">
        <v>414</v>
      </c>
      <c r="L856" t="s">
        <v>36</v>
      </c>
      <c r="M856">
        <v>64</v>
      </c>
      <c r="N856" t="s">
        <v>70</v>
      </c>
      <c r="O856">
        <v>143</v>
      </c>
      <c r="P856">
        <v>1</v>
      </c>
      <c r="Q856">
        <v>4732.8100000000004</v>
      </c>
      <c r="R856" s="4">
        <v>45600</v>
      </c>
      <c r="S856" s="6">
        <v>0.34192129629629631</v>
      </c>
      <c r="T856">
        <f t="shared" si="54"/>
        <v>16</v>
      </c>
      <c r="U856" t="str" cm="1">
        <f t="array" ref="U856">_xlfn.IFS(M856&lt;=34,"YOUNG",M856&lt;=54,"MIDDLE AGE",M856&gt;=55,"OLD")</f>
        <v>OLD</v>
      </c>
      <c r="V856" t="str">
        <f t="shared" si="55"/>
        <v>NORMAL</v>
      </c>
    </row>
    <row r="857" spans="1:22" x14ac:dyDescent="0.35">
      <c r="A857" t="s">
        <v>2377</v>
      </c>
      <c r="B857" t="s">
        <v>380</v>
      </c>
      <c r="C857">
        <v>1074.95</v>
      </c>
      <c r="D857" s="1">
        <v>45079.700729166667</v>
      </c>
      <c r="E857" s="2">
        <f t="shared" si="52"/>
        <v>0.70072916666686069</v>
      </c>
      <c r="F857" s="3">
        <f t="shared" si="53"/>
        <v>45079</v>
      </c>
      <c r="G857" t="s">
        <v>17</v>
      </c>
      <c r="H857" t="s">
        <v>392</v>
      </c>
      <c r="I857" t="s">
        <v>2170</v>
      </c>
      <c r="J857" t="s">
        <v>2378</v>
      </c>
      <c r="K857" t="s">
        <v>548</v>
      </c>
      <c r="L857" t="s">
        <v>69</v>
      </c>
      <c r="M857">
        <v>20</v>
      </c>
      <c r="N857" t="s">
        <v>37</v>
      </c>
      <c r="O857">
        <v>91</v>
      </c>
      <c r="P857">
        <v>1</v>
      </c>
      <c r="Q857">
        <v>530.86</v>
      </c>
      <c r="R857" s="4">
        <v>45600</v>
      </c>
      <c r="S857" s="6">
        <v>0.34025462962962966</v>
      </c>
      <c r="T857">
        <f t="shared" si="54"/>
        <v>16</v>
      </c>
      <c r="U857" t="str" cm="1">
        <f t="array" ref="U857">_xlfn.IFS(M857&lt;=34,"YOUNG",M857&lt;=54,"MIDDLE AGE",M857&gt;=55,"OLD")</f>
        <v>YOUNG</v>
      </c>
      <c r="V857" t="str">
        <f t="shared" si="55"/>
        <v>NORMAL</v>
      </c>
    </row>
    <row r="858" spans="1:22" x14ac:dyDescent="0.35">
      <c r="A858" t="s">
        <v>2379</v>
      </c>
      <c r="B858" t="s">
        <v>771</v>
      </c>
      <c r="C858">
        <v>112.94</v>
      </c>
      <c r="D858" s="1">
        <v>45254.733182870368</v>
      </c>
      <c r="E858" s="2">
        <f t="shared" si="52"/>
        <v>0.73318287036818219</v>
      </c>
      <c r="F858" s="3">
        <f t="shared" si="53"/>
        <v>45254</v>
      </c>
      <c r="G858" t="s">
        <v>46</v>
      </c>
      <c r="H858" t="s">
        <v>237</v>
      </c>
      <c r="I858" t="s">
        <v>2380</v>
      </c>
      <c r="J858" t="s">
        <v>2381</v>
      </c>
      <c r="K858" t="s">
        <v>50</v>
      </c>
      <c r="L858" t="s">
        <v>36</v>
      </c>
      <c r="M858">
        <v>73</v>
      </c>
      <c r="N858" t="s">
        <v>70</v>
      </c>
      <c r="O858">
        <v>31</v>
      </c>
      <c r="P858">
        <v>1</v>
      </c>
      <c r="Q858">
        <v>3807.84</v>
      </c>
      <c r="R858" s="4">
        <v>45600</v>
      </c>
      <c r="S858" s="6">
        <v>0.33841435185185187</v>
      </c>
      <c r="T858">
        <f t="shared" si="54"/>
        <v>17</v>
      </c>
      <c r="U858" t="str" cm="1">
        <f t="array" ref="U858">_xlfn.IFS(M858&lt;=34,"YOUNG",M858&lt;=54,"MIDDLE AGE",M858&gt;=55,"OLD")</f>
        <v>OLD</v>
      </c>
      <c r="V858" t="str">
        <f t="shared" si="55"/>
        <v>NORMAL</v>
      </c>
    </row>
    <row r="859" spans="1:22" x14ac:dyDescent="0.35">
      <c r="A859" t="s">
        <v>2382</v>
      </c>
      <c r="B859" t="s">
        <v>1357</v>
      </c>
      <c r="C859">
        <v>11.81</v>
      </c>
      <c r="D859" s="1">
        <v>44984.671967592592</v>
      </c>
      <c r="E859" s="2">
        <f t="shared" si="52"/>
        <v>0.67196759259240935</v>
      </c>
      <c r="F859" s="3">
        <f t="shared" si="53"/>
        <v>44984</v>
      </c>
      <c r="G859" t="s">
        <v>17</v>
      </c>
      <c r="H859" t="s">
        <v>425</v>
      </c>
      <c r="I859" t="s">
        <v>393</v>
      </c>
      <c r="J859" t="s">
        <v>2383</v>
      </c>
      <c r="K859" t="s">
        <v>831</v>
      </c>
      <c r="L859" t="s">
        <v>22</v>
      </c>
      <c r="M859">
        <v>21</v>
      </c>
      <c r="N859" t="s">
        <v>37</v>
      </c>
      <c r="O859">
        <v>131</v>
      </c>
      <c r="P859">
        <v>1</v>
      </c>
      <c r="Q859">
        <v>320.25</v>
      </c>
      <c r="R859" s="4">
        <v>45600</v>
      </c>
      <c r="S859" s="6">
        <v>0.33880787037037036</v>
      </c>
      <c r="T859">
        <f t="shared" si="54"/>
        <v>16</v>
      </c>
      <c r="U859" t="str" cm="1">
        <f t="array" ref="U859">_xlfn.IFS(M859&lt;=34,"YOUNG",M859&lt;=54,"MIDDLE AGE",M859&gt;=55,"OLD")</f>
        <v>YOUNG</v>
      </c>
      <c r="V859" t="str">
        <f t="shared" si="55"/>
        <v>NORMAL</v>
      </c>
    </row>
    <row r="860" spans="1:22" x14ac:dyDescent="0.35">
      <c r="A860" t="s">
        <v>2384</v>
      </c>
      <c r="B860" t="s">
        <v>1631</v>
      </c>
      <c r="C860">
        <v>329.14</v>
      </c>
      <c r="D860" s="1">
        <v>45244.692847222221</v>
      </c>
      <c r="E860" s="2">
        <f t="shared" si="52"/>
        <v>0.69284722222073469</v>
      </c>
      <c r="F860" s="3">
        <f t="shared" si="53"/>
        <v>45244</v>
      </c>
      <c r="G860" t="s">
        <v>17</v>
      </c>
      <c r="H860" t="s">
        <v>285</v>
      </c>
      <c r="I860" t="s">
        <v>1392</v>
      </c>
      <c r="J860" t="s">
        <v>2193</v>
      </c>
      <c r="K860" t="s">
        <v>762</v>
      </c>
      <c r="L860" t="s">
        <v>69</v>
      </c>
      <c r="M860">
        <v>55</v>
      </c>
      <c r="N860" t="s">
        <v>23</v>
      </c>
      <c r="O860">
        <v>14</v>
      </c>
      <c r="P860">
        <v>1</v>
      </c>
      <c r="Q860">
        <v>12033.92</v>
      </c>
      <c r="R860" s="4">
        <v>45600</v>
      </c>
      <c r="S860" s="6">
        <v>0.33958333333333335</v>
      </c>
      <c r="T860">
        <f t="shared" si="54"/>
        <v>16</v>
      </c>
      <c r="U860" t="str" cm="1">
        <f t="array" ref="U860">_xlfn.IFS(M860&lt;=34,"YOUNG",M860&lt;=54,"MIDDLE AGE",M860&gt;=55,"OLD")</f>
        <v>OLD</v>
      </c>
      <c r="V860" t="str">
        <f t="shared" si="55"/>
        <v>NORMAL</v>
      </c>
    </row>
    <row r="861" spans="1:22" x14ac:dyDescent="0.35">
      <c r="A861" t="s">
        <v>2385</v>
      </c>
      <c r="B861" t="s">
        <v>657</v>
      </c>
      <c r="C861">
        <v>154.24</v>
      </c>
      <c r="D861" s="1">
        <v>45236.680219907408</v>
      </c>
      <c r="E861" s="2">
        <f t="shared" si="52"/>
        <v>0.68021990740817273</v>
      </c>
      <c r="F861" s="3">
        <f t="shared" si="53"/>
        <v>45236</v>
      </c>
      <c r="G861" t="s">
        <v>17</v>
      </c>
      <c r="H861" t="s">
        <v>32</v>
      </c>
      <c r="I861" t="s">
        <v>865</v>
      </c>
      <c r="J861" t="s">
        <v>1477</v>
      </c>
      <c r="K861" t="s">
        <v>474</v>
      </c>
      <c r="L861" t="s">
        <v>22</v>
      </c>
      <c r="M861">
        <v>61</v>
      </c>
      <c r="N861" t="s">
        <v>70</v>
      </c>
      <c r="O861">
        <v>82</v>
      </c>
      <c r="P861">
        <v>1</v>
      </c>
      <c r="Q861">
        <v>6109.55</v>
      </c>
      <c r="R861" s="4">
        <v>45600</v>
      </c>
      <c r="S861" s="6">
        <v>0.33927083333333335</v>
      </c>
      <c r="T861">
        <f t="shared" si="54"/>
        <v>16</v>
      </c>
      <c r="U861" t="str" cm="1">
        <f t="array" ref="U861">_xlfn.IFS(M861&lt;=34,"YOUNG",M861&lt;=54,"MIDDLE AGE",M861&gt;=55,"OLD")</f>
        <v>OLD</v>
      </c>
      <c r="V861" t="str">
        <f t="shared" si="55"/>
        <v>NORMAL</v>
      </c>
    </row>
    <row r="862" spans="1:22" x14ac:dyDescent="0.35">
      <c r="A862" t="s">
        <v>2386</v>
      </c>
      <c r="B862" t="s">
        <v>529</v>
      </c>
      <c r="C862">
        <v>233.44</v>
      </c>
      <c r="D862" s="1">
        <v>44946.683194444442</v>
      </c>
      <c r="E862" s="2">
        <f t="shared" si="52"/>
        <v>0.68319444444205146</v>
      </c>
      <c r="F862" s="3">
        <f t="shared" si="53"/>
        <v>44946</v>
      </c>
      <c r="G862" t="s">
        <v>17</v>
      </c>
      <c r="H862" t="s">
        <v>265</v>
      </c>
      <c r="I862" t="s">
        <v>2387</v>
      </c>
      <c r="J862" t="s">
        <v>1450</v>
      </c>
      <c r="K862" t="s">
        <v>980</v>
      </c>
      <c r="L862" t="s">
        <v>36</v>
      </c>
      <c r="M862">
        <v>20</v>
      </c>
      <c r="N862" t="s">
        <v>37</v>
      </c>
      <c r="O862">
        <v>297</v>
      </c>
      <c r="P862">
        <v>1</v>
      </c>
      <c r="Q862">
        <v>1691.88</v>
      </c>
      <c r="R862" s="4">
        <v>45600</v>
      </c>
      <c r="S862" s="6">
        <v>0.33881944444444445</v>
      </c>
      <c r="T862">
        <f t="shared" si="54"/>
        <v>16</v>
      </c>
      <c r="U862" t="str" cm="1">
        <f t="array" ref="U862">_xlfn.IFS(M862&lt;=34,"YOUNG",M862&lt;=54,"MIDDLE AGE",M862&gt;=55,"OLD")</f>
        <v>YOUNG</v>
      </c>
      <c r="V862" t="str">
        <f t="shared" si="55"/>
        <v>NORMAL</v>
      </c>
    </row>
    <row r="863" spans="1:22" x14ac:dyDescent="0.35">
      <c r="A863" t="s">
        <v>2388</v>
      </c>
      <c r="B863" t="s">
        <v>737</v>
      </c>
      <c r="C863">
        <v>141.80000000000001</v>
      </c>
      <c r="D863" s="1">
        <v>45245.788912037038</v>
      </c>
      <c r="E863" s="2">
        <f t="shared" si="52"/>
        <v>0.78891203703824431</v>
      </c>
      <c r="F863" s="3">
        <f t="shared" si="53"/>
        <v>45245</v>
      </c>
      <c r="G863" t="s">
        <v>17</v>
      </c>
      <c r="H863" t="s">
        <v>265</v>
      </c>
      <c r="I863" t="s">
        <v>173</v>
      </c>
      <c r="J863" t="s">
        <v>2389</v>
      </c>
      <c r="K863" t="s">
        <v>769</v>
      </c>
      <c r="L863" t="s">
        <v>22</v>
      </c>
      <c r="M863">
        <v>18</v>
      </c>
      <c r="N863" t="s">
        <v>37</v>
      </c>
      <c r="O863">
        <v>116</v>
      </c>
      <c r="P863">
        <v>1</v>
      </c>
      <c r="Q863">
        <v>1697.67</v>
      </c>
      <c r="R863" s="4">
        <v>45600</v>
      </c>
      <c r="S863" s="6">
        <v>0.33928240740740739</v>
      </c>
      <c r="T863">
        <f t="shared" si="54"/>
        <v>18</v>
      </c>
      <c r="U863" t="str" cm="1">
        <f t="array" ref="U863">_xlfn.IFS(M863&lt;=34,"YOUNG",M863&lt;=54,"MIDDLE AGE",M863&gt;=55,"OLD")</f>
        <v>YOUNG</v>
      </c>
      <c r="V863" t="str">
        <f t="shared" si="55"/>
        <v>NORMAL</v>
      </c>
    </row>
    <row r="864" spans="1:22" x14ac:dyDescent="0.35">
      <c r="A864" t="s">
        <v>2390</v>
      </c>
      <c r="B864" t="s">
        <v>1673</v>
      </c>
      <c r="C864">
        <v>209.03</v>
      </c>
      <c r="D864" s="1">
        <v>45208.764340277776</v>
      </c>
      <c r="E864" s="2">
        <f t="shared" si="52"/>
        <v>0.76434027777577285</v>
      </c>
      <c r="F864" s="3">
        <f t="shared" si="53"/>
        <v>45208</v>
      </c>
      <c r="G864" t="s">
        <v>17</v>
      </c>
      <c r="H864" t="s">
        <v>73</v>
      </c>
      <c r="I864" t="s">
        <v>743</v>
      </c>
      <c r="J864" t="s">
        <v>2391</v>
      </c>
      <c r="K864" t="s">
        <v>445</v>
      </c>
      <c r="L864" t="s">
        <v>69</v>
      </c>
      <c r="M864">
        <v>55</v>
      </c>
      <c r="N864" t="s">
        <v>77</v>
      </c>
      <c r="O864">
        <v>126</v>
      </c>
      <c r="P864">
        <v>1</v>
      </c>
      <c r="Q864">
        <v>8359.5</v>
      </c>
      <c r="R864" s="4">
        <v>45600</v>
      </c>
      <c r="S864" s="6">
        <v>0.3409490740740741</v>
      </c>
      <c r="T864">
        <f t="shared" si="54"/>
        <v>18</v>
      </c>
      <c r="U864" t="str" cm="1">
        <f t="array" ref="U864">_xlfn.IFS(M864&lt;=34,"YOUNG",M864&lt;=54,"MIDDLE AGE",M864&gt;=55,"OLD")</f>
        <v>OLD</v>
      </c>
      <c r="V864" t="str">
        <f t="shared" si="55"/>
        <v>NORMAL</v>
      </c>
    </row>
    <row r="865" spans="1:22" x14ac:dyDescent="0.35">
      <c r="A865" t="s">
        <v>2392</v>
      </c>
      <c r="B865" t="s">
        <v>1802</v>
      </c>
      <c r="C865">
        <v>1137.6300000000001</v>
      </c>
      <c r="D865" s="1">
        <v>44971.70516203704</v>
      </c>
      <c r="E865" s="2">
        <f t="shared" si="52"/>
        <v>0.70516203704028158</v>
      </c>
      <c r="F865" s="3">
        <f t="shared" si="53"/>
        <v>44971</v>
      </c>
      <c r="G865" t="s">
        <v>17</v>
      </c>
      <c r="H865" t="s">
        <v>197</v>
      </c>
      <c r="I865" t="s">
        <v>439</v>
      </c>
      <c r="J865" t="s">
        <v>2245</v>
      </c>
      <c r="K865" t="s">
        <v>226</v>
      </c>
      <c r="L865" t="s">
        <v>22</v>
      </c>
      <c r="M865">
        <v>26</v>
      </c>
      <c r="N865" t="s">
        <v>37</v>
      </c>
      <c r="O865">
        <v>144</v>
      </c>
      <c r="P865">
        <v>1</v>
      </c>
      <c r="Q865">
        <v>1629.12</v>
      </c>
      <c r="R865" s="4">
        <v>45600</v>
      </c>
      <c r="S865" s="6">
        <v>0.33892361111111113</v>
      </c>
      <c r="T865">
        <f t="shared" si="54"/>
        <v>16</v>
      </c>
      <c r="U865" t="str" cm="1">
        <f t="array" ref="U865">_xlfn.IFS(M865&lt;=34,"YOUNG",M865&lt;=54,"MIDDLE AGE",M865&gt;=55,"OLD")</f>
        <v>YOUNG</v>
      </c>
      <c r="V865" t="str">
        <f t="shared" si="55"/>
        <v>NORMAL</v>
      </c>
    </row>
    <row r="866" spans="1:22" x14ac:dyDescent="0.35">
      <c r="A866" t="s">
        <v>2393</v>
      </c>
      <c r="B866" t="s">
        <v>789</v>
      </c>
      <c r="C866">
        <v>261.14</v>
      </c>
      <c r="D866" s="1">
        <v>45061.780601851853</v>
      </c>
      <c r="E866" s="2">
        <f t="shared" si="52"/>
        <v>0.78060185185313458</v>
      </c>
      <c r="F866" s="3">
        <f t="shared" si="53"/>
        <v>45061</v>
      </c>
      <c r="G866" t="s">
        <v>17</v>
      </c>
      <c r="H866" t="s">
        <v>237</v>
      </c>
      <c r="I866" t="s">
        <v>1731</v>
      </c>
      <c r="J866" t="s">
        <v>276</v>
      </c>
      <c r="K866" t="s">
        <v>143</v>
      </c>
      <c r="L866" t="s">
        <v>22</v>
      </c>
      <c r="M866">
        <v>42</v>
      </c>
      <c r="N866" t="s">
        <v>77</v>
      </c>
      <c r="O866">
        <v>162</v>
      </c>
      <c r="P866">
        <v>1</v>
      </c>
      <c r="Q866">
        <v>6100.08</v>
      </c>
      <c r="R866" s="4">
        <v>45600</v>
      </c>
      <c r="S866" s="6">
        <v>0.3395023148148148</v>
      </c>
      <c r="T866">
        <f t="shared" si="54"/>
        <v>18</v>
      </c>
      <c r="U866" t="str" cm="1">
        <f t="array" ref="U866">_xlfn.IFS(M866&lt;=34,"YOUNG",M866&lt;=54,"MIDDLE AGE",M866&gt;=55,"OLD")</f>
        <v>MIDDLE AGE</v>
      </c>
      <c r="V866" t="str">
        <f t="shared" si="55"/>
        <v>NORMAL</v>
      </c>
    </row>
    <row r="867" spans="1:22" x14ac:dyDescent="0.35">
      <c r="A867" t="s">
        <v>2394</v>
      </c>
      <c r="B867" t="s">
        <v>1264</v>
      </c>
      <c r="C867">
        <v>101.81</v>
      </c>
      <c r="D867" s="1">
        <v>45106.744270833333</v>
      </c>
      <c r="E867" s="2">
        <f t="shared" si="52"/>
        <v>0.74427083333284827</v>
      </c>
      <c r="F867" s="3">
        <f t="shared" si="53"/>
        <v>45106</v>
      </c>
      <c r="G867" t="s">
        <v>17</v>
      </c>
      <c r="H867" t="s">
        <v>157</v>
      </c>
      <c r="I867" t="s">
        <v>1021</v>
      </c>
      <c r="J867" t="s">
        <v>2094</v>
      </c>
      <c r="K867" t="s">
        <v>343</v>
      </c>
      <c r="L867" t="s">
        <v>22</v>
      </c>
      <c r="M867">
        <v>45</v>
      </c>
      <c r="N867" t="s">
        <v>23</v>
      </c>
      <c r="O867">
        <v>105</v>
      </c>
      <c r="P867">
        <v>1</v>
      </c>
      <c r="Q867">
        <v>13872.03</v>
      </c>
      <c r="R867" s="4">
        <v>45600</v>
      </c>
      <c r="S867" s="6">
        <v>0.3412384259259259</v>
      </c>
      <c r="T867">
        <f t="shared" si="54"/>
        <v>17</v>
      </c>
      <c r="U867" t="str" cm="1">
        <f t="array" ref="U867">_xlfn.IFS(M867&lt;=34,"YOUNG",M867&lt;=54,"MIDDLE AGE",M867&gt;=55,"OLD")</f>
        <v>MIDDLE AGE</v>
      </c>
      <c r="V867" t="str">
        <f t="shared" si="55"/>
        <v>NORMAL</v>
      </c>
    </row>
    <row r="868" spans="1:22" x14ac:dyDescent="0.35">
      <c r="A868" t="s">
        <v>2395</v>
      </c>
      <c r="B868" t="s">
        <v>1088</v>
      </c>
      <c r="C868">
        <v>98.71</v>
      </c>
      <c r="D868" s="1">
        <v>45187.737141203703</v>
      </c>
      <c r="E868" s="2">
        <f t="shared" si="52"/>
        <v>0.73714120370277669</v>
      </c>
      <c r="F868" s="3">
        <f t="shared" si="53"/>
        <v>45187</v>
      </c>
      <c r="G868" t="s">
        <v>17</v>
      </c>
      <c r="H868" t="s">
        <v>157</v>
      </c>
      <c r="I868" t="s">
        <v>612</v>
      </c>
      <c r="J868" t="s">
        <v>591</v>
      </c>
      <c r="K868" t="s">
        <v>272</v>
      </c>
      <c r="L868" t="s">
        <v>22</v>
      </c>
      <c r="M868">
        <v>32</v>
      </c>
      <c r="N868" t="s">
        <v>23</v>
      </c>
      <c r="O868">
        <v>117</v>
      </c>
      <c r="P868">
        <v>1</v>
      </c>
      <c r="Q868">
        <v>10095.23</v>
      </c>
      <c r="R868" s="4">
        <v>45600</v>
      </c>
      <c r="S868" s="6">
        <v>0.33868055555555554</v>
      </c>
      <c r="T868">
        <f t="shared" si="54"/>
        <v>17</v>
      </c>
      <c r="U868" t="str" cm="1">
        <f t="array" ref="U868">_xlfn.IFS(M868&lt;=34,"YOUNG",M868&lt;=54,"MIDDLE AGE",M868&gt;=55,"OLD")</f>
        <v>YOUNG</v>
      </c>
      <c r="V868" t="str">
        <f t="shared" si="55"/>
        <v>NORMAL</v>
      </c>
    </row>
    <row r="869" spans="1:22" x14ac:dyDescent="0.35">
      <c r="A869" t="s">
        <v>2396</v>
      </c>
      <c r="B869" t="s">
        <v>1106</v>
      </c>
      <c r="C869">
        <v>87.38</v>
      </c>
      <c r="D869" s="1">
        <v>44988.76630787037</v>
      </c>
      <c r="E869" s="2">
        <f t="shared" si="52"/>
        <v>0.76630787036992842</v>
      </c>
      <c r="F869" s="3">
        <f t="shared" si="53"/>
        <v>44988</v>
      </c>
      <c r="G869" t="s">
        <v>17</v>
      </c>
      <c r="H869" t="s">
        <v>47</v>
      </c>
      <c r="I869" t="s">
        <v>2397</v>
      </c>
      <c r="J869" t="s">
        <v>2157</v>
      </c>
      <c r="K869" t="s">
        <v>56</v>
      </c>
      <c r="L869" t="s">
        <v>69</v>
      </c>
      <c r="M869">
        <v>21</v>
      </c>
      <c r="N869" t="s">
        <v>37</v>
      </c>
      <c r="O869">
        <v>252</v>
      </c>
      <c r="P869">
        <v>1</v>
      </c>
      <c r="Q869">
        <v>1504.99</v>
      </c>
      <c r="R869" s="4">
        <v>45600</v>
      </c>
      <c r="S869" s="6">
        <v>0.34010416666666665</v>
      </c>
      <c r="T869">
        <f t="shared" si="54"/>
        <v>18</v>
      </c>
      <c r="U869" t="str" cm="1">
        <f t="array" ref="U869">_xlfn.IFS(M869&lt;=34,"YOUNG",M869&lt;=54,"MIDDLE AGE",M869&gt;=55,"OLD")</f>
        <v>YOUNG</v>
      </c>
      <c r="V869" t="str">
        <f t="shared" si="55"/>
        <v>NORMAL</v>
      </c>
    </row>
    <row r="870" spans="1:22" x14ac:dyDescent="0.35">
      <c r="A870" t="s">
        <v>2398</v>
      </c>
      <c r="B870" t="s">
        <v>1905</v>
      </c>
      <c r="C870">
        <v>83.39</v>
      </c>
      <c r="D870" s="1">
        <v>45187.667291666665</v>
      </c>
      <c r="E870" s="2">
        <f t="shared" si="52"/>
        <v>0.66729166666482342</v>
      </c>
      <c r="F870" s="3">
        <f t="shared" si="53"/>
        <v>45187</v>
      </c>
      <c r="G870" t="s">
        <v>17</v>
      </c>
      <c r="H870" t="s">
        <v>296</v>
      </c>
      <c r="I870" t="s">
        <v>2399</v>
      </c>
      <c r="J870" t="s">
        <v>2150</v>
      </c>
      <c r="K870" t="s">
        <v>564</v>
      </c>
      <c r="L870" t="s">
        <v>69</v>
      </c>
      <c r="M870">
        <v>32</v>
      </c>
      <c r="N870" t="s">
        <v>23</v>
      </c>
      <c r="O870">
        <v>158</v>
      </c>
      <c r="P870">
        <v>1</v>
      </c>
      <c r="Q870">
        <v>13182.11</v>
      </c>
      <c r="R870" s="4">
        <v>45600</v>
      </c>
      <c r="S870" s="6">
        <v>0.34189814814814817</v>
      </c>
      <c r="T870">
        <f t="shared" si="54"/>
        <v>16</v>
      </c>
      <c r="U870" t="str" cm="1">
        <f t="array" ref="U870">_xlfn.IFS(M870&lt;=34,"YOUNG",M870&lt;=54,"MIDDLE AGE",M870&gt;=55,"OLD")</f>
        <v>YOUNG</v>
      </c>
      <c r="V870" t="str">
        <f t="shared" si="55"/>
        <v>NORMAL</v>
      </c>
    </row>
    <row r="871" spans="1:22" x14ac:dyDescent="0.35">
      <c r="A871" t="s">
        <v>2400</v>
      </c>
      <c r="B871" t="s">
        <v>2251</v>
      </c>
      <c r="C871">
        <v>267.55</v>
      </c>
      <c r="D871" s="1">
        <v>45090.670891203707</v>
      </c>
      <c r="E871" s="2">
        <f t="shared" si="52"/>
        <v>0.67089120370656019</v>
      </c>
      <c r="F871" s="3">
        <f t="shared" si="53"/>
        <v>45090</v>
      </c>
      <c r="G871" t="s">
        <v>17</v>
      </c>
      <c r="H871" t="s">
        <v>249</v>
      </c>
      <c r="I871" t="s">
        <v>2401</v>
      </c>
      <c r="J871" t="s">
        <v>2402</v>
      </c>
      <c r="K871" t="s">
        <v>820</v>
      </c>
      <c r="L871" t="s">
        <v>36</v>
      </c>
      <c r="M871">
        <v>46</v>
      </c>
      <c r="N871" t="s">
        <v>77</v>
      </c>
      <c r="O871">
        <v>40</v>
      </c>
      <c r="P871">
        <v>1</v>
      </c>
      <c r="Q871">
        <v>4330.04</v>
      </c>
      <c r="R871" s="4">
        <v>45600</v>
      </c>
      <c r="S871" s="6">
        <v>0.3417013888888889</v>
      </c>
      <c r="T871">
        <f t="shared" si="54"/>
        <v>16</v>
      </c>
      <c r="U871" t="str" cm="1">
        <f t="array" ref="U871">_xlfn.IFS(M871&lt;=34,"YOUNG",M871&lt;=54,"MIDDLE AGE",M871&gt;=55,"OLD")</f>
        <v>MIDDLE AGE</v>
      </c>
      <c r="V871" t="str">
        <f t="shared" si="55"/>
        <v>NORMAL</v>
      </c>
    </row>
    <row r="872" spans="1:22" x14ac:dyDescent="0.35">
      <c r="A872" t="s">
        <v>2403</v>
      </c>
      <c r="B872" t="s">
        <v>742</v>
      </c>
      <c r="C872">
        <v>870.05</v>
      </c>
      <c r="D872" s="1">
        <v>45169.69604166667</v>
      </c>
      <c r="E872" s="2">
        <f t="shared" si="52"/>
        <v>0.69604166666977108</v>
      </c>
      <c r="F872" s="3">
        <f t="shared" si="53"/>
        <v>45169</v>
      </c>
      <c r="G872" t="s">
        <v>17</v>
      </c>
      <c r="H872" t="s">
        <v>506</v>
      </c>
      <c r="I872" t="s">
        <v>360</v>
      </c>
      <c r="J872" t="s">
        <v>2404</v>
      </c>
      <c r="K872" t="s">
        <v>543</v>
      </c>
      <c r="L872" t="s">
        <v>22</v>
      </c>
      <c r="M872">
        <v>29</v>
      </c>
      <c r="N872" t="s">
        <v>23</v>
      </c>
      <c r="O872">
        <v>39</v>
      </c>
      <c r="P872">
        <v>1</v>
      </c>
      <c r="Q872">
        <v>905.25</v>
      </c>
      <c r="R872" s="4">
        <v>45600</v>
      </c>
      <c r="S872" s="6">
        <v>0.34099537037037037</v>
      </c>
      <c r="T872">
        <f t="shared" si="54"/>
        <v>16</v>
      </c>
      <c r="U872" t="str" cm="1">
        <f t="array" ref="U872">_xlfn.IFS(M872&lt;=34,"YOUNG",M872&lt;=54,"MIDDLE AGE",M872&gt;=55,"OLD")</f>
        <v>YOUNG</v>
      </c>
      <c r="V872" t="str">
        <f t="shared" si="55"/>
        <v>NORMAL</v>
      </c>
    </row>
    <row r="873" spans="1:22" x14ac:dyDescent="0.35">
      <c r="A873" t="s">
        <v>2405</v>
      </c>
      <c r="B873" t="s">
        <v>295</v>
      </c>
      <c r="C873">
        <v>154.32</v>
      </c>
      <c r="D873" s="1">
        <v>45292.703842592593</v>
      </c>
      <c r="E873" s="2">
        <f t="shared" si="52"/>
        <v>0.70384259259299142</v>
      </c>
      <c r="F873" s="3">
        <f t="shared" si="53"/>
        <v>45292</v>
      </c>
      <c r="G873" t="s">
        <v>46</v>
      </c>
      <c r="H873" t="s">
        <v>255</v>
      </c>
      <c r="I873" t="s">
        <v>2406</v>
      </c>
      <c r="J873" t="s">
        <v>882</v>
      </c>
      <c r="K873" t="s">
        <v>21</v>
      </c>
      <c r="L873" t="s">
        <v>22</v>
      </c>
      <c r="M873">
        <v>38</v>
      </c>
      <c r="N873" t="s">
        <v>77</v>
      </c>
      <c r="O873">
        <v>269</v>
      </c>
      <c r="P873">
        <v>1</v>
      </c>
      <c r="Q873">
        <v>6972.5</v>
      </c>
      <c r="R873" s="4">
        <v>45600</v>
      </c>
      <c r="S873" s="6">
        <v>0.3414699074074074</v>
      </c>
      <c r="T873">
        <f t="shared" si="54"/>
        <v>16</v>
      </c>
      <c r="U873" t="str" cm="1">
        <f t="array" ref="U873">_xlfn.IFS(M873&lt;=34,"YOUNG",M873&lt;=54,"MIDDLE AGE",M873&gt;=55,"OLD")</f>
        <v>MIDDLE AGE</v>
      </c>
      <c r="V873" t="str">
        <f t="shared" si="55"/>
        <v>NORMAL</v>
      </c>
    </row>
    <row r="874" spans="1:22" x14ac:dyDescent="0.35">
      <c r="A874" t="s">
        <v>2407</v>
      </c>
      <c r="B874" t="s">
        <v>1528</v>
      </c>
      <c r="C874">
        <v>164.51</v>
      </c>
      <c r="D874" s="1">
        <v>45082.75675925926</v>
      </c>
      <c r="E874" s="2">
        <f t="shared" si="52"/>
        <v>0.75675925926043419</v>
      </c>
      <c r="F874" s="3">
        <f t="shared" si="53"/>
        <v>45082</v>
      </c>
      <c r="G874" t="s">
        <v>17</v>
      </c>
      <c r="H874" t="s">
        <v>108</v>
      </c>
      <c r="I874" t="s">
        <v>2012</v>
      </c>
      <c r="J874" t="s">
        <v>1845</v>
      </c>
      <c r="K874" t="s">
        <v>682</v>
      </c>
      <c r="L874" t="s">
        <v>69</v>
      </c>
      <c r="M874">
        <v>78</v>
      </c>
      <c r="N874" t="s">
        <v>70</v>
      </c>
      <c r="O874">
        <v>110</v>
      </c>
      <c r="P874">
        <v>1</v>
      </c>
      <c r="Q874">
        <v>3553.69</v>
      </c>
      <c r="R874" s="4">
        <v>45600</v>
      </c>
      <c r="S874" s="6">
        <v>0.33831018518518519</v>
      </c>
      <c r="T874">
        <f t="shared" si="54"/>
        <v>18</v>
      </c>
      <c r="U874" t="str" cm="1">
        <f t="array" ref="U874">_xlfn.IFS(M874&lt;=34,"YOUNG",M874&lt;=54,"MIDDLE AGE",M874&gt;=55,"OLD")</f>
        <v>OLD</v>
      </c>
      <c r="V874" t="str">
        <f t="shared" si="55"/>
        <v>NORMAL</v>
      </c>
    </row>
    <row r="875" spans="1:22" x14ac:dyDescent="0.35">
      <c r="A875" t="s">
        <v>2408</v>
      </c>
      <c r="B875" t="s">
        <v>1020</v>
      </c>
      <c r="C875">
        <v>758.12</v>
      </c>
      <c r="D875" s="1">
        <v>45110.782280092593</v>
      </c>
      <c r="E875" s="2">
        <f t="shared" si="52"/>
        <v>0.78228009259328246</v>
      </c>
      <c r="F875" s="3">
        <f t="shared" si="53"/>
        <v>45110</v>
      </c>
      <c r="G875" t="s">
        <v>17</v>
      </c>
      <c r="H875" t="s">
        <v>212</v>
      </c>
      <c r="I875" t="s">
        <v>692</v>
      </c>
      <c r="J875" t="s">
        <v>2409</v>
      </c>
      <c r="K875" t="s">
        <v>165</v>
      </c>
      <c r="L875" t="s">
        <v>22</v>
      </c>
      <c r="M875">
        <v>69</v>
      </c>
      <c r="N875" t="s">
        <v>70</v>
      </c>
      <c r="O875">
        <v>90</v>
      </c>
      <c r="P875">
        <v>1</v>
      </c>
      <c r="Q875">
        <v>6164.65</v>
      </c>
      <c r="R875" s="4">
        <v>45600</v>
      </c>
      <c r="S875" s="6">
        <v>0.34113425925925928</v>
      </c>
      <c r="T875">
        <f t="shared" si="54"/>
        <v>18</v>
      </c>
      <c r="U875" t="str" cm="1">
        <f t="array" ref="U875">_xlfn.IFS(M875&lt;=34,"YOUNG",M875&lt;=54,"MIDDLE AGE",M875&gt;=55,"OLD")</f>
        <v>OLD</v>
      </c>
      <c r="V875" t="str">
        <f t="shared" si="55"/>
        <v>NORMAL</v>
      </c>
    </row>
    <row r="876" spans="1:22" x14ac:dyDescent="0.35">
      <c r="A876" t="s">
        <v>2410</v>
      </c>
      <c r="B876" t="s">
        <v>1308</v>
      </c>
      <c r="C876">
        <v>103.76</v>
      </c>
      <c r="D876" s="1">
        <v>45014.680937500001</v>
      </c>
      <c r="E876" s="2">
        <f t="shared" si="52"/>
        <v>0.68093750000116415</v>
      </c>
      <c r="F876" s="3">
        <f t="shared" si="53"/>
        <v>45014</v>
      </c>
      <c r="G876" t="s">
        <v>17</v>
      </c>
      <c r="H876" t="s">
        <v>291</v>
      </c>
      <c r="I876" t="s">
        <v>1651</v>
      </c>
      <c r="J876" t="s">
        <v>2411</v>
      </c>
      <c r="K876" t="s">
        <v>674</v>
      </c>
      <c r="L876" t="s">
        <v>36</v>
      </c>
      <c r="M876">
        <v>28</v>
      </c>
      <c r="N876" t="s">
        <v>77</v>
      </c>
      <c r="O876">
        <v>188</v>
      </c>
      <c r="P876">
        <v>1</v>
      </c>
      <c r="Q876">
        <v>9626.14</v>
      </c>
      <c r="R876" s="4">
        <v>45600</v>
      </c>
      <c r="S876" s="6">
        <v>0.34133101851851849</v>
      </c>
      <c r="T876">
        <f t="shared" si="54"/>
        <v>16</v>
      </c>
      <c r="U876" t="str" cm="1">
        <f t="array" ref="U876">_xlfn.IFS(M876&lt;=34,"YOUNG",M876&lt;=54,"MIDDLE AGE",M876&gt;=55,"OLD")</f>
        <v>YOUNG</v>
      </c>
      <c r="V876" t="str">
        <f t="shared" si="55"/>
        <v>NORMAL</v>
      </c>
    </row>
    <row r="877" spans="1:22" x14ac:dyDescent="0.35">
      <c r="A877" t="s">
        <v>2412</v>
      </c>
      <c r="B877" t="s">
        <v>1984</v>
      </c>
      <c r="C877">
        <v>583.91999999999996</v>
      </c>
      <c r="D877" s="1">
        <v>45139.674907407411</v>
      </c>
      <c r="E877" s="2">
        <f t="shared" si="52"/>
        <v>0.67490740741050104</v>
      </c>
      <c r="F877" s="3">
        <f t="shared" si="53"/>
        <v>45139</v>
      </c>
      <c r="G877" t="s">
        <v>17</v>
      </c>
      <c r="H877" t="s">
        <v>291</v>
      </c>
      <c r="I877" t="s">
        <v>2413</v>
      </c>
      <c r="J877" t="s">
        <v>82</v>
      </c>
      <c r="K877" t="s">
        <v>1209</v>
      </c>
      <c r="L877" t="s">
        <v>36</v>
      </c>
      <c r="M877">
        <v>55</v>
      </c>
      <c r="N877" t="s">
        <v>77</v>
      </c>
      <c r="O877">
        <v>139</v>
      </c>
      <c r="P877">
        <v>1</v>
      </c>
      <c r="Q877">
        <v>6364.14</v>
      </c>
      <c r="R877" s="4">
        <v>45600</v>
      </c>
      <c r="S877" s="6">
        <v>0.33787037037037038</v>
      </c>
      <c r="T877">
        <f t="shared" si="54"/>
        <v>16</v>
      </c>
      <c r="U877" t="str" cm="1">
        <f t="array" ref="U877">_xlfn.IFS(M877&lt;=34,"YOUNG",M877&lt;=54,"MIDDLE AGE",M877&gt;=55,"OLD")</f>
        <v>OLD</v>
      </c>
      <c r="V877" t="str">
        <f t="shared" si="55"/>
        <v>NORMAL</v>
      </c>
    </row>
    <row r="878" spans="1:22" x14ac:dyDescent="0.35">
      <c r="A878" t="s">
        <v>2414</v>
      </c>
      <c r="B878" t="s">
        <v>1027</v>
      </c>
      <c r="C878">
        <v>204.06</v>
      </c>
      <c r="D878" s="1">
        <v>44928.671724537038</v>
      </c>
      <c r="E878" s="2">
        <f t="shared" si="52"/>
        <v>0.67172453703824431</v>
      </c>
      <c r="F878" s="3">
        <f t="shared" si="53"/>
        <v>44928</v>
      </c>
      <c r="G878" t="s">
        <v>17</v>
      </c>
      <c r="H878" t="s">
        <v>453</v>
      </c>
      <c r="I878" t="s">
        <v>260</v>
      </c>
      <c r="J878" t="s">
        <v>1032</v>
      </c>
      <c r="K878" t="s">
        <v>853</v>
      </c>
      <c r="L878" t="s">
        <v>36</v>
      </c>
      <c r="M878">
        <v>77</v>
      </c>
      <c r="N878" t="s">
        <v>70</v>
      </c>
      <c r="O878">
        <v>159</v>
      </c>
      <c r="P878">
        <v>1</v>
      </c>
      <c r="Q878">
        <v>4351.83</v>
      </c>
      <c r="R878" s="4">
        <v>45600</v>
      </c>
      <c r="S878" s="6">
        <v>0.3384490740740741</v>
      </c>
      <c r="T878">
        <f t="shared" si="54"/>
        <v>16</v>
      </c>
      <c r="U878" t="str" cm="1">
        <f t="array" ref="U878">_xlfn.IFS(M878&lt;=34,"YOUNG",M878&lt;=54,"MIDDLE AGE",M878&gt;=55,"OLD")</f>
        <v>OLD</v>
      </c>
      <c r="V878" t="str">
        <f t="shared" si="55"/>
        <v>NORMAL</v>
      </c>
    </row>
    <row r="879" spans="1:22" x14ac:dyDescent="0.35">
      <c r="A879" t="s">
        <v>2415</v>
      </c>
      <c r="B879" t="s">
        <v>777</v>
      </c>
      <c r="C879">
        <v>53.51</v>
      </c>
      <c r="D879" s="1">
        <v>45225.70453703704</v>
      </c>
      <c r="E879" s="2">
        <f t="shared" si="52"/>
        <v>0.7045370370396995</v>
      </c>
      <c r="F879" s="3">
        <f t="shared" si="53"/>
        <v>45225</v>
      </c>
      <c r="G879" t="s">
        <v>17</v>
      </c>
      <c r="H879" t="s">
        <v>203</v>
      </c>
      <c r="I879" t="s">
        <v>120</v>
      </c>
      <c r="J879" t="s">
        <v>2416</v>
      </c>
      <c r="K879" t="s">
        <v>95</v>
      </c>
      <c r="L879" t="s">
        <v>36</v>
      </c>
      <c r="M879">
        <v>56</v>
      </c>
      <c r="N879" t="s">
        <v>70</v>
      </c>
      <c r="O879">
        <v>165</v>
      </c>
      <c r="P879">
        <v>1</v>
      </c>
      <c r="Q879">
        <v>5773.5</v>
      </c>
      <c r="R879" s="4">
        <v>45600</v>
      </c>
      <c r="S879" s="6">
        <v>0.34118055555555554</v>
      </c>
      <c r="T879">
        <f t="shared" si="54"/>
        <v>16</v>
      </c>
      <c r="U879" t="str" cm="1">
        <f t="array" ref="U879">_xlfn.IFS(M879&lt;=34,"YOUNG",M879&lt;=54,"MIDDLE AGE",M879&gt;=55,"OLD")</f>
        <v>OLD</v>
      </c>
      <c r="V879" t="str">
        <f t="shared" si="55"/>
        <v>NORMAL</v>
      </c>
    </row>
    <row r="880" spans="1:22" x14ac:dyDescent="0.35">
      <c r="A880" t="s">
        <v>2417</v>
      </c>
      <c r="B880" t="s">
        <v>1066</v>
      </c>
      <c r="C880">
        <v>1108.46</v>
      </c>
      <c r="D880" s="1">
        <v>45169.677951388891</v>
      </c>
      <c r="E880" s="2">
        <f t="shared" si="52"/>
        <v>0.67795138889050577</v>
      </c>
      <c r="F880" s="3">
        <f t="shared" si="53"/>
        <v>45169</v>
      </c>
      <c r="G880" t="s">
        <v>17</v>
      </c>
      <c r="H880" t="s">
        <v>140</v>
      </c>
      <c r="I880" t="s">
        <v>1871</v>
      </c>
      <c r="J880" t="s">
        <v>1797</v>
      </c>
      <c r="K880" t="s">
        <v>246</v>
      </c>
      <c r="L880" t="s">
        <v>69</v>
      </c>
      <c r="M880">
        <v>30</v>
      </c>
      <c r="N880" t="s">
        <v>77</v>
      </c>
      <c r="O880">
        <v>262</v>
      </c>
      <c r="P880">
        <v>1</v>
      </c>
      <c r="Q880">
        <v>9257.0400000000009</v>
      </c>
      <c r="R880" s="4">
        <v>45600</v>
      </c>
      <c r="S880" s="6">
        <v>0.33791666666666664</v>
      </c>
      <c r="T880">
        <f t="shared" si="54"/>
        <v>16</v>
      </c>
      <c r="U880" t="str" cm="1">
        <f t="array" ref="U880">_xlfn.IFS(M880&lt;=34,"YOUNG",M880&lt;=54,"MIDDLE AGE",M880&gt;=55,"OLD")</f>
        <v>YOUNG</v>
      </c>
      <c r="V880" t="str">
        <f t="shared" si="55"/>
        <v>NORMAL</v>
      </c>
    </row>
    <row r="881" spans="1:22" x14ac:dyDescent="0.35">
      <c r="A881" t="s">
        <v>2418</v>
      </c>
      <c r="B881" t="s">
        <v>1114</v>
      </c>
      <c r="C881">
        <v>52.95</v>
      </c>
      <c r="D881" s="1">
        <v>45145.752071759256</v>
      </c>
      <c r="E881" s="2">
        <f t="shared" si="52"/>
        <v>0.75207175925606862</v>
      </c>
      <c r="F881" s="3">
        <f t="shared" si="53"/>
        <v>45145</v>
      </c>
      <c r="G881" t="s">
        <v>46</v>
      </c>
      <c r="H881" t="s">
        <v>249</v>
      </c>
      <c r="I881" t="s">
        <v>955</v>
      </c>
      <c r="J881" t="s">
        <v>1448</v>
      </c>
      <c r="K881" t="s">
        <v>885</v>
      </c>
      <c r="L881" t="s">
        <v>36</v>
      </c>
      <c r="M881">
        <v>68</v>
      </c>
      <c r="N881" t="s">
        <v>70</v>
      </c>
      <c r="O881">
        <v>14</v>
      </c>
      <c r="P881">
        <v>1</v>
      </c>
      <c r="Q881">
        <v>6335.58</v>
      </c>
      <c r="R881" s="4">
        <v>45600</v>
      </c>
      <c r="S881" s="6">
        <v>0.33879629629629632</v>
      </c>
      <c r="T881">
        <f t="shared" si="54"/>
        <v>18</v>
      </c>
      <c r="U881" t="str" cm="1">
        <f t="array" ref="U881">_xlfn.IFS(M881&lt;=34,"YOUNG",M881&lt;=54,"MIDDLE AGE",M881&gt;=55,"OLD")</f>
        <v>OLD</v>
      </c>
      <c r="V881" t="str">
        <f t="shared" si="55"/>
        <v>NORMAL</v>
      </c>
    </row>
    <row r="882" spans="1:22" x14ac:dyDescent="0.35">
      <c r="A882" t="s">
        <v>2419</v>
      </c>
      <c r="B882" t="s">
        <v>2420</v>
      </c>
      <c r="C882">
        <v>120.17</v>
      </c>
      <c r="D882" s="1">
        <v>45146.713680555556</v>
      </c>
      <c r="E882" s="2">
        <f t="shared" si="52"/>
        <v>0.71368055555649335</v>
      </c>
      <c r="F882" s="3">
        <f t="shared" si="53"/>
        <v>45146</v>
      </c>
      <c r="G882" t="s">
        <v>17</v>
      </c>
      <c r="H882" t="s">
        <v>595</v>
      </c>
      <c r="I882" t="s">
        <v>626</v>
      </c>
      <c r="J882" t="s">
        <v>2273</v>
      </c>
      <c r="K882" t="s">
        <v>282</v>
      </c>
      <c r="L882" t="s">
        <v>22</v>
      </c>
      <c r="M882">
        <v>49</v>
      </c>
      <c r="N882" t="s">
        <v>23</v>
      </c>
      <c r="O882">
        <v>105</v>
      </c>
      <c r="P882">
        <v>1</v>
      </c>
      <c r="Q882">
        <v>5403.79</v>
      </c>
      <c r="R882" s="4">
        <v>45600</v>
      </c>
      <c r="S882" s="6">
        <v>0.34155092592592595</v>
      </c>
      <c r="T882">
        <f t="shared" si="54"/>
        <v>17</v>
      </c>
      <c r="U882" t="str" cm="1">
        <f t="array" ref="U882">_xlfn.IFS(M882&lt;=34,"YOUNG",M882&lt;=54,"MIDDLE AGE",M882&gt;=55,"OLD")</f>
        <v>MIDDLE AGE</v>
      </c>
      <c r="V882" t="str">
        <f t="shared" si="55"/>
        <v>NORMAL</v>
      </c>
    </row>
    <row r="883" spans="1:22" x14ac:dyDescent="0.35">
      <c r="A883" t="s">
        <v>2421</v>
      </c>
      <c r="B883" t="s">
        <v>801</v>
      </c>
      <c r="C883">
        <v>220.8</v>
      </c>
      <c r="D883" s="1">
        <v>45175.780462962961</v>
      </c>
      <c r="E883" s="2">
        <f t="shared" si="52"/>
        <v>0.78046296296088258</v>
      </c>
      <c r="F883" s="3">
        <f t="shared" si="53"/>
        <v>45175</v>
      </c>
      <c r="G883" t="s">
        <v>17</v>
      </c>
      <c r="H883" t="s">
        <v>65</v>
      </c>
      <c r="I883" t="s">
        <v>1958</v>
      </c>
      <c r="J883" t="s">
        <v>2236</v>
      </c>
      <c r="K883" t="s">
        <v>1037</v>
      </c>
      <c r="L883" t="s">
        <v>36</v>
      </c>
      <c r="M883">
        <v>31</v>
      </c>
      <c r="N883" t="s">
        <v>77</v>
      </c>
      <c r="O883">
        <v>28</v>
      </c>
      <c r="P883">
        <v>1</v>
      </c>
      <c r="Q883">
        <v>8135.31</v>
      </c>
      <c r="R883" s="4">
        <v>45600</v>
      </c>
      <c r="S883" s="6">
        <v>0.34027777777777779</v>
      </c>
      <c r="T883">
        <f t="shared" si="54"/>
        <v>18</v>
      </c>
      <c r="U883" t="str" cm="1">
        <f t="array" ref="U883">_xlfn.IFS(M883&lt;=34,"YOUNG",M883&lt;=54,"MIDDLE AGE",M883&gt;=55,"OLD")</f>
        <v>YOUNG</v>
      </c>
      <c r="V883" t="str">
        <f t="shared" si="55"/>
        <v>NORMAL</v>
      </c>
    </row>
    <row r="884" spans="1:22" x14ac:dyDescent="0.35">
      <c r="A884" t="s">
        <v>2422</v>
      </c>
      <c r="B884" t="s">
        <v>761</v>
      </c>
      <c r="C884">
        <v>119.01</v>
      </c>
      <c r="D884" s="1">
        <v>44998.726863425924</v>
      </c>
      <c r="E884" s="2">
        <f t="shared" si="52"/>
        <v>0.72686342592351139</v>
      </c>
      <c r="F884" s="3">
        <f t="shared" si="53"/>
        <v>44998</v>
      </c>
      <c r="G884" t="s">
        <v>17</v>
      </c>
      <c r="H884" t="s">
        <v>243</v>
      </c>
      <c r="I884" t="s">
        <v>1649</v>
      </c>
      <c r="J884" t="s">
        <v>1174</v>
      </c>
      <c r="K884" t="s">
        <v>853</v>
      </c>
      <c r="L884" t="s">
        <v>22</v>
      </c>
      <c r="M884">
        <v>45</v>
      </c>
      <c r="N884" t="s">
        <v>23</v>
      </c>
      <c r="O884">
        <v>87</v>
      </c>
      <c r="P884">
        <v>1</v>
      </c>
      <c r="Q884">
        <v>9798.26</v>
      </c>
      <c r="R884" s="4">
        <v>45600</v>
      </c>
      <c r="S884" s="6">
        <v>0.33978009259259262</v>
      </c>
      <c r="T884">
        <f t="shared" si="54"/>
        <v>17</v>
      </c>
      <c r="U884" t="str" cm="1">
        <f t="array" ref="U884">_xlfn.IFS(M884&lt;=34,"YOUNG",M884&lt;=54,"MIDDLE AGE",M884&gt;=55,"OLD")</f>
        <v>MIDDLE AGE</v>
      </c>
      <c r="V884" t="str">
        <f t="shared" si="55"/>
        <v>NORMAL</v>
      </c>
    </row>
    <row r="885" spans="1:22" x14ac:dyDescent="0.35">
      <c r="A885" t="s">
        <v>2423</v>
      </c>
      <c r="B885" t="s">
        <v>1057</v>
      </c>
      <c r="C885">
        <v>183.32</v>
      </c>
      <c r="D885" s="1">
        <v>45056.686006944445</v>
      </c>
      <c r="E885" s="2">
        <f t="shared" si="52"/>
        <v>0.68600694444467081</v>
      </c>
      <c r="F885" s="3">
        <f t="shared" si="53"/>
        <v>45056</v>
      </c>
      <c r="G885" t="s">
        <v>17</v>
      </c>
      <c r="H885" t="s">
        <v>40</v>
      </c>
      <c r="I885" t="s">
        <v>994</v>
      </c>
      <c r="J885" t="s">
        <v>1130</v>
      </c>
      <c r="K885" t="s">
        <v>576</v>
      </c>
      <c r="L885" t="s">
        <v>22</v>
      </c>
      <c r="M885">
        <v>21</v>
      </c>
      <c r="N885" t="s">
        <v>37</v>
      </c>
      <c r="O885">
        <v>74</v>
      </c>
      <c r="P885">
        <v>1</v>
      </c>
      <c r="Q885">
        <v>137.41999999999999</v>
      </c>
      <c r="R885" s="4">
        <v>45600</v>
      </c>
      <c r="S885" s="6">
        <v>0.33994212962962961</v>
      </c>
      <c r="T885">
        <f t="shared" si="54"/>
        <v>16</v>
      </c>
      <c r="U885" t="str" cm="1">
        <f t="array" ref="U885">_xlfn.IFS(M885&lt;=34,"YOUNG",M885&lt;=54,"MIDDLE AGE",M885&gt;=55,"OLD")</f>
        <v>YOUNG</v>
      </c>
      <c r="V885" t="str">
        <f t="shared" si="55"/>
        <v>NORMAL</v>
      </c>
    </row>
    <row r="886" spans="1:22" x14ac:dyDescent="0.35">
      <c r="A886" t="s">
        <v>2424</v>
      </c>
      <c r="B886" t="s">
        <v>274</v>
      </c>
      <c r="C886">
        <v>858.88</v>
      </c>
      <c r="D886" s="1">
        <v>45160.688587962963</v>
      </c>
      <c r="E886" s="2">
        <f t="shared" si="52"/>
        <v>0.68858796296262881</v>
      </c>
      <c r="F886" s="3">
        <f t="shared" si="53"/>
        <v>45160</v>
      </c>
      <c r="G886" t="s">
        <v>17</v>
      </c>
      <c r="H886" t="s">
        <v>392</v>
      </c>
      <c r="I886" t="s">
        <v>1935</v>
      </c>
      <c r="J886" t="s">
        <v>2425</v>
      </c>
      <c r="K886" t="s">
        <v>674</v>
      </c>
      <c r="L886" t="s">
        <v>36</v>
      </c>
      <c r="M886">
        <v>60</v>
      </c>
      <c r="N886" t="s">
        <v>77</v>
      </c>
      <c r="O886">
        <v>227</v>
      </c>
      <c r="P886">
        <v>1</v>
      </c>
      <c r="Q886">
        <v>7015.46</v>
      </c>
      <c r="R886" s="4">
        <v>45600</v>
      </c>
      <c r="S886" s="6">
        <v>0.34179398148148149</v>
      </c>
      <c r="T886">
        <f t="shared" si="54"/>
        <v>16</v>
      </c>
      <c r="U886" t="str" cm="1">
        <f t="array" ref="U886">_xlfn.IFS(M886&lt;=34,"YOUNG",M886&lt;=54,"MIDDLE AGE",M886&gt;=55,"OLD")</f>
        <v>OLD</v>
      </c>
      <c r="V886" t="str">
        <f t="shared" si="55"/>
        <v>NORMAL</v>
      </c>
    </row>
    <row r="887" spans="1:22" x14ac:dyDescent="0.35">
      <c r="A887" t="s">
        <v>2426</v>
      </c>
      <c r="B887" t="s">
        <v>1111</v>
      </c>
      <c r="C887">
        <v>11.46</v>
      </c>
      <c r="D887" s="1">
        <v>44970.703668981485</v>
      </c>
      <c r="E887" s="2">
        <f t="shared" si="52"/>
        <v>0.70366898148495238</v>
      </c>
      <c r="F887" s="3">
        <f t="shared" si="53"/>
        <v>44970</v>
      </c>
      <c r="G887" t="s">
        <v>46</v>
      </c>
      <c r="H887" t="s">
        <v>212</v>
      </c>
      <c r="I887" t="s">
        <v>943</v>
      </c>
      <c r="J887" t="s">
        <v>2051</v>
      </c>
      <c r="K887" t="s">
        <v>186</v>
      </c>
      <c r="L887" t="s">
        <v>36</v>
      </c>
      <c r="M887">
        <v>41</v>
      </c>
      <c r="N887" t="s">
        <v>77</v>
      </c>
      <c r="O887">
        <v>128</v>
      </c>
      <c r="P887">
        <v>1</v>
      </c>
      <c r="Q887">
        <v>2356.71</v>
      </c>
      <c r="R887" s="4">
        <v>45600</v>
      </c>
      <c r="S887" s="6">
        <v>0.33976851851851853</v>
      </c>
      <c r="T887">
        <f t="shared" si="54"/>
        <v>16</v>
      </c>
      <c r="U887" t="str" cm="1">
        <f t="array" ref="U887">_xlfn.IFS(M887&lt;=34,"YOUNG",M887&lt;=54,"MIDDLE AGE",M887&gt;=55,"OLD")</f>
        <v>MIDDLE AGE</v>
      </c>
      <c r="V887" t="str">
        <f t="shared" si="55"/>
        <v>NORMAL</v>
      </c>
    </row>
    <row r="888" spans="1:22" x14ac:dyDescent="0.35">
      <c r="A888" t="s">
        <v>2427</v>
      </c>
      <c r="B888" t="s">
        <v>242</v>
      </c>
      <c r="C888">
        <v>61.37</v>
      </c>
      <c r="D888" s="1">
        <v>44963.704386574071</v>
      </c>
      <c r="E888" s="2">
        <f t="shared" si="52"/>
        <v>0.70438657407066785</v>
      </c>
      <c r="F888" s="3">
        <f t="shared" si="53"/>
        <v>44963</v>
      </c>
      <c r="G888" t="s">
        <v>17</v>
      </c>
      <c r="H888" t="s">
        <v>125</v>
      </c>
      <c r="I888" t="s">
        <v>2428</v>
      </c>
      <c r="J888" t="s">
        <v>2120</v>
      </c>
      <c r="K888" t="s">
        <v>353</v>
      </c>
      <c r="L888" t="s">
        <v>69</v>
      </c>
      <c r="M888">
        <v>75</v>
      </c>
      <c r="N888" t="s">
        <v>70</v>
      </c>
      <c r="O888">
        <v>164</v>
      </c>
      <c r="P888">
        <v>1</v>
      </c>
      <c r="Q888">
        <v>4294.4399999999996</v>
      </c>
      <c r="R888" s="4">
        <v>45600</v>
      </c>
      <c r="S888" s="6">
        <v>0.34091435185185187</v>
      </c>
      <c r="T888">
        <f t="shared" si="54"/>
        <v>16</v>
      </c>
      <c r="U888" t="str" cm="1">
        <f t="array" ref="U888">_xlfn.IFS(M888&lt;=34,"YOUNG",M888&lt;=54,"MIDDLE AGE",M888&gt;=55,"OLD")</f>
        <v>OLD</v>
      </c>
      <c r="V888" t="str">
        <f t="shared" si="55"/>
        <v>NORMAL</v>
      </c>
    </row>
    <row r="889" spans="1:22" x14ac:dyDescent="0.35">
      <c r="A889" t="s">
        <v>2429</v>
      </c>
      <c r="B889" t="s">
        <v>396</v>
      </c>
      <c r="C889">
        <v>103.08</v>
      </c>
      <c r="D889" s="1">
        <v>44984.700023148151</v>
      </c>
      <c r="E889" s="2">
        <f t="shared" si="52"/>
        <v>0.70002314815064892</v>
      </c>
      <c r="F889" s="3">
        <f t="shared" si="53"/>
        <v>44984</v>
      </c>
      <c r="G889" t="s">
        <v>46</v>
      </c>
      <c r="H889" t="s">
        <v>178</v>
      </c>
      <c r="I889" t="s">
        <v>286</v>
      </c>
      <c r="J889" t="s">
        <v>2175</v>
      </c>
      <c r="K889" t="s">
        <v>1287</v>
      </c>
      <c r="L889" t="s">
        <v>69</v>
      </c>
      <c r="M889">
        <v>49</v>
      </c>
      <c r="N889" t="s">
        <v>77</v>
      </c>
      <c r="O889">
        <v>150</v>
      </c>
      <c r="P889">
        <v>1</v>
      </c>
      <c r="Q889">
        <v>9251.3799999999992</v>
      </c>
      <c r="R889" s="4">
        <v>45600</v>
      </c>
      <c r="S889" s="6">
        <v>0.3379861111111111</v>
      </c>
      <c r="T889">
        <f t="shared" si="54"/>
        <v>16</v>
      </c>
      <c r="U889" t="str" cm="1">
        <f t="array" ref="U889">_xlfn.IFS(M889&lt;=34,"YOUNG",M889&lt;=54,"MIDDLE AGE",M889&gt;=55,"OLD")</f>
        <v>MIDDLE AGE</v>
      </c>
      <c r="V889" t="str">
        <f t="shared" si="55"/>
        <v>NORMAL</v>
      </c>
    </row>
    <row r="890" spans="1:22" x14ac:dyDescent="0.35">
      <c r="A890" t="s">
        <v>2430</v>
      </c>
      <c r="B890" t="s">
        <v>611</v>
      </c>
      <c r="C890">
        <v>1.21</v>
      </c>
      <c r="D890" s="1">
        <v>45159.721597222226</v>
      </c>
      <c r="E890" s="2">
        <f t="shared" si="52"/>
        <v>0.72159722222568234</v>
      </c>
      <c r="F890" s="3">
        <f t="shared" si="53"/>
        <v>45159</v>
      </c>
      <c r="G890" t="s">
        <v>17</v>
      </c>
      <c r="H890" t="s">
        <v>47</v>
      </c>
      <c r="I890" t="s">
        <v>670</v>
      </c>
      <c r="J890" t="s">
        <v>523</v>
      </c>
      <c r="K890" t="s">
        <v>137</v>
      </c>
      <c r="L890" t="s">
        <v>69</v>
      </c>
      <c r="M890">
        <v>55</v>
      </c>
      <c r="N890" t="s">
        <v>70</v>
      </c>
      <c r="O890">
        <v>196</v>
      </c>
      <c r="P890">
        <v>1</v>
      </c>
      <c r="Q890">
        <v>7542.74</v>
      </c>
      <c r="R890" s="4">
        <v>45600</v>
      </c>
      <c r="S890" s="6">
        <v>0.34136574074074072</v>
      </c>
      <c r="T890">
        <f t="shared" si="54"/>
        <v>17</v>
      </c>
      <c r="U890" t="str" cm="1">
        <f t="array" ref="U890">_xlfn.IFS(M890&lt;=34,"YOUNG",M890&lt;=54,"MIDDLE AGE",M890&gt;=55,"OLD")</f>
        <v>OLD</v>
      </c>
      <c r="V890" t="str">
        <f t="shared" si="55"/>
        <v>NORMAL</v>
      </c>
    </row>
    <row r="891" spans="1:22" x14ac:dyDescent="0.35">
      <c r="A891" t="s">
        <v>2431</v>
      </c>
      <c r="B891" t="s">
        <v>2432</v>
      </c>
      <c r="C891">
        <v>425.18</v>
      </c>
      <c r="D891" s="1">
        <v>45203.667291666665</v>
      </c>
      <c r="E891" s="2">
        <f t="shared" si="52"/>
        <v>0.66729166666482342</v>
      </c>
      <c r="F891" s="3">
        <f t="shared" si="53"/>
        <v>45203</v>
      </c>
      <c r="G891" t="s">
        <v>46</v>
      </c>
      <c r="H891" t="s">
        <v>521</v>
      </c>
      <c r="I891" t="s">
        <v>2433</v>
      </c>
      <c r="J891" t="s">
        <v>2434</v>
      </c>
      <c r="K891" t="s">
        <v>267</v>
      </c>
      <c r="L891" t="s">
        <v>36</v>
      </c>
      <c r="M891">
        <v>26</v>
      </c>
      <c r="N891" t="s">
        <v>77</v>
      </c>
      <c r="O891">
        <v>172</v>
      </c>
      <c r="P891">
        <v>1</v>
      </c>
      <c r="Q891">
        <v>9880.7099999999991</v>
      </c>
      <c r="R891" s="4">
        <v>45600</v>
      </c>
      <c r="S891" s="6">
        <v>0.33934027777777775</v>
      </c>
      <c r="T891">
        <f t="shared" si="54"/>
        <v>16</v>
      </c>
      <c r="U891" t="str" cm="1">
        <f t="array" ref="U891">_xlfn.IFS(M891&lt;=34,"YOUNG",M891&lt;=54,"MIDDLE AGE",M891&gt;=55,"OLD")</f>
        <v>YOUNG</v>
      </c>
      <c r="V891" t="str">
        <f t="shared" si="55"/>
        <v>NORMAL</v>
      </c>
    </row>
    <row r="892" spans="1:22" x14ac:dyDescent="0.35">
      <c r="A892" t="s">
        <v>2435</v>
      </c>
      <c r="B892" t="s">
        <v>1821</v>
      </c>
      <c r="C892">
        <v>60.96</v>
      </c>
      <c r="D892" s="1">
        <v>45222.691527777781</v>
      </c>
      <c r="E892" s="2">
        <f t="shared" si="52"/>
        <v>0.6915277777807205</v>
      </c>
      <c r="F892" s="3">
        <f t="shared" si="53"/>
        <v>45222</v>
      </c>
      <c r="G892" t="s">
        <v>17</v>
      </c>
      <c r="H892" t="s">
        <v>521</v>
      </c>
      <c r="I892" t="s">
        <v>2046</v>
      </c>
      <c r="J892" t="s">
        <v>2353</v>
      </c>
      <c r="K892" t="s">
        <v>149</v>
      </c>
      <c r="L892" t="s">
        <v>22</v>
      </c>
      <c r="M892">
        <v>52</v>
      </c>
      <c r="N892" t="s">
        <v>70</v>
      </c>
      <c r="O892">
        <v>238</v>
      </c>
      <c r="P892">
        <v>1</v>
      </c>
      <c r="Q892">
        <v>6189.24</v>
      </c>
      <c r="R892" s="4">
        <v>45600</v>
      </c>
      <c r="S892" s="6">
        <v>0.34025462962962966</v>
      </c>
      <c r="T892">
        <f t="shared" si="54"/>
        <v>16</v>
      </c>
      <c r="U892" t="str" cm="1">
        <f t="array" ref="U892">_xlfn.IFS(M892&lt;=34,"YOUNG",M892&lt;=54,"MIDDLE AGE",M892&gt;=55,"OLD")</f>
        <v>MIDDLE AGE</v>
      </c>
      <c r="V892" t="str">
        <f t="shared" si="55"/>
        <v>NORMAL</v>
      </c>
    </row>
    <row r="893" spans="1:22" x14ac:dyDescent="0.35">
      <c r="A893" t="s">
        <v>2436</v>
      </c>
      <c r="B893" t="s">
        <v>1183</v>
      </c>
      <c r="C893">
        <v>64.209999999999994</v>
      </c>
      <c r="D893" s="1">
        <v>44935.691851851851</v>
      </c>
      <c r="E893" s="2">
        <f t="shared" si="52"/>
        <v>0.69185185185051523</v>
      </c>
      <c r="F893" s="3">
        <f t="shared" si="53"/>
        <v>44935</v>
      </c>
      <c r="G893" t="s">
        <v>17</v>
      </c>
      <c r="H893" t="s">
        <v>296</v>
      </c>
      <c r="I893" t="s">
        <v>2437</v>
      </c>
      <c r="J893" t="s">
        <v>500</v>
      </c>
      <c r="K893" t="s">
        <v>165</v>
      </c>
      <c r="L893" t="s">
        <v>22</v>
      </c>
      <c r="M893">
        <v>51</v>
      </c>
      <c r="N893" t="s">
        <v>23</v>
      </c>
      <c r="O893">
        <v>37</v>
      </c>
      <c r="P893">
        <v>1</v>
      </c>
      <c r="Q893">
        <v>12540.18</v>
      </c>
      <c r="R893" s="4">
        <v>45600</v>
      </c>
      <c r="S893" s="6">
        <v>0.33986111111111111</v>
      </c>
      <c r="T893">
        <f t="shared" si="54"/>
        <v>16</v>
      </c>
      <c r="U893" t="str" cm="1">
        <f t="array" ref="U893">_xlfn.IFS(M893&lt;=34,"YOUNG",M893&lt;=54,"MIDDLE AGE",M893&gt;=55,"OLD")</f>
        <v>MIDDLE AGE</v>
      </c>
      <c r="V893" t="str">
        <f t="shared" si="55"/>
        <v>NORMAL</v>
      </c>
    </row>
    <row r="894" spans="1:22" x14ac:dyDescent="0.35">
      <c r="A894" t="s">
        <v>2438</v>
      </c>
      <c r="B894" t="s">
        <v>1343</v>
      </c>
      <c r="C894">
        <v>523.02</v>
      </c>
      <c r="D894" s="1">
        <v>45065.772743055553</v>
      </c>
      <c r="E894" s="2">
        <f t="shared" si="52"/>
        <v>0.77274305555329192</v>
      </c>
      <c r="F894" s="3">
        <f t="shared" si="53"/>
        <v>45065</v>
      </c>
      <c r="G894" t="s">
        <v>17</v>
      </c>
      <c r="H894" t="s">
        <v>392</v>
      </c>
      <c r="I894" t="s">
        <v>1286</v>
      </c>
      <c r="J894" t="s">
        <v>1034</v>
      </c>
      <c r="K894" t="s">
        <v>752</v>
      </c>
      <c r="L894" t="s">
        <v>36</v>
      </c>
      <c r="M894">
        <v>53</v>
      </c>
      <c r="N894" t="s">
        <v>70</v>
      </c>
      <c r="O894">
        <v>83</v>
      </c>
      <c r="P894">
        <v>1</v>
      </c>
      <c r="Q894">
        <v>4586.1099999999997</v>
      </c>
      <c r="R894" s="4">
        <v>45600</v>
      </c>
      <c r="S894" s="6">
        <v>0.33793981481481483</v>
      </c>
      <c r="T894">
        <f t="shared" si="54"/>
        <v>18</v>
      </c>
      <c r="U894" t="str" cm="1">
        <f t="array" ref="U894">_xlfn.IFS(M894&lt;=34,"YOUNG",M894&lt;=54,"MIDDLE AGE",M894&gt;=55,"OLD")</f>
        <v>MIDDLE AGE</v>
      </c>
      <c r="V894" t="str">
        <f t="shared" si="55"/>
        <v>NORMAL</v>
      </c>
    </row>
    <row r="895" spans="1:22" x14ac:dyDescent="0.35">
      <c r="A895" t="s">
        <v>2439</v>
      </c>
      <c r="B895" t="s">
        <v>1405</v>
      </c>
      <c r="C895">
        <v>50.26</v>
      </c>
      <c r="D895" s="1">
        <v>45239.744155092594</v>
      </c>
      <c r="E895" s="2">
        <f t="shared" si="52"/>
        <v>0.74415509259415558</v>
      </c>
      <c r="F895" s="3">
        <f t="shared" si="53"/>
        <v>45239</v>
      </c>
      <c r="G895" t="s">
        <v>17</v>
      </c>
      <c r="H895" t="s">
        <v>146</v>
      </c>
      <c r="I895" t="s">
        <v>147</v>
      </c>
      <c r="J895" t="s">
        <v>1046</v>
      </c>
      <c r="K895" t="s">
        <v>288</v>
      </c>
      <c r="L895" t="s">
        <v>69</v>
      </c>
      <c r="M895">
        <v>65</v>
      </c>
      <c r="N895" t="s">
        <v>70</v>
      </c>
      <c r="O895">
        <v>164</v>
      </c>
      <c r="P895">
        <v>1</v>
      </c>
      <c r="Q895">
        <v>1519.38</v>
      </c>
      <c r="R895" s="4">
        <v>45600</v>
      </c>
      <c r="S895" s="6">
        <v>0.34082175925925928</v>
      </c>
      <c r="T895">
        <f t="shared" si="54"/>
        <v>17</v>
      </c>
      <c r="U895" t="str" cm="1">
        <f t="array" ref="U895">_xlfn.IFS(M895&lt;=34,"YOUNG",M895&lt;=54,"MIDDLE AGE",M895&gt;=55,"OLD")</f>
        <v>OLD</v>
      </c>
      <c r="V895" t="str">
        <f t="shared" si="55"/>
        <v>NORMAL</v>
      </c>
    </row>
    <row r="896" spans="1:22" x14ac:dyDescent="0.35">
      <c r="A896" t="s">
        <v>2440</v>
      </c>
      <c r="B896" t="s">
        <v>1111</v>
      </c>
      <c r="C896">
        <v>110.08</v>
      </c>
      <c r="D896" s="1">
        <v>45250.718900462962</v>
      </c>
      <c r="E896" s="2">
        <f t="shared" si="52"/>
        <v>0.71890046296175569</v>
      </c>
      <c r="F896" s="3">
        <f t="shared" si="53"/>
        <v>45250</v>
      </c>
      <c r="G896" t="s">
        <v>17</v>
      </c>
      <c r="H896" t="s">
        <v>73</v>
      </c>
      <c r="I896" t="s">
        <v>1859</v>
      </c>
      <c r="J896" t="s">
        <v>1100</v>
      </c>
      <c r="K896" t="s">
        <v>128</v>
      </c>
      <c r="L896" t="s">
        <v>69</v>
      </c>
      <c r="M896">
        <v>19</v>
      </c>
      <c r="N896" t="s">
        <v>37</v>
      </c>
      <c r="O896">
        <v>95</v>
      </c>
      <c r="P896">
        <v>1</v>
      </c>
      <c r="Q896">
        <v>1447.26</v>
      </c>
      <c r="R896" s="4">
        <v>45600</v>
      </c>
      <c r="S896" s="6">
        <v>0.33910879629629631</v>
      </c>
      <c r="T896">
        <f t="shared" si="54"/>
        <v>17</v>
      </c>
      <c r="U896" t="str" cm="1">
        <f t="array" ref="U896">_xlfn.IFS(M896&lt;=34,"YOUNG",M896&lt;=54,"MIDDLE AGE",M896&gt;=55,"OLD")</f>
        <v>YOUNG</v>
      </c>
      <c r="V896" t="str">
        <f t="shared" si="55"/>
        <v>NORMAL</v>
      </c>
    </row>
    <row r="897" spans="1:22" x14ac:dyDescent="0.35">
      <c r="A897" t="s">
        <v>2441</v>
      </c>
      <c r="B897" t="s">
        <v>1517</v>
      </c>
      <c r="C897">
        <v>54.47</v>
      </c>
      <c r="D897" s="1">
        <v>45243.741053240738</v>
      </c>
      <c r="E897" s="2">
        <f t="shared" si="52"/>
        <v>0.74105324073752854</v>
      </c>
      <c r="F897" s="3">
        <f t="shared" si="53"/>
        <v>45243</v>
      </c>
      <c r="G897" t="s">
        <v>46</v>
      </c>
      <c r="H897" t="s">
        <v>243</v>
      </c>
      <c r="I897" t="s">
        <v>586</v>
      </c>
      <c r="J897" t="s">
        <v>2298</v>
      </c>
      <c r="K897" t="s">
        <v>740</v>
      </c>
      <c r="L897" t="s">
        <v>69</v>
      </c>
      <c r="M897">
        <v>23</v>
      </c>
      <c r="N897" t="s">
        <v>37</v>
      </c>
      <c r="O897">
        <v>34</v>
      </c>
      <c r="P897">
        <v>1</v>
      </c>
      <c r="Q897">
        <v>1131.42</v>
      </c>
      <c r="R897" s="4">
        <v>45600</v>
      </c>
      <c r="S897" s="6">
        <v>0.34114583333333331</v>
      </c>
      <c r="T897">
        <f t="shared" si="54"/>
        <v>17</v>
      </c>
      <c r="U897" t="str" cm="1">
        <f t="array" ref="U897">_xlfn.IFS(M897&lt;=34,"YOUNG",M897&lt;=54,"MIDDLE AGE",M897&gt;=55,"OLD")</f>
        <v>YOUNG</v>
      </c>
      <c r="V897" t="str">
        <f t="shared" si="55"/>
        <v>NORMAL</v>
      </c>
    </row>
    <row r="898" spans="1:22" x14ac:dyDescent="0.35">
      <c r="A898" t="s">
        <v>2442</v>
      </c>
      <c r="B898" t="s">
        <v>219</v>
      </c>
      <c r="C898">
        <v>79.760000000000005</v>
      </c>
      <c r="D898" s="1">
        <v>45019.684432870374</v>
      </c>
      <c r="E898" s="2">
        <f t="shared" ref="E898:E961" si="56">D898-INT(D898)</f>
        <v>0.68443287037371192</v>
      </c>
      <c r="F898" s="3">
        <f t="shared" ref="F898:F961" si="57">INT(D898)</f>
        <v>45019</v>
      </c>
      <c r="G898" t="s">
        <v>17</v>
      </c>
      <c r="H898" t="s">
        <v>291</v>
      </c>
      <c r="I898" t="s">
        <v>1461</v>
      </c>
      <c r="J898" t="s">
        <v>116</v>
      </c>
      <c r="K898" t="s">
        <v>169</v>
      </c>
      <c r="L898" t="s">
        <v>36</v>
      </c>
      <c r="M898">
        <v>68</v>
      </c>
      <c r="N898" t="s">
        <v>23</v>
      </c>
      <c r="O898">
        <v>115</v>
      </c>
      <c r="P898">
        <v>1</v>
      </c>
      <c r="Q898">
        <v>10278.75</v>
      </c>
      <c r="R898" s="4">
        <v>45600</v>
      </c>
      <c r="S898" s="6">
        <v>0.33905092592592595</v>
      </c>
      <c r="T898">
        <f t="shared" si="54"/>
        <v>16</v>
      </c>
      <c r="U898" t="str" cm="1">
        <f t="array" ref="U898">_xlfn.IFS(M898&lt;=34,"YOUNG",M898&lt;=54,"MIDDLE AGE",M898&gt;=55,"OLD")</f>
        <v>OLD</v>
      </c>
      <c r="V898" t="str">
        <f t="shared" si="55"/>
        <v>NORMAL</v>
      </c>
    </row>
    <row r="899" spans="1:22" x14ac:dyDescent="0.35">
      <c r="A899" t="s">
        <v>2443</v>
      </c>
      <c r="B899" t="s">
        <v>183</v>
      </c>
      <c r="C899">
        <v>16.79</v>
      </c>
      <c r="D899" s="1">
        <v>45236.696226851855</v>
      </c>
      <c r="E899" s="2">
        <f t="shared" si="56"/>
        <v>0.69622685185458977</v>
      </c>
      <c r="F899" s="3">
        <f t="shared" si="57"/>
        <v>45236</v>
      </c>
      <c r="G899" t="s">
        <v>46</v>
      </c>
      <c r="H899" t="s">
        <v>73</v>
      </c>
      <c r="I899" t="s">
        <v>1539</v>
      </c>
      <c r="J899" t="s">
        <v>2350</v>
      </c>
      <c r="K899" t="s">
        <v>282</v>
      </c>
      <c r="L899" t="s">
        <v>36</v>
      </c>
      <c r="M899">
        <v>30</v>
      </c>
      <c r="N899" t="s">
        <v>23</v>
      </c>
      <c r="O899">
        <v>146</v>
      </c>
      <c r="P899">
        <v>1</v>
      </c>
      <c r="Q899">
        <v>535.15</v>
      </c>
      <c r="R899" s="4">
        <v>45600</v>
      </c>
      <c r="S899" s="6">
        <v>0.34098379629629627</v>
      </c>
      <c r="T899">
        <f t="shared" ref="T899:T962" si="58">HOUR(E899)</f>
        <v>16</v>
      </c>
      <c r="U899" t="str" cm="1">
        <f t="array" ref="U899">_xlfn.IFS(M899&lt;=34,"YOUNG",M899&lt;=54,"MIDDLE AGE",M899&gt;=55,"OLD")</f>
        <v>YOUNG</v>
      </c>
      <c r="V899" t="str">
        <f t="shared" ref="V899:V962" si="59">IF(P899&gt;1,"HIGH","NORMAL")</f>
        <v>NORMAL</v>
      </c>
    </row>
    <row r="900" spans="1:22" x14ac:dyDescent="0.35">
      <c r="A900" t="s">
        <v>2444</v>
      </c>
      <c r="B900" t="s">
        <v>1806</v>
      </c>
      <c r="C900">
        <v>1531.31</v>
      </c>
      <c r="D900" s="1">
        <v>45222.750335648147</v>
      </c>
      <c r="E900" s="2">
        <f t="shared" si="56"/>
        <v>0.75033564814657439</v>
      </c>
      <c r="F900" s="3">
        <f t="shared" si="57"/>
        <v>45222</v>
      </c>
      <c r="G900" t="s">
        <v>17</v>
      </c>
      <c r="H900" t="s">
        <v>18</v>
      </c>
      <c r="I900" t="s">
        <v>2445</v>
      </c>
      <c r="J900" t="s">
        <v>933</v>
      </c>
      <c r="K900" t="s">
        <v>303</v>
      </c>
      <c r="L900" t="s">
        <v>36</v>
      </c>
      <c r="M900">
        <v>18</v>
      </c>
      <c r="N900" t="s">
        <v>37</v>
      </c>
      <c r="O900">
        <v>62</v>
      </c>
      <c r="P900">
        <v>4</v>
      </c>
      <c r="Q900">
        <v>859.86</v>
      </c>
      <c r="R900" s="4">
        <v>45600</v>
      </c>
      <c r="S900" s="6">
        <v>0.33796296296296297</v>
      </c>
      <c r="T900">
        <f t="shared" si="58"/>
        <v>18</v>
      </c>
      <c r="U900" t="str" cm="1">
        <f t="array" ref="U900">_xlfn.IFS(M900&lt;=34,"YOUNG",M900&lt;=54,"MIDDLE AGE",M900&gt;=55,"OLD")</f>
        <v>YOUNG</v>
      </c>
      <c r="V900" t="str">
        <f t="shared" si="59"/>
        <v>HIGH</v>
      </c>
    </row>
    <row r="901" spans="1:22" x14ac:dyDescent="0.35">
      <c r="A901" t="s">
        <v>2446</v>
      </c>
      <c r="B901" t="s">
        <v>679</v>
      </c>
      <c r="C901">
        <v>68.62</v>
      </c>
      <c r="D901" s="1">
        <v>45106.70685185185</v>
      </c>
      <c r="E901" s="2">
        <f t="shared" si="56"/>
        <v>0.70685185184993315</v>
      </c>
      <c r="F901" s="3">
        <f t="shared" si="57"/>
        <v>45106</v>
      </c>
      <c r="G901" t="s">
        <v>17</v>
      </c>
      <c r="H901" t="s">
        <v>296</v>
      </c>
      <c r="I901" t="s">
        <v>2447</v>
      </c>
      <c r="J901" t="s">
        <v>2059</v>
      </c>
      <c r="K901" t="s">
        <v>50</v>
      </c>
      <c r="L901" t="s">
        <v>69</v>
      </c>
      <c r="M901">
        <v>29</v>
      </c>
      <c r="N901" t="s">
        <v>23</v>
      </c>
      <c r="O901">
        <v>157</v>
      </c>
      <c r="P901">
        <v>1</v>
      </c>
      <c r="Q901">
        <v>13891.47</v>
      </c>
      <c r="R901" s="4">
        <v>45600</v>
      </c>
      <c r="S901" s="6">
        <v>0.34096064814814814</v>
      </c>
      <c r="T901">
        <f t="shared" si="58"/>
        <v>16</v>
      </c>
      <c r="U901" t="str" cm="1">
        <f t="array" ref="U901">_xlfn.IFS(M901&lt;=34,"YOUNG",M901&lt;=54,"MIDDLE AGE",M901&gt;=55,"OLD")</f>
        <v>YOUNG</v>
      </c>
      <c r="V901" t="str">
        <f t="shared" si="59"/>
        <v>NORMAL</v>
      </c>
    </row>
    <row r="902" spans="1:22" x14ac:dyDescent="0.35">
      <c r="A902" t="s">
        <v>2448</v>
      </c>
      <c r="B902" t="s">
        <v>345</v>
      </c>
      <c r="C902">
        <v>157.16</v>
      </c>
      <c r="D902" s="1">
        <v>44998.732291666667</v>
      </c>
      <c r="E902" s="2">
        <f t="shared" si="56"/>
        <v>0.73229166666715173</v>
      </c>
      <c r="F902" s="3">
        <f t="shared" si="57"/>
        <v>44998</v>
      </c>
      <c r="G902" t="s">
        <v>17</v>
      </c>
      <c r="H902" t="s">
        <v>203</v>
      </c>
      <c r="I902" t="s">
        <v>2295</v>
      </c>
      <c r="J902" t="s">
        <v>469</v>
      </c>
      <c r="K902" t="s">
        <v>1524</v>
      </c>
      <c r="L902" t="s">
        <v>69</v>
      </c>
      <c r="M902">
        <v>20</v>
      </c>
      <c r="N902" t="s">
        <v>37</v>
      </c>
      <c r="O902">
        <v>280</v>
      </c>
      <c r="P902">
        <v>1</v>
      </c>
      <c r="Q902">
        <v>1545.77</v>
      </c>
      <c r="R902" s="4">
        <v>45600</v>
      </c>
      <c r="S902" s="6">
        <v>0.33850694444444446</v>
      </c>
      <c r="T902">
        <f t="shared" si="58"/>
        <v>17</v>
      </c>
      <c r="U902" t="str" cm="1">
        <f t="array" ref="U902">_xlfn.IFS(M902&lt;=34,"YOUNG",M902&lt;=54,"MIDDLE AGE",M902&gt;=55,"OLD")</f>
        <v>YOUNG</v>
      </c>
      <c r="V902" t="str">
        <f t="shared" si="59"/>
        <v>NORMAL</v>
      </c>
    </row>
    <row r="903" spans="1:22" x14ac:dyDescent="0.35">
      <c r="A903" t="s">
        <v>2449</v>
      </c>
      <c r="B903" t="s">
        <v>781</v>
      </c>
      <c r="C903">
        <v>643.38</v>
      </c>
      <c r="D903" s="1">
        <v>45236.721770833334</v>
      </c>
      <c r="E903" s="2">
        <f t="shared" si="56"/>
        <v>0.72177083333372138</v>
      </c>
      <c r="F903" s="3">
        <f t="shared" si="57"/>
        <v>45236</v>
      </c>
      <c r="G903" t="s">
        <v>46</v>
      </c>
      <c r="H903" t="s">
        <v>73</v>
      </c>
      <c r="I903" t="s">
        <v>2156</v>
      </c>
      <c r="J903" t="s">
        <v>979</v>
      </c>
      <c r="K903" t="s">
        <v>252</v>
      </c>
      <c r="L903" t="s">
        <v>36</v>
      </c>
      <c r="M903">
        <v>18</v>
      </c>
      <c r="N903" t="s">
        <v>37</v>
      </c>
      <c r="O903">
        <v>105</v>
      </c>
      <c r="P903">
        <v>1</v>
      </c>
      <c r="Q903">
        <v>1046.74</v>
      </c>
      <c r="R903" s="4">
        <v>45600</v>
      </c>
      <c r="S903" s="6">
        <v>0.34167824074074077</v>
      </c>
      <c r="T903">
        <f t="shared" si="58"/>
        <v>17</v>
      </c>
      <c r="U903" t="str" cm="1">
        <f t="array" ref="U903">_xlfn.IFS(M903&lt;=34,"YOUNG",M903&lt;=54,"MIDDLE AGE",M903&gt;=55,"OLD")</f>
        <v>YOUNG</v>
      </c>
      <c r="V903" t="str">
        <f t="shared" si="59"/>
        <v>NORMAL</v>
      </c>
    </row>
    <row r="904" spans="1:22" x14ac:dyDescent="0.35">
      <c r="A904" t="s">
        <v>2450</v>
      </c>
      <c r="B904" t="s">
        <v>79</v>
      </c>
      <c r="C904">
        <v>328.34</v>
      </c>
      <c r="D904" s="1">
        <v>45211.679016203707</v>
      </c>
      <c r="E904" s="2">
        <f t="shared" si="56"/>
        <v>0.67901620370685123</v>
      </c>
      <c r="F904" s="3">
        <f t="shared" si="57"/>
        <v>45211</v>
      </c>
      <c r="G904" t="s">
        <v>46</v>
      </c>
      <c r="H904" t="s">
        <v>18</v>
      </c>
      <c r="I904" t="s">
        <v>1191</v>
      </c>
      <c r="J904" t="s">
        <v>2254</v>
      </c>
      <c r="K904" t="s">
        <v>240</v>
      </c>
      <c r="L904" t="s">
        <v>36</v>
      </c>
      <c r="M904">
        <v>42</v>
      </c>
      <c r="N904" t="s">
        <v>77</v>
      </c>
      <c r="O904">
        <v>31</v>
      </c>
      <c r="P904">
        <v>1</v>
      </c>
      <c r="Q904">
        <v>2840.45</v>
      </c>
      <c r="R904" s="4">
        <v>45600</v>
      </c>
      <c r="S904" s="6">
        <v>0.33958333333333335</v>
      </c>
      <c r="T904">
        <f t="shared" si="58"/>
        <v>16</v>
      </c>
      <c r="U904" t="str" cm="1">
        <f t="array" ref="U904">_xlfn.IFS(M904&lt;=34,"YOUNG",M904&lt;=54,"MIDDLE AGE",M904&gt;=55,"OLD")</f>
        <v>MIDDLE AGE</v>
      </c>
      <c r="V904" t="str">
        <f t="shared" si="59"/>
        <v>NORMAL</v>
      </c>
    </row>
    <row r="905" spans="1:22" x14ac:dyDescent="0.35">
      <c r="A905" t="s">
        <v>2451</v>
      </c>
      <c r="B905" t="s">
        <v>1785</v>
      </c>
      <c r="C905">
        <v>72.680000000000007</v>
      </c>
      <c r="D905" s="1">
        <v>45128.747789351852</v>
      </c>
      <c r="E905" s="2">
        <f t="shared" si="56"/>
        <v>0.74778935185167938</v>
      </c>
      <c r="F905" s="3">
        <f t="shared" si="57"/>
        <v>45128</v>
      </c>
      <c r="G905" t="s">
        <v>17</v>
      </c>
      <c r="H905" t="s">
        <v>59</v>
      </c>
      <c r="I905" t="s">
        <v>1633</v>
      </c>
      <c r="J905" t="s">
        <v>1254</v>
      </c>
      <c r="K905" t="s">
        <v>831</v>
      </c>
      <c r="L905" t="s">
        <v>36</v>
      </c>
      <c r="M905">
        <v>69</v>
      </c>
      <c r="N905" t="s">
        <v>70</v>
      </c>
      <c r="O905">
        <v>44</v>
      </c>
      <c r="P905">
        <v>1</v>
      </c>
      <c r="Q905">
        <v>6216.77</v>
      </c>
      <c r="R905" s="4">
        <v>45600</v>
      </c>
      <c r="S905" s="6">
        <v>0.34050925925925923</v>
      </c>
      <c r="T905">
        <f t="shared" si="58"/>
        <v>17</v>
      </c>
      <c r="U905" t="str" cm="1">
        <f t="array" ref="U905">_xlfn.IFS(M905&lt;=34,"YOUNG",M905&lt;=54,"MIDDLE AGE",M905&gt;=55,"OLD")</f>
        <v>OLD</v>
      </c>
      <c r="V905" t="str">
        <f t="shared" si="59"/>
        <v>NORMAL</v>
      </c>
    </row>
    <row r="906" spans="1:22" x14ac:dyDescent="0.35">
      <c r="A906" t="s">
        <v>2452</v>
      </c>
      <c r="B906" t="s">
        <v>242</v>
      </c>
      <c r="C906">
        <v>354.76</v>
      </c>
      <c r="D906" s="1">
        <v>45063.687557870369</v>
      </c>
      <c r="E906" s="2">
        <f t="shared" si="56"/>
        <v>0.68755787036934635</v>
      </c>
      <c r="F906" s="3">
        <f t="shared" si="57"/>
        <v>45063</v>
      </c>
      <c r="G906" t="s">
        <v>17</v>
      </c>
      <c r="H906" t="s">
        <v>73</v>
      </c>
      <c r="I906" t="s">
        <v>2453</v>
      </c>
      <c r="J906" t="s">
        <v>1683</v>
      </c>
      <c r="K906" t="s">
        <v>149</v>
      </c>
      <c r="L906" t="s">
        <v>69</v>
      </c>
      <c r="M906">
        <v>51</v>
      </c>
      <c r="N906" t="s">
        <v>23</v>
      </c>
      <c r="O906">
        <v>279</v>
      </c>
      <c r="P906">
        <v>1</v>
      </c>
      <c r="Q906">
        <v>10141.92</v>
      </c>
      <c r="R906" s="4">
        <v>45600</v>
      </c>
      <c r="S906" s="6">
        <v>0.33864583333333331</v>
      </c>
      <c r="T906">
        <f t="shared" si="58"/>
        <v>16</v>
      </c>
      <c r="U906" t="str" cm="1">
        <f t="array" ref="U906">_xlfn.IFS(M906&lt;=34,"YOUNG",M906&lt;=54,"MIDDLE AGE",M906&gt;=55,"OLD")</f>
        <v>MIDDLE AGE</v>
      </c>
      <c r="V906" t="str">
        <f t="shared" si="59"/>
        <v>NORMAL</v>
      </c>
    </row>
    <row r="907" spans="1:22" x14ac:dyDescent="0.35">
      <c r="A907" t="s">
        <v>2454</v>
      </c>
      <c r="B907" t="s">
        <v>1753</v>
      </c>
      <c r="C907">
        <v>793.88</v>
      </c>
      <c r="D907" s="1">
        <v>44979.678807870368</v>
      </c>
      <c r="E907" s="2">
        <f t="shared" si="56"/>
        <v>0.67880787036847323</v>
      </c>
      <c r="F907" s="3">
        <f t="shared" si="57"/>
        <v>44979</v>
      </c>
      <c r="G907" t="s">
        <v>46</v>
      </c>
      <c r="H907" t="s">
        <v>140</v>
      </c>
      <c r="I907" t="s">
        <v>1539</v>
      </c>
      <c r="J907" t="s">
        <v>1676</v>
      </c>
      <c r="K907" t="s">
        <v>308</v>
      </c>
      <c r="L907" t="s">
        <v>22</v>
      </c>
      <c r="M907">
        <v>22</v>
      </c>
      <c r="N907" t="s">
        <v>37</v>
      </c>
      <c r="O907">
        <v>252</v>
      </c>
      <c r="P907">
        <v>1</v>
      </c>
      <c r="Q907">
        <v>1404.06</v>
      </c>
      <c r="R907" s="4">
        <v>45600</v>
      </c>
      <c r="S907" s="6">
        <v>0.33834490740740741</v>
      </c>
      <c r="T907">
        <f t="shared" si="58"/>
        <v>16</v>
      </c>
      <c r="U907" t="str" cm="1">
        <f t="array" ref="U907">_xlfn.IFS(M907&lt;=34,"YOUNG",M907&lt;=54,"MIDDLE AGE",M907&gt;=55,"OLD")</f>
        <v>YOUNG</v>
      </c>
      <c r="V907" t="str">
        <f t="shared" si="59"/>
        <v>NORMAL</v>
      </c>
    </row>
    <row r="908" spans="1:22" x14ac:dyDescent="0.35">
      <c r="A908" t="s">
        <v>2455</v>
      </c>
      <c r="B908" t="s">
        <v>2456</v>
      </c>
      <c r="C908">
        <v>29.22</v>
      </c>
      <c r="D908" s="1">
        <v>44984.773472222223</v>
      </c>
      <c r="E908" s="2">
        <f t="shared" si="56"/>
        <v>0.773472222223063</v>
      </c>
      <c r="F908" s="3">
        <f t="shared" si="57"/>
        <v>44984</v>
      </c>
      <c r="G908" t="s">
        <v>17</v>
      </c>
      <c r="H908" t="s">
        <v>73</v>
      </c>
      <c r="I908" t="s">
        <v>1498</v>
      </c>
      <c r="J908" t="s">
        <v>2259</v>
      </c>
      <c r="K908" t="s">
        <v>682</v>
      </c>
      <c r="L908" t="s">
        <v>22</v>
      </c>
      <c r="M908">
        <v>27</v>
      </c>
      <c r="N908" t="s">
        <v>77</v>
      </c>
      <c r="O908">
        <v>69</v>
      </c>
      <c r="P908">
        <v>1</v>
      </c>
      <c r="Q908">
        <v>7795.79</v>
      </c>
      <c r="R908" s="4">
        <v>45600</v>
      </c>
      <c r="S908" s="6">
        <v>0.34060185185185188</v>
      </c>
      <c r="T908">
        <f t="shared" si="58"/>
        <v>18</v>
      </c>
      <c r="U908" t="str" cm="1">
        <f t="array" ref="U908">_xlfn.IFS(M908&lt;=34,"YOUNG",M908&lt;=54,"MIDDLE AGE",M908&gt;=55,"OLD")</f>
        <v>YOUNG</v>
      </c>
      <c r="V908" t="str">
        <f t="shared" si="59"/>
        <v>NORMAL</v>
      </c>
    </row>
    <row r="909" spans="1:22" x14ac:dyDescent="0.35">
      <c r="A909" t="s">
        <v>2457</v>
      </c>
      <c r="B909" t="s">
        <v>102</v>
      </c>
      <c r="C909">
        <v>653.97</v>
      </c>
      <c r="D909" s="1">
        <v>45203.736898148149</v>
      </c>
      <c r="E909" s="2">
        <f t="shared" si="56"/>
        <v>0.73689814814861165</v>
      </c>
      <c r="F909" s="3">
        <f t="shared" si="57"/>
        <v>45203</v>
      </c>
      <c r="G909" t="s">
        <v>17</v>
      </c>
      <c r="H909" t="s">
        <v>172</v>
      </c>
      <c r="I909" t="s">
        <v>2458</v>
      </c>
      <c r="J909" t="s">
        <v>1605</v>
      </c>
      <c r="K909" t="s">
        <v>652</v>
      </c>
      <c r="L909" t="s">
        <v>36</v>
      </c>
      <c r="M909">
        <v>37</v>
      </c>
      <c r="N909" t="s">
        <v>77</v>
      </c>
      <c r="O909">
        <v>100</v>
      </c>
      <c r="P909">
        <v>1</v>
      </c>
      <c r="Q909">
        <v>3886.65</v>
      </c>
      <c r="R909" s="4">
        <v>45600</v>
      </c>
      <c r="S909" s="6">
        <v>0.34163194444444445</v>
      </c>
      <c r="T909">
        <f t="shared" si="58"/>
        <v>17</v>
      </c>
      <c r="U909" t="str" cm="1">
        <f t="array" ref="U909">_xlfn.IFS(M909&lt;=34,"YOUNG",M909&lt;=54,"MIDDLE AGE",M909&gt;=55,"OLD")</f>
        <v>MIDDLE AGE</v>
      </c>
      <c r="V909" t="str">
        <f t="shared" si="59"/>
        <v>NORMAL</v>
      </c>
    </row>
    <row r="910" spans="1:22" x14ac:dyDescent="0.35">
      <c r="A910" t="s">
        <v>2459</v>
      </c>
      <c r="B910" t="s">
        <v>993</v>
      </c>
      <c r="C910">
        <v>366.43</v>
      </c>
      <c r="D910" s="1">
        <v>44956.693738425929</v>
      </c>
      <c r="E910" s="2">
        <f t="shared" si="56"/>
        <v>0.69373842592904111</v>
      </c>
      <c r="F910" s="3">
        <f t="shared" si="57"/>
        <v>44956</v>
      </c>
      <c r="G910" t="s">
        <v>46</v>
      </c>
      <c r="H910" t="s">
        <v>595</v>
      </c>
      <c r="I910" t="s">
        <v>2399</v>
      </c>
      <c r="J910" t="s">
        <v>2041</v>
      </c>
      <c r="K910" t="s">
        <v>1014</v>
      </c>
      <c r="L910" t="s">
        <v>36</v>
      </c>
      <c r="M910">
        <v>21</v>
      </c>
      <c r="N910" t="s">
        <v>37</v>
      </c>
      <c r="O910">
        <v>92</v>
      </c>
      <c r="P910">
        <v>1</v>
      </c>
      <c r="Q910">
        <v>1560.45</v>
      </c>
      <c r="R910" s="4">
        <v>45600</v>
      </c>
      <c r="S910" s="6">
        <v>0.34002314814814816</v>
      </c>
      <c r="T910">
        <f t="shared" si="58"/>
        <v>16</v>
      </c>
      <c r="U910" t="str" cm="1">
        <f t="array" ref="U910">_xlfn.IFS(M910&lt;=34,"YOUNG",M910&lt;=54,"MIDDLE AGE",M910&gt;=55,"OLD")</f>
        <v>YOUNG</v>
      </c>
      <c r="V910" t="str">
        <f t="shared" si="59"/>
        <v>NORMAL</v>
      </c>
    </row>
    <row r="911" spans="1:22" x14ac:dyDescent="0.35">
      <c r="A911" t="s">
        <v>2460</v>
      </c>
      <c r="B911" t="s">
        <v>337</v>
      </c>
      <c r="C911">
        <v>120.86</v>
      </c>
      <c r="D911" s="1">
        <v>45246.748437499999</v>
      </c>
      <c r="E911" s="2">
        <f t="shared" si="56"/>
        <v>0.74843749999854481</v>
      </c>
      <c r="F911" s="3">
        <f t="shared" si="57"/>
        <v>45246</v>
      </c>
      <c r="G911" t="s">
        <v>17</v>
      </c>
      <c r="H911" t="s">
        <v>521</v>
      </c>
      <c r="I911" t="s">
        <v>2461</v>
      </c>
      <c r="J911" t="s">
        <v>903</v>
      </c>
      <c r="K911" t="s">
        <v>427</v>
      </c>
      <c r="L911" t="s">
        <v>36</v>
      </c>
      <c r="M911">
        <v>33</v>
      </c>
      <c r="N911" t="s">
        <v>23</v>
      </c>
      <c r="O911">
        <v>162</v>
      </c>
      <c r="P911">
        <v>4</v>
      </c>
      <c r="Q911">
        <v>13566.58</v>
      </c>
      <c r="R911" s="4">
        <v>45600</v>
      </c>
      <c r="S911" s="6">
        <v>0.34152777777777776</v>
      </c>
      <c r="T911">
        <f t="shared" si="58"/>
        <v>17</v>
      </c>
      <c r="U911" t="str" cm="1">
        <f t="array" ref="U911">_xlfn.IFS(M911&lt;=34,"YOUNG",M911&lt;=54,"MIDDLE AGE",M911&gt;=55,"OLD")</f>
        <v>YOUNG</v>
      </c>
      <c r="V911" t="str">
        <f t="shared" si="59"/>
        <v>HIGH</v>
      </c>
    </row>
    <row r="912" spans="1:22" x14ac:dyDescent="0.35">
      <c r="A912" t="s">
        <v>2462</v>
      </c>
      <c r="B912" t="s">
        <v>156</v>
      </c>
      <c r="C912">
        <v>233.74</v>
      </c>
      <c r="D912" s="1">
        <v>44970.69699074074</v>
      </c>
      <c r="E912" s="2">
        <f t="shared" si="56"/>
        <v>0.69699074074014788</v>
      </c>
      <c r="F912" s="3">
        <f t="shared" si="57"/>
        <v>44970</v>
      </c>
      <c r="G912" t="s">
        <v>17</v>
      </c>
      <c r="H912" t="s">
        <v>388</v>
      </c>
      <c r="I912" t="s">
        <v>1578</v>
      </c>
      <c r="J912" t="s">
        <v>1048</v>
      </c>
      <c r="K912" t="s">
        <v>682</v>
      </c>
      <c r="L912" t="s">
        <v>36</v>
      </c>
      <c r="M912">
        <v>72</v>
      </c>
      <c r="N912" t="s">
        <v>70</v>
      </c>
      <c r="O912">
        <v>142</v>
      </c>
      <c r="P912">
        <v>1</v>
      </c>
      <c r="Q912">
        <v>4749.54</v>
      </c>
      <c r="R912" s="4">
        <v>45600</v>
      </c>
      <c r="S912" s="6">
        <v>0.33781250000000002</v>
      </c>
      <c r="T912">
        <f t="shared" si="58"/>
        <v>16</v>
      </c>
      <c r="U912" t="str" cm="1">
        <f t="array" ref="U912">_xlfn.IFS(M912&lt;=34,"YOUNG",M912&lt;=54,"MIDDLE AGE",M912&gt;=55,"OLD")</f>
        <v>OLD</v>
      </c>
      <c r="V912" t="str">
        <f t="shared" si="59"/>
        <v>NORMAL</v>
      </c>
    </row>
    <row r="913" spans="1:22" x14ac:dyDescent="0.35">
      <c r="A913" t="s">
        <v>2463</v>
      </c>
      <c r="B913" t="s">
        <v>2464</v>
      </c>
      <c r="C913">
        <v>471.84</v>
      </c>
      <c r="D913" s="1">
        <v>45198.730138888888</v>
      </c>
      <c r="E913" s="2">
        <f t="shared" si="56"/>
        <v>0.73013888888817746</v>
      </c>
      <c r="F913" s="3">
        <f t="shared" si="57"/>
        <v>45198</v>
      </c>
      <c r="G913" t="s">
        <v>17</v>
      </c>
      <c r="H913" t="s">
        <v>40</v>
      </c>
      <c r="I913" t="s">
        <v>2209</v>
      </c>
      <c r="J913" t="s">
        <v>2465</v>
      </c>
      <c r="K913" t="s">
        <v>1014</v>
      </c>
      <c r="L913" t="s">
        <v>22</v>
      </c>
      <c r="M913">
        <v>18</v>
      </c>
      <c r="N913" t="s">
        <v>37</v>
      </c>
      <c r="O913">
        <v>138</v>
      </c>
      <c r="P913">
        <v>1</v>
      </c>
      <c r="Q913">
        <v>1044.33</v>
      </c>
      <c r="R913" s="4">
        <v>45600</v>
      </c>
      <c r="S913" s="6">
        <v>0.33940972222222221</v>
      </c>
      <c r="T913">
        <f t="shared" si="58"/>
        <v>17</v>
      </c>
      <c r="U913" t="str" cm="1">
        <f t="array" ref="U913">_xlfn.IFS(M913&lt;=34,"YOUNG",M913&lt;=54,"MIDDLE AGE",M913&gt;=55,"OLD")</f>
        <v>YOUNG</v>
      </c>
      <c r="V913" t="str">
        <f t="shared" si="59"/>
        <v>NORMAL</v>
      </c>
    </row>
    <row r="914" spans="1:22" x14ac:dyDescent="0.35">
      <c r="A914" t="s">
        <v>2466</v>
      </c>
      <c r="B914" t="s">
        <v>2467</v>
      </c>
      <c r="C914">
        <v>213.4</v>
      </c>
      <c r="D914" s="1">
        <v>45152.694884259261</v>
      </c>
      <c r="E914" s="2">
        <f t="shared" si="56"/>
        <v>0.69488425926101627</v>
      </c>
      <c r="F914" s="3">
        <f t="shared" si="57"/>
        <v>45152</v>
      </c>
      <c r="G914" t="s">
        <v>46</v>
      </c>
      <c r="H914" t="s">
        <v>157</v>
      </c>
      <c r="I914" t="s">
        <v>928</v>
      </c>
      <c r="J914" t="s">
        <v>325</v>
      </c>
      <c r="K914" t="s">
        <v>343</v>
      </c>
      <c r="L914" t="s">
        <v>69</v>
      </c>
      <c r="M914">
        <v>73</v>
      </c>
      <c r="N914" t="s">
        <v>70</v>
      </c>
      <c r="O914">
        <v>100</v>
      </c>
      <c r="P914">
        <v>1</v>
      </c>
      <c r="Q914">
        <v>2012.24</v>
      </c>
      <c r="R914" s="4">
        <v>45600</v>
      </c>
      <c r="S914" s="6">
        <v>0.33989583333333334</v>
      </c>
      <c r="T914">
        <f t="shared" si="58"/>
        <v>16</v>
      </c>
      <c r="U914" t="str" cm="1">
        <f t="array" ref="U914">_xlfn.IFS(M914&lt;=34,"YOUNG",M914&lt;=54,"MIDDLE AGE",M914&gt;=55,"OLD")</f>
        <v>OLD</v>
      </c>
      <c r="V914" t="str">
        <f t="shared" si="59"/>
        <v>NORMAL</v>
      </c>
    </row>
    <row r="915" spans="1:22" x14ac:dyDescent="0.35">
      <c r="A915" t="s">
        <v>2468</v>
      </c>
      <c r="B915" t="s">
        <v>1200</v>
      </c>
      <c r="C915">
        <v>254.21</v>
      </c>
      <c r="D915" s="1">
        <v>45068.700092592589</v>
      </c>
      <c r="E915" s="2">
        <f t="shared" si="56"/>
        <v>0.70009259258949896</v>
      </c>
      <c r="F915" s="3">
        <f t="shared" si="57"/>
        <v>45068</v>
      </c>
      <c r="G915" t="s">
        <v>17</v>
      </c>
      <c r="H915" t="s">
        <v>425</v>
      </c>
      <c r="I915" t="s">
        <v>2235</v>
      </c>
      <c r="J915" t="s">
        <v>2465</v>
      </c>
      <c r="K915" t="s">
        <v>95</v>
      </c>
      <c r="L915" t="s">
        <v>22</v>
      </c>
      <c r="M915">
        <v>48</v>
      </c>
      <c r="N915" t="s">
        <v>77</v>
      </c>
      <c r="O915">
        <v>46</v>
      </c>
      <c r="P915">
        <v>1</v>
      </c>
      <c r="Q915">
        <v>2487.1999999999998</v>
      </c>
      <c r="R915" s="4">
        <v>45600</v>
      </c>
      <c r="S915" s="6">
        <v>0.34085648148148145</v>
      </c>
      <c r="T915">
        <f t="shared" si="58"/>
        <v>16</v>
      </c>
      <c r="U915" t="str" cm="1">
        <f t="array" ref="U915">_xlfn.IFS(M915&lt;=34,"YOUNG",M915&lt;=54,"MIDDLE AGE",M915&gt;=55,"OLD")</f>
        <v>MIDDLE AGE</v>
      </c>
      <c r="V915" t="str">
        <f t="shared" si="59"/>
        <v>NORMAL</v>
      </c>
    </row>
    <row r="916" spans="1:22" x14ac:dyDescent="0.35">
      <c r="A916" t="s">
        <v>2469</v>
      </c>
      <c r="B916" t="s">
        <v>1081</v>
      </c>
      <c r="C916">
        <v>577.73</v>
      </c>
      <c r="D916" s="1">
        <v>45240.685046296298</v>
      </c>
      <c r="E916" s="2">
        <f t="shared" si="56"/>
        <v>0.68504629629751435</v>
      </c>
      <c r="F916" s="3">
        <f t="shared" si="57"/>
        <v>45240</v>
      </c>
      <c r="G916" t="s">
        <v>17</v>
      </c>
      <c r="H916" t="s">
        <v>223</v>
      </c>
      <c r="I916" t="s">
        <v>2437</v>
      </c>
      <c r="J916" t="s">
        <v>281</v>
      </c>
      <c r="K916" t="s">
        <v>450</v>
      </c>
      <c r="L916" t="s">
        <v>22</v>
      </c>
      <c r="M916">
        <v>37</v>
      </c>
      <c r="N916" t="s">
        <v>23</v>
      </c>
      <c r="O916">
        <v>63</v>
      </c>
      <c r="P916">
        <v>1</v>
      </c>
      <c r="Q916">
        <v>14977.99</v>
      </c>
      <c r="R916" s="4">
        <v>45600</v>
      </c>
      <c r="S916" s="6">
        <v>0.33792824074074074</v>
      </c>
      <c r="T916">
        <f t="shared" si="58"/>
        <v>16</v>
      </c>
      <c r="U916" t="str" cm="1">
        <f t="array" ref="U916">_xlfn.IFS(M916&lt;=34,"YOUNG",M916&lt;=54,"MIDDLE AGE",M916&gt;=55,"OLD")</f>
        <v>MIDDLE AGE</v>
      </c>
      <c r="V916" t="str">
        <f t="shared" si="59"/>
        <v>NORMAL</v>
      </c>
    </row>
    <row r="917" spans="1:22" x14ac:dyDescent="0.35">
      <c r="A917" t="s">
        <v>2470</v>
      </c>
      <c r="B917" t="s">
        <v>557</v>
      </c>
      <c r="C917">
        <v>170.26</v>
      </c>
      <c r="D917" s="1">
        <v>45194.707233796296</v>
      </c>
      <c r="E917" s="2">
        <f t="shared" si="56"/>
        <v>0.70723379629635019</v>
      </c>
      <c r="F917" s="3">
        <f t="shared" si="57"/>
        <v>45194</v>
      </c>
      <c r="G917" t="s">
        <v>17</v>
      </c>
      <c r="H917" t="s">
        <v>265</v>
      </c>
      <c r="I917" t="s">
        <v>1386</v>
      </c>
      <c r="J917" t="s">
        <v>1048</v>
      </c>
      <c r="K917" t="s">
        <v>200</v>
      </c>
      <c r="L917" t="s">
        <v>22</v>
      </c>
      <c r="M917">
        <v>27</v>
      </c>
      <c r="N917" t="s">
        <v>37</v>
      </c>
      <c r="O917">
        <v>265</v>
      </c>
      <c r="P917">
        <v>1</v>
      </c>
      <c r="Q917">
        <v>1969.48</v>
      </c>
      <c r="R917" s="4">
        <v>45600</v>
      </c>
      <c r="S917" s="6">
        <v>0.33856481481481482</v>
      </c>
      <c r="T917">
        <f t="shared" si="58"/>
        <v>16</v>
      </c>
      <c r="U917" t="str" cm="1">
        <f t="array" ref="U917">_xlfn.IFS(M917&lt;=34,"YOUNG",M917&lt;=54,"MIDDLE AGE",M917&gt;=55,"OLD")</f>
        <v>YOUNG</v>
      </c>
      <c r="V917" t="str">
        <f t="shared" si="59"/>
        <v>NORMAL</v>
      </c>
    </row>
    <row r="918" spans="1:22" x14ac:dyDescent="0.35">
      <c r="A918" t="s">
        <v>2471</v>
      </c>
      <c r="B918" t="s">
        <v>648</v>
      </c>
      <c r="C918">
        <v>337.73</v>
      </c>
      <c r="D918" s="1">
        <v>45069.717118055552</v>
      </c>
      <c r="E918" s="2">
        <f t="shared" si="56"/>
        <v>0.71711805555241881</v>
      </c>
      <c r="F918" s="3">
        <f t="shared" si="57"/>
        <v>45069</v>
      </c>
      <c r="G918" t="s">
        <v>17</v>
      </c>
      <c r="H918" t="s">
        <v>237</v>
      </c>
      <c r="I918" t="s">
        <v>2472</v>
      </c>
      <c r="J918" t="s">
        <v>758</v>
      </c>
      <c r="K918" t="s">
        <v>149</v>
      </c>
      <c r="L918" t="s">
        <v>36</v>
      </c>
      <c r="M918">
        <v>78</v>
      </c>
      <c r="N918" t="s">
        <v>70</v>
      </c>
      <c r="O918">
        <v>107</v>
      </c>
      <c r="P918">
        <v>4</v>
      </c>
      <c r="Q918">
        <v>7001.2</v>
      </c>
      <c r="R918" s="4">
        <v>45600</v>
      </c>
      <c r="S918" s="6">
        <v>0.3385185185185185</v>
      </c>
      <c r="T918">
        <f t="shared" si="58"/>
        <v>17</v>
      </c>
      <c r="U918" t="str" cm="1">
        <f t="array" ref="U918">_xlfn.IFS(M918&lt;=34,"YOUNG",M918&lt;=54,"MIDDLE AGE",M918&gt;=55,"OLD")</f>
        <v>OLD</v>
      </c>
      <c r="V918" t="str">
        <f t="shared" si="59"/>
        <v>HIGH</v>
      </c>
    </row>
    <row r="919" spans="1:22" x14ac:dyDescent="0.35">
      <c r="A919" t="s">
        <v>2473</v>
      </c>
      <c r="B919" t="s">
        <v>1808</v>
      </c>
      <c r="C919">
        <v>330.61</v>
      </c>
      <c r="D919" s="1">
        <v>45113.669895833336</v>
      </c>
      <c r="E919" s="2">
        <f t="shared" si="56"/>
        <v>0.66989583333634073</v>
      </c>
      <c r="F919" s="3">
        <f t="shared" si="57"/>
        <v>45113</v>
      </c>
      <c r="G919" t="s">
        <v>46</v>
      </c>
      <c r="H919" t="s">
        <v>80</v>
      </c>
      <c r="I919" t="s">
        <v>2474</v>
      </c>
      <c r="J919" t="s">
        <v>330</v>
      </c>
      <c r="K919" t="s">
        <v>514</v>
      </c>
      <c r="L919" t="s">
        <v>69</v>
      </c>
      <c r="M919">
        <v>64</v>
      </c>
      <c r="N919" t="s">
        <v>70</v>
      </c>
      <c r="O919">
        <v>113</v>
      </c>
      <c r="P919">
        <v>1</v>
      </c>
      <c r="Q919">
        <v>2525.25</v>
      </c>
      <c r="R919" s="4">
        <v>45600</v>
      </c>
      <c r="S919" s="6">
        <v>0.34067129629629628</v>
      </c>
      <c r="T919">
        <f t="shared" si="58"/>
        <v>16</v>
      </c>
      <c r="U919" t="str" cm="1">
        <f t="array" ref="U919">_xlfn.IFS(M919&lt;=34,"YOUNG",M919&lt;=54,"MIDDLE AGE",M919&gt;=55,"OLD")</f>
        <v>OLD</v>
      </c>
      <c r="V919" t="str">
        <f t="shared" si="59"/>
        <v>NORMAL</v>
      </c>
    </row>
    <row r="920" spans="1:22" x14ac:dyDescent="0.35">
      <c r="A920" t="s">
        <v>2475</v>
      </c>
      <c r="B920" t="s">
        <v>1472</v>
      </c>
      <c r="C920">
        <v>132.33000000000001</v>
      </c>
      <c r="D920" s="1">
        <v>45240.689166666663</v>
      </c>
      <c r="E920" s="2">
        <f t="shared" si="56"/>
        <v>0.68916666666336823</v>
      </c>
      <c r="F920" s="3">
        <f t="shared" si="57"/>
        <v>45240</v>
      </c>
      <c r="G920" t="s">
        <v>46</v>
      </c>
      <c r="H920" t="s">
        <v>425</v>
      </c>
      <c r="I920" t="s">
        <v>2476</v>
      </c>
      <c r="J920" t="s">
        <v>2477</v>
      </c>
      <c r="K920" t="s">
        <v>432</v>
      </c>
      <c r="L920" t="s">
        <v>22</v>
      </c>
      <c r="M920">
        <v>35</v>
      </c>
      <c r="N920" t="s">
        <v>77</v>
      </c>
      <c r="O920">
        <v>47</v>
      </c>
      <c r="P920">
        <v>1</v>
      </c>
      <c r="Q920">
        <v>7457.94</v>
      </c>
      <c r="R920" s="4">
        <v>45600</v>
      </c>
      <c r="S920" s="6">
        <v>0.33935185185185185</v>
      </c>
      <c r="T920">
        <f t="shared" si="58"/>
        <v>16</v>
      </c>
      <c r="U920" t="str" cm="1">
        <f t="array" ref="U920">_xlfn.IFS(M920&lt;=34,"YOUNG",M920&lt;=54,"MIDDLE AGE",M920&gt;=55,"OLD")</f>
        <v>MIDDLE AGE</v>
      </c>
      <c r="V920" t="str">
        <f t="shared" si="59"/>
        <v>NORMAL</v>
      </c>
    </row>
    <row r="921" spans="1:22" x14ac:dyDescent="0.35">
      <c r="A921" t="s">
        <v>2478</v>
      </c>
      <c r="B921" t="s">
        <v>1554</v>
      </c>
      <c r="C921">
        <v>672.74</v>
      </c>
      <c r="D921" s="1">
        <v>45148.694131944445</v>
      </c>
      <c r="E921" s="2">
        <f t="shared" si="56"/>
        <v>0.69413194444496185</v>
      </c>
      <c r="F921" s="3">
        <f t="shared" si="57"/>
        <v>45148</v>
      </c>
      <c r="G921" t="s">
        <v>46</v>
      </c>
      <c r="H921" t="s">
        <v>521</v>
      </c>
      <c r="I921" t="s">
        <v>2479</v>
      </c>
      <c r="J921" t="s">
        <v>1396</v>
      </c>
      <c r="K921" t="s">
        <v>1524</v>
      </c>
      <c r="L921" t="s">
        <v>69</v>
      </c>
      <c r="M921">
        <v>46</v>
      </c>
      <c r="N921" t="s">
        <v>77</v>
      </c>
      <c r="O921">
        <v>118</v>
      </c>
      <c r="P921">
        <v>1</v>
      </c>
      <c r="Q921">
        <v>5386.52</v>
      </c>
      <c r="R921" s="4">
        <v>45600</v>
      </c>
      <c r="S921" s="6">
        <v>0.34145833333333331</v>
      </c>
      <c r="T921">
        <f t="shared" si="58"/>
        <v>16</v>
      </c>
      <c r="U921" t="str" cm="1">
        <f t="array" ref="U921">_xlfn.IFS(M921&lt;=34,"YOUNG",M921&lt;=54,"MIDDLE AGE",M921&gt;=55,"OLD")</f>
        <v>MIDDLE AGE</v>
      </c>
      <c r="V921" t="str">
        <f t="shared" si="59"/>
        <v>NORMAL</v>
      </c>
    </row>
    <row r="922" spans="1:22" x14ac:dyDescent="0.35">
      <c r="A922" t="s">
        <v>2480</v>
      </c>
      <c r="B922" t="s">
        <v>2481</v>
      </c>
      <c r="C922">
        <v>74.040000000000006</v>
      </c>
      <c r="D922" s="1">
        <v>44980.76630787037</v>
      </c>
      <c r="E922" s="2">
        <f t="shared" si="56"/>
        <v>0.76630787036992842</v>
      </c>
      <c r="F922" s="3">
        <f t="shared" si="57"/>
        <v>44980</v>
      </c>
      <c r="G922" t="s">
        <v>17</v>
      </c>
      <c r="H922" t="s">
        <v>92</v>
      </c>
      <c r="I922" t="s">
        <v>270</v>
      </c>
      <c r="J922" t="s">
        <v>110</v>
      </c>
      <c r="K922" t="s">
        <v>209</v>
      </c>
      <c r="L922" t="s">
        <v>36</v>
      </c>
      <c r="M922">
        <v>18</v>
      </c>
      <c r="N922" t="s">
        <v>37</v>
      </c>
      <c r="O922">
        <v>66</v>
      </c>
      <c r="P922">
        <v>1</v>
      </c>
      <c r="Q922">
        <v>1690.23</v>
      </c>
      <c r="R922" s="4">
        <v>45600</v>
      </c>
      <c r="S922" s="6">
        <v>0.34130787037037036</v>
      </c>
      <c r="T922">
        <f t="shared" si="58"/>
        <v>18</v>
      </c>
      <c r="U922" t="str" cm="1">
        <f t="array" ref="U922">_xlfn.IFS(M922&lt;=34,"YOUNG",M922&lt;=54,"MIDDLE AGE",M922&gt;=55,"OLD")</f>
        <v>YOUNG</v>
      </c>
      <c r="V922" t="str">
        <f t="shared" si="59"/>
        <v>NORMAL</v>
      </c>
    </row>
    <row r="923" spans="1:22" x14ac:dyDescent="0.35">
      <c r="A923" t="s">
        <v>2482</v>
      </c>
      <c r="B923" t="s">
        <v>1147</v>
      </c>
      <c r="C923">
        <v>197.18</v>
      </c>
      <c r="D923" s="1">
        <v>45055.699791666666</v>
      </c>
      <c r="E923" s="2">
        <f t="shared" si="56"/>
        <v>0.69979166666598758</v>
      </c>
      <c r="F923" s="3">
        <f t="shared" si="57"/>
        <v>45055</v>
      </c>
      <c r="G923" t="s">
        <v>17</v>
      </c>
      <c r="H923" t="s">
        <v>255</v>
      </c>
      <c r="I923" t="s">
        <v>216</v>
      </c>
      <c r="J923" t="s">
        <v>1399</v>
      </c>
      <c r="K923" t="s">
        <v>1349</v>
      </c>
      <c r="L923" t="s">
        <v>36</v>
      </c>
      <c r="M923">
        <v>28</v>
      </c>
      <c r="N923" t="s">
        <v>77</v>
      </c>
      <c r="O923">
        <v>135</v>
      </c>
      <c r="P923">
        <v>1</v>
      </c>
      <c r="Q923">
        <v>3114.92</v>
      </c>
      <c r="R923" s="4">
        <v>45600</v>
      </c>
      <c r="S923" s="6">
        <v>0.34030092592592592</v>
      </c>
      <c r="T923">
        <f t="shared" si="58"/>
        <v>16</v>
      </c>
      <c r="U923" t="str" cm="1">
        <f t="array" ref="U923">_xlfn.IFS(M923&lt;=34,"YOUNG",M923&lt;=54,"MIDDLE AGE",M923&gt;=55,"OLD")</f>
        <v>YOUNG</v>
      </c>
      <c r="V923" t="str">
        <f t="shared" si="59"/>
        <v>NORMAL</v>
      </c>
    </row>
    <row r="924" spans="1:22" x14ac:dyDescent="0.35">
      <c r="A924" t="s">
        <v>2483</v>
      </c>
      <c r="B924" t="s">
        <v>2238</v>
      </c>
      <c r="C924">
        <v>21.15</v>
      </c>
      <c r="D924" s="1">
        <v>45250.670949074076</v>
      </c>
      <c r="E924" s="2">
        <f t="shared" si="56"/>
        <v>0.67094907407590654</v>
      </c>
      <c r="F924" s="3">
        <f t="shared" si="57"/>
        <v>45250</v>
      </c>
      <c r="G924" t="s">
        <v>17</v>
      </c>
      <c r="H924" t="s">
        <v>125</v>
      </c>
      <c r="I924" t="s">
        <v>1115</v>
      </c>
      <c r="J924" t="s">
        <v>2484</v>
      </c>
      <c r="K924" t="s">
        <v>707</v>
      </c>
      <c r="L924" t="s">
        <v>69</v>
      </c>
      <c r="M924">
        <v>70</v>
      </c>
      <c r="N924" t="s">
        <v>70</v>
      </c>
      <c r="O924">
        <v>180</v>
      </c>
      <c r="P924">
        <v>1</v>
      </c>
      <c r="Q924">
        <v>3466.74</v>
      </c>
      <c r="R924" s="4">
        <v>45600</v>
      </c>
      <c r="S924" s="6">
        <v>0.34011574074074075</v>
      </c>
      <c r="T924">
        <f t="shared" si="58"/>
        <v>16</v>
      </c>
      <c r="U924" t="str" cm="1">
        <f t="array" ref="U924">_xlfn.IFS(M924&lt;=34,"YOUNG",M924&lt;=54,"MIDDLE AGE",M924&gt;=55,"OLD")</f>
        <v>OLD</v>
      </c>
      <c r="V924" t="str">
        <f t="shared" si="59"/>
        <v>NORMAL</v>
      </c>
    </row>
    <row r="925" spans="1:22" x14ac:dyDescent="0.35">
      <c r="A925" t="s">
        <v>2485</v>
      </c>
      <c r="B925" t="s">
        <v>2311</v>
      </c>
      <c r="C925">
        <v>218.37</v>
      </c>
      <c r="D925" s="1">
        <v>45082.68577546296</v>
      </c>
      <c r="E925" s="2">
        <f t="shared" si="56"/>
        <v>0.68577546296000946</v>
      </c>
      <c r="F925" s="3">
        <f t="shared" si="57"/>
        <v>45082</v>
      </c>
      <c r="G925" t="s">
        <v>17</v>
      </c>
      <c r="H925" t="s">
        <v>26</v>
      </c>
      <c r="I925" t="s">
        <v>1028</v>
      </c>
      <c r="J925" t="s">
        <v>828</v>
      </c>
      <c r="K925" t="s">
        <v>326</v>
      </c>
      <c r="L925" t="s">
        <v>22</v>
      </c>
      <c r="M925">
        <v>62</v>
      </c>
      <c r="N925" t="s">
        <v>23</v>
      </c>
      <c r="O925">
        <v>105</v>
      </c>
      <c r="P925">
        <v>1</v>
      </c>
      <c r="Q925">
        <v>9942.24</v>
      </c>
      <c r="R925" s="4">
        <v>45600</v>
      </c>
      <c r="S925" s="6">
        <v>0.34090277777777778</v>
      </c>
      <c r="T925">
        <f t="shared" si="58"/>
        <v>16</v>
      </c>
      <c r="U925" t="str" cm="1">
        <f t="array" ref="U925">_xlfn.IFS(M925&lt;=34,"YOUNG",M925&lt;=54,"MIDDLE AGE",M925&gt;=55,"OLD")</f>
        <v>OLD</v>
      </c>
      <c r="V925" t="str">
        <f t="shared" si="59"/>
        <v>NORMAL</v>
      </c>
    </row>
    <row r="926" spans="1:22" x14ac:dyDescent="0.35">
      <c r="A926" t="s">
        <v>2486</v>
      </c>
      <c r="B926" t="s">
        <v>855</v>
      </c>
      <c r="C926">
        <v>590.01</v>
      </c>
      <c r="D926" s="1">
        <v>44963.696018518516</v>
      </c>
      <c r="E926" s="2">
        <f t="shared" si="56"/>
        <v>0.69601851851621177</v>
      </c>
      <c r="F926" s="3">
        <f t="shared" si="57"/>
        <v>44963</v>
      </c>
      <c r="G926" t="s">
        <v>17</v>
      </c>
      <c r="H926" t="s">
        <v>223</v>
      </c>
      <c r="I926" t="s">
        <v>906</v>
      </c>
      <c r="J926" t="s">
        <v>266</v>
      </c>
      <c r="K926" t="s">
        <v>252</v>
      </c>
      <c r="L926" t="s">
        <v>36</v>
      </c>
      <c r="M926">
        <v>29</v>
      </c>
      <c r="N926" t="s">
        <v>23</v>
      </c>
      <c r="O926">
        <v>140</v>
      </c>
      <c r="P926">
        <v>3</v>
      </c>
      <c r="Q926">
        <v>9791.74</v>
      </c>
      <c r="R926" s="4">
        <v>45600</v>
      </c>
      <c r="S926" s="6">
        <v>0.33872685185185186</v>
      </c>
      <c r="T926">
        <f t="shared" si="58"/>
        <v>16</v>
      </c>
      <c r="U926" t="str" cm="1">
        <f t="array" ref="U926">_xlfn.IFS(M926&lt;=34,"YOUNG",M926&lt;=54,"MIDDLE AGE",M926&gt;=55,"OLD")</f>
        <v>YOUNG</v>
      </c>
      <c r="V926" t="str">
        <f t="shared" si="59"/>
        <v>HIGH</v>
      </c>
    </row>
    <row r="927" spans="1:22" x14ac:dyDescent="0.35">
      <c r="A927" t="s">
        <v>2487</v>
      </c>
      <c r="B927" t="s">
        <v>2488</v>
      </c>
      <c r="C927">
        <v>697.82</v>
      </c>
      <c r="D927" s="1">
        <v>45257.674039351848</v>
      </c>
      <c r="E927" s="2">
        <f t="shared" si="56"/>
        <v>0.67403935184847796</v>
      </c>
      <c r="F927" s="3">
        <f t="shared" si="57"/>
        <v>45257</v>
      </c>
      <c r="G927" t="s">
        <v>17</v>
      </c>
      <c r="H927" t="s">
        <v>203</v>
      </c>
      <c r="I927" t="s">
        <v>2355</v>
      </c>
      <c r="J927" t="s">
        <v>976</v>
      </c>
      <c r="K927" t="s">
        <v>186</v>
      </c>
      <c r="L927" t="s">
        <v>36</v>
      </c>
      <c r="M927">
        <v>44</v>
      </c>
      <c r="N927" t="s">
        <v>77</v>
      </c>
      <c r="O927">
        <v>153</v>
      </c>
      <c r="P927">
        <v>1</v>
      </c>
      <c r="Q927">
        <v>6824</v>
      </c>
      <c r="R927" s="4">
        <v>45600</v>
      </c>
      <c r="S927" s="6">
        <v>0.33832175925925928</v>
      </c>
      <c r="T927">
        <f t="shared" si="58"/>
        <v>16</v>
      </c>
      <c r="U927" t="str" cm="1">
        <f t="array" ref="U927">_xlfn.IFS(M927&lt;=34,"YOUNG",M927&lt;=54,"MIDDLE AGE",M927&gt;=55,"OLD")</f>
        <v>MIDDLE AGE</v>
      </c>
      <c r="V927" t="str">
        <f t="shared" si="59"/>
        <v>NORMAL</v>
      </c>
    </row>
    <row r="928" spans="1:22" x14ac:dyDescent="0.35">
      <c r="A928" t="s">
        <v>2489</v>
      </c>
      <c r="B928" t="s">
        <v>2490</v>
      </c>
      <c r="C928">
        <v>302.76</v>
      </c>
      <c r="D928" s="1">
        <v>45246.71806712963</v>
      </c>
      <c r="E928" s="2">
        <f t="shared" si="56"/>
        <v>0.71806712963007158</v>
      </c>
      <c r="F928" s="3">
        <f t="shared" si="57"/>
        <v>45246</v>
      </c>
      <c r="G928" t="s">
        <v>17</v>
      </c>
      <c r="H928" t="s">
        <v>285</v>
      </c>
      <c r="I928" t="s">
        <v>1148</v>
      </c>
      <c r="J928" t="s">
        <v>1884</v>
      </c>
      <c r="K928" t="s">
        <v>169</v>
      </c>
      <c r="L928" t="s">
        <v>22</v>
      </c>
      <c r="M928">
        <v>38</v>
      </c>
      <c r="N928" t="s">
        <v>77</v>
      </c>
      <c r="O928">
        <v>88</v>
      </c>
      <c r="P928">
        <v>3</v>
      </c>
      <c r="Q928">
        <v>8583.39</v>
      </c>
      <c r="R928" s="4">
        <v>45600</v>
      </c>
      <c r="S928" s="6">
        <v>0.34106481481481482</v>
      </c>
      <c r="T928">
        <f t="shared" si="58"/>
        <v>17</v>
      </c>
      <c r="U928" t="str" cm="1">
        <f t="array" ref="U928">_xlfn.IFS(M928&lt;=34,"YOUNG",M928&lt;=54,"MIDDLE AGE",M928&gt;=55,"OLD")</f>
        <v>MIDDLE AGE</v>
      </c>
      <c r="V928" t="str">
        <f t="shared" si="59"/>
        <v>HIGH</v>
      </c>
    </row>
    <row r="929" spans="1:22" x14ac:dyDescent="0.35">
      <c r="A929" t="s">
        <v>2491</v>
      </c>
      <c r="B929" t="s">
        <v>1955</v>
      </c>
      <c r="C929">
        <v>148</v>
      </c>
      <c r="D929" s="1">
        <v>44949.700185185182</v>
      </c>
      <c r="E929" s="2">
        <f t="shared" si="56"/>
        <v>0.70018518518190831</v>
      </c>
      <c r="F929" s="3">
        <f t="shared" si="57"/>
        <v>44949</v>
      </c>
      <c r="G929" t="s">
        <v>17</v>
      </c>
      <c r="H929" t="s">
        <v>255</v>
      </c>
      <c r="I929" t="s">
        <v>131</v>
      </c>
      <c r="J929" t="s">
        <v>2129</v>
      </c>
      <c r="K929" t="s">
        <v>149</v>
      </c>
      <c r="L929" t="s">
        <v>69</v>
      </c>
      <c r="M929">
        <v>20</v>
      </c>
      <c r="N929" t="s">
        <v>37</v>
      </c>
      <c r="O929">
        <v>35</v>
      </c>
      <c r="P929">
        <v>1</v>
      </c>
      <c r="Q929">
        <v>1488.65</v>
      </c>
      <c r="R929" s="4">
        <v>45600</v>
      </c>
      <c r="S929" s="6">
        <v>0.33795138888888887</v>
      </c>
      <c r="T929">
        <f t="shared" si="58"/>
        <v>16</v>
      </c>
      <c r="U929" t="str" cm="1">
        <f t="array" ref="U929">_xlfn.IFS(M929&lt;=34,"YOUNG",M929&lt;=54,"MIDDLE AGE",M929&gt;=55,"OLD")</f>
        <v>YOUNG</v>
      </c>
      <c r="V929" t="str">
        <f t="shared" si="59"/>
        <v>NORMAL</v>
      </c>
    </row>
    <row r="930" spans="1:22" x14ac:dyDescent="0.35">
      <c r="A930" t="s">
        <v>2492</v>
      </c>
      <c r="B930" t="s">
        <v>896</v>
      </c>
      <c r="C930">
        <v>22.26</v>
      </c>
      <c r="D930" s="1">
        <v>44956.784722222219</v>
      </c>
      <c r="E930" s="2">
        <f t="shared" si="56"/>
        <v>0.78472222221898846</v>
      </c>
      <c r="F930" s="3">
        <f t="shared" si="57"/>
        <v>44956</v>
      </c>
      <c r="G930" t="s">
        <v>17</v>
      </c>
      <c r="H930" t="s">
        <v>237</v>
      </c>
      <c r="I930" t="s">
        <v>530</v>
      </c>
      <c r="J930" t="s">
        <v>2131</v>
      </c>
      <c r="K930" t="s">
        <v>100</v>
      </c>
      <c r="L930" t="s">
        <v>69</v>
      </c>
      <c r="M930">
        <v>19</v>
      </c>
      <c r="N930" t="s">
        <v>37</v>
      </c>
      <c r="O930">
        <v>56</v>
      </c>
      <c r="P930">
        <v>1</v>
      </c>
      <c r="Q930">
        <v>5583.88</v>
      </c>
      <c r="R930" s="4">
        <v>45600</v>
      </c>
      <c r="S930" s="6">
        <v>0.3395023148148148</v>
      </c>
      <c r="T930">
        <f t="shared" si="58"/>
        <v>18</v>
      </c>
      <c r="U930" t="str" cm="1">
        <f t="array" ref="U930">_xlfn.IFS(M930&lt;=34,"YOUNG",M930&lt;=54,"MIDDLE AGE",M930&gt;=55,"OLD")</f>
        <v>YOUNG</v>
      </c>
      <c r="V930" t="str">
        <f t="shared" si="59"/>
        <v>NORMAL</v>
      </c>
    </row>
    <row r="931" spans="1:22" x14ac:dyDescent="0.35">
      <c r="A931" t="s">
        <v>2493</v>
      </c>
      <c r="B931" t="s">
        <v>1391</v>
      </c>
      <c r="C931">
        <v>0.86</v>
      </c>
      <c r="D931" s="1">
        <v>44970.742673611108</v>
      </c>
      <c r="E931" s="2">
        <f t="shared" si="56"/>
        <v>0.74267361110833008</v>
      </c>
      <c r="F931" s="3">
        <f t="shared" si="57"/>
        <v>44970</v>
      </c>
      <c r="G931" t="s">
        <v>17</v>
      </c>
      <c r="H931" t="s">
        <v>521</v>
      </c>
      <c r="I931" t="s">
        <v>852</v>
      </c>
      <c r="J931" t="s">
        <v>2494</v>
      </c>
      <c r="K931" t="s">
        <v>1345</v>
      </c>
      <c r="L931" t="s">
        <v>22</v>
      </c>
      <c r="M931">
        <v>25</v>
      </c>
      <c r="N931" t="s">
        <v>37</v>
      </c>
      <c r="O931">
        <v>139</v>
      </c>
      <c r="P931">
        <v>1</v>
      </c>
      <c r="Q931">
        <v>1357.22</v>
      </c>
      <c r="R931" s="4">
        <v>45600</v>
      </c>
      <c r="S931" s="6">
        <v>0.34192129629629631</v>
      </c>
      <c r="T931">
        <f t="shared" si="58"/>
        <v>17</v>
      </c>
      <c r="U931" t="str" cm="1">
        <f t="array" ref="U931">_xlfn.IFS(M931&lt;=34,"YOUNG",M931&lt;=54,"MIDDLE AGE",M931&gt;=55,"OLD")</f>
        <v>YOUNG</v>
      </c>
      <c r="V931" t="str">
        <f t="shared" si="59"/>
        <v>NORMAL</v>
      </c>
    </row>
    <row r="932" spans="1:22" x14ac:dyDescent="0.35">
      <c r="A932" t="s">
        <v>2495</v>
      </c>
      <c r="B932" t="s">
        <v>2496</v>
      </c>
      <c r="C932">
        <v>757.1</v>
      </c>
      <c r="D932" s="1">
        <v>44949.723900462966</v>
      </c>
      <c r="E932" s="2">
        <f t="shared" si="56"/>
        <v>0.72390046296641231</v>
      </c>
      <c r="F932" s="3">
        <f t="shared" si="57"/>
        <v>44949</v>
      </c>
      <c r="G932" t="s">
        <v>17</v>
      </c>
      <c r="H932" t="s">
        <v>47</v>
      </c>
      <c r="I932" t="s">
        <v>1651</v>
      </c>
      <c r="J932" t="s">
        <v>1174</v>
      </c>
      <c r="K932" t="s">
        <v>358</v>
      </c>
      <c r="L932" t="s">
        <v>69</v>
      </c>
      <c r="M932">
        <v>65</v>
      </c>
      <c r="N932" t="s">
        <v>23</v>
      </c>
      <c r="O932">
        <v>203</v>
      </c>
      <c r="P932">
        <v>1</v>
      </c>
      <c r="Q932">
        <v>10553.23</v>
      </c>
      <c r="R932" s="4">
        <v>45600</v>
      </c>
      <c r="S932" s="6">
        <v>0.34104166666666669</v>
      </c>
      <c r="T932">
        <f t="shared" si="58"/>
        <v>17</v>
      </c>
      <c r="U932" t="str" cm="1">
        <f t="array" ref="U932">_xlfn.IFS(M932&lt;=34,"YOUNG",M932&lt;=54,"MIDDLE AGE",M932&gt;=55,"OLD")</f>
        <v>OLD</v>
      </c>
      <c r="V932" t="str">
        <f t="shared" si="59"/>
        <v>NORMAL</v>
      </c>
    </row>
    <row r="933" spans="1:22" x14ac:dyDescent="0.35">
      <c r="A933" t="s">
        <v>2497</v>
      </c>
      <c r="B933" t="s">
        <v>2309</v>
      </c>
      <c r="C933">
        <v>38.81</v>
      </c>
      <c r="D933" s="1">
        <v>45044.786458333336</v>
      </c>
      <c r="E933" s="2">
        <f t="shared" si="56"/>
        <v>0.78645833333575865</v>
      </c>
      <c r="F933" s="3">
        <f t="shared" si="57"/>
        <v>45044</v>
      </c>
      <c r="G933" t="s">
        <v>46</v>
      </c>
      <c r="H933" t="s">
        <v>301</v>
      </c>
      <c r="I933" t="s">
        <v>341</v>
      </c>
      <c r="J933" t="s">
        <v>1464</v>
      </c>
      <c r="K933" t="s">
        <v>353</v>
      </c>
      <c r="L933" t="s">
        <v>36</v>
      </c>
      <c r="M933">
        <v>25</v>
      </c>
      <c r="N933" t="s">
        <v>37</v>
      </c>
      <c r="O933">
        <v>145</v>
      </c>
      <c r="P933">
        <v>1</v>
      </c>
      <c r="Q933">
        <v>1619.6</v>
      </c>
      <c r="R933" s="4">
        <v>45600</v>
      </c>
      <c r="S933" s="6">
        <v>0.34180555555555553</v>
      </c>
      <c r="T933">
        <f t="shared" si="58"/>
        <v>18</v>
      </c>
      <c r="U933" t="str" cm="1">
        <f t="array" ref="U933">_xlfn.IFS(M933&lt;=34,"YOUNG",M933&lt;=54,"MIDDLE AGE",M933&gt;=55,"OLD")</f>
        <v>YOUNG</v>
      </c>
      <c r="V933" t="str">
        <f t="shared" si="59"/>
        <v>NORMAL</v>
      </c>
    </row>
    <row r="934" spans="1:22" x14ac:dyDescent="0.35">
      <c r="A934" t="s">
        <v>2498</v>
      </c>
      <c r="B934" t="s">
        <v>1221</v>
      </c>
      <c r="C934">
        <v>76.510000000000005</v>
      </c>
      <c r="D934" s="1">
        <v>45019.667951388888</v>
      </c>
      <c r="E934" s="2">
        <f t="shared" si="56"/>
        <v>0.6679513888884685</v>
      </c>
      <c r="F934" s="3">
        <f t="shared" si="57"/>
        <v>45019</v>
      </c>
      <c r="G934" t="s">
        <v>46</v>
      </c>
      <c r="H934" t="s">
        <v>32</v>
      </c>
      <c r="I934" t="s">
        <v>1592</v>
      </c>
      <c r="J934" t="s">
        <v>819</v>
      </c>
      <c r="K934" t="s">
        <v>1810</v>
      </c>
      <c r="L934" t="s">
        <v>36</v>
      </c>
      <c r="M934">
        <v>49</v>
      </c>
      <c r="N934" t="s">
        <v>77</v>
      </c>
      <c r="O934">
        <v>120</v>
      </c>
      <c r="P934">
        <v>4</v>
      </c>
      <c r="Q934">
        <v>9475.4</v>
      </c>
      <c r="R934" s="4">
        <v>45600</v>
      </c>
      <c r="S934" s="6">
        <v>0.33878472222222222</v>
      </c>
      <c r="T934">
        <f t="shared" si="58"/>
        <v>16</v>
      </c>
      <c r="U934" t="str" cm="1">
        <f t="array" ref="U934">_xlfn.IFS(M934&lt;=34,"YOUNG",M934&lt;=54,"MIDDLE AGE",M934&gt;=55,"OLD")</f>
        <v>MIDDLE AGE</v>
      </c>
      <c r="V934" t="str">
        <f t="shared" si="59"/>
        <v>HIGH</v>
      </c>
    </row>
    <row r="935" spans="1:22" x14ac:dyDescent="0.35">
      <c r="A935" t="s">
        <v>2499</v>
      </c>
      <c r="B935" t="s">
        <v>2500</v>
      </c>
      <c r="C935">
        <v>32.46</v>
      </c>
      <c r="D935" s="1">
        <v>44995.791504629633</v>
      </c>
      <c r="E935" s="2">
        <f t="shared" si="56"/>
        <v>0.79150462963298196</v>
      </c>
      <c r="F935" s="3">
        <f t="shared" si="57"/>
        <v>44995</v>
      </c>
      <c r="G935" t="s">
        <v>17</v>
      </c>
      <c r="H935" t="s">
        <v>249</v>
      </c>
      <c r="I935" t="s">
        <v>546</v>
      </c>
      <c r="J935" t="s">
        <v>2501</v>
      </c>
      <c r="K935" t="s">
        <v>186</v>
      </c>
      <c r="L935" t="s">
        <v>36</v>
      </c>
      <c r="M935">
        <v>31</v>
      </c>
      <c r="N935" t="s">
        <v>23</v>
      </c>
      <c r="O935">
        <v>10</v>
      </c>
      <c r="P935">
        <v>1</v>
      </c>
      <c r="Q935">
        <v>8656.18</v>
      </c>
      <c r="R935" s="4">
        <v>45600</v>
      </c>
      <c r="S935" s="6">
        <v>0.3399652777777778</v>
      </c>
      <c r="T935">
        <f t="shared" si="58"/>
        <v>18</v>
      </c>
      <c r="U935" t="str" cm="1">
        <f t="array" ref="U935">_xlfn.IFS(M935&lt;=34,"YOUNG",M935&lt;=54,"MIDDLE AGE",M935&gt;=55,"OLD")</f>
        <v>YOUNG</v>
      </c>
      <c r="V935" t="str">
        <f t="shared" si="59"/>
        <v>NORMAL</v>
      </c>
    </row>
    <row r="936" spans="1:22" x14ac:dyDescent="0.35">
      <c r="A936" t="s">
        <v>2502</v>
      </c>
      <c r="B936" t="s">
        <v>322</v>
      </c>
      <c r="C936">
        <v>1022.75</v>
      </c>
      <c r="D936" s="1">
        <v>44945.698101851849</v>
      </c>
      <c r="E936" s="2">
        <f t="shared" si="56"/>
        <v>0.69810185184906004</v>
      </c>
      <c r="F936" s="3">
        <f t="shared" si="57"/>
        <v>44945</v>
      </c>
      <c r="G936" t="s">
        <v>46</v>
      </c>
      <c r="H936" t="s">
        <v>223</v>
      </c>
      <c r="I936" t="s">
        <v>2503</v>
      </c>
      <c r="J936" t="s">
        <v>1943</v>
      </c>
      <c r="K936" t="s">
        <v>50</v>
      </c>
      <c r="L936" t="s">
        <v>69</v>
      </c>
      <c r="M936">
        <v>62</v>
      </c>
      <c r="N936" t="s">
        <v>23</v>
      </c>
      <c r="O936">
        <v>158</v>
      </c>
      <c r="P936">
        <v>1</v>
      </c>
      <c r="Q936">
        <v>207.74</v>
      </c>
      <c r="R936" s="4">
        <v>45600</v>
      </c>
      <c r="S936" s="6">
        <v>0.34082175925925928</v>
      </c>
      <c r="T936">
        <f t="shared" si="58"/>
        <v>16</v>
      </c>
      <c r="U936" t="str" cm="1">
        <f t="array" ref="U936">_xlfn.IFS(M936&lt;=34,"YOUNG",M936&lt;=54,"MIDDLE AGE",M936&gt;=55,"OLD")</f>
        <v>OLD</v>
      </c>
      <c r="V936" t="str">
        <f t="shared" si="59"/>
        <v>NORMAL</v>
      </c>
    </row>
    <row r="937" spans="1:22" x14ac:dyDescent="0.35">
      <c r="A937" t="s">
        <v>2504</v>
      </c>
      <c r="B937" t="s">
        <v>617</v>
      </c>
      <c r="C937">
        <v>20.64</v>
      </c>
      <c r="D937" s="1">
        <v>45036.66741898148</v>
      </c>
      <c r="E937" s="2">
        <f t="shared" si="56"/>
        <v>0.66741898148029577</v>
      </c>
      <c r="F937" s="3">
        <f t="shared" si="57"/>
        <v>45036</v>
      </c>
      <c r="G937" t="s">
        <v>17</v>
      </c>
      <c r="H937" t="s">
        <v>249</v>
      </c>
      <c r="I937" t="s">
        <v>2505</v>
      </c>
      <c r="J937" t="s">
        <v>1852</v>
      </c>
      <c r="K937" t="s">
        <v>1281</v>
      </c>
      <c r="L937" t="s">
        <v>69</v>
      </c>
      <c r="M937">
        <v>22</v>
      </c>
      <c r="N937" t="s">
        <v>37</v>
      </c>
      <c r="O937">
        <v>59</v>
      </c>
      <c r="P937">
        <v>1</v>
      </c>
      <c r="Q937">
        <v>949.38</v>
      </c>
      <c r="R937" s="4">
        <v>45600</v>
      </c>
      <c r="S937" s="6">
        <v>0.33978009259259262</v>
      </c>
      <c r="T937">
        <f t="shared" si="58"/>
        <v>16</v>
      </c>
      <c r="U937" t="str" cm="1">
        <f t="array" ref="U937">_xlfn.IFS(M937&lt;=34,"YOUNG",M937&lt;=54,"MIDDLE AGE",M937&gt;=55,"OLD")</f>
        <v>YOUNG</v>
      </c>
      <c r="V937" t="str">
        <f t="shared" si="59"/>
        <v>NORMAL</v>
      </c>
    </row>
    <row r="938" spans="1:22" x14ac:dyDescent="0.35">
      <c r="A938" t="s">
        <v>2506</v>
      </c>
      <c r="B938" t="s">
        <v>2507</v>
      </c>
      <c r="C938">
        <v>662.11</v>
      </c>
      <c r="D938" s="1">
        <v>44959.7030787037</v>
      </c>
      <c r="E938" s="2">
        <f t="shared" si="56"/>
        <v>0.70307870370015735</v>
      </c>
      <c r="F938" s="3">
        <f t="shared" si="57"/>
        <v>44959</v>
      </c>
      <c r="G938" t="s">
        <v>17</v>
      </c>
      <c r="H938" t="s">
        <v>47</v>
      </c>
      <c r="I938" t="s">
        <v>1253</v>
      </c>
      <c r="J938" t="s">
        <v>361</v>
      </c>
      <c r="K938" t="s">
        <v>740</v>
      </c>
      <c r="L938" t="s">
        <v>69</v>
      </c>
      <c r="M938">
        <v>23</v>
      </c>
      <c r="N938" t="s">
        <v>37</v>
      </c>
      <c r="O938">
        <v>219</v>
      </c>
      <c r="P938">
        <v>1</v>
      </c>
      <c r="Q938">
        <v>1996.38</v>
      </c>
      <c r="R938" s="4">
        <v>45600</v>
      </c>
      <c r="S938" s="6">
        <v>0.33858796296296295</v>
      </c>
      <c r="T938">
        <f t="shared" si="58"/>
        <v>16</v>
      </c>
      <c r="U938" t="str" cm="1">
        <f t="array" ref="U938">_xlfn.IFS(M938&lt;=34,"YOUNG",M938&lt;=54,"MIDDLE AGE",M938&gt;=55,"OLD")</f>
        <v>YOUNG</v>
      </c>
      <c r="V938" t="str">
        <f t="shared" si="59"/>
        <v>NORMAL</v>
      </c>
    </row>
    <row r="939" spans="1:22" x14ac:dyDescent="0.35">
      <c r="A939" t="s">
        <v>2508</v>
      </c>
      <c r="B939" t="s">
        <v>1452</v>
      </c>
      <c r="C939">
        <v>288.77</v>
      </c>
      <c r="D939" s="1">
        <v>45243.696018518516</v>
      </c>
      <c r="E939" s="2">
        <f t="shared" si="56"/>
        <v>0.69601851851621177</v>
      </c>
      <c r="F939" s="3">
        <f t="shared" si="57"/>
        <v>45243</v>
      </c>
      <c r="G939" t="s">
        <v>17</v>
      </c>
      <c r="H939" t="s">
        <v>140</v>
      </c>
      <c r="I939" t="s">
        <v>1622</v>
      </c>
      <c r="J939" t="s">
        <v>410</v>
      </c>
      <c r="K939" t="s">
        <v>105</v>
      </c>
      <c r="L939" t="s">
        <v>22</v>
      </c>
      <c r="M939">
        <v>55</v>
      </c>
      <c r="N939" t="s">
        <v>77</v>
      </c>
      <c r="O939">
        <v>110</v>
      </c>
      <c r="P939">
        <v>1</v>
      </c>
      <c r="Q939">
        <v>8836.51</v>
      </c>
      <c r="R939" s="4">
        <v>45600</v>
      </c>
      <c r="S939" s="6">
        <v>0.34009259259259261</v>
      </c>
      <c r="T939">
        <f t="shared" si="58"/>
        <v>16</v>
      </c>
      <c r="U939" t="str" cm="1">
        <f t="array" ref="U939">_xlfn.IFS(M939&lt;=34,"YOUNG",M939&lt;=54,"MIDDLE AGE",M939&gt;=55,"OLD")</f>
        <v>OLD</v>
      </c>
      <c r="V939" t="str">
        <f t="shared" si="59"/>
        <v>NORMAL</v>
      </c>
    </row>
    <row r="940" spans="1:22" x14ac:dyDescent="0.35">
      <c r="A940" t="s">
        <v>2509</v>
      </c>
      <c r="B940" t="s">
        <v>712</v>
      </c>
      <c r="C940">
        <v>35.049999999999997</v>
      </c>
      <c r="D940" s="1">
        <v>45196.786527777775</v>
      </c>
      <c r="E940" s="2">
        <f t="shared" si="56"/>
        <v>0.78652777777460869</v>
      </c>
      <c r="F940" s="3">
        <f t="shared" si="57"/>
        <v>45196</v>
      </c>
      <c r="G940" t="s">
        <v>17</v>
      </c>
      <c r="H940" t="s">
        <v>388</v>
      </c>
      <c r="I940" t="s">
        <v>93</v>
      </c>
      <c r="J940" t="s">
        <v>2510</v>
      </c>
      <c r="K940" t="s">
        <v>478</v>
      </c>
      <c r="L940" t="s">
        <v>69</v>
      </c>
      <c r="M940">
        <v>30</v>
      </c>
      <c r="N940" t="s">
        <v>23</v>
      </c>
      <c r="O940">
        <v>105</v>
      </c>
      <c r="P940">
        <v>1</v>
      </c>
      <c r="Q940">
        <v>14330.47</v>
      </c>
      <c r="R940" s="4">
        <v>45600</v>
      </c>
      <c r="S940" s="6">
        <v>0.33839120370370368</v>
      </c>
      <c r="T940">
        <f t="shared" si="58"/>
        <v>18</v>
      </c>
      <c r="U940" t="str" cm="1">
        <f t="array" ref="U940">_xlfn.IFS(M940&lt;=34,"YOUNG",M940&lt;=54,"MIDDLE AGE",M940&gt;=55,"OLD")</f>
        <v>YOUNG</v>
      </c>
      <c r="V940" t="str">
        <f t="shared" si="59"/>
        <v>NORMAL</v>
      </c>
    </row>
    <row r="941" spans="1:22" x14ac:dyDescent="0.35">
      <c r="A941" t="s">
        <v>2511</v>
      </c>
      <c r="B941" t="s">
        <v>2512</v>
      </c>
      <c r="C941">
        <v>214.73</v>
      </c>
      <c r="D941" s="1">
        <v>45240.769548611112</v>
      </c>
      <c r="E941" s="2">
        <f t="shared" si="56"/>
        <v>0.7695486111115315</v>
      </c>
      <c r="F941" s="3">
        <f t="shared" si="57"/>
        <v>45240</v>
      </c>
      <c r="G941" t="s">
        <v>46</v>
      </c>
      <c r="H941" t="s">
        <v>140</v>
      </c>
      <c r="I941" t="s">
        <v>2513</v>
      </c>
      <c r="J941" t="s">
        <v>1375</v>
      </c>
      <c r="K941" t="s">
        <v>885</v>
      </c>
      <c r="L941" t="s">
        <v>22</v>
      </c>
      <c r="M941">
        <v>46</v>
      </c>
      <c r="N941" t="s">
        <v>23</v>
      </c>
      <c r="O941">
        <v>26</v>
      </c>
      <c r="P941">
        <v>1</v>
      </c>
      <c r="Q941">
        <v>5368.42</v>
      </c>
      <c r="R941" s="4">
        <v>45600</v>
      </c>
      <c r="S941" s="6">
        <v>0.33864583333333331</v>
      </c>
      <c r="T941">
        <f t="shared" si="58"/>
        <v>18</v>
      </c>
      <c r="U941" t="str" cm="1">
        <f t="array" ref="U941">_xlfn.IFS(M941&lt;=34,"YOUNG",M941&lt;=54,"MIDDLE AGE",M941&gt;=55,"OLD")</f>
        <v>MIDDLE AGE</v>
      </c>
      <c r="V941" t="str">
        <f t="shared" si="59"/>
        <v>NORMAL</v>
      </c>
    </row>
    <row r="942" spans="1:22" x14ac:dyDescent="0.35">
      <c r="A942" t="s">
        <v>2514</v>
      </c>
      <c r="B942" t="s">
        <v>1870</v>
      </c>
      <c r="C942">
        <v>25.38</v>
      </c>
      <c r="D942" s="1">
        <v>45222.668854166666</v>
      </c>
      <c r="E942" s="2">
        <f t="shared" si="56"/>
        <v>0.66885416666627862</v>
      </c>
      <c r="F942" s="3">
        <f t="shared" si="57"/>
        <v>45222</v>
      </c>
      <c r="G942" t="s">
        <v>17</v>
      </c>
      <c r="H942" t="s">
        <v>108</v>
      </c>
      <c r="I942" t="s">
        <v>1886</v>
      </c>
      <c r="J942" t="s">
        <v>1053</v>
      </c>
      <c r="K942" t="s">
        <v>1209</v>
      </c>
      <c r="L942" t="s">
        <v>69</v>
      </c>
      <c r="M942">
        <v>57</v>
      </c>
      <c r="N942" t="s">
        <v>77</v>
      </c>
      <c r="O942">
        <v>66</v>
      </c>
      <c r="P942">
        <v>1</v>
      </c>
      <c r="Q942">
        <v>8616.0499999999993</v>
      </c>
      <c r="R942" s="4">
        <v>45600</v>
      </c>
      <c r="S942" s="6">
        <v>0.34144675925925927</v>
      </c>
      <c r="T942">
        <f t="shared" si="58"/>
        <v>16</v>
      </c>
      <c r="U942" t="str" cm="1">
        <f t="array" ref="U942">_xlfn.IFS(M942&lt;=34,"YOUNG",M942&lt;=54,"MIDDLE AGE",M942&gt;=55,"OLD")</f>
        <v>OLD</v>
      </c>
      <c r="V942" t="str">
        <f t="shared" si="59"/>
        <v>NORMAL</v>
      </c>
    </row>
    <row r="943" spans="1:22" x14ac:dyDescent="0.35">
      <c r="A943" t="s">
        <v>2515</v>
      </c>
      <c r="B943" t="s">
        <v>742</v>
      </c>
      <c r="C943">
        <v>617.66</v>
      </c>
      <c r="D943" s="1">
        <v>44956.690462962964</v>
      </c>
      <c r="E943" s="2">
        <f t="shared" si="56"/>
        <v>0.69046296296437504</v>
      </c>
      <c r="F943" s="3">
        <f t="shared" si="57"/>
        <v>44956</v>
      </c>
      <c r="G943" t="s">
        <v>17</v>
      </c>
      <c r="H943" t="s">
        <v>92</v>
      </c>
      <c r="I943" t="s">
        <v>1610</v>
      </c>
      <c r="J943" t="s">
        <v>651</v>
      </c>
      <c r="K943" t="s">
        <v>308</v>
      </c>
      <c r="L943" t="s">
        <v>22</v>
      </c>
      <c r="M943">
        <v>41</v>
      </c>
      <c r="N943" t="s">
        <v>77</v>
      </c>
      <c r="O943">
        <v>40</v>
      </c>
      <c r="P943">
        <v>1</v>
      </c>
      <c r="Q943">
        <v>5906.58</v>
      </c>
      <c r="R943" s="4">
        <v>45600</v>
      </c>
      <c r="S943" s="6">
        <v>0.34047453703703706</v>
      </c>
      <c r="T943">
        <f t="shared" si="58"/>
        <v>16</v>
      </c>
      <c r="U943" t="str" cm="1">
        <f t="array" ref="U943">_xlfn.IFS(M943&lt;=34,"YOUNG",M943&lt;=54,"MIDDLE AGE",M943&gt;=55,"OLD")</f>
        <v>MIDDLE AGE</v>
      </c>
      <c r="V943" t="str">
        <f t="shared" si="59"/>
        <v>NORMAL</v>
      </c>
    </row>
    <row r="944" spans="1:22" x14ac:dyDescent="0.35">
      <c r="A944" t="s">
        <v>2516</v>
      </c>
      <c r="B944" t="s">
        <v>1659</v>
      </c>
      <c r="C944">
        <v>446.39</v>
      </c>
      <c r="D944" s="1">
        <v>45272.73741898148</v>
      </c>
      <c r="E944" s="2">
        <f t="shared" si="56"/>
        <v>0.73741898148000473</v>
      </c>
      <c r="F944" s="3">
        <f t="shared" si="57"/>
        <v>45272</v>
      </c>
      <c r="G944" t="s">
        <v>17</v>
      </c>
      <c r="H944" t="s">
        <v>26</v>
      </c>
      <c r="I944" t="s">
        <v>1532</v>
      </c>
      <c r="J944" t="s">
        <v>779</v>
      </c>
      <c r="K944" t="s">
        <v>62</v>
      </c>
      <c r="L944" t="s">
        <v>22</v>
      </c>
      <c r="M944">
        <v>63</v>
      </c>
      <c r="N944" t="s">
        <v>70</v>
      </c>
      <c r="O944">
        <v>77</v>
      </c>
      <c r="P944">
        <v>1</v>
      </c>
      <c r="Q944">
        <v>7863.6</v>
      </c>
      <c r="R944" s="4">
        <v>45600</v>
      </c>
      <c r="S944" s="6">
        <v>0.33868055555555554</v>
      </c>
      <c r="T944">
        <f t="shared" si="58"/>
        <v>17</v>
      </c>
      <c r="U944" t="str" cm="1">
        <f t="array" ref="U944">_xlfn.IFS(M944&lt;=34,"YOUNG",M944&lt;=54,"MIDDLE AGE",M944&gt;=55,"OLD")</f>
        <v>OLD</v>
      </c>
      <c r="V944" t="str">
        <f t="shared" si="59"/>
        <v>NORMAL</v>
      </c>
    </row>
    <row r="945" spans="1:22" x14ac:dyDescent="0.35">
      <c r="A945" t="s">
        <v>2517</v>
      </c>
      <c r="B945" t="s">
        <v>843</v>
      </c>
      <c r="C945">
        <v>377.92</v>
      </c>
      <c r="D945" s="1">
        <v>44979.728888888887</v>
      </c>
      <c r="E945" s="2">
        <f t="shared" si="56"/>
        <v>0.72888888888701331</v>
      </c>
      <c r="F945" s="3">
        <f t="shared" si="57"/>
        <v>44979</v>
      </c>
      <c r="G945" t="s">
        <v>17</v>
      </c>
      <c r="H945" t="s">
        <v>40</v>
      </c>
      <c r="I945" t="s">
        <v>2518</v>
      </c>
      <c r="J945" t="s">
        <v>298</v>
      </c>
      <c r="K945" t="s">
        <v>175</v>
      </c>
      <c r="L945" t="s">
        <v>69</v>
      </c>
      <c r="M945">
        <v>33</v>
      </c>
      <c r="N945" t="s">
        <v>77</v>
      </c>
      <c r="O945">
        <v>204</v>
      </c>
      <c r="P945">
        <v>1</v>
      </c>
      <c r="Q945">
        <v>2254.71</v>
      </c>
      <c r="R945" s="4">
        <v>45600</v>
      </c>
      <c r="S945" s="6">
        <v>0.33811342592592591</v>
      </c>
      <c r="T945">
        <f t="shared" si="58"/>
        <v>17</v>
      </c>
      <c r="U945" t="str" cm="1">
        <f t="array" ref="U945">_xlfn.IFS(M945&lt;=34,"YOUNG",M945&lt;=54,"MIDDLE AGE",M945&gt;=55,"OLD")</f>
        <v>YOUNG</v>
      </c>
      <c r="V945" t="str">
        <f t="shared" si="59"/>
        <v>NORMAL</v>
      </c>
    </row>
    <row r="946" spans="1:22" x14ac:dyDescent="0.35">
      <c r="A946" t="s">
        <v>2519</v>
      </c>
      <c r="B946" t="s">
        <v>91</v>
      </c>
      <c r="C946">
        <v>11.04</v>
      </c>
      <c r="D946" s="1">
        <v>44970.762129629627</v>
      </c>
      <c r="E946" s="2">
        <f t="shared" si="56"/>
        <v>0.76212962962745223</v>
      </c>
      <c r="F946" s="3">
        <f t="shared" si="57"/>
        <v>44970</v>
      </c>
      <c r="G946" t="s">
        <v>17</v>
      </c>
      <c r="H946" t="s">
        <v>425</v>
      </c>
      <c r="I946" t="s">
        <v>2270</v>
      </c>
      <c r="J946" t="s">
        <v>477</v>
      </c>
      <c r="K946" t="s">
        <v>308</v>
      </c>
      <c r="L946" t="s">
        <v>36</v>
      </c>
      <c r="M946">
        <v>30</v>
      </c>
      <c r="N946" t="s">
        <v>77</v>
      </c>
      <c r="O946">
        <v>43</v>
      </c>
      <c r="P946">
        <v>1</v>
      </c>
      <c r="Q946">
        <v>6983.04</v>
      </c>
      <c r="R946" s="4">
        <v>45600</v>
      </c>
      <c r="S946" s="6">
        <v>0.34074074074074073</v>
      </c>
      <c r="T946">
        <f t="shared" si="58"/>
        <v>18</v>
      </c>
      <c r="U946" t="str" cm="1">
        <f t="array" ref="U946">_xlfn.IFS(M946&lt;=34,"YOUNG",M946&lt;=54,"MIDDLE AGE",M946&gt;=55,"OLD")</f>
        <v>YOUNG</v>
      </c>
      <c r="V946" t="str">
        <f t="shared" si="59"/>
        <v>NORMAL</v>
      </c>
    </row>
    <row r="947" spans="1:22" x14ac:dyDescent="0.35">
      <c r="A947" t="s">
        <v>2520</v>
      </c>
      <c r="B947" t="s">
        <v>2097</v>
      </c>
      <c r="C947">
        <v>275.45999999999998</v>
      </c>
      <c r="D947" s="1">
        <v>45131.714641203704</v>
      </c>
      <c r="E947" s="2">
        <f t="shared" si="56"/>
        <v>0.71464120370364981</v>
      </c>
      <c r="F947" s="3">
        <f t="shared" si="57"/>
        <v>45131</v>
      </c>
      <c r="G947" t="s">
        <v>17</v>
      </c>
      <c r="H947" t="s">
        <v>157</v>
      </c>
      <c r="I947" t="s">
        <v>2034</v>
      </c>
      <c r="J947" t="s">
        <v>2521</v>
      </c>
      <c r="K947" t="s">
        <v>418</v>
      </c>
      <c r="L947" t="s">
        <v>22</v>
      </c>
      <c r="M947">
        <v>36</v>
      </c>
      <c r="N947" t="s">
        <v>23</v>
      </c>
      <c r="O947">
        <v>67</v>
      </c>
      <c r="P947">
        <v>1</v>
      </c>
      <c r="Q947">
        <v>9697.75</v>
      </c>
      <c r="R947" s="4">
        <v>45600</v>
      </c>
      <c r="S947" s="6">
        <v>0.34181712962962962</v>
      </c>
      <c r="T947">
        <f t="shared" si="58"/>
        <v>17</v>
      </c>
      <c r="U947" t="str" cm="1">
        <f t="array" ref="U947">_xlfn.IFS(M947&lt;=34,"YOUNG",M947&lt;=54,"MIDDLE AGE",M947&gt;=55,"OLD")</f>
        <v>MIDDLE AGE</v>
      </c>
      <c r="V947" t="str">
        <f t="shared" si="59"/>
        <v>NORMAL</v>
      </c>
    </row>
    <row r="948" spans="1:22" x14ac:dyDescent="0.35">
      <c r="A948" t="s">
        <v>2522</v>
      </c>
      <c r="B948" t="s">
        <v>118</v>
      </c>
      <c r="C948">
        <v>179.76</v>
      </c>
      <c r="D948" s="1">
        <v>45119.67465277778</v>
      </c>
      <c r="E948" s="2">
        <f t="shared" si="56"/>
        <v>0.67465277777955635</v>
      </c>
      <c r="F948" s="3">
        <f t="shared" si="57"/>
        <v>45119</v>
      </c>
      <c r="G948" t="s">
        <v>17</v>
      </c>
      <c r="H948" t="s">
        <v>243</v>
      </c>
      <c r="I948" t="s">
        <v>233</v>
      </c>
      <c r="J948" t="s">
        <v>2523</v>
      </c>
      <c r="K948" t="s">
        <v>137</v>
      </c>
      <c r="L948" t="s">
        <v>36</v>
      </c>
      <c r="M948">
        <v>78</v>
      </c>
      <c r="N948" t="s">
        <v>70</v>
      </c>
      <c r="O948">
        <v>81</v>
      </c>
      <c r="P948">
        <v>1</v>
      </c>
      <c r="Q948">
        <v>5909.52</v>
      </c>
      <c r="R948" s="4">
        <v>45600</v>
      </c>
      <c r="S948" s="6">
        <v>0.33984953703703702</v>
      </c>
      <c r="T948">
        <f t="shared" si="58"/>
        <v>16</v>
      </c>
      <c r="U948" t="str" cm="1">
        <f t="array" ref="U948">_xlfn.IFS(M948&lt;=34,"YOUNG",M948&lt;=54,"MIDDLE AGE",M948&gt;=55,"OLD")</f>
        <v>OLD</v>
      </c>
      <c r="V948" t="str">
        <f t="shared" si="59"/>
        <v>NORMAL</v>
      </c>
    </row>
    <row r="949" spans="1:22" x14ac:dyDescent="0.35">
      <c r="A949" t="s">
        <v>2524</v>
      </c>
      <c r="B949" t="s">
        <v>2525</v>
      </c>
      <c r="C949">
        <v>32.340000000000003</v>
      </c>
      <c r="D949" s="1">
        <v>45098.703067129631</v>
      </c>
      <c r="E949" s="2">
        <f t="shared" si="56"/>
        <v>0.70306712963065365</v>
      </c>
      <c r="F949" s="3">
        <f t="shared" si="57"/>
        <v>45098</v>
      </c>
      <c r="G949" t="s">
        <v>17</v>
      </c>
      <c r="H949" t="s">
        <v>291</v>
      </c>
      <c r="I949" t="s">
        <v>485</v>
      </c>
      <c r="J949" t="s">
        <v>995</v>
      </c>
      <c r="K949" t="s">
        <v>1014</v>
      </c>
      <c r="L949" t="s">
        <v>69</v>
      </c>
      <c r="M949">
        <v>44</v>
      </c>
      <c r="N949" t="s">
        <v>23</v>
      </c>
      <c r="O949">
        <v>45</v>
      </c>
      <c r="P949">
        <v>1</v>
      </c>
      <c r="Q949">
        <v>7847.62</v>
      </c>
      <c r="R949" s="4">
        <v>45600</v>
      </c>
      <c r="S949" s="6">
        <v>0.33990740740740738</v>
      </c>
      <c r="T949">
        <f t="shared" si="58"/>
        <v>16</v>
      </c>
      <c r="U949" t="str" cm="1">
        <f t="array" ref="U949">_xlfn.IFS(M949&lt;=34,"YOUNG",M949&lt;=54,"MIDDLE AGE",M949&gt;=55,"OLD")</f>
        <v>MIDDLE AGE</v>
      </c>
      <c r="V949" t="str">
        <f t="shared" si="59"/>
        <v>NORMAL</v>
      </c>
    </row>
    <row r="950" spans="1:22" x14ac:dyDescent="0.35">
      <c r="A950" t="s">
        <v>2526</v>
      </c>
      <c r="B950" t="s">
        <v>905</v>
      </c>
      <c r="C950">
        <v>273.92</v>
      </c>
      <c r="D950" s="1">
        <v>45111.743078703701</v>
      </c>
      <c r="E950" s="2">
        <f t="shared" si="56"/>
        <v>0.74307870370103046</v>
      </c>
      <c r="F950" s="3">
        <f t="shared" si="57"/>
        <v>45111</v>
      </c>
      <c r="G950" t="s">
        <v>17</v>
      </c>
      <c r="H950" t="s">
        <v>595</v>
      </c>
      <c r="I950" t="s">
        <v>2015</v>
      </c>
      <c r="J950" t="s">
        <v>2527</v>
      </c>
      <c r="K950" t="s">
        <v>200</v>
      </c>
      <c r="L950" t="s">
        <v>69</v>
      </c>
      <c r="M950">
        <v>79</v>
      </c>
      <c r="N950" t="s">
        <v>70</v>
      </c>
      <c r="O950">
        <v>109</v>
      </c>
      <c r="P950">
        <v>1</v>
      </c>
      <c r="Q950">
        <v>4543.5600000000004</v>
      </c>
      <c r="R950" s="4">
        <v>45600</v>
      </c>
      <c r="S950" s="6">
        <v>0.34152777777777776</v>
      </c>
      <c r="T950">
        <f t="shared" si="58"/>
        <v>17</v>
      </c>
      <c r="U950" t="str" cm="1">
        <f t="array" ref="U950">_xlfn.IFS(M950&lt;=34,"YOUNG",M950&lt;=54,"MIDDLE AGE",M950&gt;=55,"OLD")</f>
        <v>OLD</v>
      </c>
      <c r="V950" t="str">
        <f t="shared" si="59"/>
        <v>NORMAL</v>
      </c>
    </row>
    <row r="951" spans="1:22" x14ac:dyDescent="0.35">
      <c r="A951" t="s">
        <v>2528</v>
      </c>
      <c r="B951" t="s">
        <v>429</v>
      </c>
      <c r="C951">
        <v>375.45</v>
      </c>
      <c r="D951" s="1">
        <v>45265.748368055552</v>
      </c>
      <c r="E951" s="2">
        <f t="shared" si="56"/>
        <v>0.74836805555241881</v>
      </c>
      <c r="F951" s="3">
        <f t="shared" si="57"/>
        <v>45265</v>
      </c>
      <c r="G951" t="s">
        <v>17</v>
      </c>
      <c r="H951" t="s">
        <v>157</v>
      </c>
      <c r="I951" t="s">
        <v>179</v>
      </c>
      <c r="J951" t="s">
        <v>1898</v>
      </c>
      <c r="K951" t="s">
        <v>21</v>
      </c>
      <c r="L951" t="s">
        <v>69</v>
      </c>
      <c r="M951">
        <v>19</v>
      </c>
      <c r="N951" t="s">
        <v>37</v>
      </c>
      <c r="O951">
        <v>32</v>
      </c>
      <c r="P951">
        <v>1</v>
      </c>
      <c r="Q951">
        <v>1307.23</v>
      </c>
      <c r="R951" s="4">
        <v>45600</v>
      </c>
      <c r="S951" s="6">
        <v>0.33924768518518517</v>
      </c>
      <c r="T951">
        <f t="shared" si="58"/>
        <v>17</v>
      </c>
      <c r="U951" t="str" cm="1">
        <f t="array" ref="U951">_xlfn.IFS(M951&lt;=34,"YOUNG",M951&lt;=54,"MIDDLE AGE",M951&gt;=55,"OLD")</f>
        <v>YOUNG</v>
      </c>
      <c r="V951" t="str">
        <f t="shared" si="59"/>
        <v>NORMAL</v>
      </c>
    </row>
    <row r="952" spans="1:22" x14ac:dyDescent="0.35">
      <c r="A952" t="s">
        <v>2529</v>
      </c>
      <c r="B952" t="s">
        <v>2530</v>
      </c>
      <c r="C952">
        <v>388.98</v>
      </c>
      <c r="D952" s="1">
        <v>45159.71539351852</v>
      </c>
      <c r="E952" s="2">
        <f t="shared" si="56"/>
        <v>0.71539351851970423</v>
      </c>
      <c r="F952" s="3">
        <f t="shared" si="57"/>
        <v>45159</v>
      </c>
      <c r="G952" t="s">
        <v>17</v>
      </c>
      <c r="H952" t="s">
        <v>558</v>
      </c>
      <c r="I952" t="s">
        <v>351</v>
      </c>
      <c r="J952" t="s">
        <v>2027</v>
      </c>
      <c r="K952" t="s">
        <v>262</v>
      </c>
      <c r="L952" t="s">
        <v>22</v>
      </c>
      <c r="M952">
        <v>23</v>
      </c>
      <c r="N952" t="s">
        <v>37</v>
      </c>
      <c r="O952">
        <v>155</v>
      </c>
      <c r="P952">
        <v>1</v>
      </c>
      <c r="Q952">
        <v>1819.91</v>
      </c>
      <c r="R952" s="4">
        <v>45600</v>
      </c>
      <c r="S952" s="6">
        <v>0.33925925925925926</v>
      </c>
      <c r="T952">
        <f t="shared" si="58"/>
        <v>17</v>
      </c>
      <c r="U952" t="str" cm="1">
        <f t="array" ref="U952">_xlfn.IFS(M952&lt;=34,"YOUNG",M952&lt;=54,"MIDDLE AGE",M952&gt;=55,"OLD")</f>
        <v>YOUNG</v>
      </c>
      <c r="V952" t="str">
        <f t="shared" si="59"/>
        <v>NORMAL</v>
      </c>
    </row>
    <row r="953" spans="1:22" x14ac:dyDescent="0.35">
      <c r="A953" t="s">
        <v>2531</v>
      </c>
      <c r="B953" t="s">
        <v>2532</v>
      </c>
      <c r="C953">
        <v>492.84</v>
      </c>
      <c r="D953" s="1">
        <v>44986.738449074073</v>
      </c>
      <c r="E953" s="2">
        <f t="shared" si="56"/>
        <v>0.73844907407328719</v>
      </c>
      <c r="F953" s="3">
        <f t="shared" si="57"/>
        <v>44986</v>
      </c>
      <c r="G953" t="s">
        <v>17</v>
      </c>
      <c r="H953" t="s">
        <v>65</v>
      </c>
      <c r="I953" t="s">
        <v>1529</v>
      </c>
      <c r="J953" t="s">
        <v>168</v>
      </c>
      <c r="K953" t="s">
        <v>427</v>
      </c>
      <c r="L953" t="s">
        <v>22</v>
      </c>
      <c r="M953">
        <v>25</v>
      </c>
      <c r="N953" t="s">
        <v>37</v>
      </c>
      <c r="O953">
        <v>38</v>
      </c>
      <c r="P953">
        <v>1</v>
      </c>
      <c r="Q953">
        <v>577.66999999999996</v>
      </c>
      <c r="R953" s="4">
        <v>45600</v>
      </c>
      <c r="S953" s="6">
        <v>0.33984953703703702</v>
      </c>
      <c r="T953">
        <f t="shared" si="58"/>
        <v>17</v>
      </c>
      <c r="U953" t="str" cm="1">
        <f t="array" ref="U953">_xlfn.IFS(M953&lt;=34,"YOUNG",M953&lt;=54,"MIDDLE AGE",M953&gt;=55,"OLD")</f>
        <v>YOUNG</v>
      </c>
      <c r="V953" t="str">
        <f t="shared" si="59"/>
        <v>NORMAL</v>
      </c>
    </row>
    <row r="954" spans="1:22" x14ac:dyDescent="0.35">
      <c r="A954" t="s">
        <v>2533</v>
      </c>
      <c r="B954" t="s">
        <v>581</v>
      </c>
      <c r="C954">
        <v>148.85</v>
      </c>
      <c r="D954" s="1">
        <v>45259.699178240742</v>
      </c>
      <c r="E954" s="2">
        <f t="shared" si="56"/>
        <v>0.69917824074218515</v>
      </c>
      <c r="F954" s="3">
        <f t="shared" si="57"/>
        <v>45259</v>
      </c>
      <c r="G954" t="s">
        <v>17</v>
      </c>
      <c r="H954" t="s">
        <v>32</v>
      </c>
      <c r="I954" t="s">
        <v>1815</v>
      </c>
      <c r="J954" t="s">
        <v>779</v>
      </c>
      <c r="K954" t="s">
        <v>1037</v>
      </c>
      <c r="L954" t="s">
        <v>22</v>
      </c>
      <c r="M954">
        <v>57</v>
      </c>
      <c r="N954" t="s">
        <v>23</v>
      </c>
      <c r="O954">
        <v>25</v>
      </c>
      <c r="P954">
        <v>1</v>
      </c>
      <c r="Q954">
        <v>7802.36</v>
      </c>
      <c r="R954" s="4">
        <v>45600</v>
      </c>
      <c r="S954" s="6">
        <v>0.33939814814814817</v>
      </c>
      <c r="T954">
        <f t="shared" si="58"/>
        <v>16</v>
      </c>
      <c r="U954" t="str" cm="1">
        <f t="array" ref="U954">_xlfn.IFS(M954&lt;=34,"YOUNG",M954&lt;=54,"MIDDLE AGE",M954&gt;=55,"OLD")</f>
        <v>OLD</v>
      </c>
      <c r="V954" t="str">
        <f t="shared" si="59"/>
        <v>NORMAL</v>
      </c>
    </row>
    <row r="955" spans="1:22" x14ac:dyDescent="0.35">
      <c r="A955" t="s">
        <v>2534</v>
      </c>
      <c r="B955" t="s">
        <v>1267</v>
      </c>
      <c r="C955">
        <v>119.95</v>
      </c>
      <c r="D955" s="1">
        <v>45026.745185185187</v>
      </c>
      <c r="E955" s="2">
        <f t="shared" si="56"/>
        <v>0.74518518518743804</v>
      </c>
      <c r="F955" s="3">
        <f t="shared" si="57"/>
        <v>45026</v>
      </c>
      <c r="G955" t="s">
        <v>46</v>
      </c>
      <c r="H955" t="s">
        <v>243</v>
      </c>
      <c r="I955" t="s">
        <v>676</v>
      </c>
      <c r="J955" t="s">
        <v>2535</v>
      </c>
      <c r="K955" t="s">
        <v>186</v>
      </c>
      <c r="L955" t="s">
        <v>69</v>
      </c>
      <c r="M955">
        <v>62</v>
      </c>
      <c r="N955" t="s">
        <v>70</v>
      </c>
      <c r="O955">
        <v>47</v>
      </c>
      <c r="P955">
        <v>5</v>
      </c>
      <c r="Q955">
        <v>2596.61</v>
      </c>
      <c r="R955" s="4">
        <v>45600</v>
      </c>
      <c r="S955" s="6">
        <v>0.34059027777777778</v>
      </c>
      <c r="T955">
        <f t="shared" si="58"/>
        <v>17</v>
      </c>
      <c r="U955" t="str" cm="1">
        <f t="array" ref="U955">_xlfn.IFS(M955&lt;=34,"YOUNG",M955&lt;=54,"MIDDLE AGE",M955&gt;=55,"OLD")</f>
        <v>OLD</v>
      </c>
      <c r="V955" t="str">
        <f t="shared" si="59"/>
        <v>HIGH</v>
      </c>
    </row>
    <row r="956" spans="1:22" x14ac:dyDescent="0.35">
      <c r="A956" t="s">
        <v>2536</v>
      </c>
      <c r="B956" t="s">
        <v>376</v>
      </c>
      <c r="C956">
        <v>391.66</v>
      </c>
      <c r="D956" s="1">
        <v>45117.72892361111</v>
      </c>
      <c r="E956" s="2">
        <f t="shared" si="56"/>
        <v>0.72892361111007631</v>
      </c>
      <c r="F956" s="3">
        <f t="shared" si="57"/>
        <v>45117</v>
      </c>
      <c r="G956" t="s">
        <v>17</v>
      </c>
      <c r="H956" t="s">
        <v>558</v>
      </c>
      <c r="I956" t="s">
        <v>1508</v>
      </c>
      <c r="J956" t="s">
        <v>915</v>
      </c>
      <c r="K956" t="s">
        <v>619</v>
      </c>
      <c r="L956" t="s">
        <v>69</v>
      </c>
      <c r="M956">
        <v>50</v>
      </c>
      <c r="N956" t="s">
        <v>77</v>
      </c>
      <c r="O956">
        <v>103</v>
      </c>
      <c r="P956">
        <v>1</v>
      </c>
      <c r="Q956">
        <v>2406.31</v>
      </c>
      <c r="R956" s="4">
        <v>45600</v>
      </c>
      <c r="S956" s="6">
        <v>0.33800925925925923</v>
      </c>
      <c r="T956">
        <f t="shared" si="58"/>
        <v>17</v>
      </c>
      <c r="U956" t="str" cm="1">
        <f t="array" ref="U956">_xlfn.IFS(M956&lt;=34,"YOUNG",M956&lt;=54,"MIDDLE AGE",M956&gt;=55,"OLD")</f>
        <v>MIDDLE AGE</v>
      </c>
      <c r="V956" t="str">
        <f t="shared" si="59"/>
        <v>NORMAL</v>
      </c>
    </row>
    <row r="957" spans="1:22" x14ac:dyDescent="0.35">
      <c r="A957" t="s">
        <v>2537</v>
      </c>
      <c r="B957" t="s">
        <v>801</v>
      </c>
      <c r="C957">
        <v>185.99</v>
      </c>
      <c r="D957" s="1">
        <v>45040.701249999998</v>
      </c>
      <c r="E957" s="2">
        <f t="shared" si="56"/>
        <v>0.70124999999825377</v>
      </c>
      <c r="F957" s="3">
        <f t="shared" si="57"/>
        <v>45040</v>
      </c>
      <c r="G957" t="s">
        <v>46</v>
      </c>
      <c r="H957" t="s">
        <v>558</v>
      </c>
      <c r="I957" t="s">
        <v>2170</v>
      </c>
      <c r="J957" t="s">
        <v>2367</v>
      </c>
      <c r="K957" t="s">
        <v>607</v>
      </c>
      <c r="L957" t="s">
        <v>69</v>
      </c>
      <c r="M957">
        <v>41</v>
      </c>
      <c r="N957" t="s">
        <v>77</v>
      </c>
      <c r="O957">
        <v>53</v>
      </c>
      <c r="P957">
        <v>1</v>
      </c>
      <c r="Q957">
        <v>402.45</v>
      </c>
      <c r="R957" s="4">
        <v>45600</v>
      </c>
      <c r="S957" s="6">
        <v>0.34009259259259261</v>
      </c>
      <c r="T957">
        <f t="shared" si="58"/>
        <v>16</v>
      </c>
      <c r="U957" t="str" cm="1">
        <f t="array" ref="U957">_xlfn.IFS(M957&lt;=34,"YOUNG",M957&lt;=54,"MIDDLE AGE",M957&gt;=55,"OLD")</f>
        <v>MIDDLE AGE</v>
      </c>
      <c r="V957" t="str">
        <f t="shared" si="59"/>
        <v>NORMAL</v>
      </c>
    </row>
    <row r="958" spans="1:22" x14ac:dyDescent="0.35">
      <c r="A958" t="s">
        <v>2538</v>
      </c>
      <c r="B958" t="s">
        <v>2539</v>
      </c>
      <c r="C958">
        <v>322.48</v>
      </c>
      <c r="D958" s="1">
        <v>44998.674085648148</v>
      </c>
      <c r="E958" s="2">
        <f t="shared" si="56"/>
        <v>0.67408564814832062</v>
      </c>
      <c r="F958" s="3">
        <f t="shared" si="57"/>
        <v>44998</v>
      </c>
      <c r="G958" t="s">
        <v>17</v>
      </c>
      <c r="H958" t="s">
        <v>392</v>
      </c>
      <c r="I958" t="s">
        <v>1713</v>
      </c>
      <c r="J958" t="s">
        <v>1298</v>
      </c>
      <c r="K958" t="s">
        <v>386</v>
      </c>
      <c r="L958" t="s">
        <v>22</v>
      </c>
      <c r="M958">
        <v>27</v>
      </c>
      <c r="N958" t="s">
        <v>37</v>
      </c>
      <c r="O958">
        <v>57</v>
      </c>
      <c r="P958">
        <v>1</v>
      </c>
      <c r="Q958">
        <v>1238.43</v>
      </c>
      <c r="R958" s="4">
        <v>45600</v>
      </c>
      <c r="S958" s="6">
        <v>0.34126157407407409</v>
      </c>
      <c r="T958">
        <f t="shared" si="58"/>
        <v>16</v>
      </c>
      <c r="U958" t="str" cm="1">
        <f t="array" ref="U958">_xlfn.IFS(M958&lt;=34,"YOUNG",M958&lt;=54,"MIDDLE AGE",M958&gt;=55,"OLD")</f>
        <v>YOUNG</v>
      </c>
      <c r="V958" t="str">
        <f t="shared" si="59"/>
        <v>NORMAL</v>
      </c>
    </row>
    <row r="959" spans="1:22" x14ac:dyDescent="0.35">
      <c r="A959" t="s">
        <v>2540</v>
      </c>
      <c r="B959" t="s">
        <v>380</v>
      </c>
      <c r="C959">
        <v>20.27</v>
      </c>
      <c r="D959" s="1">
        <v>45264.685879629629</v>
      </c>
      <c r="E959" s="2">
        <f t="shared" si="56"/>
        <v>0.68587962962919846</v>
      </c>
      <c r="F959" s="3">
        <f t="shared" si="57"/>
        <v>45264</v>
      </c>
      <c r="G959" t="s">
        <v>17</v>
      </c>
      <c r="H959" t="s">
        <v>172</v>
      </c>
      <c r="I959" t="s">
        <v>1713</v>
      </c>
      <c r="J959" t="s">
        <v>422</v>
      </c>
      <c r="K959" t="s">
        <v>149</v>
      </c>
      <c r="L959" t="s">
        <v>69</v>
      </c>
      <c r="M959">
        <v>18</v>
      </c>
      <c r="N959" t="s">
        <v>37</v>
      </c>
      <c r="O959">
        <v>22</v>
      </c>
      <c r="P959">
        <v>1</v>
      </c>
      <c r="Q959">
        <v>796.35</v>
      </c>
      <c r="R959" s="4">
        <v>45600</v>
      </c>
      <c r="S959" s="6">
        <v>0.34002314814814816</v>
      </c>
      <c r="T959">
        <f t="shared" si="58"/>
        <v>16</v>
      </c>
      <c r="U959" t="str" cm="1">
        <f t="array" ref="U959">_xlfn.IFS(M959&lt;=34,"YOUNG",M959&lt;=54,"MIDDLE AGE",M959&gt;=55,"OLD")</f>
        <v>YOUNG</v>
      </c>
      <c r="V959" t="str">
        <f t="shared" si="59"/>
        <v>NORMAL</v>
      </c>
    </row>
    <row r="960" spans="1:22" x14ac:dyDescent="0.35">
      <c r="A960" t="s">
        <v>2541</v>
      </c>
      <c r="B960" t="s">
        <v>269</v>
      </c>
      <c r="C960">
        <v>280.61</v>
      </c>
      <c r="D960" s="1">
        <v>45257.692488425928</v>
      </c>
      <c r="E960" s="2">
        <f t="shared" si="56"/>
        <v>0.69248842592787696</v>
      </c>
      <c r="F960" s="3">
        <f t="shared" si="57"/>
        <v>45257</v>
      </c>
      <c r="G960" t="s">
        <v>17</v>
      </c>
      <c r="H960" t="s">
        <v>32</v>
      </c>
      <c r="I960" t="s">
        <v>966</v>
      </c>
      <c r="J960" t="s">
        <v>276</v>
      </c>
      <c r="K960" t="s">
        <v>674</v>
      </c>
      <c r="L960" t="s">
        <v>22</v>
      </c>
      <c r="M960">
        <v>47</v>
      </c>
      <c r="N960" t="s">
        <v>77</v>
      </c>
      <c r="O960">
        <v>129</v>
      </c>
      <c r="P960">
        <v>3</v>
      </c>
      <c r="Q960">
        <v>7888.76</v>
      </c>
      <c r="R960" s="4">
        <v>45600</v>
      </c>
      <c r="S960" s="6">
        <v>0.34082175925925928</v>
      </c>
      <c r="T960">
        <f t="shared" si="58"/>
        <v>16</v>
      </c>
      <c r="U960" t="str" cm="1">
        <f t="array" ref="U960">_xlfn.IFS(M960&lt;=34,"YOUNG",M960&lt;=54,"MIDDLE AGE",M960&gt;=55,"OLD")</f>
        <v>MIDDLE AGE</v>
      </c>
      <c r="V960" t="str">
        <f t="shared" si="59"/>
        <v>HIGH</v>
      </c>
    </row>
    <row r="961" spans="1:22" x14ac:dyDescent="0.35">
      <c r="A961" t="s">
        <v>2542</v>
      </c>
      <c r="B961" t="s">
        <v>2543</v>
      </c>
      <c r="C961">
        <v>199.02</v>
      </c>
      <c r="D961" s="1">
        <v>45075.688622685186</v>
      </c>
      <c r="E961" s="2">
        <f t="shared" si="56"/>
        <v>0.68862268518569181</v>
      </c>
      <c r="F961" s="3">
        <f t="shared" si="57"/>
        <v>45075</v>
      </c>
      <c r="G961" t="s">
        <v>17</v>
      </c>
      <c r="H961" t="s">
        <v>26</v>
      </c>
      <c r="I961" t="s">
        <v>1939</v>
      </c>
      <c r="J961" t="s">
        <v>2544</v>
      </c>
      <c r="K961" t="s">
        <v>262</v>
      </c>
      <c r="L961" t="s">
        <v>22</v>
      </c>
      <c r="M961">
        <v>61</v>
      </c>
      <c r="N961" t="s">
        <v>70</v>
      </c>
      <c r="O961">
        <v>269</v>
      </c>
      <c r="P961">
        <v>1</v>
      </c>
      <c r="Q961">
        <v>4658.8900000000003</v>
      </c>
      <c r="R961" s="4">
        <v>45600</v>
      </c>
      <c r="S961" s="6">
        <v>0.3384375</v>
      </c>
      <c r="T961">
        <f t="shared" si="58"/>
        <v>16</v>
      </c>
      <c r="U961" t="str" cm="1">
        <f t="array" ref="U961">_xlfn.IFS(M961&lt;=34,"YOUNG",M961&lt;=54,"MIDDLE AGE",M961&gt;=55,"OLD")</f>
        <v>OLD</v>
      </c>
      <c r="V961" t="str">
        <f t="shared" si="59"/>
        <v>NORMAL</v>
      </c>
    </row>
    <row r="962" spans="1:22" x14ac:dyDescent="0.35">
      <c r="A962" t="s">
        <v>2545</v>
      </c>
      <c r="B962" t="s">
        <v>1799</v>
      </c>
      <c r="C962">
        <v>104.23</v>
      </c>
      <c r="D962" s="1">
        <v>45216.695590277777</v>
      </c>
      <c r="E962" s="2">
        <f t="shared" ref="E962:E1025" si="60">D962-INT(D962)</f>
        <v>0.69559027777722804</v>
      </c>
      <c r="F962" s="3">
        <f t="shared" ref="F962:F1025" si="61">INT(D962)</f>
        <v>45216</v>
      </c>
      <c r="G962" t="s">
        <v>46</v>
      </c>
      <c r="H962" t="s">
        <v>108</v>
      </c>
      <c r="I962" t="s">
        <v>204</v>
      </c>
      <c r="J962" t="s">
        <v>1990</v>
      </c>
      <c r="K962" t="s">
        <v>427</v>
      </c>
      <c r="L962" t="s">
        <v>36</v>
      </c>
      <c r="M962">
        <v>63</v>
      </c>
      <c r="N962" t="s">
        <v>70</v>
      </c>
      <c r="O962">
        <v>108</v>
      </c>
      <c r="P962">
        <v>1</v>
      </c>
      <c r="Q962">
        <v>5009.29</v>
      </c>
      <c r="R962" s="4">
        <v>45600</v>
      </c>
      <c r="S962" s="6">
        <v>0.34010416666666665</v>
      </c>
      <c r="T962">
        <f t="shared" si="58"/>
        <v>16</v>
      </c>
      <c r="U962" t="str" cm="1">
        <f t="array" ref="U962">_xlfn.IFS(M962&lt;=34,"YOUNG",M962&lt;=54,"MIDDLE AGE",M962&gt;=55,"OLD")</f>
        <v>OLD</v>
      </c>
      <c r="V962" t="str">
        <f t="shared" si="59"/>
        <v>NORMAL</v>
      </c>
    </row>
    <row r="963" spans="1:22" x14ac:dyDescent="0.35">
      <c r="A963" t="s">
        <v>2546</v>
      </c>
      <c r="B963" t="s">
        <v>704</v>
      </c>
      <c r="C963">
        <v>353.59</v>
      </c>
      <c r="D963" s="1">
        <v>45149.748518518521</v>
      </c>
      <c r="E963" s="2">
        <f t="shared" si="60"/>
        <v>0.74851851852145046</v>
      </c>
      <c r="F963" s="3">
        <f t="shared" si="61"/>
        <v>45149</v>
      </c>
      <c r="G963" t="s">
        <v>46</v>
      </c>
      <c r="H963" t="s">
        <v>203</v>
      </c>
      <c r="I963" t="s">
        <v>324</v>
      </c>
      <c r="J963" t="s">
        <v>844</v>
      </c>
      <c r="K963" t="s">
        <v>246</v>
      </c>
      <c r="L963" t="s">
        <v>69</v>
      </c>
      <c r="M963">
        <v>52</v>
      </c>
      <c r="N963" t="s">
        <v>70</v>
      </c>
      <c r="O963">
        <v>109</v>
      </c>
      <c r="P963">
        <v>5</v>
      </c>
      <c r="Q963">
        <v>1822.34</v>
      </c>
      <c r="R963" s="4">
        <v>45600</v>
      </c>
      <c r="S963" s="6">
        <v>0.34089120370370368</v>
      </c>
      <c r="T963">
        <f t="shared" ref="T963:T1026" si="62">HOUR(E963)</f>
        <v>17</v>
      </c>
      <c r="U963" t="str" cm="1">
        <f t="array" ref="U963">_xlfn.IFS(M963&lt;=34,"YOUNG",M963&lt;=54,"MIDDLE AGE",M963&gt;=55,"OLD")</f>
        <v>MIDDLE AGE</v>
      </c>
      <c r="V963" t="str">
        <f t="shared" ref="V963:V1026" si="63">IF(P963&gt;1,"HIGH","NORMAL")</f>
        <v>HIGH</v>
      </c>
    </row>
    <row r="964" spans="1:22" x14ac:dyDescent="0.35">
      <c r="A964" t="s">
        <v>2547</v>
      </c>
      <c r="B964" t="s">
        <v>2370</v>
      </c>
      <c r="C964">
        <v>55.86</v>
      </c>
      <c r="D964" s="1">
        <v>44949.721018518518</v>
      </c>
      <c r="E964" s="2">
        <f t="shared" si="60"/>
        <v>0.72101851851766696</v>
      </c>
      <c r="F964" s="3">
        <f t="shared" si="61"/>
        <v>44949</v>
      </c>
      <c r="G964" t="s">
        <v>17</v>
      </c>
      <c r="H964" t="s">
        <v>59</v>
      </c>
      <c r="I964" t="s">
        <v>2548</v>
      </c>
      <c r="J964" t="s">
        <v>1414</v>
      </c>
      <c r="K964" t="s">
        <v>83</v>
      </c>
      <c r="L964" t="s">
        <v>36</v>
      </c>
      <c r="M964">
        <v>39</v>
      </c>
      <c r="N964" t="s">
        <v>77</v>
      </c>
      <c r="O964">
        <v>68</v>
      </c>
      <c r="P964">
        <v>1</v>
      </c>
      <c r="Q964">
        <v>5346.46</v>
      </c>
      <c r="R964" s="4">
        <v>45600</v>
      </c>
      <c r="S964" s="6">
        <v>0.33818287037037037</v>
      </c>
      <c r="T964">
        <f t="shared" si="62"/>
        <v>17</v>
      </c>
      <c r="U964" t="str" cm="1">
        <f t="array" ref="U964">_xlfn.IFS(M964&lt;=34,"YOUNG",M964&lt;=54,"MIDDLE AGE",M964&gt;=55,"OLD")</f>
        <v>MIDDLE AGE</v>
      </c>
      <c r="V964" t="str">
        <f t="shared" si="63"/>
        <v>NORMAL</v>
      </c>
    </row>
    <row r="965" spans="1:22" x14ac:dyDescent="0.35">
      <c r="A965" t="s">
        <v>2549</v>
      </c>
      <c r="B965" t="s">
        <v>767</v>
      </c>
      <c r="C965">
        <v>10.77</v>
      </c>
      <c r="D965" s="1">
        <v>44993.707303240742</v>
      </c>
      <c r="E965" s="2">
        <f t="shared" si="60"/>
        <v>0.70730324074247619</v>
      </c>
      <c r="F965" s="3">
        <f t="shared" si="61"/>
        <v>44993</v>
      </c>
      <c r="G965" t="s">
        <v>17</v>
      </c>
      <c r="H965" t="s">
        <v>65</v>
      </c>
      <c r="I965" t="s">
        <v>2550</v>
      </c>
      <c r="J965" t="s">
        <v>1996</v>
      </c>
      <c r="K965" t="s">
        <v>1287</v>
      </c>
      <c r="L965" t="s">
        <v>22</v>
      </c>
      <c r="M965">
        <v>31</v>
      </c>
      <c r="N965" t="s">
        <v>23</v>
      </c>
      <c r="O965">
        <v>178</v>
      </c>
      <c r="P965">
        <v>1</v>
      </c>
      <c r="Q965">
        <v>10704.95</v>
      </c>
      <c r="R965" s="4">
        <v>45600</v>
      </c>
      <c r="S965" s="6">
        <v>0.34079861111111109</v>
      </c>
      <c r="T965">
        <f t="shared" si="62"/>
        <v>16</v>
      </c>
      <c r="U965" t="str" cm="1">
        <f t="array" ref="U965">_xlfn.IFS(M965&lt;=34,"YOUNG",M965&lt;=54,"MIDDLE AGE",M965&gt;=55,"OLD")</f>
        <v>YOUNG</v>
      </c>
      <c r="V965" t="str">
        <f t="shared" si="63"/>
        <v>NORMAL</v>
      </c>
    </row>
    <row r="966" spans="1:22" x14ac:dyDescent="0.35">
      <c r="A966" t="s">
        <v>2551</v>
      </c>
      <c r="B966" t="s">
        <v>2133</v>
      </c>
      <c r="C966">
        <v>95.55</v>
      </c>
      <c r="D966" s="1">
        <v>45026.684201388889</v>
      </c>
      <c r="E966" s="2">
        <f t="shared" si="60"/>
        <v>0.68420138888905058</v>
      </c>
      <c r="F966" s="3">
        <f t="shared" si="61"/>
        <v>45026</v>
      </c>
      <c r="G966" t="s">
        <v>17</v>
      </c>
      <c r="H966" t="s">
        <v>108</v>
      </c>
      <c r="I966" t="s">
        <v>2552</v>
      </c>
      <c r="J966" t="s">
        <v>2553</v>
      </c>
      <c r="K966" t="s">
        <v>406</v>
      </c>
      <c r="L966" t="s">
        <v>69</v>
      </c>
      <c r="M966">
        <v>33</v>
      </c>
      <c r="N966" t="s">
        <v>77</v>
      </c>
      <c r="O966">
        <v>51</v>
      </c>
      <c r="P966">
        <v>1</v>
      </c>
      <c r="Q966">
        <v>2434.7399999999998</v>
      </c>
      <c r="R966" s="4">
        <v>45600</v>
      </c>
      <c r="S966" s="6">
        <v>0.34042824074074074</v>
      </c>
      <c r="T966">
        <f t="shared" si="62"/>
        <v>16</v>
      </c>
      <c r="U966" t="str" cm="1">
        <f t="array" ref="U966">_xlfn.IFS(M966&lt;=34,"YOUNG",M966&lt;=54,"MIDDLE AGE",M966&gt;=55,"OLD")</f>
        <v>YOUNG</v>
      </c>
      <c r="V966" t="str">
        <f t="shared" si="63"/>
        <v>NORMAL</v>
      </c>
    </row>
    <row r="967" spans="1:22" x14ac:dyDescent="0.35">
      <c r="A967" t="s">
        <v>2554</v>
      </c>
      <c r="B967" t="s">
        <v>660</v>
      </c>
      <c r="C967">
        <v>477.07</v>
      </c>
      <c r="D967" s="1">
        <v>45257.687928240739</v>
      </c>
      <c r="E967" s="2">
        <f t="shared" si="60"/>
        <v>0.68792824073898373</v>
      </c>
      <c r="F967" s="3">
        <f t="shared" si="61"/>
        <v>45257</v>
      </c>
      <c r="G967" t="s">
        <v>17</v>
      </c>
      <c r="H967" t="s">
        <v>125</v>
      </c>
      <c r="I967" t="s">
        <v>823</v>
      </c>
      <c r="J967" t="s">
        <v>2555</v>
      </c>
      <c r="K967" t="s">
        <v>1287</v>
      </c>
      <c r="L967" t="s">
        <v>36</v>
      </c>
      <c r="M967">
        <v>27</v>
      </c>
      <c r="N967" t="s">
        <v>77</v>
      </c>
      <c r="O967">
        <v>278</v>
      </c>
      <c r="P967">
        <v>1</v>
      </c>
      <c r="Q967">
        <v>6568.07</v>
      </c>
      <c r="R967" s="4">
        <v>45600</v>
      </c>
      <c r="S967" s="6">
        <v>0.33858796296296295</v>
      </c>
      <c r="T967">
        <f t="shared" si="62"/>
        <v>16</v>
      </c>
      <c r="U967" t="str" cm="1">
        <f t="array" ref="U967">_xlfn.IFS(M967&lt;=34,"YOUNG",M967&lt;=54,"MIDDLE AGE",M967&gt;=55,"OLD")</f>
        <v>YOUNG</v>
      </c>
      <c r="V967" t="str">
        <f t="shared" si="63"/>
        <v>NORMAL</v>
      </c>
    </row>
    <row r="968" spans="1:22" x14ac:dyDescent="0.35">
      <c r="A968" t="s">
        <v>2556</v>
      </c>
      <c r="B968" t="s">
        <v>516</v>
      </c>
      <c r="C968">
        <v>9.1</v>
      </c>
      <c r="D968" s="1">
        <v>44987.673368055555</v>
      </c>
      <c r="E968" s="2">
        <f t="shared" si="60"/>
        <v>0.67336805555532919</v>
      </c>
      <c r="F968" s="3">
        <f t="shared" si="61"/>
        <v>44987</v>
      </c>
      <c r="G968" t="s">
        <v>46</v>
      </c>
      <c r="H968" t="s">
        <v>212</v>
      </c>
      <c r="I968" t="s">
        <v>688</v>
      </c>
      <c r="J968" t="s">
        <v>2145</v>
      </c>
      <c r="K968" t="s">
        <v>478</v>
      </c>
      <c r="L968" t="s">
        <v>36</v>
      </c>
      <c r="M968">
        <v>52</v>
      </c>
      <c r="N968" t="s">
        <v>70</v>
      </c>
      <c r="O968">
        <v>63</v>
      </c>
      <c r="P968">
        <v>1</v>
      </c>
      <c r="Q968">
        <v>2791.45</v>
      </c>
      <c r="R968" s="4">
        <v>45600</v>
      </c>
      <c r="S968" s="6">
        <v>0.34023148148148147</v>
      </c>
      <c r="T968">
        <f t="shared" si="62"/>
        <v>16</v>
      </c>
      <c r="U968" t="str" cm="1">
        <f t="array" ref="U968">_xlfn.IFS(M968&lt;=34,"YOUNG",M968&lt;=54,"MIDDLE AGE",M968&gt;=55,"OLD")</f>
        <v>MIDDLE AGE</v>
      </c>
      <c r="V968" t="str">
        <f t="shared" si="63"/>
        <v>NORMAL</v>
      </c>
    </row>
    <row r="969" spans="1:22" x14ac:dyDescent="0.35">
      <c r="A969" t="s">
        <v>2557</v>
      </c>
      <c r="B969" t="s">
        <v>2366</v>
      </c>
      <c r="C969">
        <v>21.41</v>
      </c>
      <c r="D969" s="1">
        <v>45264.68545138889</v>
      </c>
      <c r="E969" s="2">
        <f t="shared" si="60"/>
        <v>0.68545138889021473</v>
      </c>
      <c r="F969" s="3">
        <f t="shared" si="61"/>
        <v>45264</v>
      </c>
      <c r="G969" t="s">
        <v>17</v>
      </c>
      <c r="H969" t="s">
        <v>108</v>
      </c>
      <c r="I969" t="s">
        <v>1355</v>
      </c>
      <c r="J969" t="s">
        <v>1188</v>
      </c>
      <c r="K969" t="s">
        <v>619</v>
      </c>
      <c r="L969" t="s">
        <v>36</v>
      </c>
      <c r="M969">
        <v>57</v>
      </c>
      <c r="N969" t="s">
        <v>23</v>
      </c>
      <c r="O969">
        <v>99</v>
      </c>
      <c r="P969">
        <v>1</v>
      </c>
      <c r="Q969">
        <v>658.91</v>
      </c>
      <c r="R969" s="4">
        <v>45600</v>
      </c>
      <c r="S969" s="6">
        <v>0.33935185185185185</v>
      </c>
      <c r="T969">
        <f t="shared" si="62"/>
        <v>16</v>
      </c>
      <c r="U969" t="str" cm="1">
        <f t="array" ref="U969">_xlfn.IFS(M969&lt;=34,"YOUNG",M969&lt;=54,"MIDDLE AGE",M969&gt;=55,"OLD")</f>
        <v>OLD</v>
      </c>
      <c r="V969" t="str">
        <f t="shared" si="63"/>
        <v>NORMAL</v>
      </c>
    </row>
    <row r="970" spans="1:22" x14ac:dyDescent="0.35">
      <c r="A970" t="s">
        <v>2558</v>
      </c>
      <c r="B970" t="s">
        <v>1974</v>
      </c>
      <c r="C970">
        <v>278.27999999999997</v>
      </c>
      <c r="D970" s="1">
        <v>45201.681157407409</v>
      </c>
      <c r="E970" s="2">
        <f t="shared" si="60"/>
        <v>0.68115740740904585</v>
      </c>
      <c r="F970" s="3">
        <f t="shared" si="61"/>
        <v>45201</v>
      </c>
      <c r="G970" t="s">
        <v>17</v>
      </c>
      <c r="H970" t="s">
        <v>392</v>
      </c>
      <c r="I970" t="s">
        <v>233</v>
      </c>
      <c r="J970" t="s">
        <v>2559</v>
      </c>
      <c r="K970" t="s">
        <v>348</v>
      </c>
      <c r="L970" t="s">
        <v>69</v>
      </c>
      <c r="M970">
        <v>28</v>
      </c>
      <c r="N970" t="s">
        <v>37</v>
      </c>
      <c r="O970">
        <v>26</v>
      </c>
      <c r="P970">
        <v>1</v>
      </c>
      <c r="Q970">
        <v>1346.88</v>
      </c>
      <c r="R970" s="4">
        <v>45600</v>
      </c>
      <c r="S970" s="6">
        <v>0.33862268518518518</v>
      </c>
      <c r="T970">
        <f t="shared" si="62"/>
        <v>16</v>
      </c>
      <c r="U970" t="str" cm="1">
        <f t="array" ref="U970">_xlfn.IFS(M970&lt;=34,"YOUNG",M970&lt;=54,"MIDDLE AGE",M970&gt;=55,"OLD")</f>
        <v>YOUNG</v>
      </c>
      <c r="V970" t="str">
        <f t="shared" si="63"/>
        <v>NORMAL</v>
      </c>
    </row>
    <row r="971" spans="1:22" x14ac:dyDescent="0.35">
      <c r="A971" t="s">
        <v>2560</v>
      </c>
      <c r="B971" t="s">
        <v>1554</v>
      </c>
      <c r="C971">
        <v>388.1</v>
      </c>
      <c r="D971" s="1">
        <v>45159.754849537036</v>
      </c>
      <c r="E971" s="2">
        <f t="shared" si="60"/>
        <v>0.75484953703562496</v>
      </c>
      <c r="F971" s="3">
        <f t="shared" si="61"/>
        <v>45159</v>
      </c>
      <c r="G971" t="s">
        <v>46</v>
      </c>
      <c r="H971" t="s">
        <v>140</v>
      </c>
      <c r="I971" t="s">
        <v>2110</v>
      </c>
      <c r="J971" t="s">
        <v>571</v>
      </c>
      <c r="K971" t="s">
        <v>62</v>
      </c>
      <c r="L971" t="s">
        <v>36</v>
      </c>
      <c r="M971">
        <v>73</v>
      </c>
      <c r="N971" t="s">
        <v>70</v>
      </c>
      <c r="O971">
        <v>40</v>
      </c>
      <c r="P971">
        <v>1</v>
      </c>
      <c r="Q971">
        <v>3022.12</v>
      </c>
      <c r="R971" s="4">
        <v>45600</v>
      </c>
      <c r="S971" s="6">
        <v>0.33856481481481482</v>
      </c>
      <c r="T971">
        <f t="shared" si="62"/>
        <v>18</v>
      </c>
      <c r="U971" t="str" cm="1">
        <f t="array" ref="U971">_xlfn.IFS(M971&lt;=34,"YOUNG",M971&lt;=54,"MIDDLE AGE",M971&gt;=55,"OLD")</f>
        <v>OLD</v>
      </c>
      <c r="V971" t="str">
        <f t="shared" si="63"/>
        <v>NORMAL</v>
      </c>
    </row>
    <row r="972" spans="1:22" x14ac:dyDescent="0.35">
      <c r="A972" t="s">
        <v>2561</v>
      </c>
      <c r="B972" t="s">
        <v>2532</v>
      </c>
      <c r="C972">
        <v>215.39</v>
      </c>
      <c r="D972" s="1">
        <v>45098.683252314811</v>
      </c>
      <c r="E972" s="2">
        <f t="shared" si="60"/>
        <v>0.68325231481139781</v>
      </c>
      <c r="F972" s="3">
        <f t="shared" si="61"/>
        <v>45098</v>
      </c>
      <c r="G972" t="s">
        <v>17</v>
      </c>
      <c r="H972" t="s">
        <v>73</v>
      </c>
      <c r="I972" t="s">
        <v>2562</v>
      </c>
      <c r="J972" t="s">
        <v>1025</v>
      </c>
      <c r="K972" t="s">
        <v>62</v>
      </c>
      <c r="L972" t="s">
        <v>22</v>
      </c>
      <c r="M972">
        <v>27</v>
      </c>
      <c r="N972" t="s">
        <v>37</v>
      </c>
      <c r="O972">
        <v>216</v>
      </c>
      <c r="P972">
        <v>1</v>
      </c>
      <c r="Q972">
        <v>1582.55</v>
      </c>
      <c r="R972" s="4">
        <v>45600</v>
      </c>
      <c r="S972" s="6">
        <v>0.34112268518518518</v>
      </c>
      <c r="T972">
        <f t="shared" si="62"/>
        <v>16</v>
      </c>
      <c r="U972" t="str" cm="1">
        <f t="array" ref="U972">_xlfn.IFS(M972&lt;=34,"YOUNG",M972&lt;=54,"MIDDLE AGE",M972&gt;=55,"OLD")</f>
        <v>YOUNG</v>
      </c>
      <c r="V972" t="str">
        <f t="shared" si="63"/>
        <v>NORMAL</v>
      </c>
    </row>
    <row r="973" spans="1:22" x14ac:dyDescent="0.35">
      <c r="A973" t="s">
        <v>2563</v>
      </c>
      <c r="B973" t="s">
        <v>2564</v>
      </c>
      <c r="C973">
        <v>194.37</v>
      </c>
      <c r="D973" s="1">
        <v>45042.746655092589</v>
      </c>
      <c r="E973" s="2">
        <f t="shared" si="60"/>
        <v>0.74665509258920792</v>
      </c>
      <c r="F973" s="3">
        <f t="shared" si="61"/>
        <v>45042</v>
      </c>
      <c r="G973" t="s">
        <v>17</v>
      </c>
      <c r="H973" t="s">
        <v>178</v>
      </c>
      <c r="I973" t="s">
        <v>1214</v>
      </c>
      <c r="J973" t="s">
        <v>1917</v>
      </c>
      <c r="K973" t="s">
        <v>1209</v>
      </c>
      <c r="L973" t="s">
        <v>22</v>
      </c>
      <c r="M973">
        <v>66</v>
      </c>
      <c r="N973" t="s">
        <v>23</v>
      </c>
      <c r="O973">
        <v>161</v>
      </c>
      <c r="P973">
        <v>1</v>
      </c>
      <c r="Q973">
        <v>14395.88</v>
      </c>
      <c r="R973" s="4">
        <v>45600</v>
      </c>
      <c r="S973" s="6">
        <v>0.33990740740740738</v>
      </c>
      <c r="T973">
        <f t="shared" si="62"/>
        <v>17</v>
      </c>
      <c r="U973" t="str" cm="1">
        <f t="array" ref="U973">_xlfn.IFS(M973&lt;=34,"YOUNG",M973&lt;=54,"MIDDLE AGE",M973&gt;=55,"OLD")</f>
        <v>OLD</v>
      </c>
      <c r="V973" t="str">
        <f t="shared" si="63"/>
        <v>NORMAL</v>
      </c>
    </row>
    <row r="974" spans="1:22" x14ac:dyDescent="0.35">
      <c r="A974" t="s">
        <v>2565</v>
      </c>
      <c r="B974" t="s">
        <v>1027</v>
      </c>
      <c r="C974">
        <v>37.700000000000003</v>
      </c>
      <c r="D974" s="1">
        <v>45106.669641203705</v>
      </c>
      <c r="E974" s="2">
        <f t="shared" si="60"/>
        <v>0.66964120370539604</v>
      </c>
      <c r="F974" s="3">
        <f t="shared" si="61"/>
        <v>45106</v>
      </c>
      <c r="G974" t="s">
        <v>17</v>
      </c>
      <c r="H974" t="s">
        <v>172</v>
      </c>
      <c r="I974" t="s">
        <v>2566</v>
      </c>
      <c r="J974" t="s">
        <v>2059</v>
      </c>
      <c r="K974" t="s">
        <v>858</v>
      </c>
      <c r="L974" t="s">
        <v>22</v>
      </c>
      <c r="M974">
        <v>20</v>
      </c>
      <c r="N974" t="s">
        <v>37</v>
      </c>
      <c r="O974">
        <v>109</v>
      </c>
      <c r="P974">
        <v>1</v>
      </c>
      <c r="Q974">
        <v>1741.1</v>
      </c>
      <c r="R974" s="4">
        <v>45600</v>
      </c>
      <c r="S974" s="6">
        <v>0.34175925925925926</v>
      </c>
      <c r="T974">
        <f t="shared" si="62"/>
        <v>16</v>
      </c>
      <c r="U974" t="str" cm="1">
        <f t="array" ref="U974">_xlfn.IFS(M974&lt;=34,"YOUNG",M974&lt;=54,"MIDDLE AGE",M974&gt;=55,"OLD")</f>
        <v>YOUNG</v>
      </c>
      <c r="V974" t="str">
        <f t="shared" si="63"/>
        <v>NORMAL</v>
      </c>
    </row>
    <row r="975" spans="1:22" x14ac:dyDescent="0.35">
      <c r="A975" t="s">
        <v>2567</v>
      </c>
      <c r="B975" t="s">
        <v>1528</v>
      </c>
      <c r="C975">
        <v>19.59</v>
      </c>
      <c r="D975" s="1">
        <v>45093.783032407409</v>
      </c>
      <c r="E975" s="2">
        <f t="shared" si="60"/>
        <v>0.78303240740933688</v>
      </c>
      <c r="F975" s="3">
        <f t="shared" si="61"/>
        <v>45093</v>
      </c>
      <c r="G975" t="s">
        <v>17</v>
      </c>
      <c r="H975" t="s">
        <v>249</v>
      </c>
      <c r="I975" t="s">
        <v>2568</v>
      </c>
      <c r="J975" t="s">
        <v>1626</v>
      </c>
      <c r="K975" t="s">
        <v>1810</v>
      </c>
      <c r="L975" t="s">
        <v>69</v>
      </c>
      <c r="M975">
        <v>64</v>
      </c>
      <c r="N975" t="s">
        <v>70</v>
      </c>
      <c r="O975">
        <v>122</v>
      </c>
      <c r="P975">
        <v>1</v>
      </c>
      <c r="Q975">
        <v>1061.69</v>
      </c>
      <c r="R975" s="4">
        <v>45600</v>
      </c>
      <c r="S975" s="6">
        <v>0.34063657407407405</v>
      </c>
      <c r="T975">
        <f t="shared" si="62"/>
        <v>18</v>
      </c>
      <c r="U975" t="str" cm="1">
        <f t="array" ref="U975">_xlfn.IFS(M975&lt;=34,"YOUNG",M975&lt;=54,"MIDDLE AGE",M975&gt;=55,"OLD")</f>
        <v>OLD</v>
      </c>
      <c r="V975" t="str">
        <f t="shared" si="63"/>
        <v>NORMAL</v>
      </c>
    </row>
    <row r="976" spans="1:22" x14ac:dyDescent="0.35">
      <c r="A976" t="s">
        <v>2569</v>
      </c>
      <c r="B976" t="s">
        <v>712</v>
      </c>
      <c r="C976">
        <v>81.349999999999994</v>
      </c>
      <c r="D976" s="1">
        <v>44949.735509259262</v>
      </c>
      <c r="E976" s="2">
        <f t="shared" si="60"/>
        <v>0.73550925926247146</v>
      </c>
      <c r="F976" s="3">
        <f t="shared" si="61"/>
        <v>44949</v>
      </c>
      <c r="G976" t="s">
        <v>17</v>
      </c>
      <c r="H976" t="s">
        <v>26</v>
      </c>
      <c r="I976" t="s">
        <v>1592</v>
      </c>
      <c r="J976" t="s">
        <v>878</v>
      </c>
      <c r="K976" t="s">
        <v>165</v>
      </c>
      <c r="L976" t="s">
        <v>36</v>
      </c>
      <c r="M976">
        <v>41</v>
      </c>
      <c r="N976" t="s">
        <v>77</v>
      </c>
      <c r="O976">
        <v>103</v>
      </c>
      <c r="P976">
        <v>1</v>
      </c>
      <c r="Q976">
        <v>7192.45</v>
      </c>
      <c r="R976" s="4">
        <v>45600</v>
      </c>
      <c r="S976" s="6">
        <v>0.33824074074074073</v>
      </c>
      <c r="T976">
        <f t="shared" si="62"/>
        <v>17</v>
      </c>
      <c r="U976" t="str" cm="1">
        <f t="array" ref="U976">_xlfn.IFS(M976&lt;=34,"YOUNG",M976&lt;=54,"MIDDLE AGE",M976&gt;=55,"OLD")</f>
        <v>MIDDLE AGE</v>
      </c>
      <c r="V976" t="str">
        <f t="shared" si="63"/>
        <v>NORMAL</v>
      </c>
    </row>
    <row r="977" spans="1:22" x14ac:dyDescent="0.35">
      <c r="A977" t="s">
        <v>2570</v>
      </c>
      <c r="B977" t="s">
        <v>1256</v>
      </c>
      <c r="C977">
        <v>314.54000000000002</v>
      </c>
      <c r="D977" s="1">
        <v>45198.690312500003</v>
      </c>
      <c r="E977" s="2">
        <f t="shared" si="60"/>
        <v>0.69031250000261934</v>
      </c>
      <c r="F977" s="3">
        <f t="shared" si="61"/>
        <v>45198</v>
      </c>
      <c r="G977" t="s">
        <v>46</v>
      </c>
      <c r="H977" t="s">
        <v>301</v>
      </c>
      <c r="I977" t="s">
        <v>2571</v>
      </c>
      <c r="J977" t="s">
        <v>1321</v>
      </c>
      <c r="K977" t="s">
        <v>76</v>
      </c>
      <c r="L977" t="s">
        <v>69</v>
      </c>
      <c r="M977">
        <v>58</v>
      </c>
      <c r="N977" t="s">
        <v>77</v>
      </c>
      <c r="O977">
        <v>228</v>
      </c>
      <c r="P977">
        <v>1</v>
      </c>
      <c r="Q977">
        <v>9923.4500000000007</v>
      </c>
      <c r="R977" s="4">
        <v>45600</v>
      </c>
      <c r="S977" s="6">
        <v>0.34099537037037037</v>
      </c>
      <c r="T977">
        <f t="shared" si="62"/>
        <v>16</v>
      </c>
      <c r="U977" t="str" cm="1">
        <f t="array" ref="U977">_xlfn.IFS(M977&lt;=34,"YOUNG",M977&lt;=54,"MIDDLE AGE",M977&gt;=55,"OLD")</f>
        <v>OLD</v>
      </c>
      <c r="V977" t="str">
        <f t="shared" si="63"/>
        <v>NORMAL</v>
      </c>
    </row>
    <row r="978" spans="1:22" x14ac:dyDescent="0.35">
      <c r="A978" t="s">
        <v>2572</v>
      </c>
      <c r="B978" t="s">
        <v>403</v>
      </c>
      <c r="C978">
        <v>466.64</v>
      </c>
      <c r="D978" s="1">
        <v>45173.706608796296</v>
      </c>
      <c r="E978" s="2">
        <f t="shared" si="60"/>
        <v>0.70660879629576812</v>
      </c>
      <c r="F978" s="3">
        <f t="shared" si="61"/>
        <v>45173</v>
      </c>
      <c r="G978" t="s">
        <v>17</v>
      </c>
      <c r="H978" t="s">
        <v>146</v>
      </c>
      <c r="I978" t="s">
        <v>772</v>
      </c>
      <c r="J978" t="s">
        <v>369</v>
      </c>
      <c r="K978" t="s">
        <v>984</v>
      </c>
      <c r="L978" t="s">
        <v>22</v>
      </c>
      <c r="M978">
        <v>58</v>
      </c>
      <c r="N978" t="s">
        <v>23</v>
      </c>
      <c r="O978">
        <v>11</v>
      </c>
      <c r="P978">
        <v>1</v>
      </c>
      <c r="Q978">
        <v>10915.11</v>
      </c>
      <c r="R978" s="4">
        <v>45600</v>
      </c>
      <c r="S978" s="6">
        <v>0.33981481481481479</v>
      </c>
      <c r="T978">
        <f t="shared" si="62"/>
        <v>16</v>
      </c>
      <c r="U978" t="str" cm="1">
        <f t="array" ref="U978">_xlfn.IFS(M978&lt;=34,"YOUNG",M978&lt;=54,"MIDDLE AGE",M978&gt;=55,"OLD")</f>
        <v>OLD</v>
      </c>
      <c r="V978" t="str">
        <f t="shared" si="63"/>
        <v>NORMAL</v>
      </c>
    </row>
    <row r="979" spans="1:22" x14ac:dyDescent="0.35">
      <c r="A979" t="s">
        <v>2573</v>
      </c>
      <c r="B979" t="s">
        <v>1125</v>
      </c>
      <c r="C979">
        <v>397.01</v>
      </c>
      <c r="D979" s="1">
        <v>45145.740185185183</v>
      </c>
      <c r="E979" s="2">
        <f t="shared" si="60"/>
        <v>0.74018518518278142</v>
      </c>
      <c r="F979" s="3">
        <f t="shared" si="61"/>
        <v>45145</v>
      </c>
      <c r="G979" t="s">
        <v>17</v>
      </c>
      <c r="H979" t="s">
        <v>140</v>
      </c>
      <c r="I979" t="s">
        <v>2447</v>
      </c>
      <c r="J979" t="s">
        <v>2280</v>
      </c>
      <c r="K979" t="s">
        <v>707</v>
      </c>
      <c r="L979" t="s">
        <v>22</v>
      </c>
      <c r="M979">
        <v>22</v>
      </c>
      <c r="N979" t="s">
        <v>37</v>
      </c>
      <c r="O979">
        <v>100</v>
      </c>
      <c r="P979">
        <v>1</v>
      </c>
      <c r="Q979">
        <v>719.52</v>
      </c>
      <c r="R979" s="4">
        <v>45600</v>
      </c>
      <c r="S979" s="6">
        <v>0.33785879629629628</v>
      </c>
      <c r="T979">
        <f t="shared" si="62"/>
        <v>17</v>
      </c>
      <c r="U979" t="str" cm="1">
        <f t="array" ref="U979">_xlfn.IFS(M979&lt;=34,"YOUNG",M979&lt;=54,"MIDDLE AGE",M979&gt;=55,"OLD")</f>
        <v>YOUNG</v>
      </c>
      <c r="V979" t="str">
        <f t="shared" si="63"/>
        <v>NORMAL</v>
      </c>
    </row>
    <row r="980" spans="1:22" x14ac:dyDescent="0.35">
      <c r="A980" t="s">
        <v>2574</v>
      </c>
      <c r="B980" t="s">
        <v>156</v>
      </c>
      <c r="C980">
        <v>472.48</v>
      </c>
      <c r="D980" s="1">
        <v>44984.712916666664</v>
      </c>
      <c r="E980" s="2">
        <f t="shared" si="60"/>
        <v>0.71291666666365927</v>
      </c>
      <c r="F980" s="3">
        <f t="shared" si="61"/>
        <v>44984</v>
      </c>
      <c r="G980" t="s">
        <v>17</v>
      </c>
      <c r="H980" t="s">
        <v>203</v>
      </c>
      <c r="I980" t="s">
        <v>1045</v>
      </c>
      <c r="J980" t="s">
        <v>2575</v>
      </c>
      <c r="K980" t="s">
        <v>514</v>
      </c>
      <c r="L980" t="s">
        <v>69</v>
      </c>
      <c r="M980">
        <v>55</v>
      </c>
      <c r="N980" t="s">
        <v>77</v>
      </c>
      <c r="O980">
        <v>87</v>
      </c>
      <c r="P980">
        <v>1</v>
      </c>
      <c r="Q980">
        <v>7128.82</v>
      </c>
      <c r="R980" s="4">
        <v>45600</v>
      </c>
      <c r="S980" s="6">
        <v>0.3402662037037037</v>
      </c>
      <c r="T980">
        <f t="shared" si="62"/>
        <v>17</v>
      </c>
      <c r="U980" t="str" cm="1">
        <f t="array" ref="U980">_xlfn.IFS(M980&lt;=34,"YOUNG",M980&lt;=54,"MIDDLE AGE",M980&gt;=55,"OLD")</f>
        <v>OLD</v>
      </c>
      <c r="V980" t="str">
        <f t="shared" si="63"/>
        <v>NORMAL</v>
      </c>
    </row>
    <row r="981" spans="1:22" x14ac:dyDescent="0.35">
      <c r="A981" t="s">
        <v>2576</v>
      </c>
      <c r="B981" t="s">
        <v>1078</v>
      </c>
      <c r="C981">
        <v>67.150000000000006</v>
      </c>
      <c r="D981" s="1">
        <v>45250.720196759263</v>
      </c>
      <c r="E981" s="2">
        <f t="shared" si="60"/>
        <v>0.7201967592627625</v>
      </c>
      <c r="F981" s="3">
        <f t="shared" si="61"/>
        <v>45250</v>
      </c>
      <c r="G981" t="s">
        <v>17</v>
      </c>
      <c r="H981" t="s">
        <v>65</v>
      </c>
      <c r="I981" t="s">
        <v>292</v>
      </c>
      <c r="J981" t="s">
        <v>714</v>
      </c>
      <c r="K981" t="s">
        <v>353</v>
      </c>
      <c r="L981" t="s">
        <v>36</v>
      </c>
      <c r="M981">
        <v>59</v>
      </c>
      <c r="N981" t="s">
        <v>23</v>
      </c>
      <c r="O981">
        <v>14</v>
      </c>
      <c r="P981">
        <v>1</v>
      </c>
      <c r="Q981">
        <v>9028.49</v>
      </c>
      <c r="R981" s="4">
        <v>45600</v>
      </c>
      <c r="S981" s="6">
        <v>0.34089120370370368</v>
      </c>
      <c r="T981">
        <f t="shared" si="62"/>
        <v>17</v>
      </c>
      <c r="U981" t="str" cm="1">
        <f t="array" ref="U981">_xlfn.IFS(M981&lt;=34,"YOUNG",M981&lt;=54,"MIDDLE AGE",M981&gt;=55,"OLD")</f>
        <v>OLD</v>
      </c>
      <c r="V981" t="str">
        <f t="shared" si="63"/>
        <v>NORMAL</v>
      </c>
    </row>
    <row r="982" spans="1:22" x14ac:dyDescent="0.35">
      <c r="A982" t="s">
        <v>2577</v>
      </c>
      <c r="B982" t="s">
        <v>264</v>
      </c>
      <c r="C982">
        <v>102.67</v>
      </c>
      <c r="D982" s="1">
        <v>45056.737488425926</v>
      </c>
      <c r="E982" s="2">
        <f t="shared" si="60"/>
        <v>0.73748842592613073</v>
      </c>
      <c r="F982" s="3">
        <f t="shared" si="61"/>
        <v>45056</v>
      </c>
      <c r="G982" t="s">
        <v>17</v>
      </c>
      <c r="H982" t="s">
        <v>86</v>
      </c>
      <c r="I982" t="s">
        <v>426</v>
      </c>
      <c r="J982" t="s">
        <v>34</v>
      </c>
      <c r="K982" t="s">
        <v>50</v>
      </c>
      <c r="L982" t="s">
        <v>69</v>
      </c>
      <c r="M982">
        <v>79</v>
      </c>
      <c r="N982" t="s">
        <v>70</v>
      </c>
      <c r="O982">
        <v>119</v>
      </c>
      <c r="P982">
        <v>1</v>
      </c>
      <c r="Q982">
        <v>4656.9399999999996</v>
      </c>
      <c r="R982" s="4">
        <v>45600</v>
      </c>
      <c r="S982" s="6">
        <v>0.33787037037037038</v>
      </c>
      <c r="T982">
        <f t="shared" si="62"/>
        <v>17</v>
      </c>
      <c r="U982" t="str" cm="1">
        <f t="array" ref="U982">_xlfn.IFS(M982&lt;=34,"YOUNG",M982&lt;=54,"MIDDLE AGE",M982&gt;=55,"OLD")</f>
        <v>OLD</v>
      </c>
      <c r="V982" t="str">
        <f t="shared" si="63"/>
        <v>NORMAL</v>
      </c>
    </row>
    <row r="983" spans="1:22" x14ac:dyDescent="0.35">
      <c r="A983" t="s">
        <v>2578</v>
      </c>
      <c r="B983" t="s">
        <v>557</v>
      </c>
      <c r="C983">
        <v>460.09</v>
      </c>
      <c r="D983" s="1">
        <v>44991.712094907409</v>
      </c>
      <c r="E983" s="2">
        <f t="shared" si="60"/>
        <v>0.71209490740875481</v>
      </c>
      <c r="F983" s="3">
        <f t="shared" si="61"/>
        <v>44991</v>
      </c>
      <c r="G983" t="s">
        <v>46</v>
      </c>
      <c r="H983" t="s">
        <v>558</v>
      </c>
      <c r="I983" t="s">
        <v>2479</v>
      </c>
      <c r="J983" t="s">
        <v>2579</v>
      </c>
      <c r="K983" t="s">
        <v>427</v>
      </c>
      <c r="L983" t="s">
        <v>36</v>
      </c>
      <c r="M983">
        <v>35</v>
      </c>
      <c r="N983" t="s">
        <v>23</v>
      </c>
      <c r="O983">
        <v>146</v>
      </c>
      <c r="P983">
        <v>3</v>
      </c>
      <c r="Q983">
        <v>6990.64</v>
      </c>
      <c r="R983" s="4">
        <v>45600</v>
      </c>
      <c r="S983" s="6">
        <v>0.33927083333333335</v>
      </c>
      <c r="T983">
        <f t="shared" si="62"/>
        <v>17</v>
      </c>
      <c r="U983" t="str" cm="1">
        <f t="array" ref="U983">_xlfn.IFS(M983&lt;=34,"YOUNG",M983&lt;=54,"MIDDLE AGE",M983&gt;=55,"OLD")</f>
        <v>MIDDLE AGE</v>
      </c>
      <c r="V983" t="str">
        <f t="shared" si="63"/>
        <v>HIGH</v>
      </c>
    </row>
    <row r="984" spans="1:22" x14ac:dyDescent="0.35">
      <c r="A984" t="s">
        <v>2580</v>
      </c>
      <c r="B984" t="s">
        <v>2581</v>
      </c>
      <c r="C984">
        <v>453.49</v>
      </c>
      <c r="D984" s="1">
        <v>44928.671168981484</v>
      </c>
      <c r="E984" s="2">
        <f t="shared" si="60"/>
        <v>0.67116898148378823</v>
      </c>
      <c r="F984" s="3">
        <f t="shared" si="61"/>
        <v>44928</v>
      </c>
      <c r="G984" t="s">
        <v>17</v>
      </c>
      <c r="H984" t="s">
        <v>59</v>
      </c>
      <c r="I984" t="s">
        <v>2278</v>
      </c>
      <c r="J984" t="s">
        <v>382</v>
      </c>
      <c r="K984" t="s">
        <v>769</v>
      </c>
      <c r="L984" t="s">
        <v>69</v>
      </c>
      <c r="M984">
        <v>66</v>
      </c>
      <c r="N984" t="s">
        <v>23</v>
      </c>
      <c r="O984">
        <v>147</v>
      </c>
      <c r="P984">
        <v>1</v>
      </c>
      <c r="Q984">
        <v>6366.43</v>
      </c>
      <c r="R984" s="4">
        <v>45600</v>
      </c>
      <c r="S984" s="6">
        <v>0.33953703703703703</v>
      </c>
      <c r="T984">
        <f t="shared" si="62"/>
        <v>16</v>
      </c>
      <c r="U984" t="str" cm="1">
        <f t="array" ref="U984">_xlfn.IFS(M984&lt;=34,"YOUNG",M984&lt;=54,"MIDDLE AGE",M984&gt;=55,"OLD")</f>
        <v>OLD</v>
      </c>
      <c r="V984" t="str">
        <f t="shared" si="63"/>
        <v>NORMAL</v>
      </c>
    </row>
    <row r="985" spans="1:22" x14ac:dyDescent="0.35">
      <c r="A985" t="s">
        <v>2582</v>
      </c>
      <c r="B985" t="s">
        <v>2583</v>
      </c>
      <c r="C985">
        <v>267.17</v>
      </c>
      <c r="D985" s="1">
        <v>45162.705972222226</v>
      </c>
      <c r="E985" s="2">
        <f t="shared" si="60"/>
        <v>0.70597222222568234</v>
      </c>
      <c r="F985" s="3">
        <f t="shared" si="61"/>
        <v>45162</v>
      </c>
      <c r="G985" t="s">
        <v>17</v>
      </c>
      <c r="H985" t="s">
        <v>59</v>
      </c>
      <c r="I985" t="s">
        <v>2270</v>
      </c>
      <c r="J985" t="s">
        <v>643</v>
      </c>
      <c r="K985" t="s">
        <v>740</v>
      </c>
      <c r="L985" t="s">
        <v>22</v>
      </c>
      <c r="M985">
        <v>26</v>
      </c>
      <c r="N985" t="s">
        <v>37</v>
      </c>
      <c r="O985">
        <v>170</v>
      </c>
      <c r="P985">
        <v>1</v>
      </c>
      <c r="Q985">
        <v>1382.62</v>
      </c>
      <c r="R985" s="4">
        <v>45600</v>
      </c>
      <c r="S985" s="6">
        <v>0.33881944444444445</v>
      </c>
      <c r="T985">
        <f t="shared" si="62"/>
        <v>16</v>
      </c>
      <c r="U985" t="str" cm="1">
        <f t="array" ref="U985">_xlfn.IFS(M985&lt;=34,"YOUNG",M985&lt;=54,"MIDDLE AGE",M985&gt;=55,"OLD")</f>
        <v>YOUNG</v>
      </c>
      <c r="V985" t="str">
        <f t="shared" si="63"/>
        <v>NORMAL</v>
      </c>
    </row>
    <row r="986" spans="1:22" x14ac:dyDescent="0.35">
      <c r="A986" t="s">
        <v>2584</v>
      </c>
      <c r="B986" t="s">
        <v>767</v>
      </c>
      <c r="C986">
        <v>111.26</v>
      </c>
      <c r="D986" s="1">
        <v>45156.713402777779</v>
      </c>
      <c r="E986" s="2">
        <f t="shared" si="60"/>
        <v>0.71340277777926531</v>
      </c>
      <c r="F986" s="3">
        <f t="shared" si="61"/>
        <v>45156</v>
      </c>
      <c r="G986" t="s">
        <v>17</v>
      </c>
      <c r="H986" t="s">
        <v>388</v>
      </c>
      <c r="I986" t="s">
        <v>1532</v>
      </c>
      <c r="J986" t="s">
        <v>2585</v>
      </c>
      <c r="K986" t="s">
        <v>1287</v>
      </c>
      <c r="L986" t="s">
        <v>22</v>
      </c>
      <c r="M986">
        <v>66</v>
      </c>
      <c r="N986" t="s">
        <v>23</v>
      </c>
      <c r="O986">
        <v>43</v>
      </c>
      <c r="P986">
        <v>1</v>
      </c>
      <c r="Q986">
        <v>14350.11</v>
      </c>
      <c r="R986" s="4">
        <v>45600</v>
      </c>
      <c r="S986" s="6">
        <v>0.3387384259259259</v>
      </c>
      <c r="T986">
        <f t="shared" si="62"/>
        <v>17</v>
      </c>
      <c r="U986" t="str" cm="1">
        <f t="array" ref="U986">_xlfn.IFS(M986&lt;=34,"YOUNG",M986&lt;=54,"MIDDLE AGE",M986&gt;=55,"OLD")</f>
        <v>OLD</v>
      </c>
      <c r="V986" t="str">
        <f t="shared" si="63"/>
        <v>NORMAL</v>
      </c>
    </row>
    <row r="987" spans="1:22" x14ac:dyDescent="0.35">
      <c r="A987" t="s">
        <v>2586</v>
      </c>
      <c r="B987" t="s">
        <v>2432</v>
      </c>
      <c r="C987">
        <v>121.17</v>
      </c>
      <c r="D987" s="1">
        <v>45285.730046296296</v>
      </c>
      <c r="E987" s="2">
        <f t="shared" si="60"/>
        <v>0.73004629629576812</v>
      </c>
      <c r="F987" s="3">
        <f t="shared" si="61"/>
        <v>45285</v>
      </c>
      <c r="G987" t="s">
        <v>17</v>
      </c>
      <c r="H987" t="s">
        <v>425</v>
      </c>
      <c r="I987" t="s">
        <v>1453</v>
      </c>
      <c r="J987" t="s">
        <v>918</v>
      </c>
      <c r="K987" t="s">
        <v>200</v>
      </c>
      <c r="L987" t="s">
        <v>22</v>
      </c>
      <c r="M987">
        <v>68</v>
      </c>
      <c r="N987" t="s">
        <v>23</v>
      </c>
      <c r="O987">
        <v>158</v>
      </c>
      <c r="P987">
        <v>1</v>
      </c>
      <c r="Q987">
        <v>12990.77</v>
      </c>
      <c r="R987" s="4">
        <v>45600</v>
      </c>
      <c r="S987" s="6">
        <v>0.34041666666666665</v>
      </c>
      <c r="T987">
        <f t="shared" si="62"/>
        <v>17</v>
      </c>
      <c r="U987" t="str" cm="1">
        <f t="array" ref="U987">_xlfn.IFS(M987&lt;=34,"YOUNG",M987&lt;=54,"MIDDLE AGE",M987&gt;=55,"OLD")</f>
        <v>OLD</v>
      </c>
      <c r="V987" t="str">
        <f t="shared" si="63"/>
        <v>NORMAL</v>
      </c>
    </row>
    <row r="988" spans="1:22" x14ac:dyDescent="0.35">
      <c r="A988" t="s">
        <v>2587</v>
      </c>
      <c r="B988" t="s">
        <v>611</v>
      </c>
      <c r="C988">
        <v>213.28</v>
      </c>
      <c r="D988" s="1">
        <v>45285.770196759258</v>
      </c>
      <c r="E988" s="2">
        <f t="shared" si="60"/>
        <v>0.77019675925839692</v>
      </c>
      <c r="F988" s="3">
        <f t="shared" si="61"/>
        <v>45285</v>
      </c>
      <c r="G988" t="s">
        <v>17</v>
      </c>
      <c r="H988" t="s">
        <v>32</v>
      </c>
      <c r="I988" t="s">
        <v>1749</v>
      </c>
      <c r="J988" t="s">
        <v>2588</v>
      </c>
      <c r="K988" t="s">
        <v>769</v>
      </c>
      <c r="L988" t="s">
        <v>69</v>
      </c>
      <c r="M988">
        <v>51</v>
      </c>
      <c r="N988" t="s">
        <v>70</v>
      </c>
      <c r="O988">
        <v>94</v>
      </c>
      <c r="P988">
        <v>1</v>
      </c>
      <c r="Q988">
        <v>4835.91</v>
      </c>
      <c r="R988" s="4">
        <v>45600</v>
      </c>
      <c r="S988" s="6">
        <v>0.34128472222222223</v>
      </c>
      <c r="T988">
        <f t="shared" si="62"/>
        <v>18</v>
      </c>
      <c r="U988" t="str" cm="1">
        <f t="array" ref="U988">_xlfn.IFS(M988&lt;=34,"YOUNG",M988&lt;=54,"MIDDLE AGE",M988&gt;=55,"OLD")</f>
        <v>MIDDLE AGE</v>
      </c>
      <c r="V988" t="str">
        <f t="shared" si="63"/>
        <v>NORMAL</v>
      </c>
    </row>
    <row r="989" spans="1:22" x14ac:dyDescent="0.35">
      <c r="A989" t="s">
        <v>2589</v>
      </c>
      <c r="B989" t="s">
        <v>290</v>
      </c>
      <c r="C989">
        <v>187.88</v>
      </c>
      <c r="D989" s="1">
        <v>45148.69425925926</v>
      </c>
      <c r="E989" s="2">
        <f t="shared" si="60"/>
        <v>0.69425925926043419</v>
      </c>
      <c r="F989" s="3">
        <f t="shared" si="61"/>
        <v>45148</v>
      </c>
      <c r="G989" t="s">
        <v>17</v>
      </c>
      <c r="H989" t="s">
        <v>80</v>
      </c>
      <c r="I989" t="s">
        <v>1749</v>
      </c>
      <c r="J989" t="s">
        <v>1235</v>
      </c>
      <c r="K989" t="s">
        <v>111</v>
      </c>
      <c r="L989" t="s">
        <v>22</v>
      </c>
      <c r="M989">
        <v>60</v>
      </c>
      <c r="N989" t="s">
        <v>77</v>
      </c>
      <c r="O989">
        <v>180</v>
      </c>
      <c r="P989">
        <v>1</v>
      </c>
      <c r="Q989">
        <v>2154.58</v>
      </c>
      <c r="R989" s="4">
        <v>45600</v>
      </c>
      <c r="S989" s="6">
        <v>0.34092592592592591</v>
      </c>
      <c r="T989">
        <f t="shared" si="62"/>
        <v>16</v>
      </c>
      <c r="U989" t="str" cm="1">
        <f t="array" ref="U989">_xlfn.IFS(M989&lt;=34,"YOUNG",M989&lt;=54,"MIDDLE AGE",M989&gt;=55,"OLD")</f>
        <v>OLD</v>
      </c>
      <c r="V989" t="str">
        <f t="shared" si="63"/>
        <v>NORMAL</v>
      </c>
    </row>
    <row r="990" spans="1:22" x14ac:dyDescent="0.35">
      <c r="A990" t="s">
        <v>2590</v>
      </c>
      <c r="B990" t="s">
        <v>777</v>
      </c>
      <c r="C990">
        <v>471.88</v>
      </c>
      <c r="D990" s="1">
        <v>45229.780810185184</v>
      </c>
      <c r="E990" s="2">
        <f t="shared" si="60"/>
        <v>0.78081018518423662</v>
      </c>
      <c r="F990" s="3">
        <f t="shared" si="61"/>
        <v>45229</v>
      </c>
      <c r="G990" t="s">
        <v>46</v>
      </c>
      <c r="H990" t="s">
        <v>223</v>
      </c>
      <c r="I990" t="s">
        <v>1539</v>
      </c>
      <c r="J990" t="s">
        <v>205</v>
      </c>
      <c r="K990" t="s">
        <v>56</v>
      </c>
      <c r="L990" t="s">
        <v>36</v>
      </c>
      <c r="M990">
        <v>34</v>
      </c>
      <c r="N990" t="s">
        <v>23</v>
      </c>
      <c r="O990">
        <v>141</v>
      </c>
      <c r="P990">
        <v>1</v>
      </c>
      <c r="Q990">
        <v>14833.34</v>
      </c>
      <c r="R990" s="4">
        <v>45600</v>
      </c>
      <c r="S990" s="6">
        <v>0.33819444444444446</v>
      </c>
      <c r="T990">
        <f t="shared" si="62"/>
        <v>18</v>
      </c>
      <c r="U990" t="str" cm="1">
        <f t="array" ref="U990">_xlfn.IFS(M990&lt;=34,"YOUNG",M990&lt;=54,"MIDDLE AGE",M990&gt;=55,"OLD")</f>
        <v>YOUNG</v>
      </c>
      <c r="V990" t="str">
        <f t="shared" si="63"/>
        <v>NORMAL</v>
      </c>
    </row>
    <row r="991" spans="1:22" x14ac:dyDescent="0.35">
      <c r="A991" t="s">
        <v>2591</v>
      </c>
      <c r="B991" t="s">
        <v>1653</v>
      </c>
      <c r="C991">
        <v>83.79</v>
      </c>
      <c r="D991" s="1">
        <v>45211.692928240744</v>
      </c>
      <c r="E991" s="2">
        <f t="shared" si="60"/>
        <v>0.69292824074364034</v>
      </c>
      <c r="F991" s="3">
        <f t="shared" si="61"/>
        <v>45211</v>
      </c>
      <c r="G991" t="s">
        <v>17</v>
      </c>
      <c r="H991" t="s">
        <v>80</v>
      </c>
      <c r="I991" t="s">
        <v>2592</v>
      </c>
      <c r="J991" t="s">
        <v>958</v>
      </c>
      <c r="K991" t="s">
        <v>1000</v>
      </c>
      <c r="L991" t="s">
        <v>22</v>
      </c>
      <c r="M991">
        <v>57</v>
      </c>
      <c r="N991" t="s">
        <v>77</v>
      </c>
      <c r="O991">
        <v>47</v>
      </c>
      <c r="P991">
        <v>1</v>
      </c>
      <c r="Q991">
        <v>5061.3</v>
      </c>
      <c r="R991" s="4">
        <v>45600</v>
      </c>
      <c r="S991" s="6">
        <v>0.33964120370370371</v>
      </c>
      <c r="T991">
        <f t="shared" si="62"/>
        <v>16</v>
      </c>
      <c r="U991" t="str" cm="1">
        <f t="array" ref="U991">_xlfn.IFS(M991&lt;=34,"YOUNG",M991&lt;=54,"MIDDLE AGE",M991&gt;=55,"OLD")</f>
        <v>OLD</v>
      </c>
      <c r="V991" t="str">
        <f t="shared" si="63"/>
        <v>NORMAL</v>
      </c>
    </row>
    <row r="992" spans="1:22" x14ac:dyDescent="0.35">
      <c r="A992" t="s">
        <v>2593</v>
      </c>
      <c r="B992" t="s">
        <v>889</v>
      </c>
      <c r="C992">
        <v>212.14</v>
      </c>
      <c r="D992" s="1">
        <v>45152.728206018517</v>
      </c>
      <c r="E992" s="2">
        <f t="shared" si="60"/>
        <v>0.72820601851708489</v>
      </c>
      <c r="F992" s="3">
        <f t="shared" si="61"/>
        <v>45152</v>
      </c>
      <c r="G992" t="s">
        <v>17</v>
      </c>
      <c r="H992" t="s">
        <v>119</v>
      </c>
      <c r="I992" t="s">
        <v>2068</v>
      </c>
      <c r="J992" t="s">
        <v>2186</v>
      </c>
      <c r="K992" t="s">
        <v>478</v>
      </c>
      <c r="L992" t="s">
        <v>69</v>
      </c>
      <c r="M992">
        <v>72</v>
      </c>
      <c r="N992" t="s">
        <v>70</v>
      </c>
      <c r="O992">
        <v>105</v>
      </c>
      <c r="P992">
        <v>1</v>
      </c>
      <c r="Q992">
        <v>7225.06</v>
      </c>
      <c r="R992" s="4">
        <v>45600</v>
      </c>
      <c r="S992" s="6">
        <v>0.3394212962962963</v>
      </c>
      <c r="T992">
        <f t="shared" si="62"/>
        <v>17</v>
      </c>
      <c r="U992" t="str" cm="1">
        <f t="array" ref="U992">_xlfn.IFS(M992&lt;=34,"YOUNG",M992&lt;=54,"MIDDLE AGE",M992&gt;=55,"OLD")</f>
        <v>OLD</v>
      </c>
      <c r="V992" t="str">
        <f t="shared" si="63"/>
        <v>NORMAL</v>
      </c>
    </row>
    <row r="993" spans="1:22" x14ac:dyDescent="0.35">
      <c r="A993" t="s">
        <v>2594</v>
      </c>
      <c r="B993" t="s">
        <v>399</v>
      </c>
      <c r="C993">
        <v>99.16</v>
      </c>
      <c r="D993" s="1">
        <v>44985.746527777781</v>
      </c>
      <c r="E993" s="2">
        <f t="shared" si="60"/>
        <v>0.74652777778101154</v>
      </c>
      <c r="F993" s="3">
        <f t="shared" si="61"/>
        <v>44985</v>
      </c>
      <c r="G993" t="s">
        <v>17</v>
      </c>
      <c r="H993" t="s">
        <v>212</v>
      </c>
      <c r="I993" t="s">
        <v>1453</v>
      </c>
      <c r="J993" t="s">
        <v>1603</v>
      </c>
      <c r="K993" t="s">
        <v>414</v>
      </c>
      <c r="L993" t="s">
        <v>36</v>
      </c>
      <c r="M993">
        <v>79</v>
      </c>
      <c r="N993" t="s">
        <v>70</v>
      </c>
      <c r="O993">
        <v>202</v>
      </c>
      <c r="P993">
        <v>1</v>
      </c>
      <c r="Q993">
        <v>2607.58</v>
      </c>
      <c r="R993" s="4">
        <v>45600</v>
      </c>
      <c r="S993" s="6">
        <v>0.34059027777777778</v>
      </c>
      <c r="T993">
        <f t="shared" si="62"/>
        <v>17</v>
      </c>
      <c r="U993" t="str" cm="1">
        <f t="array" ref="U993">_xlfn.IFS(M993&lt;=34,"YOUNG",M993&lt;=54,"MIDDLE AGE",M993&gt;=55,"OLD")</f>
        <v>OLD</v>
      </c>
      <c r="V993" t="str">
        <f t="shared" si="63"/>
        <v>NORMAL</v>
      </c>
    </row>
    <row r="994" spans="1:22" x14ac:dyDescent="0.35">
      <c r="A994" t="s">
        <v>2595</v>
      </c>
      <c r="B994" t="s">
        <v>1405</v>
      </c>
      <c r="C994">
        <v>839.33</v>
      </c>
      <c r="D994" s="1">
        <v>45048.669016203705</v>
      </c>
      <c r="E994" s="2">
        <f t="shared" si="60"/>
        <v>0.66901620370481396</v>
      </c>
      <c r="F994" s="3">
        <f t="shared" si="61"/>
        <v>45048</v>
      </c>
      <c r="G994" t="s">
        <v>46</v>
      </c>
      <c r="H994" t="s">
        <v>108</v>
      </c>
      <c r="I994" t="s">
        <v>54</v>
      </c>
      <c r="J994" t="s">
        <v>531</v>
      </c>
      <c r="K994" t="s">
        <v>358</v>
      </c>
      <c r="L994" t="s">
        <v>69</v>
      </c>
      <c r="M994">
        <v>60</v>
      </c>
      <c r="N994" t="s">
        <v>23</v>
      </c>
      <c r="O994">
        <v>86</v>
      </c>
      <c r="P994">
        <v>1</v>
      </c>
      <c r="Q994">
        <v>11538.97</v>
      </c>
      <c r="R994" s="4">
        <v>45600</v>
      </c>
      <c r="S994" s="6">
        <v>0.33982638888888889</v>
      </c>
      <c r="T994">
        <f t="shared" si="62"/>
        <v>16</v>
      </c>
      <c r="U994" t="str" cm="1">
        <f t="array" ref="U994">_xlfn.IFS(M994&lt;=34,"YOUNG",M994&lt;=54,"MIDDLE AGE",M994&gt;=55,"OLD")</f>
        <v>OLD</v>
      </c>
      <c r="V994" t="str">
        <f t="shared" si="63"/>
        <v>NORMAL</v>
      </c>
    </row>
    <row r="995" spans="1:22" x14ac:dyDescent="0.35">
      <c r="A995" t="s">
        <v>2596</v>
      </c>
      <c r="B995" t="s">
        <v>1874</v>
      </c>
      <c r="C995">
        <v>29.91</v>
      </c>
      <c r="D995" s="1">
        <v>45138.685104166667</v>
      </c>
      <c r="E995" s="2">
        <f t="shared" si="60"/>
        <v>0.68510416666686069</v>
      </c>
      <c r="F995" s="3">
        <f t="shared" si="61"/>
        <v>45138</v>
      </c>
      <c r="G995" t="s">
        <v>46</v>
      </c>
      <c r="H995" t="s">
        <v>243</v>
      </c>
      <c r="I995" t="s">
        <v>960</v>
      </c>
      <c r="J995" t="s">
        <v>1894</v>
      </c>
      <c r="K995" t="s">
        <v>639</v>
      </c>
      <c r="L995" t="s">
        <v>36</v>
      </c>
      <c r="M995">
        <v>76</v>
      </c>
      <c r="N995" t="s">
        <v>70</v>
      </c>
      <c r="O995">
        <v>43</v>
      </c>
      <c r="P995">
        <v>3</v>
      </c>
      <c r="Q995">
        <v>2834.84</v>
      </c>
      <c r="R995" s="4">
        <v>45600</v>
      </c>
      <c r="S995" s="6">
        <v>0.33934027777777775</v>
      </c>
      <c r="T995">
        <f t="shared" si="62"/>
        <v>16</v>
      </c>
      <c r="U995" t="str" cm="1">
        <f t="array" ref="U995">_xlfn.IFS(M995&lt;=34,"YOUNG",M995&lt;=54,"MIDDLE AGE",M995&gt;=55,"OLD")</f>
        <v>OLD</v>
      </c>
      <c r="V995" t="str">
        <f t="shared" si="63"/>
        <v>HIGH</v>
      </c>
    </row>
    <row r="996" spans="1:22" x14ac:dyDescent="0.35">
      <c r="A996" t="s">
        <v>2597</v>
      </c>
      <c r="B996" t="s">
        <v>1169</v>
      </c>
      <c r="C996">
        <v>4.24</v>
      </c>
      <c r="D996" s="1">
        <v>45033.698969907404</v>
      </c>
      <c r="E996" s="2">
        <f t="shared" si="60"/>
        <v>0.69896990740380716</v>
      </c>
      <c r="F996" s="3">
        <f t="shared" si="61"/>
        <v>45033</v>
      </c>
      <c r="G996" t="s">
        <v>17</v>
      </c>
      <c r="H996" t="s">
        <v>18</v>
      </c>
      <c r="I996" t="s">
        <v>705</v>
      </c>
      <c r="J996" t="s">
        <v>261</v>
      </c>
      <c r="K996" t="s">
        <v>572</v>
      </c>
      <c r="L996" t="s">
        <v>36</v>
      </c>
      <c r="M996">
        <v>38</v>
      </c>
      <c r="N996" t="s">
        <v>77</v>
      </c>
      <c r="O996">
        <v>38</v>
      </c>
      <c r="P996">
        <v>1</v>
      </c>
      <c r="Q996">
        <v>7822.73</v>
      </c>
      <c r="R996" s="4">
        <v>45600</v>
      </c>
      <c r="S996" s="6">
        <v>0.33881944444444445</v>
      </c>
      <c r="T996">
        <f t="shared" si="62"/>
        <v>16</v>
      </c>
      <c r="U996" t="str" cm="1">
        <f t="array" ref="U996">_xlfn.IFS(M996&lt;=34,"YOUNG",M996&lt;=54,"MIDDLE AGE",M996&gt;=55,"OLD")</f>
        <v>MIDDLE AGE</v>
      </c>
      <c r="V996" t="str">
        <f t="shared" si="63"/>
        <v>NORMAL</v>
      </c>
    </row>
    <row r="997" spans="1:22" x14ac:dyDescent="0.35">
      <c r="A997" t="s">
        <v>2598</v>
      </c>
      <c r="B997" t="s">
        <v>1438</v>
      </c>
      <c r="C997">
        <v>50.29</v>
      </c>
      <c r="D997" s="1">
        <v>45187.676134259258</v>
      </c>
      <c r="E997" s="2">
        <f t="shared" si="60"/>
        <v>0.67613425925810589</v>
      </c>
      <c r="F997" s="3">
        <f t="shared" si="61"/>
        <v>45187</v>
      </c>
      <c r="G997" t="s">
        <v>46</v>
      </c>
      <c r="H997" t="s">
        <v>40</v>
      </c>
      <c r="I997" t="s">
        <v>2282</v>
      </c>
      <c r="J997" t="s">
        <v>1181</v>
      </c>
      <c r="K997" t="s">
        <v>165</v>
      </c>
      <c r="L997" t="s">
        <v>36</v>
      </c>
      <c r="M997">
        <v>58</v>
      </c>
      <c r="N997" t="s">
        <v>23</v>
      </c>
      <c r="O997">
        <v>64</v>
      </c>
      <c r="P997">
        <v>1</v>
      </c>
      <c r="Q997">
        <v>7604.9</v>
      </c>
      <c r="R997" s="4">
        <v>45600</v>
      </c>
      <c r="S997" s="6">
        <v>0.33837962962962964</v>
      </c>
      <c r="T997">
        <f t="shared" si="62"/>
        <v>16</v>
      </c>
      <c r="U997" t="str" cm="1">
        <f t="array" ref="U997">_xlfn.IFS(M997&lt;=34,"YOUNG",M997&lt;=54,"MIDDLE AGE",M997&gt;=55,"OLD")</f>
        <v>OLD</v>
      </c>
      <c r="V997" t="str">
        <f t="shared" si="63"/>
        <v>NORMAL</v>
      </c>
    </row>
    <row r="998" spans="1:22" x14ac:dyDescent="0.35">
      <c r="A998" t="s">
        <v>2599</v>
      </c>
      <c r="B998" t="s">
        <v>1528</v>
      </c>
      <c r="C998">
        <v>135.85</v>
      </c>
      <c r="D998" s="1">
        <v>45141.726354166669</v>
      </c>
      <c r="E998" s="2">
        <f t="shared" si="60"/>
        <v>0.72635416666889796</v>
      </c>
      <c r="F998" s="3">
        <f t="shared" si="61"/>
        <v>45141</v>
      </c>
      <c r="G998" t="s">
        <v>17</v>
      </c>
      <c r="H998" t="s">
        <v>558</v>
      </c>
      <c r="I998" t="s">
        <v>1588</v>
      </c>
      <c r="J998" t="s">
        <v>631</v>
      </c>
      <c r="K998" t="s">
        <v>21</v>
      </c>
      <c r="L998" t="s">
        <v>36</v>
      </c>
      <c r="M998">
        <v>57</v>
      </c>
      <c r="N998" t="s">
        <v>70</v>
      </c>
      <c r="O998">
        <v>269</v>
      </c>
      <c r="P998">
        <v>1</v>
      </c>
      <c r="Q998">
        <v>1480.39</v>
      </c>
      <c r="R998" s="4">
        <v>45600</v>
      </c>
      <c r="S998" s="6">
        <v>0.33907407407407408</v>
      </c>
      <c r="T998">
        <f t="shared" si="62"/>
        <v>17</v>
      </c>
      <c r="U998" t="str" cm="1">
        <f t="array" ref="U998">_xlfn.IFS(M998&lt;=34,"YOUNG",M998&lt;=54,"MIDDLE AGE",M998&gt;=55,"OLD")</f>
        <v>OLD</v>
      </c>
      <c r="V998" t="str">
        <f t="shared" si="63"/>
        <v>NORMAL</v>
      </c>
    </row>
    <row r="999" spans="1:22" x14ac:dyDescent="0.35">
      <c r="A999" t="s">
        <v>2600</v>
      </c>
      <c r="B999" t="s">
        <v>2601</v>
      </c>
      <c r="C999">
        <v>368.53</v>
      </c>
      <c r="D999" s="1">
        <v>45019.673020833332</v>
      </c>
      <c r="E999" s="2">
        <f t="shared" si="60"/>
        <v>0.67302083333197515</v>
      </c>
      <c r="F999" s="3">
        <f t="shared" si="61"/>
        <v>45019</v>
      </c>
      <c r="G999" t="s">
        <v>17</v>
      </c>
      <c r="H999" t="s">
        <v>40</v>
      </c>
      <c r="I999" t="s">
        <v>538</v>
      </c>
      <c r="J999" t="s">
        <v>857</v>
      </c>
      <c r="K999" t="s">
        <v>514</v>
      </c>
      <c r="L999" t="s">
        <v>69</v>
      </c>
      <c r="M999">
        <v>68</v>
      </c>
      <c r="N999" t="s">
        <v>23</v>
      </c>
      <c r="O999">
        <v>34</v>
      </c>
      <c r="P999">
        <v>1</v>
      </c>
      <c r="Q999">
        <v>13696.31</v>
      </c>
      <c r="R999" s="4">
        <v>45600</v>
      </c>
      <c r="S999" s="6">
        <v>0.33814814814814814</v>
      </c>
      <c r="T999">
        <f t="shared" si="62"/>
        <v>16</v>
      </c>
      <c r="U999" t="str" cm="1">
        <f t="array" ref="U999">_xlfn.IFS(M999&lt;=34,"YOUNG",M999&lt;=54,"MIDDLE AGE",M999&gt;=55,"OLD")</f>
        <v>OLD</v>
      </c>
      <c r="V999" t="str">
        <f t="shared" si="63"/>
        <v>NORMAL</v>
      </c>
    </row>
    <row r="1000" spans="1:22" x14ac:dyDescent="0.35">
      <c r="A1000" t="s">
        <v>2602</v>
      </c>
      <c r="B1000" t="s">
        <v>889</v>
      </c>
      <c r="C1000">
        <v>17.95</v>
      </c>
      <c r="D1000" s="1">
        <v>45082.72383101852</v>
      </c>
      <c r="E1000" s="2">
        <f t="shared" si="60"/>
        <v>0.72383101852028631</v>
      </c>
      <c r="F1000" s="3">
        <f t="shared" si="61"/>
        <v>45082</v>
      </c>
      <c r="G1000" t="s">
        <v>46</v>
      </c>
      <c r="H1000" t="s">
        <v>285</v>
      </c>
      <c r="I1000" t="s">
        <v>1017</v>
      </c>
      <c r="J1000" t="s">
        <v>1503</v>
      </c>
      <c r="K1000" t="s">
        <v>1562</v>
      </c>
      <c r="L1000" t="s">
        <v>69</v>
      </c>
      <c r="M1000">
        <v>64</v>
      </c>
      <c r="N1000" t="s">
        <v>23</v>
      </c>
      <c r="O1000">
        <v>135</v>
      </c>
      <c r="P1000">
        <v>1</v>
      </c>
      <c r="Q1000">
        <v>12344.9</v>
      </c>
      <c r="R1000" s="4">
        <v>45600</v>
      </c>
      <c r="S1000" s="6">
        <v>0.34</v>
      </c>
      <c r="T1000">
        <f t="shared" si="62"/>
        <v>17</v>
      </c>
      <c r="U1000" t="str" cm="1">
        <f t="array" ref="U1000">_xlfn.IFS(M1000&lt;=34,"YOUNG",M1000&lt;=54,"MIDDLE AGE",M1000&gt;=55,"OLD")</f>
        <v>OLD</v>
      </c>
      <c r="V1000" t="str">
        <f t="shared" si="63"/>
        <v>NORMAL</v>
      </c>
    </row>
    <row r="1001" spans="1:22" x14ac:dyDescent="0.35">
      <c r="A1001" t="s">
        <v>2603</v>
      </c>
      <c r="B1001" t="s">
        <v>2133</v>
      </c>
      <c r="C1001">
        <v>127.8</v>
      </c>
      <c r="D1001" s="1">
        <v>44987.670740740738</v>
      </c>
      <c r="E1001" s="2">
        <f t="shared" si="60"/>
        <v>0.67074074073752854</v>
      </c>
      <c r="F1001" s="3">
        <f t="shared" si="61"/>
        <v>44987</v>
      </c>
      <c r="G1001" t="s">
        <v>46</v>
      </c>
      <c r="H1001" t="s">
        <v>301</v>
      </c>
      <c r="I1001" t="s">
        <v>2604</v>
      </c>
      <c r="J1001" t="s">
        <v>907</v>
      </c>
      <c r="K1001" t="s">
        <v>607</v>
      </c>
      <c r="L1001" t="s">
        <v>69</v>
      </c>
      <c r="M1001">
        <v>31</v>
      </c>
      <c r="N1001" t="s">
        <v>77</v>
      </c>
      <c r="O1001">
        <v>47</v>
      </c>
      <c r="P1001">
        <v>1</v>
      </c>
      <c r="Q1001">
        <v>8630.99</v>
      </c>
      <c r="R1001" s="4">
        <v>45600</v>
      </c>
      <c r="S1001" s="6">
        <v>0.3382175925925926</v>
      </c>
      <c r="T1001">
        <f t="shared" si="62"/>
        <v>16</v>
      </c>
      <c r="U1001" t="str" cm="1">
        <f t="array" ref="U1001">_xlfn.IFS(M1001&lt;=34,"YOUNG",M1001&lt;=54,"MIDDLE AGE",M1001&gt;=55,"OLD")</f>
        <v>YOUNG</v>
      </c>
      <c r="V1001" t="str">
        <f t="shared" si="63"/>
        <v>NORMAL</v>
      </c>
    </row>
    <row r="1002" spans="1:22" x14ac:dyDescent="0.35">
      <c r="A1002" t="s">
        <v>2605</v>
      </c>
      <c r="B1002" t="s">
        <v>968</v>
      </c>
      <c r="C1002">
        <v>16.73</v>
      </c>
      <c r="D1002" s="1">
        <v>44979.736041666663</v>
      </c>
      <c r="E1002" s="2">
        <f t="shared" si="60"/>
        <v>0.73604166666336823</v>
      </c>
      <c r="F1002" s="3">
        <f t="shared" si="61"/>
        <v>44979</v>
      </c>
      <c r="G1002" t="s">
        <v>17</v>
      </c>
      <c r="H1002" t="s">
        <v>26</v>
      </c>
      <c r="I1002" t="s">
        <v>1017</v>
      </c>
      <c r="J1002" t="s">
        <v>929</v>
      </c>
      <c r="K1002" t="s">
        <v>89</v>
      </c>
      <c r="L1002" t="s">
        <v>36</v>
      </c>
      <c r="M1002">
        <v>45</v>
      </c>
      <c r="N1002" t="s">
        <v>77</v>
      </c>
      <c r="O1002">
        <v>48</v>
      </c>
      <c r="P1002">
        <v>1</v>
      </c>
      <c r="Q1002">
        <v>2202.62</v>
      </c>
      <c r="R1002" s="4">
        <v>45600</v>
      </c>
      <c r="S1002" s="6">
        <v>0.34</v>
      </c>
      <c r="T1002">
        <f t="shared" si="62"/>
        <v>17</v>
      </c>
      <c r="U1002" t="str" cm="1">
        <f t="array" ref="U1002">_xlfn.IFS(M1002&lt;=34,"YOUNG",M1002&lt;=54,"MIDDLE AGE",M1002&gt;=55,"OLD")</f>
        <v>MIDDLE AGE</v>
      </c>
      <c r="V1002" t="str">
        <f t="shared" si="63"/>
        <v>NORMAL</v>
      </c>
    </row>
    <row r="1003" spans="1:22" x14ac:dyDescent="0.35">
      <c r="A1003" t="s">
        <v>2606</v>
      </c>
      <c r="B1003" t="s">
        <v>2019</v>
      </c>
      <c r="C1003">
        <v>317.12</v>
      </c>
      <c r="D1003" s="1">
        <v>45271.669328703705</v>
      </c>
      <c r="E1003" s="2">
        <f t="shared" si="60"/>
        <v>0.669328703705105</v>
      </c>
      <c r="F1003" s="3">
        <f t="shared" si="61"/>
        <v>45271</v>
      </c>
      <c r="G1003" t="s">
        <v>17</v>
      </c>
      <c r="H1003" t="s">
        <v>157</v>
      </c>
      <c r="I1003" t="s">
        <v>900</v>
      </c>
      <c r="J1003" t="s">
        <v>1262</v>
      </c>
      <c r="K1003" t="s">
        <v>762</v>
      </c>
      <c r="L1003" t="s">
        <v>69</v>
      </c>
      <c r="M1003">
        <v>44</v>
      </c>
      <c r="N1003" t="s">
        <v>23</v>
      </c>
      <c r="O1003">
        <v>80</v>
      </c>
      <c r="P1003">
        <v>1</v>
      </c>
      <c r="Q1003">
        <v>14409.74</v>
      </c>
      <c r="R1003" s="4">
        <v>45600</v>
      </c>
      <c r="S1003" s="6">
        <v>0.33898148148148149</v>
      </c>
      <c r="T1003">
        <f t="shared" si="62"/>
        <v>16</v>
      </c>
      <c r="U1003" t="str" cm="1">
        <f t="array" ref="U1003">_xlfn.IFS(M1003&lt;=34,"YOUNG",M1003&lt;=54,"MIDDLE AGE",M1003&gt;=55,"OLD")</f>
        <v>MIDDLE AGE</v>
      </c>
      <c r="V1003" t="str">
        <f t="shared" si="63"/>
        <v>NORMAL</v>
      </c>
    </row>
    <row r="1004" spans="1:22" x14ac:dyDescent="0.35">
      <c r="A1004" t="s">
        <v>2607</v>
      </c>
      <c r="B1004" t="s">
        <v>733</v>
      </c>
      <c r="C1004">
        <v>476.63</v>
      </c>
      <c r="D1004" s="1">
        <v>45132.720706018517</v>
      </c>
      <c r="E1004" s="2">
        <f t="shared" si="60"/>
        <v>0.72070601851737592</v>
      </c>
      <c r="F1004" s="3">
        <f t="shared" si="61"/>
        <v>45132</v>
      </c>
      <c r="G1004" t="s">
        <v>17</v>
      </c>
      <c r="H1004" t="s">
        <v>249</v>
      </c>
      <c r="I1004" t="s">
        <v>1633</v>
      </c>
      <c r="J1004" t="s">
        <v>1002</v>
      </c>
      <c r="K1004" t="s">
        <v>980</v>
      </c>
      <c r="L1004" t="s">
        <v>22</v>
      </c>
      <c r="M1004">
        <v>79</v>
      </c>
      <c r="N1004" t="s">
        <v>70</v>
      </c>
      <c r="O1004">
        <v>115</v>
      </c>
      <c r="P1004">
        <v>1</v>
      </c>
      <c r="Q1004">
        <v>4894.25</v>
      </c>
      <c r="R1004" s="4">
        <v>45600</v>
      </c>
      <c r="S1004" s="6">
        <v>0.33968749999999998</v>
      </c>
      <c r="T1004">
        <f t="shared" si="62"/>
        <v>17</v>
      </c>
      <c r="U1004" t="str" cm="1">
        <f t="array" ref="U1004">_xlfn.IFS(M1004&lt;=34,"YOUNG",M1004&lt;=54,"MIDDLE AGE",M1004&gt;=55,"OLD")</f>
        <v>OLD</v>
      </c>
      <c r="V1004" t="str">
        <f t="shared" si="63"/>
        <v>NORMAL</v>
      </c>
    </row>
    <row r="1005" spans="1:22" x14ac:dyDescent="0.35">
      <c r="A1005" t="s">
        <v>2608</v>
      </c>
      <c r="B1005" t="s">
        <v>39</v>
      </c>
      <c r="C1005">
        <v>156.58000000000001</v>
      </c>
      <c r="D1005" s="1">
        <v>45187.668865740743</v>
      </c>
      <c r="E1005" s="2">
        <f t="shared" si="60"/>
        <v>0.66886574074305827</v>
      </c>
      <c r="F1005" s="3">
        <f t="shared" si="61"/>
        <v>45187</v>
      </c>
      <c r="G1005" t="s">
        <v>17</v>
      </c>
      <c r="H1005" t="s">
        <v>595</v>
      </c>
      <c r="I1005" t="s">
        <v>1575</v>
      </c>
      <c r="J1005" t="s">
        <v>2609</v>
      </c>
      <c r="K1005" t="s">
        <v>160</v>
      </c>
      <c r="L1005" t="s">
        <v>69</v>
      </c>
      <c r="M1005">
        <v>24</v>
      </c>
      <c r="N1005" t="s">
        <v>37</v>
      </c>
      <c r="O1005">
        <v>160</v>
      </c>
      <c r="P1005">
        <v>1</v>
      </c>
      <c r="Q1005">
        <v>8981.61</v>
      </c>
      <c r="R1005" s="4">
        <v>45600</v>
      </c>
      <c r="S1005" s="6">
        <v>0.3400347222222222</v>
      </c>
      <c r="T1005">
        <f t="shared" si="62"/>
        <v>16</v>
      </c>
      <c r="U1005" t="str" cm="1">
        <f t="array" ref="U1005">_xlfn.IFS(M1005&lt;=34,"YOUNG",M1005&lt;=54,"MIDDLE AGE",M1005&gt;=55,"OLD")</f>
        <v>YOUNG</v>
      </c>
      <c r="V1005" t="str">
        <f t="shared" si="63"/>
        <v>NORMAL</v>
      </c>
    </row>
    <row r="1006" spans="1:22" x14ac:dyDescent="0.35">
      <c r="A1006" t="s">
        <v>2610</v>
      </c>
      <c r="B1006" t="s">
        <v>1770</v>
      </c>
      <c r="C1006">
        <v>55.12</v>
      </c>
      <c r="D1006" s="1">
        <v>45187.679895833331</v>
      </c>
      <c r="E1006" s="2">
        <f t="shared" si="60"/>
        <v>0.67989583333110204</v>
      </c>
      <c r="F1006" s="3">
        <f t="shared" si="61"/>
        <v>45187</v>
      </c>
      <c r="G1006" t="s">
        <v>46</v>
      </c>
      <c r="H1006" t="s">
        <v>26</v>
      </c>
      <c r="I1006" t="s">
        <v>2611</v>
      </c>
      <c r="J1006" t="s">
        <v>394</v>
      </c>
      <c r="K1006" t="s">
        <v>1037</v>
      </c>
      <c r="L1006" t="s">
        <v>36</v>
      </c>
      <c r="M1006">
        <v>34</v>
      </c>
      <c r="N1006" t="s">
        <v>77</v>
      </c>
      <c r="O1006">
        <v>261</v>
      </c>
      <c r="P1006">
        <v>1</v>
      </c>
      <c r="Q1006">
        <v>3791.99</v>
      </c>
      <c r="R1006" s="4">
        <v>45600</v>
      </c>
      <c r="S1006" s="6">
        <v>0.34119212962962964</v>
      </c>
      <c r="T1006">
        <f t="shared" si="62"/>
        <v>16</v>
      </c>
      <c r="U1006" t="str" cm="1">
        <f t="array" ref="U1006">_xlfn.IFS(M1006&lt;=34,"YOUNG",M1006&lt;=54,"MIDDLE AGE",M1006&gt;=55,"OLD")</f>
        <v>YOUNG</v>
      </c>
      <c r="V1006" t="str">
        <f t="shared" si="63"/>
        <v>NORMAL</v>
      </c>
    </row>
    <row r="1007" spans="1:22" x14ac:dyDescent="0.35">
      <c r="A1007" t="s">
        <v>2612</v>
      </c>
      <c r="B1007" t="s">
        <v>2208</v>
      </c>
      <c r="C1007">
        <v>15.74</v>
      </c>
      <c r="D1007" s="1">
        <v>44935.670162037037</v>
      </c>
      <c r="E1007" s="2">
        <f t="shared" si="60"/>
        <v>0.67016203703678912</v>
      </c>
      <c r="F1007" s="3">
        <f t="shared" si="61"/>
        <v>44935</v>
      </c>
      <c r="G1007" t="s">
        <v>17</v>
      </c>
      <c r="H1007" t="s">
        <v>114</v>
      </c>
      <c r="I1007" t="s">
        <v>2613</v>
      </c>
      <c r="J1007" t="s">
        <v>2614</v>
      </c>
      <c r="K1007" t="s">
        <v>267</v>
      </c>
      <c r="L1007" t="s">
        <v>69</v>
      </c>
      <c r="M1007">
        <v>27</v>
      </c>
      <c r="N1007" t="s">
        <v>37</v>
      </c>
      <c r="O1007">
        <v>38</v>
      </c>
      <c r="P1007">
        <v>1</v>
      </c>
      <c r="Q1007">
        <v>690.16</v>
      </c>
      <c r="R1007" s="4">
        <v>45600</v>
      </c>
      <c r="S1007" s="6">
        <v>0.34030092592592592</v>
      </c>
      <c r="T1007">
        <f t="shared" si="62"/>
        <v>16</v>
      </c>
      <c r="U1007" t="str" cm="1">
        <f t="array" ref="U1007">_xlfn.IFS(M1007&lt;=34,"YOUNG",M1007&lt;=54,"MIDDLE AGE",M1007&gt;=55,"OLD")</f>
        <v>YOUNG</v>
      </c>
      <c r="V1007" t="str">
        <f t="shared" si="63"/>
        <v>NORMAL</v>
      </c>
    </row>
    <row r="1008" spans="1:22" x14ac:dyDescent="0.35">
      <c r="A1008" t="s">
        <v>2615</v>
      </c>
      <c r="B1008" t="s">
        <v>2616</v>
      </c>
      <c r="C1008">
        <v>353.68</v>
      </c>
      <c r="D1008" s="1">
        <v>45236.689560185187</v>
      </c>
      <c r="E1008" s="2">
        <f t="shared" si="60"/>
        <v>0.68956018518656492</v>
      </c>
      <c r="F1008" s="3">
        <f t="shared" si="61"/>
        <v>45236</v>
      </c>
      <c r="G1008" t="s">
        <v>17</v>
      </c>
      <c r="H1008" t="s">
        <v>146</v>
      </c>
      <c r="I1008" t="s">
        <v>2617</v>
      </c>
      <c r="J1008" t="s">
        <v>623</v>
      </c>
      <c r="K1008" t="s">
        <v>95</v>
      </c>
      <c r="L1008" t="s">
        <v>36</v>
      </c>
      <c r="M1008">
        <v>70</v>
      </c>
      <c r="N1008" t="s">
        <v>70</v>
      </c>
      <c r="O1008">
        <v>145</v>
      </c>
      <c r="P1008">
        <v>1</v>
      </c>
      <c r="Q1008">
        <v>6777.12</v>
      </c>
      <c r="R1008" s="4">
        <v>45600</v>
      </c>
      <c r="S1008" s="6">
        <v>0.33929398148148149</v>
      </c>
      <c r="T1008">
        <f t="shared" si="62"/>
        <v>16</v>
      </c>
      <c r="U1008" t="str" cm="1">
        <f t="array" ref="U1008">_xlfn.IFS(M1008&lt;=34,"YOUNG",M1008&lt;=54,"MIDDLE AGE",M1008&gt;=55,"OLD")</f>
        <v>OLD</v>
      </c>
      <c r="V1008" t="str">
        <f t="shared" si="63"/>
        <v>NORMAL</v>
      </c>
    </row>
    <row r="1009" spans="1:22" x14ac:dyDescent="0.35">
      <c r="A1009" t="s">
        <v>2618</v>
      </c>
      <c r="B1009" t="s">
        <v>589</v>
      </c>
      <c r="C1009">
        <v>297.14999999999998</v>
      </c>
      <c r="D1009" s="1">
        <v>45211.757951388892</v>
      </c>
      <c r="E1009" s="2">
        <f t="shared" si="60"/>
        <v>0.757951388892252</v>
      </c>
      <c r="F1009" s="3">
        <f t="shared" si="61"/>
        <v>45211</v>
      </c>
      <c r="G1009" t="s">
        <v>17</v>
      </c>
      <c r="H1009" t="s">
        <v>425</v>
      </c>
      <c r="I1009" t="s">
        <v>1410</v>
      </c>
      <c r="J1009" t="s">
        <v>1667</v>
      </c>
      <c r="K1009" t="s">
        <v>639</v>
      </c>
      <c r="L1009" t="s">
        <v>36</v>
      </c>
      <c r="M1009">
        <v>76</v>
      </c>
      <c r="N1009" t="s">
        <v>70</v>
      </c>
      <c r="O1009">
        <v>178</v>
      </c>
      <c r="P1009">
        <v>1</v>
      </c>
      <c r="Q1009">
        <v>5449.37</v>
      </c>
      <c r="R1009" s="4">
        <v>45600</v>
      </c>
      <c r="S1009" s="6">
        <v>0.34035879629629628</v>
      </c>
      <c r="T1009">
        <f t="shared" si="62"/>
        <v>18</v>
      </c>
      <c r="U1009" t="str" cm="1">
        <f t="array" ref="U1009">_xlfn.IFS(M1009&lt;=34,"YOUNG",M1009&lt;=54,"MIDDLE AGE",M1009&gt;=55,"OLD")</f>
        <v>OLD</v>
      </c>
      <c r="V1009" t="str">
        <f t="shared" si="63"/>
        <v>NORMAL</v>
      </c>
    </row>
    <row r="1010" spans="1:22" x14ac:dyDescent="0.35">
      <c r="A1010" t="s">
        <v>2619</v>
      </c>
      <c r="B1010" t="s">
        <v>509</v>
      </c>
      <c r="C1010">
        <v>647.85</v>
      </c>
      <c r="D1010" s="1">
        <v>45264.688680555555</v>
      </c>
      <c r="E1010" s="2">
        <f t="shared" si="60"/>
        <v>0.68868055555503815</v>
      </c>
      <c r="F1010" s="3">
        <f t="shared" si="61"/>
        <v>45264</v>
      </c>
      <c r="G1010" t="s">
        <v>17</v>
      </c>
      <c r="H1010" t="s">
        <v>296</v>
      </c>
      <c r="I1010" t="s">
        <v>443</v>
      </c>
      <c r="J1010" t="s">
        <v>2620</v>
      </c>
      <c r="K1010" t="s">
        <v>639</v>
      </c>
      <c r="L1010" t="s">
        <v>69</v>
      </c>
      <c r="M1010">
        <v>36</v>
      </c>
      <c r="N1010" t="s">
        <v>23</v>
      </c>
      <c r="O1010">
        <v>121</v>
      </c>
      <c r="P1010">
        <v>1</v>
      </c>
      <c r="Q1010">
        <v>13779.97</v>
      </c>
      <c r="R1010" s="4">
        <v>45600</v>
      </c>
      <c r="S1010" s="6">
        <v>0.33997685185185184</v>
      </c>
      <c r="T1010">
        <f t="shared" si="62"/>
        <v>16</v>
      </c>
      <c r="U1010" t="str" cm="1">
        <f t="array" ref="U1010">_xlfn.IFS(M1010&lt;=34,"YOUNG",M1010&lt;=54,"MIDDLE AGE",M1010&gt;=55,"OLD")</f>
        <v>MIDDLE AGE</v>
      </c>
      <c r="V1010" t="str">
        <f t="shared" si="63"/>
        <v>NORMAL</v>
      </c>
    </row>
    <row r="1011" spans="1:22" x14ac:dyDescent="0.35">
      <c r="A1011" t="s">
        <v>2621</v>
      </c>
      <c r="B1011" t="s">
        <v>525</v>
      </c>
      <c r="C1011">
        <v>75.040000000000006</v>
      </c>
      <c r="D1011" s="1">
        <v>45134.711643518516</v>
      </c>
      <c r="E1011" s="2">
        <f t="shared" si="60"/>
        <v>0.71164351851621177</v>
      </c>
      <c r="F1011" s="3">
        <f t="shared" si="61"/>
        <v>45134</v>
      </c>
      <c r="G1011" t="s">
        <v>17</v>
      </c>
      <c r="H1011" t="s">
        <v>506</v>
      </c>
      <c r="I1011" t="s">
        <v>596</v>
      </c>
      <c r="J1011" t="s">
        <v>1046</v>
      </c>
      <c r="K1011" t="s">
        <v>682</v>
      </c>
      <c r="L1011" t="s">
        <v>22</v>
      </c>
      <c r="M1011">
        <v>49</v>
      </c>
      <c r="N1011" t="s">
        <v>77</v>
      </c>
      <c r="O1011">
        <v>178</v>
      </c>
      <c r="P1011">
        <v>1</v>
      </c>
      <c r="Q1011">
        <v>9648.6</v>
      </c>
      <c r="R1011" s="4">
        <v>45600</v>
      </c>
      <c r="S1011" s="6">
        <v>0.3385185185185185</v>
      </c>
      <c r="T1011">
        <f t="shared" si="62"/>
        <v>17</v>
      </c>
      <c r="U1011" t="str" cm="1">
        <f t="array" ref="U1011">_xlfn.IFS(M1011&lt;=34,"YOUNG",M1011&lt;=54,"MIDDLE AGE",M1011&gt;=55,"OLD")</f>
        <v>MIDDLE AGE</v>
      </c>
      <c r="V1011" t="str">
        <f t="shared" si="63"/>
        <v>NORMAL</v>
      </c>
    </row>
    <row r="1012" spans="1:22" x14ac:dyDescent="0.35">
      <c r="A1012" t="s">
        <v>2622</v>
      </c>
      <c r="B1012" t="s">
        <v>767</v>
      </c>
      <c r="C1012">
        <v>273.92</v>
      </c>
      <c r="D1012" s="1">
        <v>45054.746481481481</v>
      </c>
      <c r="E1012" s="2">
        <f t="shared" si="60"/>
        <v>0.74648148148116888</v>
      </c>
      <c r="F1012" s="3">
        <f t="shared" si="61"/>
        <v>45054</v>
      </c>
      <c r="G1012" t="s">
        <v>17</v>
      </c>
      <c r="H1012" t="s">
        <v>301</v>
      </c>
      <c r="I1012" t="s">
        <v>1362</v>
      </c>
      <c r="J1012" t="s">
        <v>571</v>
      </c>
      <c r="K1012" t="s">
        <v>572</v>
      </c>
      <c r="L1012" t="s">
        <v>36</v>
      </c>
      <c r="M1012">
        <v>28</v>
      </c>
      <c r="N1012" t="s">
        <v>37</v>
      </c>
      <c r="O1012">
        <v>35</v>
      </c>
      <c r="P1012">
        <v>1</v>
      </c>
      <c r="Q1012">
        <v>1029.1500000000001</v>
      </c>
      <c r="R1012" s="4">
        <v>45600</v>
      </c>
      <c r="S1012" s="6">
        <v>0.34011574074074075</v>
      </c>
      <c r="T1012">
        <f t="shared" si="62"/>
        <v>17</v>
      </c>
      <c r="U1012" t="str" cm="1">
        <f t="array" ref="U1012">_xlfn.IFS(M1012&lt;=34,"YOUNG",M1012&lt;=54,"MIDDLE AGE",M1012&gt;=55,"OLD")</f>
        <v>YOUNG</v>
      </c>
      <c r="V1012" t="str">
        <f t="shared" si="63"/>
        <v>NORMAL</v>
      </c>
    </row>
    <row r="1013" spans="1:22" x14ac:dyDescent="0.35">
      <c r="A1013" t="s">
        <v>2623</v>
      </c>
      <c r="B1013" t="s">
        <v>1391</v>
      </c>
      <c r="C1013">
        <v>215.8</v>
      </c>
      <c r="D1013" s="1">
        <v>45064.669421296298</v>
      </c>
      <c r="E1013" s="2">
        <f t="shared" si="60"/>
        <v>0.66942129629751435</v>
      </c>
      <c r="F1013" s="3">
        <f t="shared" si="61"/>
        <v>45064</v>
      </c>
      <c r="G1013" t="s">
        <v>46</v>
      </c>
      <c r="H1013" t="s">
        <v>392</v>
      </c>
      <c r="I1013" t="s">
        <v>1410</v>
      </c>
      <c r="J1013" t="s">
        <v>496</v>
      </c>
      <c r="K1013" t="s">
        <v>89</v>
      </c>
      <c r="L1013" t="s">
        <v>69</v>
      </c>
      <c r="M1013">
        <v>51</v>
      </c>
      <c r="N1013" t="s">
        <v>70</v>
      </c>
      <c r="O1013">
        <v>66</v>
      </c>
      <c r="P1013">
        <v>1</v>
      </c>
      <c r="Q1013">
        <v>3656.62</v>
      </c>
      <c r="R1013" s="4">
        <v>45600</v>
      </c>
      <c r="S1013" s="6">
        <v>0.33924768518518517</v>
      </c>
      <c r="T1013">
        <f t="shared" si="62"/>
        <v>16</v>
      </c>
      <c r="U1013" t="str" cm="1">
        <f t="array" ref="U1013">_xlfn.IFS(M1013&lt;=34,"YOUNG",M1013&lt;=54,"MIDDLE AGE",M1013&gt;=55,"OLD")</f>
        <v>MIDDLE AGE</v>
      </c>
      <c r="V1013" t="str">
        <f t="shared" si="63"/>
        <v>NORMAL</v>
      </c>
    </row>
    <row r="1014" spans="1:22" x14ac:dyDescent="0.35">
      <c r="A1014" t="s">
        <v>2624</v>
      </c>
      <c r="B1014" t="s">
        <v>729</v>
      </c>
      <c r="C1014">
        <v>963.77</v>
      </c>
      <c r="D1014" s="1">
        <v>45118.698171296295</v>
      </c>
      <c r="E1014" s="2">
        <f t="shared" si="60"/>
        <v>0.69817129629518604</v>
      </c>
      <c r="F1014" s="3">
        <f t="shared" si="61"/>
        <v>45118</v>
      </c>
      <c r="G1014" t="s">
        <v>17</v>
      </c>
      <c r="H1014" t="s">
        <v>108</v>
      </c>
      <c r="I1014" t="s">
        <v>2625</v>
      </c>
      <c r="J1014" t="s">
        <v>1002</v>
      </c>
      <c r="K1014" t="s">
        <v>288</v>
      </c>
      <c r="L1014" t="s">
        <v>22</v>
      </c>
      <c r="M1014">
        <v>41</v>
      </c>
      <c r="N1014" t="s">
        <v>77</v>
      </c>
      <c r="O1014">
        <v>248</v>
      </c>
      <c r="P1014">
        <v>1</v>
      </c>
      <c r="Q1014">
        <v>6710.51</v>
      </c>
      <c r="R1014" s="4">
        <v>45600</v>
      </c>
      <c r="S1014" s="6">
        <v>0.34041666666666665</v>
      </c>
      <c r="T1014">
        <f t="shared" si="62"/>
        <v>16</v>
      </c>
      <c r="U1014" t="str" cm="1">
        <f t="array" ref="U1014">_xlfn.IFS(M1014&lt;=34,"YOUNG",M1014&lt;=54,"MIDDLE AGE",M1014&gt;=55,"OLD")</f>
        <v>MIDDLE AGE</v>
      </c>
      <c r="V1014" t="str">
        <f t="shared" si="63"/>
        <v>NORMAL</v>
      </c>
    </row>
    <row r="1015" spans="1:22" x14ac:dyDescent="0.35">
      <c r="A1015" t="s">
        <v>2626</v>
      </c>
      <c r="B1015" t="s">
        <v>931</v>
      </c>
      <c r="C1015">
        <v>420.6</v>
      </c>
      <c r="D1015" s="1">
        <v>45033.673831018517</v>
      </c>
      <c r="E1015" s="2">
        <f t="shared" si="60"/>
        <v>0.67383101851737592</v>
      </c>
      <c r="F1015" s="3">
        <f t="shared" si="61"/>
        <v>45033</v>
      </c>
      <c r="G1015" t="s">
        <v>17</v>
      </c>
      <c r="H1015" t="s">
        <v>108</v>
      </c>
      <c r="I1015" t="s">
        <v>1537</v>
      </c>
      <c r="J1015" t="s">
        <v>2627</v>
      </c>
      <c r="K1015" t="s">
        <v>572</v>
      </c>
      <c r="L1015" t="s">
        <v>69</v>
      </c>
      <c r="M1015">
        <v>26</v>
      </c>
      <c r="N1015" t="s">
        <v>37</v>
      </c>
      <c r="O1015">
        <v>55</v>
      </c>
      <c r="P1015">
        <v>1</v>
      </c>
      <c r="Q1015">
        <v>1778.75</v>
      </c>
      <c r="R1015" s="4">
        <v>45600</v>
      </c>
      <c r="S1015" s="6">
        <v>0.33993055555555557</v>
      </c>
      <c r="T1015">
        <f t="shared" si="62"/>
        <v>16</v>
      </c>
      <c r="U1015" t="str" cm="1">
        <f t="array" ref="U1015">_xlfn.IFS(M1015&lt;=34,"YOUNG",M1015&lt;=54,"MIDDLE AGE",M1015&gt;=55,"OLD")</f>
        <v>YOUNG</v>
      </c>
      <c r="V1015" t="str">
        <f t="shared" si="63"/>
        <v>NORMAL</v>
      </c>
    </row>
    <row r="1016" spans="1:22" x14ac:dyDescent="0.35">
      <c r="A1016" t="s">
        <v>2628</v>
      </c>
      <c r="B1016" t="s">
        <v>259</v>
      </c>
      <c r="C1016">
        <v>688.36</v>
      </c>
      <c r="D1016" s="1">
        <v>45107.688761574071</v>
      </c>
      <c r="E1016" s="2">
        <f t="shared" si="60"/>
        <v>0.68876157407066785</v>
      </c>
      <c r="F1016" s="3">
        <f t="shared" si="61"/>
        <v>45107</v>
      </c>
      <c r="G1016" t="s">
        <v>46</v>
      </c>
      <c r="H1016" t="s">
        <v>92</v>
      </c>
      <c r="I1016" t="s">
        <v>33</v>
      </c>
      <c r="J1016" t="s">
        <v>1414</v>
      </c>
      <c r="K1016" t="s">
        <v>83</v>
      </c>
      <c r="L1016" t="s">
        <v>69</v>
      </c>
      <c r="M1016">
        <v>23</v>
      </c>
      <c r="N1016" t="s">
        <v>37</v>
      </c>
      <c r="O1016">
        <v>22</v>
      </c>
      <c r="P1016">
        <v>1</v>
      </c>
      <c r="Q1016">
        <v>5191.13</v>
      </c>
      <c r="R1016" s="4">
        <v>45600</v>
      </c>
      <c r="S1016" s="6">
        <v>0.34103009259259259</v>
      </c>
      <c r="T1016">
        <f t="shared" si="62"/>
        <v>16</v>
      </c>
      <c r="U1016" t="str" cm="1">
        <f t="array" ref="U1016">_xlfn.IFS(M1016&lt;=34,"YOUNG",M1016&lt;=54,"MIDDLE AGE",M1016&gt;=55,"OLD")</f>
        <v>YOUNG</v>
      </c>
      <c r="V1016" t="str">
        <f t="shared" si="63"/>
        <v>NORMAL</v>
      </c>
    </row>
    <row r="1017" spans="1:22" x14ac:dyDescent="0.35">
      <c r="A1017" t="s">
        <v>2629</v>
      </c>
      <c r="B1017" t="s">
        <v>1982</v>
      </c>
      <c r="C1017">
        <v>285.18</v>
      </c>
      <c r="D1017" s="1">
        <v>44993.693912037037</v>
      </c>
      <c r="E1017" s="2">
        <f t="shared" si="60"/>
        <v>0.69391203703708015</v>
      </c>
      <c r="F1017" s="3">
        <f t="shared" si="61"/>
        <v>44993</v>
      </c>
      <c r="G1017" t="s">
        <v>46</v>
      </c>
      <c r="H1017" t="s">
        <v>285</v>
      </c>
      <c r="I1017" t="s">
        <v>2312</v>
      </c>
      <c r="J1017" t="s">
        <v>2630</v>
      </c>
      <c r="K1017" t="s">
        <v>820</v>
      </c>
      <c r="L1017" t="s">
        <v>69</v>
      </c>
      <c r="M1017">
        <v>55</v>
      </c>
      <c r="N1017" t="s">
        <v>23</v>
      </c>
      <c r="O1017">
        <v>150</v>
      </c>
      <c r="P1017">
        <v>1</v>
      </c>
      <c r="Q1017">
        <v>14847.97</v>
      </c>
      <c r="R1017" s="4">
        <v>45600</v>
      </c>
      <c r="S1017" s="6">
        <v>0.34002314814814816</v>
      </c>
      <c r="T1017">
        <f t="shared" si="62"/>
        <v>16</v>
      </c>
      <c r="U1017" t="str" cm="1">
        <f t="array" ref="U1017">_xlfn.IFS(M1017&lt;=34,"YOUNG",M1017&lt;=54,"MIDDLE AGE",M1017&gt;=55,"OLD")</f>
        <v>OLD</v>
      </c>
      <c r="V1017" t="str">
        <f t="shared" si="63"/>
        <v>NORMAL</v>
      </c>
    </row>
    <row r="1018" spans="1:22" x14ac:dyDescent="0.35">
      <c r="A1018" t="s">
        <v>2631</v>
      </c>
      <c r="B1018" t="s">
        <v>704</v>
      </c>
      <c r="C1018">
        <v>213.55</v>
      </c>
      <c r="D1018" s="1">
        <v>45015.666956018518</v>
      </c>
      <c r="E1018" s="2">
        <f t="shared" si="60"/>
        <v>0.66695601851824904</v>
      </c>
      <c r="F1018" s="3">
        <f t="shared" si="61"/>
        <v>45015</v>
      </c>
      <c r="G1018" t="s">
        <v>17</v>
      </c>
      <c r="H1018" t="s">
        <v>388</v>
      </c>
      <c r="I1018" t="s">
        <v>1413</v>
      </c>
      <c r="J1018" t="s">
        <v>976</v>
      </c>
      <c r="K1018" t="s">
        <v>543</v>
      </c>
      <c r="L1018" t="s">
        <v>22</v>
      </c>
      <c r="M1018">
        <v>63</v>
      </c>
      <c r="N1018" t="s">
        <v>23</v>
      </c>
      <c r="O1018">
        <v>15</v>
      </c>
      <c r="P1018">
        <v>1</v>
      </c>
      <c r="Q1018">
        <v>5238.37</v>
      </c>
      <c r="R1018" s="4">
        <v>45600</v>
      </c>
      <c r="S1018" s="6">
        <v>0.33826388888888886</v>
      </c>
      <c r="T1018">
        <f t="shared" si="62"/>
        <v>16</v>
      </c>
      <c r="U1018" t="str" cm="1">
        <f t="array" ref="U1018">_xlfn.IFS(M1018&lt;=34,"YOUNG",M1018&lt;=54,"MIDDLE AGE",M1018&gt;=55,"OLD")</f>
        <v>OLD</v>
      </c>
      <c r="V1018" t="str">
        <f t="shared" si="63"/>
        <v>NORMAL</v>
      </c>
    </row>
    <row r="1019" spans="1:22" x14ac:dyDescent="0.35">
      <c r="A1019" t="s">
        <v>2632</v>
      </c>
      <c r="B1019" t="s">
        <v>1612</v>
      </c>
      <c r="C1019">
        <v>463.11</v>
      </c>
      <c r="D1019" s="1">
        <v>45195.70144675926</v>
      </c>
      <c r="E1019" s="2">
        <f t="shared" si="60"/>
        <v>0.70144675925985212</v>
      </c>
      <c r="F1019" s="3">
        <f t="shared" si="61"/>
        <v>45195</v>
      </c>
      <c r="G1019" t="s">
        <v>46</v>
      </c>
      <c r="H1019" t="s">
        <v>146</v>
      </c>
      <c r="I1019" t="s">
        <v>1024</v>
      </c>
      <c r="J1019" t="s">
        <v>2206</v>
      </c>
      <c r="K1019" t="s">
        <v>303</v>
      </c>
      <c r="L1019" t="s">
        <v>69</v>
      </c>
      <c r="M1019">
        <v>51</v>
      </c>
      <c r="N1019" t="s">
        <v>23</v>
      </c>
      <c r="O1019">
        <v>159</v>
      </c>
      <c r="P1019">
        <v>1</v>
      </c>
      <c r="Q1019">
        <v>10238.82</v>
      </c>
      <c r="R1019" s="4">
        <v>45600</v>
      </c>
      <c r="S1019" s="6">
        <v>0.33840277777777777</v>
      </c>
      <c r="T1019">
        <f t="shared" si="62"/>
        <v>16</v>
      </c>
      <c r="U1019" t="str" cm="1">
        <f t="array" ref="U1019">_xlfn.IFS(M1019&lt;=34,"YOUNG",M1019&lt;=54,"MIDDLE AGE",M1019&gt;=55,"OLD")</f>
        <v>MIDDLE AGE</v>
      </c>
      <c r="V1019" t="str">
        <f t="shared" si="63"/>
        <v>NORMAL</v>
      </c>
    </row>
    <row r="1020" spans="1:22" x14ac:dyDescent="0.35">
      <c r="A1020" t="s">
        <v>2633</v>
      </c>
      <c r="B1020" t="s">
        <v>2050</v>
      </c>
      <c r="C1020">
        <v>150.03</v>
      </c>
      <c r="D1020" s="1">
        <v>45117.678715277776</v>
      </c>
      <c r="E1020" s="2">
        <f t="shared" si="60"/>
        <v>0.67871527777606389</v>
      </c>
      <c r="F1020" s="3">
        <f t="shared" si="61"/>
        <v>45117</v>
      </c>
      <c r="G1020" t="s">
        <v>17</v>
      </c>
      <c r="H1020" t="s">
        <v>125</v>
      </c>
      <c r="I1020" t="s">
        <v>2634</v>
      </c>
      <c r="J1020" t="s">
        <v>2635</v>
      </c>
      <c r="K1020" t="s">
        <v>128</v>
      </c>
      <c r="L1020" t="s">
        <v>22</v>
      </c>
      <c r="M1020">
        <v>73</v>
      </c>
      <c r="N1020" t="s">
        <v>70</v>
      </c>
      <c r="O1020">
        <v>176</v>
      </c>
      <c r="P1020">
        <v>1</v>
      </c>
      <c r="Q1020">
        <v>7491.42</v>
      </c>
      <c r="R1020" s="4">
        <v>45600</v>
      </c>
      <c r="S1020" s="6">
        <v>0.34131944444444445</v>
      </c>
      <c r="T1020">
        <f t="shared" si="62"/>
        <v>16</v>
      </c>
      <c r="U1020" t="str" cm="1">
        <f t="array" ref="U1020">_xlfn.IFS(M1020&lt;=34,"YOUNG",M1020&lt;=54,"MIDDLE AGE",M1020&gt;=55,"OLD")</f>
        <v>OLD</v>
      </c>
      <c r="V1020" t="str">
        <f t="shared" si="63"/>
        <v>NORMAL</v>
      </c>
    </row>
    <row r="1021" spans="1:22" x14ac:dyDescent="0.35">
      <c r="A1021" t="s">
        <v>2636</v>
      </c>
      <c r="B1021" t="s">
        <v>2637</v>
      </c>
      <c r="C1021">
        <v>428.61</v>
      </c>
      <c r="D1021" s="1">
        <v>45208.666967592595</v>
      </c>
      <c r="E1021" s="2">
        <f t="shared" si="60"/>
        <v>0.66696759259502869</v>
      </c>
      <c r="F1021" s="3">
        <f t="shared" si="61"/>
        <v>45208</v>
      </c>
      <c r="G1021" t="s">
        <v>17</v>
      </c>
      <c r="H1021" t="s">
        <v>558</v>
      </c>
      <c r="I1021" t="s">
        <v>1410</v>
      </c>
      <c r="J1021" t="s">
        <v>2193</v>
      </c>
      <c r="K1021" t="s">
        <v>474</v>
      </c>
      <c r="L1021" t="s">
        <v>69</v>
      </c>
      <c r="M1021">
        <v>51</v>
      </c>
      <c r="N1021" t="s">
        <v>70</v>
      </c>
      <c r="O1021">
        <v>131</v>
      </c>
      <c r="P1021">
        <v>1</v>
      </c>
      <c r="Q1021">
        <v>2116.36</v>
      </c>
      <c r="R1021" s="4">
        <v>45600</v>
      </c>
      <c r="S1021" s="6">
        <v>0.33875</v>
      </c>
      <c r="T1021">
        <f t="shared" si="62"/>
        <v>16</v>
      </c>
      <c r="U1021" t="str" cm="1">
        <f t="array" ref="U1021">_xlfn.IFS(M1021&lt;=34,"YOUNG",M1021&lt;=54,"MIDDLE AGE",M1021&gt;=55,"OLD")</f>
        <v>MIDDLE AGE</v>
      </c>
      <c r="V1021" t="str">
        <f t="shared" si="63"/>
        <v>NORMAL</v>
      </c>
    </row>
    <row r="1022" spans="1:22" x14ac:dyDescent="0.35">
      <c r="A1022" t="s">
        <v>2638</v>
      </c>
      <c r="B1022" t="s">
        <v>1016</v>
      </c>
      <c r="C1022">
        <v>309.56</v>
      </c>
      <c r="D1022" s="1">
        <v>45082.729027777779</v>
      </c>
      <c r="E1022" s="2">
        <f t="shared" si="60"/>
        <v>0.72902777777926531</v>
      </c>
      <c r="F1022" s="3">
        <f t="shared" si="61"/>
        <v>45082</v>
      </c>
      <c r="G1022" t="s">
        <v>17</v>
      </c>
      <c r="H1022" t="s">
        <v>249</v>
      </c>
      <c r="I1022" t="s">
        <v>2639</v>
      </c>
      <c r="J1022" t="s">
        <v>2193</v>
      </c>
      <c r="K1022" t="s">
        <v>209</v>
      </c>
      <c r="L1022" t="s">
        <v>36</v>
      </c>
      <c r="M1022">
        <v>58</v>
      </c>
      <c r="N1022" t="s">
        <v>23</v>
      </c>
      <c r="O1022">
        <v>147</v>
      </c>
      <c r="P1022">
        <v>1</v>
      </c>
      <c r="Q1022">
        <v>972.04</v>
      </c>
      <c r="R1022" s="4">
        <v>45600</v>
      </c>
      <c r="S1022" s="6">
        <v>0.33978009259259262</v>
      </c>
      <c r="T1022">
        <f t="shared" si="62"/>
        <v>17</v>
      </c>
      <c r="U1022" t="str" cm="1">
        <f t="array" ref="U1022">_xlfn.IFS(M1022&lt;=34,"YOUNG",M1022&lt;=54,"MIDDLE AGE",M1022&gt;=55,"OLD")</f>
        <v>OLD</v>
      </c>
      <c r="V1022" t="str">
        <f t="shared" si="63"/>
        <v>NORMAL</v>
      </c>
    </row>
    <row r="1023" spans="1:22" x14ac:dyDescent="0.35">
      <c r="A1023" t="s">
        <v>2640</v>
      </c>
      <c r="B1023" t="s">
        <v>1806</v>
      </c>
      <c r="C1023">
        <v>377.08</v>
      </c>
      <c r="D1023" s="1">
        <v>44972.731516203705</v>
      </c>
      <c r="E1023" s="2">
        <f t="shared" si="60"/>
        <v>0.73151620370481396</v>
      </c>
      <c r="F1023" s="3">
        <f t="shared" si="61"/>
        <v>44972</v>
      </c>
      <c r="G1023" t="s">
        <v>46</v>
      </c>
      <c r="H1023" t="s">
        <v>32</v>
      </c>
      <c r="I1023" t="s">
        <v>1537</v>
      </c>
      <c r="J1023" t="s">
        <v>2641</v>
      </c>
      <c r="K1023" t="s">
        <v>277</v>
      </c>
      <c r="L1023" t="s">
        <v>69</v>
      </c>
      <c r="M1023">
        <v>26</v>
      </c>
      <c r="N1023" t="s">
        <v>37</v>
      </c>
      <c r="O1023">
        <v>71</v>
      </c>
      <c r="P1023">
        <v>1</v>
      </c>
      <c r="Q1023">
        <v>6430.86</v>
      </c>
      <c r="R1023" s="4">
        <v>45600</v>
      </c>
      <c r="S1023" s="6">
        <v>0.34065972222222224</v>
      </c>
      <c r="T1023">
        <f t="shared" si="62"/>
        <v>17</v>
      </c>
      <c r="U1023" t="str" cm="1">
        <f t="array" ref="U1023">_xlfn.IFS(M1023&lt;=34,"YOUNG",M1023&lt;=54,"MIDDLE AGE",M1023&gt;=55,"OLD")</f>
        <v>YOUNG</v>
      </c>
      <c r="V1023" t="str">
        <f t="shared" si="63"/>
        <v>NORMAL</v>
      </c>
    </row>
    <row r="1024" spans="1:22" x14ac:dyDescent="0.35">
      <c r="A1024" t="s">
        <v>2642</v>
      </c>
      <c r="B1024" t="s">
        <v>2643</v>
      </c>
      <c r="C1024">
        <v>77.25</v>
      </c>
      <c r="D1024" s="1">
        <v>45282.743020833332</v>
      </c>
      <c r="E1024" s="2">
        <f t="shared" si="60"/>
        <v>0.74302083333168412</v>
      </c>
      <c r="F1024" s="3">
        <f t="shared" si="61"/>
        <v>45282</v>
      </c>
      <c r="G1024" t="s">
        <v>17</v>
      </c>
      <c r="H1024" t="s">
        <v>301</v>
      </c>
      <c r="I1024" t="s">
        <v>152</v>
      </c>
      <c r="J1024" t="s">
        <v>655</v>
      </c>
      <c r="K1024" t="s">
        <v>128</v>
      </c>
      <c r="L1024" t="s">
        <v>69</v>
      </c>
      <c r="M1024">
        <v>68</v>
      </c>
      <c r="N1024" t="s">
        <v>23</v>
      </c>
      <c r="O1024">
        <v>157</v>
      </c>
      <c r="P1024">
        <v>1</v>
      </c>
      <c r="Q1024">
        <v>14077.97</v>
      </c>
      <c r="R1024" s="4">
        <v>45600</v>
      </c>
      <c r="S1024" s="6">
        <v>0.33877314814814813</v>
      </c>
      <c r="T1024">
        <f t="shared" si="62"/>
        <v>17</v>
      </c>
      <c r="U1024" t="str" cm="1">
        <f t="array" ref="U1024">_xlfn.IFS(M1024&lt;=34,"YOUNG",M1024&lt;=54,"MIDDLE AGE",M1024&gt;=55,"OLD")</f>
        <v>OLD</v>
      </c>
      <c r="V1024" t="str">
        <f t="shared" si="63"/>
        <v>NORMAL</v>
      </c>
    </row>
    <row r="1025" spans="1:22" x14ac:dyDescent="0.35">
      <c r="A1025" t="s">
        <v>2644</v>
      </c>
      <c r="B1025" t="s">
        <v>1060</v>
      </c>
      <c r="C1025">
        <v>146.91999999999999</v>
      </c>
      <c r="D1025" s="1">
        <v>45177.686736111114</v>
      </c>
      <c r="E1025" s="2">
        <f t="shared" si="60"/>
        <v>0.68673611111444188</v>
      </c>
      <c r="F1025" s="3">
        <f t="shared" si="61"/>
        <v>45177</v>
      </c>
      <c r="G1025" t="s">
        <v>17</v>
      </c>
      <c r="H1025" t="s">
        <v>595</v>
      </c>
      <c r="I1025" t="s">
        <v>661</v>
      </c>
      <c r="J1025" t="s">
        <v>542</v>
      </c>
      <c r="K1025" t="s">
        <v>362</v>
      </c>
      <c r="L1025" t="s">
        <v>22</v>
      </c>
      <c r="M1025">
        <v>64</v>
      </c>
      <c r="N1025" t="s">
        <v>70</v>
      </c>
      <c r="O1025">
        <v>272</v>
      </c>
      <c r="P1025">
        <v>1</v>
      </c>
      <c r="Q1025">
        <v>3990.6</v>
      </c>
      <c r="R1025" s="4">
        <v>45600</v>
      </c>
      <c r="S1025" s="6">
        <v>0.3386689814814815</v>
      </c>
      <c r="T1025">
        <f t="shared" si="62"/>
        <v>16</v>
      </c>
      <c r="U1025" t="str" cm="1">
        <f t="array" ref="U1025">_xlfn.IFS(M1025&lt;=34,"YOUNG",M1025&lt;=54,"MIDDLE AGE",M1025&gt;=55,"OLD")</f>
        <v>OLD</v>
      </c>
      <c r="V1025" t="str">
        <f t="shared" si="63"/>
        <v>NORMAL</v>
      </c>
    </row>
    <row r="1026" spans="1:22" x14ac:dyDescent="0.35">
      <c r="A1026" t="s">
        <v>2645</v>
      </c>
      <c r="B1026" t="s">
        <v>2043</v>
      </c>
      <c r="C1026">
        <v>126.6</v>
      </c>
      <c r="D1026" s="1">
        <v>45072.667187500003</v>
      </c>
      <c r="E1026" s="2">
        <f t="shared" ref="E1026:E1089" si="64">D1026-INT(D1026)</f>
        <v>0.66718750000291038</v>
      </c>
      <c r="F1026" s="3">
        <f t="shared" ref="F1026:F1089" si="65">INT(D1026)</f>
        <v>45072</v>
      </c>
      <c r="G1026" t="s">
        <v>17</v>
      </c>
      <c r="H1026" t="s">
        <v>237</v>
      </c>
      <c r="I1026" t="s">
        <v>2646</v>
      </c>
      <c r="J1026" t="s">
        <v>1790</v>
      </c>
      <c r="K1026" t="s">
        <v>1000</v>
      </c>
      <c r="L1026" t="s">
        <v>69</v>
      </c>
      <c r="M1026">
        <v>22</v>
      </c>
      <c r="N1026" t="s">
        <v>37</v>
      </c>
      <c r="O1026">
        <v>146</v>
      </c>
      <c r="P1026">
        <v>1</v>
      </c>
      <c r="Q1026">
        <v>961.65</v>
      </c>
      <c r="R1026" s="4">
        <v>45600</v>
      </c>
      <c r="S1026" s="6">
        <v>0.33929398148148149</v>
      </c>
      <c r="T1026">
        <f t="shared" si="62"/>
        <v>16</v>
      </c>
      <c r="U1026" t="str" cm="1">
        <f t="array" ref="U1026">_xlfn.IFS(M1026&lt;=34,"YOUNG",M1026&lt;=54,"MIDDLE AGE",M1026&gt;=55,"OLD")</f>
        <v>YOUNG</v>
      </c>
      <c r="V1026" t="str">
        <f t="shared" si="63"/>
        <v>NORMAL</v>
      </c>
    </row>
    <row r="1027" spans="1:22" x14ac:dyDescent="0.35">
      <c r="A1027" t="s">
        <v>2647</v>
      </c>
      <c r="B1027" t="s">
        <v>2648</v>
      </c>
      <c r="C1027">
        <v>101.34</v>
      </c>
      <c r="D1027" s="1">
        <v>44988.742974537039</v>
      </c>
      <c r="E1027" s="2">
        <f t="shared" si="64"/>
        <v>0.74297453703911742</v>
      </c>
      <c r="F1027" s="3">
        <f t="shared" si="65"/>
        <v>44988</v>
      </c>
      <c r="G1027" t="s">
        <v>17</v>
      </c>
      <c r="H1027" t="s">
        <v>388</v>
      </c>
      <c r="I1027" t="s">
        <v>1584</v>
      </c>
      <c r="J1027" t="s">
        <v>1505</v>
      </c>
      <c r="K1027" t="s">
        <v>1524</v>
      </c>
      <c r="L1027" t="s">
        <v>22</v>
      </c>
      <c r="M1027">
        <v>24</v>
      </c>
      <c r="N1027" t="s">
        <v>37</v>
      </c>
      <c r="O1027">
        <v>46</v>
      </c>
      <c r="P1027">
        <v>1</v>
      </c>
      <c r="Q1027">
        <v>703.26</v>
      </c>
      <c r="R1027" s="4">
        <v>45600</v>
      </c>
      <c r="S1027" s="6">
        <v>0.34045138888888887</v>
      </c>
      <c r="T1027">
        <f t="shared" ref="T1027:T1090" si="66">HOUR(E1027)</f>
        <v>17</v>
      </c>
      <c r="U1027" t="str" cm="1">
        <f t="array" ref="U1027">_xlfn.IFS(M1027&lt;=34,"YOUNG",M1027&lt;=54,"MIDDLE AGE",M1027&gt;=55,"OLD")</f>
        <v>YOUNG</v>
      </c>
      <c r="V1027" t="str">
        <f t="shared" ref="V1027:V1090" si="67">IF(P1027&gt;1,"HIGH","NORMAL")</f>
        <v>NORMAL</v>
      </c>
    </row>
    <row r="1028" spans="1:22" x14ac:dyDescent="0.35">
      <c r="A1028" t="s">
        <v>2649</v>
      </c>
      <c r="B1028" t="s">
        <v>2650</v>
      </c>
      <c r="C1028">
        <v>184.97</v>
      </c>
      <c r="D1028" s="1">
        <v>45103.69908564815</v>
      </c>
      <c r="E1028" s="2">
        <f t="shared" si="64"/>
        <v>0.69908564814977581</v>
      </c>
      <c r="F1028" s="3">
        <f t="shared" si="65"/>
        <v>45103</v>
      </c>
      <c r="G1028" t="s">
        <v>17</v>
      </c>
      <c r="H1028" t="s">
        <v>114</v>
      </c>
      <c r="I1028" t="s">
        <v>389</v>
      </c>
      <c r="J1028" t="s">
        <v>1581</v>
      </c>
      <c r="K1028" t="s">
        <v>445</v>
      </c>
      <c r="L1028" t="s">
        <v>69</v>
      </c>
      <c r="M1028">
        <v>58</v>
      </c>
      <c r="N1028" t="s">
        <v>23</v>
      </c>
      <c r="O1028">
        <v>268</v>
      </c>
      <c r="P1028">
        <v>1</v>
      </c>
      <c r="Q1028">
        <v>1156.67</v>
      </c>
      <c r="R1028" s="4">
        <v>45600</v>
      </c>
      <c r="S1028" s="6">
        <v>0.34104166666666669</v>
      </c>
      <c r="T1028">
        <f t="shared" si="66"/>
        <v>16</v>
      </c>
      <c r="U1028" t="str" cm="1">
        <f t="array" ref="U1028">_xlfn.IFS(M1028&lt;=34,"YOUNG",M1028&lt;=54,"MIDDLE AGE",M1028&gt;=55,"OLD")</f>
        <v>OLD</v>
      </c>
      <c r="V1028" t="str">
        <f t="shared" si="67"/>
        <v>NORMAL</v>
      </c>
    </row>
    <row r="1029" spans="1:22" x14ac:dyDescent="0.35">
      <c r="A1029" t="s">
        <v>2651</v>
      </c>
      <c r="B1029" t="s">
        <v>986</v>
      </c>
      <c r="C1029">
        <v>451.15</v>
      </c>
      <c r="D1029" s="1">
        <v>44984.699884259258</v>
      </c>
      <c r="E1029" s="2">
        <f t="shared" si="64"/>
        <v>0.69988425925839692</v>
      </c>
      <c r="F1029" s="3">
        <f t="shared" si="65"/>
        <v>44984</v>
      </c>
      <c r="G1029" t="s">
        <v>17</v>
      </c>
      <c r="H1029" t="s">
        <v>521</v>
      </c>
      <c r="I1029" t="s">
        <v>1191</v>
      </c>
      <c r="J1029" t="s">
        <v>1053</v>
      </c>
      <c r="K1029" t="s">
        <v>209</v>
      </c>
      <c r="L1029" t="s">
        <v>22</v>
      </c>
      <c r="M1029">
        <v>46</v>
      </c>
      <c r="N1029" t="s">
        <v>77</v>
      </c>
      <c r="O1029">
        <v>175</v>
      </c>
      <c r="P1029">
        <v>1</v>
      </c>
      <c r="Q1029">
        <v>1356.47</v>
      </c>
      <c r="R1029" s="4">
        <v>45600</v>
      </c>
      <c r="S1029" s="6">
        <v>0.34079861111111109</v>
      </c>
      <c r="T1029">
        <f t="shared" si="66"/>
        <v>16</v>
      </c>
      <c r="U1029" t="str" cm="1">
        <f t="array" ref="U1029">_xlfn.IFS(M1029&lt;=34,"YOUNG",M1029&lt;=54,"MIDDLE AGE",M1029&gt;=55,"OLD")</f>
        <v>MIDDLE AGE</v>
      </c>
      <c r="V1029" t="str">
        <f t="shared" si="67"/>
        <v>NORMAL</v>
      </c>
    </row>
    <row r="1030" spans="1:22" x14ac:dyDescent="0.35">
      <c r="A1030" t="s">
        <v>2652</v>
      </c>
      <c r="B1030" t="s">
        <v>139</v>
      </c>
      <c r="C1030">
        <v>516.47</v>
      </c>
      <c r="D1030" s="1">
        <v>45281.708912037036</v>
      </c>
      <c r="E1030" s="2">
        <f t="shared" si="64"/>
        <v>0.70891203703649808</v>
      </c>
      <c r="F1030" s="3">
        <f t="shared" si="65"/>
        <v>45281</v>
      </c>
      <c r="G1030" t="s">
        <v>46</v>
      </c>
      <c r="H1030" t="s">
        <v>249</v>
      </c>
      <c r="I1030" t="s">
        <v>1989</v>
      </c>
      <c r="J1030" t="s">
        <v>148</v>
      </c>
      <c r="K1030" t="s">
        <v>607</v>
      </c>
      <c r="L1030" t="s">
        <v>22</v>
      </c>
      <c r="M1030">
        <v>25</v>
      </c>
      <c r="N1030" t="s">
        <v>37</v>
      </c>
      <c r="O1030">
        <v>94</v>
      </c>
      <c r="P1030">
        <v>1</v>
      </c>
      <c r="Q1030">
        <v>1305.06</v>
      </c>
      <c r="R1030" s="4">
        <v>45600</v>
      </c>
      <c r="S1030" s="6">
        <v>0.34017361111111111</v>
      </c>
      <c r="T1030">
        <f t="shared" si="66"/>
        <v>17</v>
      </c>
      <c r="U1030" t="str" cm="1">
        <f t="array" ref="U1030">_xlfn.IFS(M1030&lt;=34,"YOUNG",M1030&lt;=54,"MIDDLE AGE",M1030&gt;=55,"OLD")</f>
        <v>YOUNG</v>
      </c>
      <c r="V1030" t="str">
        <f t="shared" si="67"/>
        <v>NORMAL</v>
      </c>
    </row>
    <row r="1031" spans="1:22" x14ac:dyDescent="0.35">
      <c r="A1031" t="s">
        <v>2653</v>
      </c>
      <c r="B1031" t="s">
        <v>1016</v>
      </c>
      <c r="C1031">
        <v>880.04</v>
      </c>
      <c r="D1031" s="1">
        <v>45229.790763888886</v>
      </c>
      <c r="E1031" s="2">
        <f t="shared" si="64"/>
        <v>0.79076388888643123</v>
      </c>
      <c r="F1031" s="3">
        <f t="shared" si="65"/>
        <v>45229</v>
      </c>
      <c r="G1031" t="s">
        <v>17</v>
      </c>
      <c r="H1031" t="s">
        <v>285</v>
      </c>
      <c r="I1031" t="s">
        <v>2654</v>
      </c>
      <c r="J1031" t="s">
        <v>2175</v>
      </c>
      <c r="K1031" t="s">
        <v>482</v>
      </c>
      <c r="L1031" t="s">
        <v>22</v>
      </c>
      <c r="M1031">
        <v>25</v>
      </c>
      <c r="N1031" t="s">
        <v>37</v>
      </c>
      <c r="O1031">
        <v>29</v>
      </c>
      <c r="P1031">
        <v>1</v>
      </c>
      <c r="Q1031">
        <v>261.97000000000003</v>
      </c>
      <c r="R1031" s="4">
        <v>45600</v>
      </c>
      <c r="S1031" s="6">
        <v>0.33862268518518518</v>
      </c>
      <c r="T1031">
        <f t="shared" si="66"/>
        <v>18</v>
      </c>
      <c r="U1031" t="str" cm="1">
        <f t="array" ref="U1031">_xlfn.IFS(M1031&lt;=34,"YOUNG",M1031&lt;=54,"MIDDLE AGE",M1031&gt;=55,"OLD")</f>
        <v>YOUNG</v>
      </c>
      <c r="V1031" t="str">
        <f t="shared" si="67"/>
        <v>NORMAL</v>
      </c>
    </row>
    <row r="1032" spans="1:22" x14ac:dyDescent="0.35">
      <c r="A1032" t="s">
        <v>2655</v>
      </c>
      <c r="B1032" t="s">
        <v>1902</v>
      </c>
      <c r="C1032">
        <v>353.69</v>
      </c>
      <c r="D1032" s="1">
        <v>45160.700995370367</v>
      </c>
      <c r="E1032" s="2">
        <f t="shared" si="64"/>
        <v>0.70099537036730908</v>
      </c>
      <c r="F1032" s="3">
        <f t="shared" si="65"/>
        <v>45160</v>
      </c>
      <c r="G1032" t="s">
        <v>17</v>
      </c>
      <c r="H1032" t="s">
        <v>223</v>
      </c>
      <c r="I1032" t="s">
        <v>1692</v>
      </c>
      <c r="J1032" t="s">
        <v>230</v>
      </c>
      <c r="K1032" t="s">
        <v>1524</v>
      </c>
      <c r="L1032" t="s">
        <v>36</v>
      </c>
      <c r="M1032">
        <v>59</v>
      </c>
      <c r="N1032" t="s">
        <v>77</v>
      </c>
      <c r="O1032">
        <v>163</v>
      </c>
      <c r="P1032">
        <v>1</v>
      </c>
      <c r="Q1032">
        <v>9500.7900000000009</v>
      </c>
      <c r="R1032" s="4">
        <v>45600</v>
      </c>
      <c r="S1032" s="6">
        <v>0.33947916666666667</v>
      </c>
      <c r="T1032">
        <f t="shared" si="66"/>
        <v>16</v>
      </c>
      <c r="U1032" t="str" cm="1">
        <f t="array" ref="U1032">_xlfn.IFS(M1032&lt;=34,"YOUNG",M1032&lt;=54,"MIDDLE AGE",M1032&gt;=55,"OLD")</f>
        <v>OLD</v>
      </c>
      <c r="V1032" t="str">
        <f t="shared" si="67"/>
        <v>NORMAL</v>
      </c>
    </row>
    <row r="1033" spans="1:22" x14ac:dyDescent="0.35">
      <c r="A1033" t="s">
        <v>2656</v>
      </c>
      <c r="B1033" t="s">
        <v>817</v>
      </c>
      <c r="C1033">
        <v>66.69</v>
      </c>
      <c r="D1033" s="1">
        <v>45231.668946759259</v>
      </c>
      <c r="E1033" s="2">
        <f t="shared" si="64"/>
        <v>0.66894675925868796</v>
      </c>
      <c r="F1033" s="3">
        <f t="shared" si="65"/>
        <v>45231</v>
      </c>
      <c r="G1033" t="s">
        <v>46</v>
      </c>
      <c r="H1033" t="s">
        <v>237</v>
      </c>
      <c r="I1033" t="s">
        <v>2657</v>
      </c>
      <c r="J1033" t="s">
        <v>2658</v>
      </c>
      <c r="K1033" t="s">
        <v>169</v>
      </c>
      <c r="L1033" t="s">
        <v>69</v>
      </c>
      <c r="M1033">
        <v>25</v>
      </c>
      <c r="N1033" t="s">
        <v>37</v>
      </c>
      <c r="O1033">
        <v>140</v>
      </c>
      <c r="P1033">
        <v>1</v>
      </c>
      <c r="Q1033">
        <v>1210.33</v>
      </c>
      <c r="R1033" s="4">
        <v>45600</v>
      </c>
      <c r="S1033" s="6">
        <v>0.33837962962962964</v>
      </c>
      <c r="T1033">
        <f t="shared" si="66"/>
        <v>16</v>
      </c>
      <c r="U1033" t="str" cm="1">
        <f t="array" ref="U1033">_xlfn.IFS(M1033&lt;=34,"YOUNG",M1033&lt;=54,"MIDDLE AGE",M1033&gt;=55,"OLD")</f>
        <v>YOUNG</v>
      </c>
      <c r="V1033" t="str">
        <f t="shared" si="67"/>
        <v>NORMAL</v>
      </c>
    </row>
    <row r="1034" spans="1:22" x14ac:dyDescent="0.35">
      <c r="A1034" t="s">
        <v>2659</v>
      </c>
      <c r="B1034" t="s">
        <v>1217</v>
      </c>
      <c r="C1034">
        <v>95.75</v>
      </c>
      <c r="D1034" s="1">
        <v>45119.704780092594</v>
      </c>
      <c r="E1034" s="2">
        <f t="shared" si="64"/>
        <v>0.70478009259386454</v>
      </c>
      <c r="F1034" s="3">
        <f t="shared" si="65"/>
        <v>45119</v>
      </c>
      <c r="G1034" t="s">
        <v>17</v>
      </c>
      <c r="H1034" t="s">
        <v>140</v>
      </c>
      <c r="I1034" t="s">
        <v>2660</v>
      </c>
      <c r="J1034" t="s">
        <v>2298</v>
      </c>
      <c r="K1034" t="s">
        <v>331</v>
      </c>
      <c r="L1034" t="s">
        <v>69</v>
      </c>
      <c r="M1034">
        <v>31</v>
      </c>
      <c r="N1034" t="s">
        <v>77</v>
      </c>
      <c r="O1034">
        <v>169</v>
      </c>
      <c r="P1034">
        <v>1</v>
      </c>
      <c r="Q1034">
        <v>337.62</v>
      </c>
      <c r="R1034" s="4">
        <v>45600</v>
      </c>
      <c r="S1034" s="6">
        <v>0.33856481481481482</v>
      </c>
      <c r="T1034">
        <f t="shared" si="66"/>
        <v>16</v>
      </c>
      <c r="U1034" t="str" cm="1">
        <f t="array" ref="U1034">_xlfn.IFS(M1034&lt;=34,"YOUNG",M1034&lt;=54,"MIDDLE AGE",M1034&gt;=55,"OLD")</f>
        <v>YOUNG</v>
      </c>
      <c r="V1034" t="str">
        <f t="shared" si="67"/>
        <v>NORMAL</v>
      </c>
    </row>
    <row r="1035" spans="1:22" x14ac:dyDescent="0.35">
      <c r="A1035" t="s">
        <v>2661</v>
      </c>
      <c r="B1035" t="s">
        <v>1992</v>
      </c>
      <c r="C1035">
        <v>43.91</v>
      </c>
      <c r="D1035" s="1">
        <v>45155.771793981483</v>
      </c>
      <c r="E1035" s="2">
        <f t="shared" si="64"/>
        <v>0.77179398148291511</v>
      </c>
      <c r="F1035" s="3">
        <f t="shared" si="65"/>
        <v>45155</v>
      </c>
      <c r="G1035" t="s">
        <v>17</v>
      </c>
      <c r="H1035" t="s">
        <v>86</v>
      </c>
      <c r="I1035" t="s">
        <v>2312</v>
      </c>
      <c r="J1035" t="s">
        <v>496</v>
      </c>
      <c r="K1035" t="s">
        <v>89</v>
      </c>
      <c r="L1035" t="s">
        <v>36</v>
      </c>
      <c r="M1035">
        <v>27</v>
      </c>
      <c r="N1035" t="s">
        <v>37</v>
      </c>
      <c r="O1035">
        <v>86</v>
      </c>
      <c r="P1035">
        <v>1</v>
      </c>
      <c r="Q1035">
        <v>1806.68</v>
      </c>
      <c r="R1035" s="4">
        <v>45600</v>
      </c>
      <c r="S1035" s="6">
        <v>0.34192129629629631</v>
      </c>
      <c r="T1035">
        <f t="shared" si="66"/>
        <v>18</v>
      </c>
      <c r="U1035" t="str" cm="1">
        <f t="array" ref="U1035">_xlfn.IFS(M1035&lt;=34,"YOUNG",M1035&lt;=54,"MIDDLE AGE",M1035&gt;=55,"OLD")</f>
        <v>YOUNG</v>
      </c>
      <c r="V1035" t="str">
        <f t="shared" si="67"/>
        <v>NORMAL</v>
      </c>
    </row>
    <row r="1036" spans="1:22" x14ac:dyDescent="0.35">
      <c r="A1036" t="s">
        <v>2662</v>
      </c>
      <c r="B1036" t="s">
        <v>578</v>
      </c>
      <c r="C1036">
        <v>98.03</v>
      </c>
      <c r="D1036" s="1">
        <v>45278.778773148151</v>
      </c>
      <c r="E1036" s="2">
        <f t="shared" si="64"/>
        <v>0.778773148151231</v>
      </c>
      <c r="F1036" s="3">
        <f t="shared" si="65"/>
        <v>45278</v>
      </c>
      <c r="G1036" t="s">
        <v>17</v>
      </c>
      <c r="H1036" t="s">
        <v>506</v>
      </c>
      <c r="I1036" t="s">
        <v>1633</v>
      </c>
      <c r="J1036" t="s">
        <v>234</v>
      </c>
      <c r="K1036" t="s">
        <v>312</v>
      </c>
      <c r="L1036" t="s">
        <v>69</v>
      </c>
      <c r="M1036">
        <v>54</v>
      </c>
      <c r="N1036" t="s">
        <v>77</v>
      </c>
      <c r="O1036">
        <v>165</v>
      </c>
      <c r="P1036">
        <v>1</v>
      </c>
      <c r="Q1036">
        <v>6323.45</v>
      </c>
      <c r="R1036" s="4">
        <v>45600</v>
      </c>
      <c r="S1036" s="6">
        <v>0.33930555555555558</v>
      </c>
      <c r="T1036">
        <f t="shared" si="66"/>
        <v>18</v>
      </c>
      <c r="U1036" t="str" cm="1">
        <f t="array" ref="U1036">_xlfn.IFS(M1036&lt;=34,"YOUNG",M1036&lt;=54,"MIDDLE AGE",M1036&gt;=55,"OLD")</f>
        <v>MIDDLE AGE</v>
      </c>
      <c r="V1036" t="str">
        <f t="shared" si="67"/>
        <v>NORMAL</v>
      </c>
    </row>
    <row r="1037" spans="1:22" x14ac:dyDescent="0.35">
      <c r="A1037" t="s">
        <v>2663</v>
      </c>
      <c r="B1037" t="s">
        <v>2664</v>
      </c>
      <c r="C1037">
        <v>617.66</v>
      </c>
      <c r="D1037" s="1">
        <v>44973.712476851855</v>
      </c>
      <c r="E1037" s="2">
        <f t="shared" si="64"/>
        <v>0.71247685185517184</v>
      </c>
      <c r="F1037" s="3">
        <f t="shared" si="65"/>
        <v>44973</v>
      </c>
      <c r="G1037" t="s">
        <v>17</v>
      </c>
      <c r="H1037" t="s">
        <v>388</v>
      </c>
      <c r="I1037" t="s">
        <v>2550</v>
      </c>
      <c r="J1037" t="s">
        <v>907</v>
      </c>
      <c r="K1037" t="s">
        <v>100</v>
      </c>
      <c r="L1037" t="s">
        <v>22</v>
      </c>
      <c r="M1037">
        <v>42</v>
      </c>
      <c r="N1037" t="s">
        <v>77</v>
      </c>
      <c r="O1037">
        <v>128</v>
      </c>
      <c r="P1037">
        <v>1</v>
      </c>
      <c r="Q1037">
        <v>7155.95</v>
      </c>
      <c r="R1037" s="4">
        <v>45600</v>
      </c>
      <c r="S1037" s="6">
        <v>0.33892361111111113</v>
      </c>
      <c r="T1037">
        <f t="shared" si="66"/>
        <v>17</v>
      </c>
      <c r="U1037" t="str" cm="1">
        <f t="array" ref="U1037">_xlfn.IFS(M1037&lt;=34,"YOUNG",M1037&lt;=54,"MIDDLE AGE",M1037&gt;=55,"OLD")</f>
        <v>MIDDLE AGE</v>
      </c>
      <c r="V1037" t="str">
        <f t="shared" si="67"/>
        <v>NORMAL</v>
      </c>
    </row>
    <row r="1038" spans="1:22" x14ac:dyDescent="0.35">
      <c r="A1038" t="s">
        <v>2665</v>
      </c>
      <c r="B1038" t="s">
        <v>1193</v>
      </c>
      <c r="C1038">
        <v>888.57</v>
      </c>
      <c r="D1038" s="1">
        <v>45090.683831018519</v>
      </c>
      <c r="E1038" s="2">
        <f t="shared" si="64"/>
        <v>0.68383101851941319</v>
      </c>
      <c r="F1038" s="3">
        <f t="shared" si="65"/>
        <v>45090</v>
      </c>
      <c r="G1038" t="s">
        <v>17</v>
      </c>
      <c r="H1038" t="s">
        <v>237</v>
      </c>
      <c r="I1038" t="s">
        <v>2666</v>
      </c>
      <c r="J1038" t="s">
        <v>870</v>
      </c>
      <c r="K1038" t="s">
        <v>186</v>
      </c>
      <c r="L1038" t="s">
        <v>36</v>
      </c>
      <c r="M1038">
        <v>62</v>
      </c>
      <c r="N1038" t="s">
        <v>70</v>
      </c>
      <c r="O1038">
        <v>102</v>
      </c>
      <c r="P1038">
        <v>1</v>
      </c>
      <c r="Q1038">
        <v>7896.14</v>
      </c>
      <c r="R1038" s="4">
        <v>45600</v>
      </c>
      <c r="S1038" s="6">
        <v>0.3409375</v>
      </c>
      <c r="T1038">
        <f t="shared" si="66"/>
        <v>16</v>
      </c>
      <c r="U1038" t="str" cm="1">
        <f t="array" ref="U1038">_xlfn.IFS(M1038&lt;=34,"YOUNG",M1038&lt;=54,"MIDDLE AGE",M1038&gt;=55,"OLD")</f>
        <v>OLD</v>
      </c>
      <c r="V1038" t="str">
        <f t="shared" si="67"/>
        <v>NORMAL</v>
      </c>
    </row>
    <row r="1039" spans="1:22" x14ac:dyDescent="0.35">
      <c r="A1039" t="s">
        <v>2667</v>
      </c>
      <c r="B1039" t="s">
        <v>843</v>
      </c>
      <c r="C1039">
        <v>107.48</v>
      </c>
      <c r="D1039" s="1">
        <v>45264.751307870371</v>
      </c>
      <c r="E1039" s="2">
        <f t="shared" si="64"/>
        <v>0.7513078703705105</v>
      </c>
      <c r="F1039" s="3">
        <f t="shared" si="65"/>
        <v>45264</v>
      </c>
      <c r="G1039" t="s">
        <v>17</v>
      </c>
      <c r="H1039" t="s">
        <v>296</v>
      </c>
      <c r="I1039" t="s">
        <v>982</v>
      </c>
      <c r="J1039" t="s">
        <v>563</v>
      </c>
      <c r="K1039" t="s">
        <v>1014</v>
      </c>
      <c r="L1039" t="s">
        <v>69</v>
      </c>
      <c r="M1039">
        <v>22</v>
      </c>
      <c r="N1039" t="s">
        <v>37</v>
      </c>
      <c r="O1039">
        <v>129</v>
      </c>
      <c r="P1039">
        <v>1</v>
      </c>
      <c r="Q1039">
        <v>591.23</v>
      </c>
      <c r="R1039" s="4">
        <v>45600</v>
      </c>
      <c r="S1039" s="6">
        <v>0.33901620370370372</v>
      </c>
      <c r="T1039">
        <f t="shared" si="66"/>
        <v>18</v>
      </c>
      <c r="U1039" t="str" cm="1">
        <f t="array" ref="U1039">_xlfn.IFS(M1039&lt;=34,"YOUNG",M1039&lt;=54,"MIDDLE AGE",M1039&gt;=55,"OLD")</f>
        <v>YOUNG</v>
      </c>
      <c r="V1039" t="str">
        <f t="shared" si="67"/>
        <v>NORMAL</v>
      </c>
    </row>
    <row r="1040" spans="1:22" x14ac:dyDescent="0.35">
      <c r="A1040" t="s">
        <v>2668</v>
      </c>
      <c r="B1040" t="s">
        <v>196</v>
      </c>
      <c r="C1040">
        <v>36.57</v>
      </c>
      <c r="D1040" s="1">
        <v>45145.70108796296</v>
      </c>
      <c r="E1040" s="2">
        <f t="shared" si="64"/>
        <v>0.70108796295971842</v>
      </c>
      <c r="F1040" s="3">
        <f t="shared" si="65"/>
        <v>45145</v>
      </c>
      <c r="G1040" t="s">
        <v>17</v>
      </c>
      <c r="H1040" t="s">
        <v>296</v>
      </c>
      <c r="I1040" t="s">
        <v>1844</v>
      </c>
      <c r="J1040" t="s">
        <v>1884</v>
      </c>
      <c r="K1040" t="s">
        <v>267</v>
      </c>
      <c r="L1040" t="s">
        <v>22</v>
      </c>
      <c r="M1040">
        <v>62</v>
      </c>
      <c r="N1040" t="s">
        <v>70</v>
      </c>
      <c r="O1040">
        <v>69</v>
      </c>
      <c r="P1040">
        <v>1</v>
      </c>
      <c r="Q1040">
        <v>2583.0700000000002</v>
      </c>
      <c r="R1040" s="4">
        <v>45600</v>
      </c>
      <c r="S1040" s="6">
        <v>0.3382175925925926</v>
      </c>
      <c r="T1040">
        <f t="shared" si="66"/>
        <v>16</v>
      </c>
      <c r="U1040" t="str" cm="1">
        <f t="array" ref="U1040">_xlfn.IFS(M1040&lt;=34,"YOUNG",M1040&lt;=54,"MIDDLE AGE",M1040&gt;=55,"OLD")</f>
        <v>OLD</v>
      </c>
      <c r="V1040" t="str">
        <f t="shared" si="67"/>
        <v>NORMAL</v>
      </c>
    </row>
    <row r="1041" spans="1:22" x14ac:dyDescent="0.35">
      <c r="A1041" t="s">
        <v>2669</v>
      </c>
      <c r="B1041" t="s">
        <v>604</v>
      </c>
      <c r="C1041">
        <v>575.62</v>
      </c>
      <c r="D1041" s="1">
        <v>45089.771423611113</v>
      </c>
      <c r="E1041" s="2">
        <f t="shared" si="64"/>
        <v>0.77142361111327773</v>
      </c>
      <c r="F1041" s="3">
        <f t="shared" si="65"/>
        <v>45089</v>
      </c>
      <c r="G1041" t="s">
        <v>17</v>
      </c>
      <c r="H1041" t="s">
        <v>53</v>
      </c>
      <c r="I1041" t="s">
        <v>2295</v>
      </c>
      <c r="J1041" t="s">
        <v>94</v>
      </c>
      <c r="K1041" t="s">
        <v>427</v>
      </c>
      <c r="L1041" t="s">
        <v>36</v>
      </c>
      <c r="M1041">
        <v>43</v>
      </c>
      <c r="N1041" t="s">
        <v>23</v>
      </c>
      <c r="O1041">
        <v>129</v>
      </c>
      <c r="P1041">
        <v>1</v>
      </c>
      <c r="Q1041">
        <v>234.41</v>
      </c>
      <c r="R1041" s="4">
        <v>45600</v>
      </c>
      <c r="S1041" s="6">
        <v>0.34135416666666668</v>
      </c>
      <c r="T1041">
        <f t="shared" si="66"/>
        <v>18</v>
      </c>
      <c r="U1041" t="str" cm="1">
        <f t="array" ref="U1041">_xlfn.IFS(M1041&lt;=34,"YOUNG",M1041&lt;=54,"MIDDLE AGE",M1041&gt;=55,"OLD")</f>
        <v>MIDDLE AGE</v>
      </c>
      <c r="V1041" t="str">
        <f t="shared" si="67"/>
        <v>NORMAL</v>
      </c>
    </row>
    <row r="1042" spans="1:22" x14ac:dyDescent="0.35">
      <c r="A1042" t="s">
        <v>2670</v>
      </c>
      <c r="B1042" t="s">
        <v>2671</v>
      </c>
      <c r="C1042">
        <v>84.89</v>
      </c>
      <c r="D1042" s="1">
        <v>45068.727210648147</v>
      </c>
      <c r="E1042" s="2">
        <f t="shared" si="64"/>
        <v>0.72721064814686542</v>
      </c>
      <c r="F1042" s="3">
        <f t="shared" si="65"/>
        <v>45068</v>
      </c>
      <c r="G1042" t="s">
        <v>17</v>
      </c>
      <c r="H1042" t="s">
        <v>223</v>
      </c>
      <c r="I1042" t="s">
        <v>1091</v>
      </c>
      <c r="J1042" t="s">
        <v>1246</v>
      </c>
      <c r="K1042" t="s">
        <v>762</v>
      </c>
      <c r="L1042" t="s">
        <v>22</v>
      </c>
      <c r="M1042">
        <v>37</v>
      </c>
      <c r="N1042" t="s">
        <v>77</v>
      </c>
      <c r="O1042">
        <v>70</v>
      </c>
      <c r="P1042">
        <v>1</v>
      </c>
      <c r="Q1042">
        <v>4735.6099999999997</v>
      </c>
      <c r="R1042" s="4">
        <v>45600</v>
      </c>
      <c r="S1042" s="6">
        <v>0.34185185185185185</v>
      </c>
      <c r="T1042">
        <f t="shared" si="66"/>
        <v>17</v>
      </c>
      <c r="U1042" t="str" cm="1">
        <f t="array" ref="U1042">_xlfn.IFS(M1042&lt;=34,"YOUNG",M1042&lt;=54,"MIDDLE AGE",M1042&gt;=55,"OLD")</f>
        <v>MIDDLE AGE</v>
      </c>
      <c r="V1042" t="str">
        <f t="shared" si="67"/>
        <v>NORMAL</v>
      </c>
    </row>
    <row r="1043" spans="1:22" x14ac:dyDescent="0.35">
      <c r="A1043" t="s">
        <v>2672</v>
      </c>
      <c r="B1043" t="s">
        <v>467</v>
      </c>
      <c r="C1043">
        <v>832.3</v>
      </c>
      <c r="D1043" s="1">
        <v>45119.705370370371</v>
      </c>
      <c r="E1043" s="2">
        <f t="shared" si="64"/>
        <v>0.70537037037138361</v>
      </c>
      <c r="F1043" s="3">
        <f t="shared" si="65"/>
        <v>45119</v>
      </c>
      <c r="G1043" t="s">
        <v>46</v>
      </c>
      <c r="H1043" t="s">
        <v>119</v>
      </c>
      <c r="I1043" t="s">
        <v>1956</v>
      </c>
      <c r="J1043" t="s">
        <v>2673</v>
      </c>
      <c r="K1043" t="s">
        <v>885</v>
      </c>
      <c r="L1043" t="s">
        <v>69</v>
      </c>
      <c r="M1043">
        <v>69</v>
      </c>
      <c r="N1043" t="s">
        <v>70</v>
      </c>
      <c r="O1043">
        <v>86</v>
      </c>
      <c r="P1043">
        <v>1</v>
      </c>
      <c r="Q1043">
        <v>6617.52</v>
      </c>
      <c r="R1043" s="4">
        <v>45600</v>
      </c>
      <c r="S1043" s="6">
        <v>0.33804398148148146</v>
      </c>
      <c r="T1043">
        <f t="shared" si="66"/>
        <v>16</v>
      </c>
      <c r="U1043" t="str" cm="1">
        <f t="array" ref="U1043">_xlfn.IFS(M1043&lt;=34,"YOUNG",M1043&lt;=54,"MIDDLE AGE",M1043&gt;=55,"OLD")</f>
        <v>OLD</v>
      </c>
      <c r="V1043" t="str">
        <f t="shared" si="67"/>
        <v>NORMAL</v>
      </c>
    </row>
    <row r="1044" spans="1:22" x14ac:dyDescent="0.35">
      <c r="A1044" t="s">
        <v>2674</v>
      </c>
      <c r="B1044" t="s">
        <v>2643</v>
      </c>
      <c r="C1044">
        <v>180.65</v>
      </c>
      <c r="D1044" s="1">
        <v>45264.745937500003</v>
      </c>
      <c r="E1044" s="2">
        <f t="shared" si="64"/>
        <v>0.74593750000349246</v>
      </c>
      <c r="F1044" s="3">
        <f t="shared" si="65"/>
        <v>45264</v>
      </c>
      <c r="G1044" t="s">
        <v>17</v>
      </c>
      <c r="H1044" t="s">
        <v>249</v>
      </c>
      <c r="I1044" t="s">
        <v>2675</v>
      </c>
      <c r="J1044" t="s">
        <v>2236</v>
      </c>
      <c r="K1044" t="s">
        <v>445</v>
      </c>
      <c r="L1044" t="s">
        <v>69</v>
      </c>
      <c r="M1044">
        <v>22</v>
      </c>
      <c r="N1044" t="s">
        <v>37</v>
      </c>
      <c r="O1044">
        <v>38</v>
      </c>
      <c r="P1044">
        <v>5</v>
      </c>
      <c r="Q1044">
        <v>816.01</v>
      </c>
      <c r="R1044" s="4">
        <v>45600</v>
      </c>
      <c r="S1044" s="6">
        <v>0.34016203703703701</v>
      </c>
      <c r="T1044">
        <f t="shared" si="66"/>
        <v>17</v>
      </c>
      <c r="U1044" t="str" cm="1">
        <f t="array" ref="U1044">_xlfn.IFS(M1044&lt;=34,"YOUNG",M1044&lt;=54,"MIDDLE AGE",M1044&gt;=55,"OLD")</f>
        <v>YOUNG</v>
      </c>
      <c r="V1044" t="str">
        <f t="shared" si="67"/>
        <v>HIGH</v>
      </c>
    </row>
    <row r="1045" spans="1:22" x14ac:dyDescent="0.35">
      <c r="A1045" t="s">
        <v>2676</v>
      </c>
      <c r="B1045" t="s">
        <v>1653</v>
      </c>
      <c r="C1045">
        <v>7.76</v>
      </c>
      <c r="D1045" s="1">
        <v>45012.719537037039</v>
      </c>
      <c r="E1045" s="2">
        <f t="shared" si="64"/>
        <v>0.71953703703911742</v>
      </c>
      <c r="F1045" s="3">
        <f t="shared" si="65"/>
        <v>45012</v>
      </c>
      <c r="G1045" t="s">
        <v>46</v>
      </c>
      <c r="H1045" t="s">
        <v>146</v>
      </c>
      <c r="I1045" t="s">
        <v>2604</v>
      </c>
      <c r="J1045" t="s">
        <v>2402</v>
      </c>
      <c r="K1045" t="s">
        <v>50</v>
      </c>
      <c r="L1045" t="s">
        <v>36</v>
      </c>
      <c r="M1045">
        <v>52</v>
      </c>
      <c r="N1045" t="s">
        <v>70</v>
      </c>
      <c r="O1045">
        <v>84</v>
      </c>
      <c r="P1045">
        <v>1</v>
      </c>
      <c r="Q1045">
        <v>7393.11</v>
      </c>
      <c r="R1045" s="4">
        <v>45600</v>
      </c>
      <c r="S1045" s="6">
        <v>0.34184027777777776</v>
      </c>
      <c r="T1045">
        <f t="shared" si="66"/>
        <v>17</v>
      </c>
      <c r="U1045" t="str" cm="1">
        <f t="array" ref="U1045">_xlfn.IFS(M1045&lt;=34,"YOUNG",M1045&lt;=54,"MIDDLE AGE",M1045&gt;=55,"OLD")</f>
        <v>MIDDLE AGE</v>
      </c>
      <c r="V1045" t="str">
        <f t="shared" si="67"/>
        <v>NORMAL</v>
      </c>
    </row>
    <row r="1046" spans="1:22" x14ac:dyDescent="0.35">
      <c r="A1046" t="s">
        <v>2677</v>
      </c>
      <c r="B1046" t="s">
        <v>545</v>
      </c>
      <c r="C1046">
        <v>109.3</v>
      </c>
      <c r="D1046" s="1">
        <v>45140.702951388892</v>
      </c>
      <c r="E1046" s="2">
        <f t="shared" si="64"/>
        <v>0.70295138889196096</v>
      </c>
      <c r="F1046" s="3">
        <f t="shared" si="65"/>
        <v>45140</v>
      </c>
      <c r="G1046" t="s">
        <v>17</v>
      </c>
      <c r="H1046" t="s">
        <v>157</v>
      </c>
      <c r="I1046" t="s">
        <v>1838</v>
      </c>
      <c r="J1046" t="s">
        <v>281</v>
      </c>
      <c r="K1046" t="s">
        <v>68</v>
      </c>
      <c r="L1046" t="s">
        <v>69</v>
      </c>
      <c r="M1046">
        <v>56</v>
      </c>
      <c r="N1046" t="s">
        <v>23</v>
      </c>
      <c r="O1046">
        <v>27</v>
      </c>
      <c r="P1046">
        <v>1</v>
      </c>
      <c r="Q1046">
        <v>13510.11</v>
      </c>
      <c r="R1046" s="4">
        <v>45600</v>
      </c>
      <c r="S1046" s="6">
        <v>0.33783564814814815</v>
      </c>
      <c r="T1046">
        <f t="shared" si="66"/>
        <v>16</v>
      </c>
      <c r="U1046" t="str" cm="1">
        <f t="array" ref="U1046">_xlfn.IFS(M1046&lt;=34,"YOUNG",M1046&lt;=54,"MIDDLE AGE",M1046&gt;=55,"OLD")</f>
        <v>OLD</v>
      </c>
      <c r="V1046" t="str">
        <f t="shared" si="67"/>
        <v>NORMAL</v>
      </c>
    </row>
    <row r="1047" spans="1:22" x14ac:dyDescent="0.35">
      <c r="A1047" t="s">
        <v>2678</v>
      </c>
      <c r="B1047" t="s">
        <v>761</v>
      </c>
      <c r="C1047">
        <v>230.08</v>
      </c>
      <c r="D1047" s="1">
        <v>45047.68310185185</v>
      </c>
      <c r="E1047" s="2">
        <f t="shared" si="64"/>
        <v>0.68310185184964212</v>
      </c>
      <c r="F1047" s="3">
        <f t="shared" si="65"/>
        <v>45047</v>
      </c>
      <c r="G1047" t="s">
        <v>17</v>
      </c>
      <c r="H1047" t="s">
        <v>119</v>
      </c>
      <c r="I1047" t="s">
        <v>1330</v>
      </c>
      <c r="J1047" t="s">
        <v>783</v>
      </c>
      <c r="K1047" t="s">
        <v>598</v>
      </c>
      <c r="L1047" t="s">
        <v>36</v>
      </c>
      <c r="M1047">
        <v>79</v>
      </c>
      <c r="N1047" t="s">
        <v>70</v>
      </c>
      <c r="O1047">
        <v>124</v>
      </c>
      <c r="P1047">
        <v>1</v>
      </c>
      <c r="Q1047">
        <v>4466.1000000000004</v>
      </c>
      <c r="R1047" s="4">
        <v>45600</v>
      </c>
      <c r="S1047" s="6">
        <v>0.34151620370370372</v>
      </c>
      <c r="T1047">
        <f t="shared" si="66"/>
        <v>16</v>
      </c>
      <c r="U1047" t="str" cm="1">
        <f t="array" ref="U1047">_xlfn.IFS(M1047&lt;=34,"YOUNG",M1047&lt;=54,"MIDDLE AGE",M1047&gt;=55,"OLD")</f>
        <v>OLD</v>
      </c>
      <c r="V1047" t="str">
        <f t="shared" si="67"/>
        <v>NORMAL</v>
      </c>
    </row>
    <row r="1048" spans="1:22" x14ac:dyDescent="0.35">
      <c r="A1048" t="s">
        <v>2679</v>
      </c>
      <c r="B1048" t="s">
        <v>1339</v>
      </c>
      <c r="C1048">
        <v>361.92</v>
      </c>
      <c r="D1048" s="1">
        <v>44977.672777777778</v>
      </c>
      <c r="E1048" s="2">
        <f t="shared" si="64"/>
        <v>0.67277777777781012</v>
      </c>
      <c r="F1048" s="3">
        <f t="shared" si="65"/>
        <v>44977</v>
      </c>
      <c r="G1048" t="s">
        <v>17</v>
      </c>
      <c r="H1048" t="s">
        <v>73</v>
      </c>
      <c r="I1048" t="s">
        <v>517</v>
      </c>
      <c r="J1048" t="s">
        <v>929</v>
      </c>
      <c r="K1048" t="s">
        <v>762</v>
      </c>
      <c r="L1048" t="s">
        <v>22</v>
      </c>
      <c r="M1048">
        <v>54</v>
      </c>
      <c r="N1048" t="s">
        <v>70</v>
      </c>
      <c r="O1048">
        <v>111</v>
      </c>
      <c r="P1048">
        <v>1</v>
      </c>
      <c r="Q1048">
        <v>7474.31</v>
      </c>
      <c r="R1048" s="4">
        <v>45600</v>
      </c>
      <c r="S1048" s="6">
        <v>0.34054398148148146</v>
      </c>
      <c r="T1048">
        <f t="shared" si="66"/>
        <v>16</v>
      </c>
      <c r="U1048" t="str" cm="1">
        <f t="array" ref="U1048">_xlfn.IFS(M1048&lt;=34,"YOUNG",M1048&lt;=54,"MIDDLE AGE",M1048&gt;=55,"OLD")</f>
        <v>MIDDLE AGE</v>
      </c>
      <c r="V1048" t="str">
        <f t="shared" si="67"/>
        <v>NORMAL</v>
      </c>
    </row>
    <row r="1049" spans="1:22" x14ac:dyDescent="0.35">
      <c r="A1049" t="s">
        <v>2680</v>
      </c>
      <c r="B1049" t="s">
        <v>2681</v>
      </c>
      <c r="C1049">
        <v>71.290000000000006</v>
      </c>
      <c r="D1049" s="1">
        <v>44959.709780092591</v>
      </c>
      <c r="E1049" s="2">
        <f t="shared" si="64"/>
        <v>0.70978009259124519</v>
      </c>
      <c r="F1049" s="3">
        <f t="shared" si="65"/>
        <v>44959</v>
      </c>
      <c r="G1049" t="s">
        <v>17</v>
      </c>
      <c r="H1049" t="s">
        <v>265</v>
      </c>
      <c r="I1049" t="s">
        <v>2682</v>
      </c>
      <c r="J1049" t="s">
        <v>1315</v>
      </c>
      <c r="K1049" t="s">
        <v>326</v>
      </c>
      <c r="L1049" t="s">
        <v>22</v>
      </c>
      <c r="M1049">
        <v>68</v>
      </c>
      <c r="N1049" t="s">
        <v>70</v>
      </c>
      <c r="O1049">
        <v>55</v>
      </c>
      <c r="P1049">
        <v>2</v>
      </c>
      <c r="Q1049">
        <v>7225.63</v>
      </c>
      <c r="R1049" s="4">
        <v>45600</v>
      </c>
      <c r="S1049" s="6">
        <v>0.33877314814814813</v>
      </c>
      <c r="T1049">
        <f t="shared" si="66"/>
        <v>17</v>
      </c>
      <c r="U1049" t="str" cm="1">
        <f t="array" ref="U1049">_xlfn.IFS(M1049&lt;=34,"YOUNG",M1049&lt;=54,"MIDDLE AGE",M1049&gt;=55,"OLD")</f>
        <v>OLD</v>
      </c>
      <c r="V1049" t="str">
        <f t="shared" si="67"/>
        <v>HIGH</v>
      </c>
    </row>
    <row r="1050" spans="1:22" x14ac:dyDescent="0.35">
      <c r="A1050" t="s">
        <v>2683</v>
      </c>
      <c r="B1050" t="s">
        <v>1569</v>
      </c>
      <c r="C1050">
        <v>122.45</v>
      </c>
      <c r="D1050" s="1">
        <v>44942.701539351852</v>
      </c>
      <c r="E1050" s="2">
        <f t="shared" si="64"/>
        <v>0.70153935185226146</v>
      </c>
      <c r="F1050" s="3">
        <f t="shared" si="65"/>
        <v>44942</v>
      </c>
      <c r="G1050" t="s">
        <v>17</v>
      </c>
      <c r="H1050" t="s">
        <v>203</v>
      </c>
      <c r="I1050" t="s">
        <v>2684</v>
      </c>
      <c r="J1050" t="s">
        <v>2685</v>
      </c>
      <c r="K1050" t="s">
        <v>149</v>
      </c>
      <c r="L1050" t="s">
        <v>69</v>
      </c>
      <c r="M1050">
        <v>46</v>
      </c>
      <c r="N1050" t="s">
        <v>23</v>
      </c>
      <c r="O1050">
        <v>98</v>
      </c>
      <c r="P1050">
        <v>1</v>
      </c>
      <c r="Q1050">
        <v>7255.49</v>
      </c>
      <c r="R1050" s="4">
        <v>45600</v>
      </c>
      <c r="S1050" s="6">
        <v>0.33881944444444445</v>
      </c>
      <c r="T1050">
        <f t="shared" si="66"/>
        <v>16</v>
      </c>
      <c r="U1050" t="str" cm="1">
        <f t="array" ref="U1050">_xlfn.IFS(M1050&lt;=34,"YOUNG",M1050&lt;=54,"MIDDLE AGE",M1050&gt;=55,"OLD")</f>
        <v>MIDDLE AGE</v>
      </c>
      <c r="V1050" t="str">
        <f t="shared" si="67"/>
        <v>NORMAL</v>
      </c>
    </row>
    <row r="1051" spans="1:22" x14ac:dyDescent="0.35">
      <c r="A1051" t="s">
        <v>2686</v>
      </c>
      <c r="B1051" t="s">
        <v>2003</v>
      </c>
      <c r="C1051">
        <v>642.53</v>
      </c>
      <c r="D1051" s="1">
        <v>45152.692164351851</v>
      </c>
      <c r="E1051" s="2">
        <f t="shared" si="64"/>
        <v>0.69216435185080627</v>
      </c>
      <c r="F1051" s="3">
        <f t="shared" si="65"/>
        <v>45152</v>
      </c>
      <c r="G1051" t="s">
        <v>17</v>
      </c>
      <c r="H1051" t="s">
        <v>32</v>
      </c>
      <c r="I1051" t="s">
        <v>2687</v>
      </c>
      <c r="J1051" t="s">
        <v>2325</v>
      </c>
      <c r="K1051" t="s">
        <v>122</v>
      </c>
      <c r="L1051" t="s">
        <v>22</v>
      </c>
      <c r="M1051">
        <v>65</v>
      </c>
      <c r="N1051" t="s">
        <v>23</v>
      </c>
      <c r="O1051">
        <v>128</v>
      </c>
      <c r="P1051">
        <v>1</v>
      </c>
      <c r="Q1051">
        <v>11417.91</v>
      </c>
      <c r="R1051" s="4">
        <v>45600</v>
      </c>
      <c r="S1051" s="6">
        <v>0.3417824074074074</v>
      </c>
      <c r="T1051">
        <f t="shared" si="66"/>
        <v>16</v>
      </c>
      <c r="U1051" t="str" cm="1">
        <f t="array" ref="U1051">_xlfn.IFS(M1051&lt;=34,"YOUNG",M1051&lt;=54,"MIDDLE AGE",M1051&gt;=55,"OLD")</f>
        <v>OLD</v>
      </c>
      <c r="V1051" t="str">
        <f t="shared" si="67"/>
        <v>NORMAL</v>
      </c>
    </row>
    <row r="1052" spans="1:22" x14ac:dyDescent="0.35">
      <c r="A1052" t="s">
        <v>2688</v>
      </c>
      <c r="B1052" t="s">
        <v>1542</v>
      </c>
      <c r="C1052">
        <v>62.86</v>
      </c>
      <c r="D1052" s="1">
        <v>45054.683333333334</v>
      </c>
      <c r="E1052" s="2">
        <f t="shared" si="64"/>
        <v>0.68333333333430346</v>
      </c>
      <c r="F1052" s="3">
        <f t="shared" si="65"/>
        <v>45054</v>
      </c>
      <c r="G1052" t="s">
        <v>17</v>
      </c>
      <c r="H1052" t="s">
        <v>26</v>
      </c>
      <c r="I1052" t="s">
        <v>1508</v>
      </c>
      <c r="J1052" t="s">
        <v>1414</v>
      </c>
      <c r="K1052" t="s">
        <v>277</v>
      </c>
      <c r="L1052" t="s">
        <v>69</v>
      </c>
      <c r="M1052">
        <v>25</v>
      </c>
      <c r="N1052" t="s">
        <v>37</v>
      </c>
      <c r="O1052">
        <v>31</v>
      </c>
      <c r="P1052">
        <v>1</v>
      </c>
      <c r="Q1052">
        <v>1040.43</v>
      </c>
      <c r="R1052" s="4">
        <v>45600</v>
      </c>
      <c r="S1052" s="6">
        <v>0.34065972222222224</v>
      </c>
      <c r="T1052">
        <f t="shared" si="66"/>
        <v>16</v>
      </c>
      <c r="U1052" t="str" cm="1">
        <f t="array" ref="U1052">_xlfn.IFS(M1052&lt;=34,"YOUNG",M1052&lt;=54,"MIDDLE AGE",M1052&gt;=55,"OLD")</f>
        <v>YOUNG</v>
      </c>
      <c r="V1052" t="str">
        <f t="shared" si="67"/>
        <v>NORMAL</v>
      </c>
    </row>
    <row r="1053" spans="1:22" x14ac:dyDescent="0.35">
      <c r="A1053" t="s">
        <v>2689</v>
      </c>
      <c r="B1053" t="s">
        <v>2690</v>
      </c>
      <c r="C1053">
        <v>175.21</v>
      </c>
      <c r="D1053" s="1">
        <v>45281.781018518515</v>
      </c>
      <c r="E1053" s="2">
        <f t="shared" si="64"/>
        <v>0.78101851851533866</v>
      </c>
      <c r="F1053" s="3">
        <f t="shared" si="65"/>
        <v>45281</v>
      </c>
      <c r="G1053" t="s">
        <v>46</v>
      </c>
      <c r="H1053" t="s">
        <v>32</v>
      </c>
      <c r="I1053" t="s">
        <v>778</v>
      </c>
      <c r="J1053" t="s">
        <v>2383</v>
      </c>
      <c r="K1053" t="s">
        <v>474</v>
      </c>
      <c r="L1053" t="s">
        <v>22</v>
      </c>
      <c r="M1053">
        <v>69</v>
      </c>
      <c r="N1053" t="s">
        <v>23</v>
      </c>
      <c r="O1053">
        <v>69</v>
      </c>
      <c r="P1053">
        <v>1</v>
      </c>
      <c r="Q1053">
        <v>6039.04</v>
      </c>
      <c r="R1053" s="4">
        <v>45600</v>
      </c>
      <c r="S1053" s="6">
        <v>0.33931712962962962</v>
      </c>
      <c r="T1053">
        <f t="shared" si="66"/>
        <v>18</v>
      </c>
      <c r="U1053" t="str" cm="1">
        <f t="array" ref="U1053">_xlfn.IFS(M1053&lt;=34,"YOUNG",M1053&lt;=54,"MIDDLE AGE",M1053&gt;=55,"OLD")</f>
        <v>OLD</v>
      </c>
      <c r="V1053" t="str">
        <f t="shared" si="67"/>
        <v>NORMAL</v>
      </c>
    </row>
    <row r="1054" spans="1:22" x14ac:dyDescent="0.35">
      <c r="A1054" t="s">
        <v>2691</v>
      </c>
      <c r="B1054" t="s">
        <v>408</v>
      </c>
      <c r="C1054">
        <v>168</v>
      </c>
      <c r="D1054" s="1">
        <v>45162.667824074073</v>
      </c>
      <c r="E1054" s="2">
        <f t="shared" si="64"/>
        <v>0.66782407407299615</v>
      </c>
      <c r="F1054" s="3">
        <f t="shared" si="65"/>
        <v>45162</v>
      </c>
      <c r="G1054" t="s">
        <v>46</v>
      </c>
      <c r="H1054" t="s">
        <v>255</v>
      </c>
      <c r="I1054" t="s">
        <v>1952</v>
      </c>
      <c r="J1054" t="s">
        <v>1455</v>
      </c>
      <c r="K1054" t="s">
        <v>200</v>
      </c>
      <c r="L1054" t="s">
        <v>69</v>
      </c>
      <c r="M1054">
        <v>32</v>
      </c>
      <c r="N1054" t="s">
        <v>77</v>
      </c>
      <c r="O1054">
        <v>11</v>
      </c>
      <c r="P1054">
        <v>1</v>
      </c>
      <c r="Q1054">
        <v>3498.58</v>
      </c>
      <c r="R1054" s="4">
        <v>45600</v>
      </c>
      <c r="S1054" s="6">
        <v>0.34189814814814817</v>
      </c>
      <c r="T1054">
        <f t="shared" si="66"/>
        <v>16</v>
      </c>
      <c r="U1054" t="str" cm="1">
        <f t="array" ref="U1054">_xlfn.IFS(M1054&lt;=34,"YOUNG",M1054&lt;=54,"MIDDLE AGE",M1054&gt;=55,"OLD")</f>
        <v>YOUNG</v>
      </c>
      <c r="V1054" t="str">
        <f t="shared" si="67"/>
        <v>NORMAL</v>
      </c>
    </row>
    <row r="1055" spans="1:22" x14ac:dyDescent="0.35">
      <c r="A1055" t="s">
        <v>2692</v>
      </c>
      <c r="B1055" t="s">
        <v>1688</v>
      </c>
      <c r="C1055">
        <v>11.46</v>
      </c>
      <c r="D1055" s="1">
        <v>45208.701863425929</v>
      </c>
      <c r="E1055" s="2">
        <f t="shared" si="64"/>
        <v>0.70186342592933215</v>
      </c>
      <c r="F1055" s="3">
        <f t="shared" si="65"/>
        <v>45208</v>
      </c>
      <c r="G1055" t="s">
        <v>17</v>
      </c>
      <c r="H1055" t="s">
        <v>265</v>
      </c>
      <c r="I1055" t="s">
        <v>184</v>
      </c>
      <c r="J1055" t="s">
        <v>2693</v>
      </c>
      <c r="K1055" t="s">
        <v>682</v>
      </c>
      <c r="L1055" t="s">
        <v>36</v>
      </c>
      <c r="M1055">
        <v>67</v>
      </c>
      <c r="N1055" t="s">
        <v>70</v>
      </c>
      <c r="O1055">
        <v>73</v>
      </c>
      <c r="P1055">
        <v>1</v>
      </c>
      <c r="Q1055">
        <v>6628.75</v>
      </c>
      <c r="R1055" s="4">
        <v>45600</v>
      </c>
      <c r="S1055" s="6">
        <v>0.33841435185185187</v>
      </c>
      <c r="T1055">
        <f t="shared" si="66"/>
        <v>16</v>
      </c>
      <c r="U1055" t="str" cm="1">
        <f t="array" ref="U1055">_xlfn.IFS(M1055&lt;=34,"YOUNG",M1055&lt;=54,"MIDDLE AGE",M1055&gt;=55,"OLD")</f>
        <v>OLD</v>
      </c>
      <c r="V1055" t="str">
        <f t="shared" si="67"/>
        <v>NORMAL</v>
      </c>
    </row>
    <row r="1056" spans="1:22" x14ac:dyDescent="0.35">
      <c r="A1056" t="s">
        <v>2694</v>
      </c>
      <c r="B1056" t="s">
        <v>2695</v>
      </c>
      <c r="C1056">
        <v>382.07</v>
      </c>
      <c r="D1056" s="1">
        <v>45082.741747685184</v>
      </c>
      <c r="E1056" s="2">
        <f t="shared" si="64"/>
        <v>0.74174768518423662</v>
      </c>
      <c r="F1056" s="3">
        <f t="shared" si="65"/>
        <v>45082</v>
      </c>
      <c r="G1056" t="s">
        <v>46</v>
      </c>
      <c r="H1056" t="s">
        <v>296</v>
      </c>
      <c r="I1056" t="s">
        <v>2696</v>
      </c>
      <c r="J1056" t="s">
        <v>431</v>
      </c>
      <c r="K1056" t="s">
        <v>50</v>
      </c>
      <c r="L1056" t="s">
        <v>69</v>
      </c>
      <c r="M1056">
        <v>62</v>
      </c>
      <c r="N1056" t="s">
        <v>23</v>
      </c>
      <c r="O1056">
        <v>147</v>
      </c>
      <c r="P1056">
        <v>1</v>
      </c>
      <c r="Q1056">
        <v>10156.09</v>
      </c>
      <c r="R1056" s="4">
        <v>45600</v>
      </c>
      <c r="S1056" s="6">
        <v>0.33908564814814812</v>
      </c>
      <c r="T1056">
        <f t="shared" si="66"/>
        <v>17</v>
      </c>
      <c r="U1056" t="str" cm="1">
        <f t="array" ref="U1056">_xlfn.IFS(M1056&lt;=34,"YOUNG",M1056&lt;=54,"MIDDLE AGE",M1056&gt;=55,"OLD")</f>
        <v>OLD</v>
      </c>
      <c r="V1056" t="str">
        <f t="shared" si="67"/>
        <v>NORMAL</v>
      </c>
    </row>
    <row r="1057" spans="1:22" x14ac:dyDescent="0.35">
      <c r="A1057" t="s">
        <v>2697</v>
      </c>
      <c r="B1057" t="s">
        <v>118</v>
      </c>
      <c r="C1057">
        <v>13.48</v>
      </c>
      <c r="D1057" s="1">
        <v>45189.742974537039</v>
      </c>
      <c r="E1057" s="2">
        <f t="shared" si="64"/>
        <v>0.74297453703911742</v>
      </c>
      <c r="F1057" s="3">
        <f t="shared" si="65"/>
        <v>45189</v>
      </c>
      <c r="G1057" t="s">
        <v>17</v>
      </c>
      <c r="H1057" t="s">
        <v>146</v>
      </c>
      <c r="I1057" t="s">
        <v>2698</v>
      </c>
      <c r="J1057" t="s">
        <v>82</v>
      </c>
      <c r="K1057" t="s">
        <v>209</v>
      </c>
      <c r="L1057" t="s">
        <v>36</v>
      </c>
      <c r="M1057">
        <v>18</v>
      </c>
      <c r="N1057" t="s">
        <v>37</v>
      </c>
      <c r="O1057">
        <v>20</v>
      </c>
      <c r="P1057">
        <v>3</v>
      </c>
      <c r="Q1057">
        <v>521.88</v>
      </c>
      <c r="R1057" s="4">
        <v>45600</v>
      </c>
      <c r="S1057" s="6">
        <v>0.34050925925925923</v>
      </c>
      <c r="T1057">
        <f t="shared" si="66"/>
        <v>17</v>
      </c>
      <c r="U1057" t="str" cm="1">
        <f t="array" ref="U1057">_xlfn.IFS(M1057&lt;=34,"YOUNG",M1057&lt;=54,"MIDDLE AGE",M1057&gt;=55,"OLD")</f>
        <v>YOUNG</v>
      </c>
      <c r="V1057" t="str">
        <f t="shared" si="67"/>
        <v>HIGH</v>
      </c>
    </row>
    <row r="1058" spans="1:22" x14ac:dyDescent="0.35">
      <c r="A1058" t="s">
        <v>2699</v>
      </c>
      <c r="B1058" t="s">
        <v>488</v>
      </c>
      <c r="C1058">
        <v>65.319999999999993</v>
      </c>
      <c r="D1058" s="1">
        <v>45232.677662037036</v>
      </c>
      <c r="E1058" s="2">
        <f t="shared" si="64"/>
        <v>0.67766203703649808</v>
      </c>
      <c r="F1058" s="3">
        <f t="shared" si="65"/>
        <v>45232</v>
      </c>
      <c r="G1058" t="s">
        <v>17</v>
      </c>
      <c r="H1058" t="s">
        <v>32</v>
      </c>
      <c r="I1058" t="s">
        <v>377</v>
      </c>
      <c r="J1058" t="s">
        <v>1732</v>
      </c>
      <c r="K1058" t="s">
        <v>209</v>
      </c>
      <c r="L1058" t="s">
        <v>22</v>
      </c>
      <c r="M1058">
        <v>28</v>
      </c>
      <c r="N1058" t="s">
        <v>37</v>
      </c>
      <c r="O1058">
        <v>54</v>
      </c>
      <c r="P1058">
        <v>1</v>
      </c>
      <c r="Q1058">
        <v>9165.02</v>
      </c>
      <c r="R1058" s="4">
        <v>45600</v>
      </c>
      <c r="S1058" s="6">
        <v>0.34107638888888892</v>
      </c>
      <c r="T1058">
        <f t="shared" si="66"/>
        <v>16</v>
      </c>
      <c r="U1058" t="str" cm="1">
        <f t="array" ref="U1058">_xlfn.IFS(M1058&lt;=34,"YOUNG",M1058&lt;=54,"MIDDLE AGE",M1058&gt;=55,"OLD")</f>
        <v>YOUNG</v>
      </c>
      <c r="V1058" t="str">
        <f t="shared" si="67"/>
        <v>NORMAL</v>
      </c>
    </row>
    <row r="1059" spans="1:22" x14ac:dyDescent="0.35">
      <c r="A1059" t="s">
        <v>2700</v>
      </c>
      <c r="B1059" t="s">
        <v>2701</v>
      </c>
      <c r="C1059">
        <v>83.07</v>
      </c>
      <c r="D1059" s="1">
        <v>44932.676307870373</v>
      </c>
      <c r="E1059" s="2">
        <f t="shared" si="64"/>
        <v>0.67630787037342088</v>
      </c>
      <c r="F1059" s="3">
        <f t="shared" si="65"/>
        <v>44932</v>
      </c>
      <c r="G1059" t="s">
        <v>17</v>
      </c>
      <c r="H1059" t="s">
        <v>172</v>
      </c>
      <c r="I1059" t="s">
        <v>526</v>
      </c>
      <c r="J1059" t="s">
        <v>1072</v>
      </c>
      <c r="K1059" t="s">
        <v>607</v>
      </c>
      <c r="L1059" t="s">
        <v>69</v>
      </c>
      <c r="M1059">
        <v>27</v>
      </c>
      <c r="N1059" t="s">
        <v>77</v>
      </c>
      <c r="O1059">
        <v>291</v>
      </c>
      <c r="P1059">
        <v>4</v>
      </c>
      <c r="Q1059">
        <v>6704.76</v>
      </c>
      <c r="R1059" s="4">
        <v>45600</v>
      </c>
      <c r="S1059" s="6">
        <v>0.34076388888888887</v>
      </c>
      <c r="T1059">
        <f t="shared" si="66"/>
        <v>16</v>
      </c>
      <c r="U1059" t="str" cm="1">
        <f t="array" ref="U1059">_xlfn.IFS(M1059&lt;=34,"YOUNG",M1059&lt;=54,"MIDDLE AGE",M1059&gt;=55,"OLD")</f>
        <v>YOUNG</v>
      </c>
      <c r="V1059" t="str">
        <f t="shared" si="67"/>
        <v>HIGH</v>
      </c>
    </row>
    <row r="1060" spans="1:22" x14ac:dyDescent="0.35">
      <c r="A1060" t="s">
        <v>2702</v>
      </c>
      <c r="B1060" t="s">
        <v>248</v>
      </c>
      <c r="C1060">
        <v>730.1</v>
      </c>
      <c r="D1060" s="1">
        <v>45132.753310185188</v>
      </c>
      <c r="E1060" s="2">
        <f t="shared" si="64"/>
        <v>0.75331018518772908</v>
      </c>
      <c r="F1060" s="3">
        <f t="shared" si="65"/>
        <v>45132</v>
      </c>
      <c r="G1060" t="s">
        <v>46</v>
      </c>
      <c r="H1060" t="s">
        <v>265</v>
      </c>
      <c r="I1060" t="s">
        <v>457</v>
      </c>
      <c r="J1060" t="s">
        <v>1943</v>
      </c>
      <c r="K1060" t="s">
        <v>200</v>
      </c>
      <c r="L1060" t="s">
        <v>69</v>
      </c>
      <c r="M1060">
        <v>77</v>
      </c>
      <c r="N1060" t="s">
        <v>70</v>
      </c>
      <c r="O1060">
        <v>93</v>
      </c>
      <c r="P1060">
        <v>1</v>
      </c>
      <c r="Q1060">
        <v>6384.05</v>
      </c>
      <c r="R1060" s="4">
        <v>45600</v>
      </c>
      <c r="S1060" s="6">
        <v>0.33805555555555555</v>
      </c>
      <c r="T1060">
        <f t="shared" si="66"/>
        <v>18</v>
      </c>
      <c r="U1060" t="str" cm="1">
        <f t="array" ref="U1060">_xlfn.IFS(M1060&lt;=34,"YOUNG",M1060&lt;=54,"MIDDLE AGE",M1060&gt;=55,"OLD")</f>
        <v>OLD</v>
      </c>
      <c r="V1060" t="str">
        <f t="shared" si="67"/>
        <v>NORMAL</v>
      </c>
    </row>
    <row r="1061" spans="1:22" x14ac:dyDescent="0.35">
      <c r="A1061" t="s">
        <v>2703</v>
      </c>
      <c r="B1061" t="s">
        <v>1974</v>
      </c>
      <c r="C1061">
        <v>85.31</v>
      </c>
      <c r="D1061" s="1">
        <v>45271.67087962963</v>
      </c>
      <c r="E1061" s="2">
        <f t="shared" si="64"/>
        <v>0.67087962962978054</v>
      </c>
      <c r="F1061" s="3">
        <f t="shared" si="65"/>
        <v>45271</v>
      </c>
      <c r="G1061" t="s">
        <v>17</v>
      </c>
      <c r="H1061" t="s">
        <v>291</v>
      </c>
      <c r="I1061" t="s">
        <v>1135</v>
      </c>
      <c r="J1061" t="s">
        <v>583</v>
      </c>
      <c r="K1061" t="s">
        <v>62</v>
      </c>
      <c r="L1061" t="s">
        <v>22</v>
      </c>
      <c r="M1061">
        <v>62</v>
      </c>
      <c r="N1061" t="s">
        <v>70</v>
      </c>
      <c r="O1061">
        <v>27</v>
      </c>
      <c r="P1061">
        <v>1</v>
      </c>
      <c r="Q1061">
        <v>6095.65</v>
      </c>
      <c r="R1061" s="4">
        <v>45600</v>
      </c>
      <c r="S1061" s="6">
        <v>0.33903935185185186</v>
      </c>
      <c r="T1061">
        <f t="shared" si="66"/>
        <v>16</v>
      </c>
      <c r="U1061" t="str" cm="1">
        <f t="array" ref="U1061">_xlfn.IFS(M1061&lt;=34,"YOUNG",M1061&lt;=54,"MIDDLE AGE",M1061&gt;=55,"OLD")</f>
        <v>OLD</v>
      </c>
      <c r="V1061" t="str">
        <f t="shared" si="67"/>
        <v>NORMAL</v>
      </c>
    </row>
    <row r="1062" spans="1:22" x14ac:dyDescent="0.35">
      <c r="A1062" t="s">
        <v>2704</v>
      </c>
      <c r="B1062" t="s">
        <v>1745</v>
      </c>
      <c r="C1062">
        <v>726.61</v>
      </c>
      <c r="D1062" s="1">
        <v>45233.688449074078</v>
      </c>
      <c r="E1062" s="2">
        <f t="shared" si="64"/>
        <v>0.68844907407765277</v>
      </c>
      <c r="F1062" s="3">
        <f t="shared" si="65"/>
        <v>45233</v>
      </c>
      <c r="G1062" t="s">
        <v>17</v>
      </c>
      <c r="H1062" t="s">
        <v>425</v>
      </c>
      <c r="I1062" t="s">
        <v>461</v>
      </c>
      <c r="J1062" t="s">
        <v>2705</v>
      </c>
      <c r="K1062" t="s">
        <v>427</v>
      </c>
      <c r="L1062" t="s">
        <v>22</v>
      </c>
      <c r="M1062">
        <v>18</v>
      </c>
      <c r="N1062" t="s">
        <v>37</v>
      </c>
      <c r="O1062">
        <v>277</v>
      </c>
      <c r="P1062">
        <v>1</v>
      </c>
      <c r="Q1062">
        <v>1008.76</v>
      </c>
      <c r="R1062" s="4">
        <v>45600</v>
      </c>
      <c r="S1062" s="6">
        <v>0.34043981481481483</v>
      </c>
      <c r="T1062">
        <f t="shared" si="66"/>
        <v>16</v>
      </c>
      <c r="U1062" t="str" cm="1">
        <f t="array" ref="U1062">_xlfn.IFS(M1062&lt;=34,"YOUNG",M1062&lt;=54,"MIDDLE AGE",M1062&gt;=55,"OLD")</f>
        <v>YOUNG</v>
      </c>
      <c r="V1062" t="str">
        <f t="shared" si="67"/>
        <v>NORMAL</v>
      </c>
    </row>
    <row r="1063" spans="1:22" x14ac:dyDescent="0.35">
      <c r="A1063" t="s">
        <v>2706</v>
      </c>
      <c r="B1063" t="s">
        <v>2707</v>
      </c>
      <c r="C1063">
        <v>130.4</v>
      </c>
      <c r="D1063" s="1">
        <v>45019.688564814816</v>
      </c>
      <c r="E1063" s="2">
        <f t="shared" si="64"/>
        <v>0.68856481481634546</v>
      </c>
      <c r="F1063" s="3">
        <f t="shared" si="65"/>
        <v>45019</v>
      </c>
      <c r="G1063" t="s">
        <v>17</v>
      </c>
      <c r="H1063" t="s">
        <v>40</v>
      </c>
      <c r="I1063" t="s">
        <v>1578</v>
      </c>
      <c r="J1063" t="s">
        <v>673</v>
      </c>
      <c r="K1063" t="s">
        <v>1209</v>
      </c>
      <c r="L1063" t="s">
        <v>69</v>
      </c>
      <c r="M1063">
        <v>45</v>
      </c>
      <c r="N1063" t="s">
        <v>77</v>
      </c>
      <c r="O1063">
        <v>63</v>
      </c>
      <c r="P1063">
        <v>1</v>
      </c>
      <c r="Q1063">
        <v>4381.24</v>
      </c>
      <c r="R1063" s="4">
        <v>45600</v>
      </c>
      <c r="S1063" s="6">
        <v>0.34005787037037039</v>
      </c>
      <c r="T1063">
        <f t="shared" si="66"/>
        <v>16</v>
      </c>
      <c r="U1063" t="str" cm="1">
        <f t="array" ref="U1063">_xlfn.IFS(M1063&lt;=34,"YOUNG",M1063&lt;=54,"MIDDLE AGE",M1063&gt;=55,"OLD")</f>
        <v>MIDDLE AGE</v>
      </c>
      <c r="V1063" t="str">
        <f t="shared" si="67"/>
        <v>NORMAL</v>
      </c>
    </row>
    <row r="1064" spans="1:22" x14ac:dyDescent="0.35">
      <c r="A1064" t="s">
        <v>2708</v>
      </c>
      <c r="B1064" t="s">
        <v>322</v>
      </c>
      <c r="C1064">
        <v>68.099999999999994</v>
      </c>
      <c r="D1064" s="1">
        <v>44928.66673611111</v>
      </c>
      <c r="E1064" s="2">
        <f t="shared" si="64"/>
        <v>0.66673611111036735</v>
      </c>
      <c r="F1064" s="3">
        <f t="shared" si="65"/>
        <v>44928</v>
      </c>
      <c r="G1064" t="s">
        <v>17</v>
      </c>
      <c r="H1064" t="s">
        <v>178</v>
      </c>
      <c r="I1064" t="s">
        <v>33</v>
      </c>
      <c r="J1064" t="s">
        <v>1665</v>
      </c>
      <c r="K1064" t="s">
        <v>548</v>
      </c>
      <c r="L1064" t="s">
        <v>22</v>
      </c>
      <c r="M1064">
        <v>20</v>
      </c>
      <c r="N1064" t="s">
        <v>37</v>
      </c>
      <c r="O1064">
        <v>47</v>
      </c>
      <c r="P1064">
        <v>1</v>
      </c>
      <c r="Q1064">
        <v>1382.8</v>
      </c>
      <c r="R1064" s="4">
        <v>45600</v>
      </c>
      <c r="S1064" s="6">
        <v>0.34045138888888887</v>
      </c>
      <c r="T1064">
        <f t="shared" si="66"/>
        <v>16</v>
      </c>
      <c r="U1064" t="str" cm="1">
        <f t="array" ref="U1064">_xlfn.IFS(M1064&lt;=34,"YOUNG",M1064&lt;=54,"MIDDLE AGE",M1064&gt;=55,"OLD")</f>
        <v>YOUNG</v>
      </c>
      <c r="V1064" t="str">
        <f t="shared" si="67"/>
        <v>NORMAL</v>
      </c>
    </row>
    <row r="1065" spans="1:22" x14ac:dyDescent="0.35">
      <c r="A1065" t="s">
        <v>2709</v>
      </c>
      <c r="B1065" t="s">
        <v>2710</v>
      </c>
      <c r="C1065">
        <v>65.260000000000005</v>
      </c>
      <c r="D1065" s="1">
        <v>45268.712210648147</v>
      </c>
      <c r="E1065" s="2">
        <f t="shared" si="64"/>
        <v>0.7122106481474475</v>
      </c>
      <c r="F1065" s="3">
        <f t="shared" si="65"/>
        <v>45268</v>
      </c>
      <c r="G1065" t="s">
        <v>17</v>
      </c>
      <c r="H1065" t="s">
        <v>285</v>
      </c>
      <c r="I1065" t="s">
        <v>582</v>
      </c>
      <c r="J1065" t="s">
        <v>261</v>
      </c>
      <c r="K1065" t="s">
        <v>607</v>
      </c>
      <c r="L1065" t="s">
        <v>69</v>
      </c>
      <c r="M1065">
        <v>26</v>
      </c>
      <c r="N1065" t="s">
        <v>37</v>
      </c>
      <c r="O1065">
        <v>72</v>
      </c>
      <c r="P1065">
        <v>1</v>
      </c>
      <c r="Q1065">
        <v>7380.63</v>
      </c>
      <c r="R1065" s="4">
        <v>45600</v>
      </c>
      <c r="S1065" s="6">
        <v>0.34090277777777778</v>
      </c>
      <c r="T1065">
        <f t="shared" si="66"/>
        <v>17</v>
      </c>
      <c r="U1065" t="str" cm="1">
        <f t="array" ref="U1065">_xlfn.IFS(M1065&lt;=34,"YOUNG",M1065&lt;=54,"MIDDLE AGE",M1065&gt;=55,"OLD")</f>
        <v>YOUNG</v>
      </c>
      <c r="V1065" t="str">
        <f t="shared" si="67"/>
        <v>NORMAL</v>
      </c>
    </row>
    <row r="1066" spans="1:22" x14ac:dyDescent="0.35">
      <c r="A1066" t="s">
        <v>2711</v>
      </c>
      <c r="B1066" t="s">
        <v>1799</v>
      </c>
      <c r="C1066">
        <v>191.62</v>
      </c>
      <c r="D1066" s="1">
        <v>45135.722083333334</v>
      </c>
      <c r="E1066" s="2">
        <f t="shared" si="64"/>
        <v>0.72208333333401242</v>
      </c>
      <c r="F1066" s="3">
        <f t="shared" si="65"/>
        <v>45135</v>
      </c>
      <c r="G1066" t="s">
        <v>17</v>
      </c>
      <c r="H1066" t="s">
        <v>392</v>
      </c>
      <c r="I1066" t="s">
        <v>579</v>
      </c>
      <c r="J1066" t="s">
        <v>444</v>
      </c>
      <c r="K1066" t="s">
        <v>1810</v>
      </c>
      <c r="L1066" t="s">
        <v>69</v>
      </c>
      <c r="M1066">
        <v>63</v>
      </c>
      <c r="N1066" t="s">
        <v>23</v>
      </c>
      <c r="O1066">
        <v>51</v>
      </c>
      <c r="P1066">
        <v>1</v>
      </c>
      <c r="Q1066">
        <v>1981.67</v>
      </c>
      <c r="R1066" s="4">
        <v>45600</v>
      </c>
      <c r="S1066" s="6">
        <v>0.33824074074074073</v>
      </c>
      <c r="T1066">
        <f t="shared" si="66"/>
        <v>17</v>
      </c>
      <c r="U1066" t="str" cm="1">
        <f t="array" ref="U1066">_xlfn.IFS(M1066&lt;=34,"YOUNG",M1066&lt;=54,"MIDDLE AGE",M1066&gt;=55,"OLD")</f>
        <v>OLD</v>
      </c>
      <c r="V1066" t="str">
        <f t="shared" si="67"/>
        <v>NORMAL</v>
      </c>
    </row>
    <row r="1067" spans="1:22" x14ac:dyDescent="0.35">
      <c r="A1067" t="s">
        <v>2712</v>
      </c>
      <c r="B1067" t="s">
        <v>167</v>
      </c>
      <c r="C1067">
        <v>212.88</v>
      </c>
      <c r="D1067" s="1">
        <v>45065.780821759261</v>
      </c>
      <c r="E1067" s="2">
        <f t="shared" si="64"/>
        <v>0.78082175926101627</v>
      </c>
      <c r="F1067" s="3">
        <f t="shared" si="65"/>
        <v>45065</v>
      </c>
      <c r="G1067" t="s">
        <v>17</v>
      </c>
      <c r="H1067" t="s">
        <v>558</v>
      </c>
      <c r="I1067" t="s">
        <v>579</v>
      </c>
      <c r="J1067" t="s">
        <v>903</v>
      </c>
      <c r="K1067" t="s">
        <v>619</v>
      </c>
      <c r="L1067" t="s">
        <v>36</v>
      </c>
      <c r="M1067">
        <v>39</v>
      </c>
      <c r="N1067" t="s">
        <v>23</v>
      </c>
      <c r="O1067">
        <v>122</v>
      </c>
      <c r="P1067">
        <v>1</v>
      </c>
      <c r="Q1067">
        <v>7036.72</v>
      </c>
      <c r="R1067" s="4">
        <v>45600</v>
      </c>
      <c r="S1067" s="6">
        <v>0.34138888888888891</v>
      </c>
      <c r="T1067">
        <f t="shared" si="66"/>
        <v>18</v>
      </c>
      <c r="U1067" t="str" cm="1">
        <f t="array" ref="U1067">_xlfn.IFS(M1067&lt;=34,"YOUNG",M1067&lt;=54,"MIDDLE AGE",M1067&gt;=55,"OLD")</f>
        <v>MIDDLE AGE</v>
      </c>
      <c r="V1067" t="str">
        <f t="shared" si="67"/>
        <v>NORMAL</v>
      </c>
    </row>
    <row r="1068" spans="1:22" x14ac:dyDescent="0.35">
      <c r="A1068" t="s">
        <v>2713</v>
      </c>
      <c r="B1068" t="s">
        <v>2019</v>
      </c>
      <c r="C1068">
        <v>88.38</v>
      </c>
      <c r="D1068" s="1">
        <v>44943.673993055556</v>
      </c>
      <c r="E1068" s="2">
        <f t="shared" si="64"/>
        <v>0.67399305555591127</v>
      </c>
      <c r="F1068" s="3">
        <f t="shared" si="65"/>
        <v>44943</v>
      </c>
      <c r="G1068" t="s">
        <v>17</v>
      </c>
      <c r="H1068" t="s">
        <v>301</v>
      </c>
      <c r="I1068" t="s">
        <v>1875</v>
      </c>
      <c r="J1068" t="s">
        <v>2327</v>
      </c>
      <c r="K1068" t="s">
        <v>607</v>
      </c>
      <c r="L1068" t="s">
        <v>22</v>
      </c>
      <c r="M1068">
        <v>30</v>
      </c>
      <c r="N1068" t="s">
        <v>77</v>
      </c>
      <c r="O1068">
        <v>138</v>
      </c>
      <c r="P1068">
        <v>1</v>
      </c>
      <c r="Q1068">
        <v>3707.82</v>
      </c>
      <c r="R1068" s="4">
        <v>45600</v>
      </c>
      <c r="S1068" s="6">
        <v>0.33905092592592595</v>
      </c>
      <c r="T1068">
        <f t="shared" si="66"/>
        <v>16</v>
      </c>
      <c r="U1068" t="str" cm="1">
        <f t="array" ref="U1068">_xlfn.IFS(M1068&lt;=34,"YOUNG",M1068&lt;=54,"MIDDLE AGE",M1068&gt;=55,"OLD")</f>
        <v>YOUNG</v>
      </c>
      <c r="V1068" t="str">
        <f t="shared" si="67"/>
        <v>NORMAL</v>
      </c>
    </row>
    <row r="1069" spans="1:22" x14ac:dyDescent="0.35">
      <c r="A1069" t="s">
        <v>2714</v>
      </c>
      <c r="B1069" t="s">
        <v>1238</v>
      </c>
      <c r="C1069">
        <v>48.77</v>
      </c>
      <c r="D1069" s="1">
        <v>45092.742442129631</v>
      </c>
      <c r="E1069" s="2">
        <f t="shared" si="64"/>
        <v>0.74244212963094469</v>
      </c>
      <c r="F1069" s="3">
        <f t="shared" si="65"/>
        <v>45092</v>
      </c>
      <c r="G1069" t="s">
        <v>46</v>
      </c>
      <c r="H1069" t="s">
        <v>119</v>
      </c>
      <c r="I1069" t="s">
        <v>1410</v>
      </c>
      <c r="J1069" t="s">
        <v>2630</v>
      </c>
      <c r="K1069" t="s">
        <v>759</v>
      </c>
      <c r="L1069" t="s">
        <v>36</v>
      </c>
      <c r="M1069">
        <v>42</v>
      </c>
      <c r="N1069" t="s">
        <v>77</v>
      </c>
      <c r="O1069">
        <v>51</v>
      </c>
      <c r="P1069">
        <v>1</v>
      </c>
      <c r="Q1069">
        <v>2040.16</v>
      </c>
      <c r="R1069" s="4">
        <v>45600</v>
      </c>
      <c r="S1069" s="6">
        <v>0.33913194444444444</v>
      </c>
      <c r="T1069">
        <f t="shared" si="66"/>
        <v>17</v>
      </c>
      <c r="U1069" t="str" cm="1">
        <f t="array" ref="U1069">_xlfn.IFS(M1069&lt;=34,"YOUNG",M1069&lt;=54,"MIDDLE AGE",M1069&gt;=55,"OLD")</f>
        <v>MIDDLE AGE</v>
      </c>
      <c r="V1069" t="str">
        <f t="shared" si="67"/>
        <v>NORMAL</v>
      </c>
    </row>
    <row r="1070" spans="1:22" x14ac:dyDescent="0.35">
      <c r="A1070" t="s">
        <v>2715</v>
      </c>
      <c r="B1070" t="s">
        <v>1794</v>
      </c>
      <c r="C1070">
        <v>289.10000000000002</v>
      </c>
      <c r="D1070" s="1">
        <v>45118.672858796293</v>
      </c>
      <c r="E1070" s="2">
        <f t="shared" si="64"/>
        <v>0.67285879629343981</v>
      </c>
      <c r="F1070" s="3">
        <f t="shared" si="65"/>
        <v>45118</v>
      </c>
      <c r="G1070" t="s">
        <v>17</v>
      </c>
      <c r="H1070" t="s">
        <v>197</v>
      </c>
      <c r="I1070" t="s">
        <v>1447</v>
      </c>
      <c r="J1070" t="s">
        <v>2346</v>
      </c>
      <c r="K1070" t="s">
        <v>331</v>
      </c>
      <c r="L1070" t="s">
        <v>22</v>
      </c>
      <c r="M1070">
        <v>27</v>
      </c>
      <c r="N1070" t="s">
        <v>37</v>
      </c>
      <c r="O1070">
        <v>206</v>
      </c>
      <c r="P1070">
        <v>1</v>
      </c>
      <c r="Q1070">
        <v>267.52999999999997</v>
      </c>
      <c r="R1070" s="4">
        <v>45600</v>
      </c>
      <c r="S1070" s="6">
        <v>0.34020833333333333</v>
      </c>
      <c r="T1070">
        <f t="shared" si="66"/>
        <v>16</v>
      </c>
      <c r="U1070" t="str" cm="1">
        <f t="array" ref="U1070">_xlfn.IFS(M1070&lt;=34,"YOUNG",M1070&lt;=54,"MIDDLE AGE",M1070&gt;=55,"OLD")</f>
        <v>YOUNG</v>
      </c>
      <c r="V1070" t="str">
        <f t="shared" si="67"/>
        <v>NORMAL</v>
      </c>
    </row>
    <row r="1071" spans="1:22" x14ac:dyDescent="0.35">
      <c r="A1071" t="s">
        <v>2716</v>
      </c>
      <c r="B1071" t="s">
        <v>2352</v>
      </c>
      <c r="C1071">
        <v>390.09</v>
      </c>
      <c r="D1071" s="1">
        <v>45208.703240740739</v>
      </c>
      <c r="E1071" s="2">
        <f t="shared" si="64"/>
        <v>0.70324074073869269</v>
      </c>
      <c r="F1071" s="3">
        <f t="shared" si="65"/>
        <v>45208</v>
      </c>
      <c r="G1071" t="s">
        <v>17</v>
      </c>
      <c r="H1071" t="s">
        <v>506</v>
      </c>
      <c r="I1071" t="s">
        <v>93</v>
      </c>
      <c r="J1071" t="s">
        <v>1797</v>
      </c>
      <c r="K1071" t="s">
        <v>100</v>
      </c>
      <c r="L1071" t="s">
        <v>36</v>
      </c>
      <c r="M1071">
        <v>26</v>
      </c>
      <c r="N1071" t="s">
        <v>77</v>
      </c>
      <c r="O1071">
        <v>49</v>
      </c>
      <c r="P1071">
        <v>1</v>
      </c>
      <c r="Q1071">
        <v>2617.23</v>
      </c>
      <c r="R1071" s="4">
        <v>45600</v>
      </c>
      <c r="S1071" s="6">
        <v>0.34043981481481483</v>
      </c>
      <c r="T1071">
        <f t="shared" si="66"/>
        <v>16</v>
      </c>
      <c r="U1071" t="str" cm="1">
        <f t="array" ref="U1071">_xlfn.IFS(M1071&lt;=34,"YOUNG",M1071&lt;=54,"MIDDLE AGE",M1071&gt;=55,"OLD")</f>
        <v>YOUNG</v>
      </c>
      <c r="V1071" t="str">
        <f t="shared" si="67"/>
        <v>NORMAL</v>
      </c>
    </row>
    <row r="1072" spans="1:22" x14ac:dyDescent="0.35">
      <c r="A1072" t="s">
        <v>2717</v>
      </c>
      <c r="B1072" t="s">
        <v>892</v>
      </c>
      <c r="C1072">
        <v>48.29</v>
      </c>
      <c r="D1072" s="1">
        <v>45194.749236111114</v>
      </c>
      <c r="E1072" s="2">
        <f t="shared" si="64"/>
        <v>0.74923611111444188</v>
      </c>
      <c r="F1072" s="3">
        <f t="shared" si="65"/>
        <v>45194</v>
      </c>
      <c r="G1072" t="s">
        <v>17</v>
      </c>
      <c r="H1072" t="s">
        <v>18</v>
      </c>
      <c r="I1072" t="s">
        <v>393</v>
      </c>
      <c r="J1072" t="s">
        <v>2718</v>
      </c>
      <c r="K1072" t="s">
        <v>406</v>
      </c>
      <c r="L1072" t="s">
        <v>36</v>
      </c>
      <c r="M1072">
        <v>37</v>
      </c>
      <c r="N1072" t="s">
        <v>77</v>
      </c>
      <c r="O1072">
        <v>242</v>
      </c>
      <c r="P1072">
        <v>1</v>
      </c>
      <c r="Q1072">
        <v>8883.4</v>
      </c>
      <c r="R1072" s="4">
        <v>45600</v>
      </c>
      <c r="S1072" s="6">
        <v>0.33884259259259258</v>
      </c>
      <c r="T1072">
        <f t="shared" si="66"/>
        <v>17</v>
      </c>
      <c r="U1072" t="str" cm="1">
        <f t="array" ref="U1072">_xlfn.IFS(M1072&lt;=34,"YOUNG",M1072&lt;=54,"MIDDLE AGE",M1072&gt;=55,"OLD")</f>
        <v>MIDDLE AGE</v>
      </c>
      <c r="V1072" t="str">
        <f t="shared" si="67"/>
        <v>NORMAL</v>
      </c>
    </row>
    <row r="1073" spans="1:22" x14ac:dyDescent="0.35">
      <c r="A1073" t="s">
        <v>2719</v>
      </c>
      <c r="B1073" t="s">
        <v>2056</v>
      </c>
      <c r="C1073">
        <v>333.83</v>
      </c>
      <c r="D1073" s="1">
        <v>45138.740856481483</v>
      </c>
      <c r="E1073" s="2">
        <f t="shared" si="64"/>
        <v>0.74085648148320615</v>
      </c>
      <c r="F1073" s="3">
        <f t="shared" si="65"/>
        <v>45138</v>
      </c>
      <c r="G1073" t="s">
        <v>17</v>
      </c>
      <c r="H1073" t="s">
        <v>558</v>
      </c>
      <c r="I1073" t="s">
        <v>2505</v>
      </c>
      <c r="J1073" t="s">
        <v>662</v>
      </c>
      <c r="K1073" t="s">
        <v>348</v>
      </c>
      <c r="L1073" t="s">
        <v>22</v>
      </c>
      <c r="M1073">
        <v>63</v>
      </c>
      <c r="N1073" t="s">
        <v>70</v>
      </c>
      <c r="O1073">
        <v>135</v>
      </c>
      <c r="P1073">
        <v>1</v>
      </c>
      <c r="Q1073">
        <v>1660.66</v>
      </c>
      <c r="R1073" s="4">
        <v>45600</v>
      </c>
      <c r="S1073" s="6">
        <v>0.34105324074074073</v>
      </c>
      <c r="T1073">
        <f t="shared" si="66"/>
        <v>17</v>
      </c>
      <c r="U1073" t="str" cm="1">
        <f t="array" ref="U1073">_xlfn.IFS(M1073&lt;=34,"YOUNG",M1073&lt;=54,"MIDDLE AGE",M1073&gt;=55,"OLD")</f>
        <v>OLD</v>
      </c>
      <c r="V1073" t="str">
        <f t="shared" si="67"/>
        <v>NORMAL</v>
      </c>
    </row>
    <row r="1074" spans="1:22" x14ac:dyDescent="0.35">
      <c r="A1074" t="s">
        <v>2720</v>
      </c>
      <c r="B1074" t="s">
        <v>1785</v>
      </c>
      <c r="C1074">
        <v>1074.29</v>
      </c>
      <c r="D1074" s="1">
        <v>44931.696689814817</v>
      </c>
      <c r="E1074" s="2">
        <f t="shared" si="64"/>
        <v>0.6966898148166365</v>
      </c>
      <c r="F1074" s="3">
        <f t="shared" si="65"/>
        <v>44931</v>
      </c>
      <c r="G1074" t="s">
        <v>17</v>
      </c>
      <c r="H1074" t="s">
        <v>595</v>
      </c>
      <c r="I1074" t="s">
        <v>2721</v>
      </c>
      <c r="J1074" t="s">
        <v>1072</v>
      </c>
      <c r="K1074" t="s">
        <v>427</v>
      </c>
      <c r="L1074" t="s">
        <v>69</v>
      </c>
      <c r="M1074">
        <v>67</v>
      </c>
      <c r="N1074" t="s">
        <v>70</v>
      </c>
      <c r="O1074">
        <v>79</v>
      </c>
      <c r="P1074">
        <v>1</v>
      </c>
      <c r="Q1074">
        <v>2011.6</v>
      </c>
      <c r="R1074" s="4">
        <v>45600</v>
      </c>
      <c r="S1074" s="6">
        <v>0.34112268518518518</v>
      </c>
      <c r="T1074">
        <f t="shared" si="66"/>
        <v>16</v>
      </c>
      <c r="U1074" t="str" cm="1">
        <f t="array" ref="U1074">_xlfn.IFS(M1074&lt;=34,"YOUNG",M1074&lt;=54,"MIDDLE AGE",M1074&gt;=55,"OLD")</f>
        <v>OLD</v>
      </c>
      <c r="V1074" t="str">
        <f t="shared" si="67"/>
        <v>NORMAL</v>
      </c>
    </row>
    <row r="1075" spans="1:22" x14ac:dyDescent="0.35">
      <c r="A1075" t="s">
        <v>2722</v>
      </c>
      <c r="B1075" t="s">
        <v>698</v>
      </c>
      <c r="C1075">
        <v>100.27</v>
      </c>
      <c r="D1075" s="1">
        <v>45117.726168981484</v>
      </c>
      <c r="E1075" s="2">
        <f t="shared" si="64"/>
        <v>0.72616898148407927</v>
      </c>
      <c r="F1075" s="3">
        <f t="shared" si="65"/>
        <v>45117</v>
      </c>
      <c r="G1075" t="s">
        <v>17</v>
      </c>
      <c r="H1075" t="s">
        <v>172</v>
      </c>
      <c r="I1075" t="s">
        <v>2723</v>
      </c>
      <c r="J1075" t="s">
        <v>1779</v>
      </c>
      <c r="K1075" t="s">
        <v>414</v>
      </c>
      <c r="L1075" t="s">
        <v>36</v>
      </c>
      <c r="M1075">
        <v>79</v>
      </c>
      <c r="N1075" t="s">
        <v>70</v>
      </c>
      <c r="O1075">
        <v>51</v>
      </c>
      <c r="P1075">
        <v>1</v>
      </c>
      <c r="Q1075">
        <v>4309.8999999999996</v>
      </c>
      <c r="R1075" s="4">
        <v>45600</v>
      </c>
      <c r="S1075" s="6">
        <v>0.3407175925925926</v>
      </c>
      <c r="T1075">
        <f t="shared" si="66"/>
        <v>17</v>
      </c>
      <c r="U1075" t="str" cm="1">
        <f t="array" ref="U1075">_xlfn.IFS(M1075&lt;=34,"YOUNG",M1075&lt;=54,"MIDDLE AGE",M1075&gt;=55,"OLD")</f>
        <v>OLD</v>
      </c>
      <c r="V1075" t="str">
        <f t="shared" si="67"/>
        <v>NORMAL</v>
      </c>
    </row>
    <row r="1076" spans="1:22" x14ac:dyDescent="0.35">
      <c r="A1076" t="s">
        <v>2724</v>
      </c>
      <c r="B1076" t="s">
        <v>1238</v>
      </c>
      <c r="C1076">
        <v>44.54</v>
      </c>
      <c r="D1076" s="1">
        <v>45215.683310185188</v>
      </c>
      <c r="E1076" s="2">
        <f t="shared" si="64"/>
        <v>0.68331018518802011</v>
      </c>
      <c r="F1076" s="3">
        <f t="shared" si="65"/>
        <v>45215</v>
      </c>
      <c r="G1076" t="s">
        <v>17</v>
      </c>
      <c r="H1076" t="s">
        <v>237</v>
      </c>
      <c r="I1076" t="s">
        <v>173</v>
      </c>
      <c r="J1076" t="s">
        <v>2725</v>
      </c>
      <c r="K1076" t="s">
        <v>122</v>
      </c>
      <c r="L1076" t="s">
        <v>22</v>
      </c>
      <c r="M1076">
        <v>31</v>
      </c>
      <c r="N1076" t="s">
        <v>77</v>
      </c>
      <c r="O1076">
        <v>164</v>
      </c>
      <c r="P1076">
        <v>1</v>
      </c>
      <c r="Q1076">
        <v>362.4</v>
      </c>
      <c r="R1076" s="4">
        <v>45600</v>
      </c>
      <c r="S1076" s="6">
        <v>0.33887731481481481</v>
      </c>
      <c r="T1076">
        <f t="shared" si="66"/>
        <v>16</v>
      </c>
      <c r="U1076" t="str" cm="1">
        <f t="array" ref="U1076">_xlfn.IFS(M1076&lt;=34,"YOUNG",M1076&lt;=54,"MIDDLE AGE",M1076&gt;=55,"OLD")</f>
        <v>YOUNG</v>
      </c>
      <c r="V1076" t="str">
        <f t="shared" si="67"/>
        <v>NORMAL</v>
      </c>
    </row>
    <row r="1077" spans="1:22" x14ac:dyDescent="0.35">
      <c r="A1077" t="s">
        <v>2726</v>
      </c>
      <c r="B1077" t="s">
        <v>1927</v>
      </c>
      <c r="C1077">
        <v>1156.18</v>
      </c>
      <c r="D1077" s="1">
        <v>45190.674849537034</v>
      </c>
      <c r="E1077" s="2">
        <f t="shared" si="64"/>
        <v>0.67484953703387873</v>
      </c>
      <c r="F1077" s="3">
        <f t="shared" si="65"/>
        <v>45190</v>
      </c>
      <c r="G1077" t="s">
        <v>46</v>
      </c>
      <c r="H1077" t="s">
        <v>425</v>
      </c>
      <c r="I1077" t="s">
        <v>856</v>
      </c>
      <c r="J1077" t="s">
        <v>2727</v>
      </c>
      <c r="K1077" t="s">
        <v>56</v>
      </c>
      <c r="L1077" t="s">
        <v>36</v>
      </c>
      <c r="M1077">
        <v>52</v>
      </c>
      <c r="N1077" t="s">
        <v>23</v>
      </c>
      <c r="O1077">
        <v>40</v>
      </c>
      <c r="P1077">
        <v>1</v>
      </c>
      <c r="Q1077">
        <v>836.69</v>
      </c>
      <c r="R1077" s="4">
        <v>45600</v>
      </c>
      <c r="S1077" s="6">
        <v>0.34140046296296295</v>
      </c>
      <c r="T1077">
        <f t="shared" si="66"/>
        <v>16</v>
      </c>
      <c r="U1077" t="str" cm="1">
        <f t="array" ref="U1077">_xlfn.IFS(M1077&lt;=34,"YOUNG",M1077&lt;=54,"MIDDLE AGE",M1077&gt;=55,"OLD")</f>
        <v>MIDDLE AGE</v>
      </c>
      <c r="V1077" t="str">
        <f t="shared" si="67"/>
        <v>NORMAL</v>
      </c>
    </row>
    <row r="1078" spans="1:22" x14ac:dyDescent="0.35">
      <c r="A1078" t="s">
        <v>2728</v>
      </c>
      <c r="B1078" t="s">
        <v>968</v>
      </c>
      <c r="C1078">
        <v>82.17</v>
      </c>
      <c r="D1078" s="1">
        <v>45278.767418981479</v>
      </c>
      <c r="E1078" s="2">
        <f t="shared" si="64"/>
        <v>0.76741898147884058</v>
      </c>
      <c r="F1078" s="3">
        <f t="shared" si="65"/>
        <v>45278</v>
      </c>
      <c r="G1078" t="s">
        <v>17</v>
      </c>
      <c r="H1078" t="s">
        <v>157</v>
      </c>
      <c r="I1078" t="s">
        <v>1952</v>
      </c>
      <c r="J1078" t="s">
        <v>2729</v>
      </c>
      <c r="K1078" t="s">
        <v>1287</v>
      </c>
      <c r="L1078" t="s">
        <v>69</v>
      </c>
      <c r="M1078">
        <v>28</v>
      </c>
      <c r="N1078" t="s">
        <v>37</v>
      </c>
      <c r="O1078">
        <v>21</v>
      </c>
      <c r="P1078">
        <v>1</v>
      </c>
      <c r="Q1078">
        <v>1913.06</v>
      </c>
      <c r="R1078" s="4">
        <v>45600</v>
      </c>
      <c r="S1078" s="6">
        <v>0.34001157407407406</v>
      </c>
      <c r="T1078">
        <f t="shared" si="66"/>
        <v>18</v>
      </c>
      <c r="U1078" t="str" cm="1">
        <f t="array" ref="U1078">_xlfn.IFS(M1078&lt;=34,"YOUNG",M1078&lt;=54,"MIDDLE AGE",M1078&gt;=55,"OLD")</f>
        <v>YOUNG</v>
      </c>
      <c r="V1078" t="str">
        <f t="shared" si="67"/>
        <v>NORMAL</v>
      </c>
    </row>
    <row r="1079" spans="1:22" x14ac:dyDescent="0.35">
      <c r="A1079" t="s">
        <v>2730</v>
      </c>
      <c r="B1079" t="s">
        <v>756</v>
      </c>
      <c r="C1079">
        <v>1045.45</v>
      </c>
      <c r="D1079" s="1">
        <v>45229.698460648149</v>
      </c>
      <c r="E1079" s="2">
        <f t="shared" si="64"/>
        <v>0.69846064814919373</v>
      </c>
      <c r="F1079" s="3">
        <f t="shared" si="65"/>
        <v>45229</v>
      </c>
      <c r="G1079" t="s">
        <v>17</v>
      </c>
      <c r="H1079" t="s">
        <v>197</v>
      </c>
      <c r="I1079" t="s">
        <v>2123</v>
      </c>
      <c r="J1079" t="s">
        <v>1467</v>
      </c>
      <c r="K1079" t="s">
        <v>308</v>
      </c>
      <c r="L1079" t="s">
        <v>36</v>
      </c>
      <c r="M1079">
        <v>19</v>
      </c>
      <c r="N1079" t="s">
        <v>37</v>
      </c>
      <c r="O1079">
        <v>150</v>
      </c>
      <c r="P1079">
        <v>1</v>
      </c>
      <c r="Q1079">
        <v>563.46</v>
      </c>
      <c r="R1079" s="4">
        <v>45600</v>
      </c>
      <c r="S1079" s="6">
        <v>0.34165509259259258</v>
      </c>
      <c r="T1079">
        <f t="shared" si="66"/>
        <v>16</v>
      </c>
      <c r="U1079" t="str" cm="1">
        <f t="array" ref="U1079">_xlfn.IFS(M1079&lt;=34,"YOUNG",M1079&lt;=54,"MIDDLE AGE",M1079&gt;=55,"OLD")</f>
        <v>YOUNG</v>
      </c>
      <c r="V1079" t="str">
        <f t="shared" si="67"/>
        <v>NORMAL</v>
      </c>
    </row>
    <row r="1080" spans="1:22" x14ac:dyDescent="0.35">
      <c r="A1080" t="s">
        <v>2731</v>
      </c>
      <c r="B1080" t="s">
        <v>749</v>
      </c>
      <c r="C1080">
        <v>447.42</v>
      </c>
      <c r="D1080" s="1">
        <v>45278.68953703704</v>
      </c>
      <c r="E1080" s="2">
        <f t="shared" si="64"/>
        <v>0.68953703704028158</v>
      </c>
      <c r="F1080" s="3">
        <f t="shared" si="65"/>
        <v>45278</v>
      </c>
      <c r="G1080" t="s">
        <v>17</v>
      </c>
      <c r="H1080" t="s">
        <v>249</v>
      </c>
      <c r="I1080" t="s">
        <v>2698</v>
      </c>
      <c r="J1080" t="s">
        <v>88</v>
      </c>
      <c r="K1080" t="s">
        <v>682</v>
      </c>
      <c r="L1080" t="s">
        <v>36</v>
      </c>
      <c r="M1080">
        <v>32</v>
      </c>
      <c r="N1080" t="s">
        <v>77</v>
      </c>
      <c r="O1080">
        <v>65</v>
      </c>
      <c r="P1080">
        <v>1</v>
      </c>
      <c r="Q1080">
        <v>6133.22</v>
      </c>
      <c r="R1080" s="4">
        <v>45600</v>
      </c>
      <c r="S1080" s="6">
        <v>0.33906249999999999</v>
      </c>
      <c r="T1080">
        <f t="shared" si="66"/>
        <v>16</v>
      </c>
      <c r="U1080" t="str" cm="1">
        <f t="array" ref="U1080">_xlfn.IFS(M1080&lt;=34,"YOUNG",M1080&lt;=54,"MIDDLE AGE",M1080&gt;=55,"OLD")</f>
        <v>YOUNG</v>
      </c>
      <c r="V1080" t="str">
        <f t="shared" si="67"/>
        <v>NORMAL</v>
      </c>
    </row>
    <row r="1081" spans="1:22" x14ac:dyDescent="0.35">
      <c r="A1081" t="s">
        <v>2732</v>
      </c>
      <c r="B1081" t="s">
        <v>1057</v>
      </c>
      <c r="C1081">
        <v>590.26</v>
      </c>
      <c r="D1081" s="1">
        <v>45096.681018518517</v>
      </c>
      <c r="E1081" s="2">
        <f t="shared" si="64"/>
        <v>0.68101851851679385</v>
      </c>
      <c r="F1081" s="3">
        <f t="shared" si="65"/>
        <v>45096</v>
      </c>
      <c r="G1081" t="s">
        <v>46</v>
      </c>
      <c r="H1081" t="s">
        <v>119</v>
      </c>
      <c r="I1081" t="s">
        <v>975</v>
      </c>
      <c r="J1081" t="s">
        <v>1042</v>
      </c>
      <c r="K1081" t="s">
        <v>548</v>
      </c>
      <c r="L1081" t="s">
        <v>69</v>
      </c>
      <c r="M1081">
        <v>25</v>
      </c>
      <c r="N1081" t="s">
        <v>37</v>
      </c>
      <c r="O1081">
        <v>48</v>
      </c>
      <c r="P1081">
        <v>1</v>
      </c>
      <c r="Q1081">
        <v>1068.28</v>
      </c>
      <c r="R1081" s="4">
        <v>45600</v>
      </c>
      <c r="S1081" s="6">
        <v>0.33937499999999998</v>
      </c>
      <c r="T1081">
        <f t="shared" si="66"/>
        <v>16</v>
      </c>
      <c r="U1081" t="str" cm="1">
        <f t="array" ref="U1081">_xlfn.IFS(M1081&lt;=34,"YOUNG",M1081&lt;=54,"MIDDLE AGE",M1081&gt;=55,"OLD")</f>
        <v>YOUNG</v>
      </c>
      <c r="V1081" t="str">
        <f t="shared" si="67"/>
        <v>NORMAL</v>
      </c>
    </row>
    <row r="1082" spans="1:22" x14ac:dyDescent="0.35">
      <c r="A1082" t="s">
        <v>2733</v>
      </c>
      <c r="B1082" t="s">
        <v>2149</v>
      </c>
      <c r="C1082">
        <v>192.73</v>
      </c>
      <c r="D1082" s="1">
        <v>45215.702372685184</v>
      </c>
      <c r="E1082" s="2">
        <f t="shared" si="64"/>
        <v>0.70237268518394558</v>
      </c>
      <c r="F1082" s="3">
        <f t="shared" si="65"/>
        <v>45215</v>
      </c>
      <c r="G1082" t="s">
        <v>17</v>
      </c>
      <c r="H1082" t="s">
        <v>178</v>
      </c>
      <c r="I1082" t="s">
        <v>1323</v>
      </c>
      <c r="J1082" t="s">
        <v>2065</v>
      </c>
      <c r="K1082" t="s">
        <v>1562</v>
      </c>
      <c r="L1082" t="s">
        <v>69</v>
      </c>
      <c r="M1082">
        <v>71</v>
      </c>
      <c r="N1082" t="s">
        <v>70</v>
      </c>
      <c r="O1082">
        <v>157</v>
      </c>
      <c r="P1082">
        <v>1</v>
      </c>
      <c r="Q1082">
        <v>2037.75</v>
      </c>
      <c r="R1082" s="4">
        <v>45600</v>
      </c>
      <c r="S1082" s="6">
        <v>0.34142361111111114</v>
      </c>
      <c r="T1082">
        <f t="shared" si="66"/>
        <v>16</v>
      </c>
      <c r="U1082" t="str" cm="1">
        <f t="array" ref="U1082">_xlfn.IFS(M1082&lt;=34,"YOUNG",M1082&lt;=54,"MIDDLE AGE",M1082&gt;=55,"OLD")</f>
        <v>OLD</v>
      </c>
      <c r="V1082" t="str">
        <f t="shared" si="67"/>
        <v>NORMAL</v>
      </c>
    </row>
    <row r="1083" spans="1:22" x14ac:dyDescent="0.35">
      <c r="A1083" t="s">
        <v>2734</v>
      </c>
      <c r="B1083" t="s">
        <v>1221</v>
      </c>
      <c r="C1083">
        <v>146.01</v>
      </c>
      <c r="D1083" s="1">
        <v>45041.686516203707</v>
      </c>
      <c r="E1083" s="2">
        <f t="shared" si="64"/>
        <v>0.68651620370656019</v>
      </c>
      <c r="F1083" s="3">
        <f t="shared" si="65"/>
        <v>45041</v>
      </c>
      <c r="G1083" t="s">
        <v>17</v>
      </c>
      <c r="H1083" t="s">
        <v>212</v>
      </c>
      <c r="I1083" t="s">
        <v>1129</v>
      </c>
      <c r="J1083" t="s">
        <v>1366</v>
      </c>
      <c r="K1083" t="s">
        <v>111</v>
      </c>
      <c r="L1083" t="s">
        <v>36</v>
      </c>
      <c r="M1083">
        <v>26</v>
      </c>
      <c r="N1083" t="s">
        <v>37</v>
      </c>
      <c r="O1083">
        <v>269</v>
      </c>
      <c r="P1083">
        <v>1</v>
      </c>
      <c r="Q1083">
        <v>221.79</v>
      </c>
      <c r="R1083" s="4">
        <v>45600</v>
      </c>
      <c r="S1083" s="6">
        <v>0.34019675925925924</v>
      </c>
      <c r="T1083">
        <f t="shared" si="66"/>
        <v>16</v>
      </c>
      <c r="U1083" t="str" cm="1">
        <f t="array" ref="U1083">_xlfn.IFS(M1083&lt;=34,"YOUNG",M1083&lt;=54,"MIDDLE AGE",M1083&gt;=55,"OLD")</f>
        <v>YOUNG</v>
      </c>
      <c r="V1083" t="str">
        <f t="shared" si="67"/>
        <v>NORMAL</v>
      </c>
    </row>
    <row r="1084" spans="1:22" x14ac:dyDescent="0.35">
      <c r="A1084" t="s">
        <v>2735</v>
      </c>
      <c r="B1084" t="s">
        <v>1221</v>
      </c>
      <c r="C1084">
        <v>136.05000000000001</v>
      </c>
      <c r="D1084" s="1">
        <v>44949.680150462962</v>
      </c>
      <c r="E1084" s="2">
        <f t="shared" si="64"/>
        <v>0.68015046296204673</v>
      </c>
      <c r="F1084" s="3">
        <f t="shared" si="65"/>
        <v>44949</v>
      </c>
      <c r="G1084" t="s">
        <v>17</v>
      </c>
      <c r="H1084" t="s">
        <v>47</v>
      </c>
      <c r="I1084" t="s">
        <v>1891</v>
      </c>
      <c r="J1084" t="s">
        <v>2305</v>
      </c>
      <c r="K1084" t="s">
        <v>1524</v>
      </c>
      <c r="L1084" t="s">
        <v>36</v>
      </c>
      <c r="M1084">
        <v>24</v>
      </c>
      <c r="N1084" t="s">
        <v>37</v>
      </c>
      <c r="O1084">
        <v>63</v>
      </c>
      <c r="P1084">
        <v>3</v>
      </c>
      <c r="Q1084">
        <v>1127.54</v>
      </c>
      <c r="R1084" s="4">
        <v>45600</v>
      </c>
      <c r="S1084" s="6">
        <v>0.34166666666666667</v>
      </c>
      <c r="T1084">
        <f t="shared" si="66"/>
        <v>16</v>
      </c>
      <c r="U1084" t="str" cm="1">
        <f t="array" ref="U1084">_xlfn.IFS(M1084&lt;=34,"YOUNG",M1084&lt;=54,"MIDDLE AGE",M1084&gt;=55,"OLD")</f>
        <v>YOUNG</v>
      </c>
      <c r="V1084" t="str">
        <f t="shared" si="67"/>
        <v>HIGH</v>
      </c>
    </row>
    <row r="1085" spans="1:22" x14ac:dyDescent="0.35">
      <c r="A1085" t="s">
        <v>2736</v>
      </c>
      <c r="B1085" t="s">
        <v>1802</v>
      </c>
      <c r="C1085">
        <v>11.57</v>
      </c>
      <c r="D1085" s="1">
        <v>45280.678657407407</v>
      </c>
      <c r="E1085" s="2">
        <f t="shared" si="64"/>
        <v>0.67865740740671754</v>
      </c>
      <c r="F1085" s="3">
        <f t="shared" si="65"/>
        <v>45280</v>
      </c>
      <c r="G1085" t="s">
        <v>46</v>
      </c>
      <c r="H1085" t="s">
        <v>203</v>
      </c>
      <c r="I1085" t="s">
        <v>2737</v>
      </c>
      <c r="J1085" t="s">
        <v>2738</v>
      </c>
      <c r="K1085" t="s">
        <v>980</v>
      </c>
      <c r="L1085" t="s">
        <v>69</v>
      </c>
      <c r="M1085">
        <v>56</v>
      </c>
      <c r="N1085" t="s">
        <v>70</v>
      </c>
      <c r="O1085">
        <v>64</v>
      </c>
      <c r="P1085">
        <v>1</v>
      </c>
      <c r="Q1085">
        <v>2061.61</v>
      </c>
      <c r="R1085" s="4">
        <v>45600</v>
      </c>
      <c r="S1085" s="6">
        <v>0.34092592592592591</v>
      </c>
      <c r="T1085">
        <f t="shared" si="66"/>
        <v>16</v>
      </c>
      <c r="U1085" t="str" cm="1">
        <f t="array" ref="U1085">_xlfn.IFS(M1085&lt;=34,"YOUNG",M1085&lt;=54,"MIDDLE AGE",M1085&gt;=55,"OLD")</f>
        <v>OLD</v>
      </c>
      <c r="V1085" t="str">
        <f t="shared" si="67"/>
        <v>NORMAL</v>
      </c>
    </row>
    <row r="1086" spans="1:22" x14ac:dyDescent="0.35">
      <c r="A1086" t="s">
        <v>2739</v>
      </c>
      <c r="B1086" t="s">
        <v>1998</v>
      </c>
      <c r="C1086">
        <v>102.34</v>
      </c>
      <c r="D1086" s="1">
        <v>45064.680300925924</v>
      </c>
      <c r="E1086" s="2">
        <f t="shared" si="64"/>
        <v>0.68030092592380242</v>
      </c>
      <c r="F1086" s="3">
        <f t="shared" si="65"/>
        <v>45064</v>
      </c>
      <c r="G1086" t="s">
        <v>17</v>
      </c>
      <c r="H1086" t="s">
        <v>237</v>
      </c>
      <c r="I1086" t="s">
        <v>2604</v>
      </c>
      <c r="J1086" t="s">
        <v>2527</v>
      </c>
      <c r="K1086" t="s">
        <v>592</v>
      </c>
      <c r="L1086" t="s">
        <v>36</v>
      </c>
      <c r="M1086">
        <v>51</v>
      </c>
      <c r="N1086" t="s">
        <v>23</v>
      </c>
      <c r="O1086">
        <v>78</v>
      </c>
      <c r="P1086">
        <v>1</v>
      </c>
      <c r="Q1086">
        <v>9326.2800000000007</v>
      </c>
      <c r="R1086" s="4">
        <v>45600</v>
      </c>
      <c r="S1086" s="6">
        <v>0.34</v>
      </c>
      <c r="T1086">
        <f t="shared" si="66"/>
        <v>16</v>
      </c>
      <c r="U1086" t="str" cm="1">
        <f t="array" ref="U1086">_xlfn.IFS(M1086&lt;=34,"YOUNG",M1086&lt;=54,"MIDDLE AGE",M1086&gt;=55,"OLD")</f>
        <v>MIDDLE AGE</v>
      </c>
      <c r="V1086" t="str">
        <f t="shared" si="67"/>
        <v>NORMAL</v>
      </c>
    </row>
    <row r="1087" spans="1:22" x14ac:dyDescent="0.35">
      <c r="A1087" t="s">
        <v>2740</v>
      </c>
      <c r="B1087" t="s">
        <v>537</v>
      </c>
      <c r="C1087">
        <v>7.82</v>
      </c>
      <c r="D1087" s="1">
        <v>44935.747569444444</v>
      </c>
      <c r="E1087" s="2">
        <f t="shared" si="64"/>
        <v>0.74756944444379769</v>
      </c>
      <c r="F1087" s="3">
        <f t="shared" si="65"/>
        <v>44935</v>
      </c>
      <c r="G1087" t="s">
        <v>17</v>
      </c>
      <c r="H1087" t="s">
        <v>388</v>
      </c>
      <c r="I1087" t="s">
        <v>2505</v>
      </c>
      <c r="J1087" t="s">
        <v>2727</v>
      </c>
      <c r="K1087" t="s">
        <v>277</v>
      </c>
      <c r="L1087" t="s">
        <v>22</v>
      </c>
      <c r="M1087">
        <v>36</v>
      </c>
      <c r="N1087" t="s">
        <v>77</v>
      </c>
      <c r="O1087">
        <v>273</v>
      </c>
      <c r="P1087">
        <v>1</v>
      </c>
      <c r="Q1087">
        <v>2240.4899999999998</v>
      </c>
      <c r="R1087" s="4">
        <v>45600</v>
      </c>
      <c r="S1087" s="6">
        <v>0.33998842592592593</v>
      </c>
      <c r="T1087">
        <f t="shared" si="66"/>
        <v>17</v>
      </c>
      <c r="U1087" t="str" cm="1">
        <f t="array" ref="U1087">_xlfn.IFS(M1087&lt;=34,"YOUNG",M1087&lt;=54,"MIDDLE AGE",M1087&gt;=55,"OLD")</f>
        <v>MIDDLE AGE</v>
      </c>
      <c r="V1087" t="str">
        <f t="shared" si="67"/>
        <v>NORMAL</v>
      </c>
    </row>
    <row r="1088" spans="1:22" x14ac:dyDescent="0.35">
      <c r="A1088" t="s">
        <v>2741</v>
      </c>
      <c r="B1088" t="s">
        <v>657</v>
      </c>
      <c r="C1088">
        <v>79.430000000000007</v>
      </c>
      <c r="D1088" s="1">
        <v>45131.729444444441</v>
      </c>
      <c r="E1088" s="2">
        <f t="shared" si="64"/>
        <v>0.72944444444146939</v>
      </c>
      <c r="F1088" s="3">
        <f t="shared" si="65"/>
        <v>45131</v>
      </c>
      <c r="G1088" t="s">
        <v>17</v>
      </c>
      <c r="H1088" t="s">
        <v>323</v>
      </c>
      <c r="I1088" t="s">
        <v>1909</v>
      </c>
      <c r="J1088" t="s">
        <v>552</v>
      </c>
      <c r="K1088" t="s">
        <v>35</v>
      </c>
      <c r="L1088" t="s">
        <v>22</v>
      </c>
      <c r="M1088">
        <v>74</v>
      </c>
      <c r="N1088" t="s">
        <v>70</v>
      </c>
      <c r="O1088">
        <v>72</v>
      </c>
      <c r="P1088">
        <v>1</v>
      </c>
      <c r="Q1088">
        <v>6579.37</v>
      </c>
      <c r="R1088" s="4">
        <v>45600</v>
      </c>
      <c r="S1088" s="6">
        <v>0.33862268518518518</v>
      </c>
      <c r="T1088">
        <f t="shared" si="66"/>
        <v>17</v>
      </c>
      <c r="U1088" t="str" cm="1">
        <f t="array" ref="U1088">_xlfn.IFS(M1088&lt;=34,"YOUNG",M1088&lt;=54,"MIDDLE AGE",M1088&gt;=55,"OLD")</f>
        <v>OLD</v>
      </c>
      <c r="V1088" t="str">
        <f t="shared" si="67"/>
        <v>NORMAL</v>
      </c>
    </row>
    <row r="1089" spans="1:22" x14ac:dyDescent="0.35">
      <c r="A1089" t="s">
        <v>2742</v>
      </c>
      <c r="B1089" t="s">
        <v>2083</v>
      </c>
      <c r="C1089">
        <v>386.97</v>
      </c>
      <c r="D1089" s="1">
        <v>44957.702719907407</v>
      </c>
      <c r="E1089" s="2">
        <f t="shared" si="64"/>
        <v>0.70271990740729962</v>
      </c>
      <c r="F1089" s="3">
        <f t="shared" si="65"/>
        <v>44957</v>
      </c>
      <c r="G1089" t="s">
        <v>17</v>
      </c>
      <c r="H1089" t="s">
        <v>40</v>
      </c>
      <c r="I1089" t="s">
        <v>2743</v>
      </c>
      <c r="J1089" t="s">
        <v>979</v>
      </c>
      <c r="K1089" t="s">
        <v>634</v>
      </c>
      <c r="L1089" t="s">
        <v>69</v>
      </c>
      <c r="M1089">
        <v>58</v>
      </c>
      <c r="N1089" t="s">
        <v>70</v>
      </c>
      <c r="O1089">
        <v>137</v>
      </c>
      <c r="P1089">
        <v>1</v>
      </c>
      <c r="Q1089">
        <v>1876.35</v>
      </c>
      <c r="R1089" s="4">
        <v>45600</v>
      </c>
      <c r="S1089" s="6">
        <v>0.33777777777777779</v>
      </c>
      <c r="T1089">
        <f t="shared" si="66"/>
        <v>16</v>
      </c>
      <c r="U1089" t="str" cm="1">
        <f t="array" ref="U1089">_xlfn.IFS(M1089&lt;=34,"YOUNG",M1089&lt;=54,"MIDDLE AGE",M1089&gt;=55,"OLD")</f>
        <v>OLD</v>
      </c>
      <c r="V1089" t="str">
        <f t="shared" si="67"/>
        <v>NORMAL</v>
      </c>
    </row>
    <row r="1090" spans="1:22" x14ac:dyDescent="0.35">
      <c r="A1090" t="s">
        <v>2744</v>
      </c>
      <c r="B1090" t="s">
        <v>1114</v>
      </c>
      <c r="C1090">
        <v>51.22</v>
      </c>
      <c r="D1090" s="1">
        <v>45106.674398148149</v>
      </c>
      <c r="E1090" s="2">
        <f t="shared" ref="E1090:E1153" si="68">D1090-INT(D1090)</f>
        <v>0.67439814814861165</v>
      </c>
      <c r="F1090" s="3">
        <f t="shared" ref="F1090:F1153" si="69">INT(D1090)</f>
        <v>45106</v>
      </c>
      <c r="G1090" t="s">
        <v>17</v>
      </c>
      <c r="H1090" t="s">
        <v>558</v>
      </c>
      <c r="I1090" t="s">
        <v>1469</v>
      </c>
      <c r="J1090" t="s">
        <v>230</v>
      </c>
      <c r="K1090" t="s">
        <v>143</v>
      </c>
      <c r="L1090" t="s">
        <v>69</v>
      </c>
      <c r="M1090">
        <v>23</v>
      </c>
      <c r="N1090" t="s">
        <v>37</v>
      </c>
      <c r="O1090">
        <v>82</v>
      </c>
      <c r="P1090">
        <v>1</v>
      </c>
      <c r="Q1090">
        <v>1664.59</v>
      </c>
      <c r="R1090" s="4">
        <v>45600</v>
      </c>
      <c r="S1090" s="6">
        <v>0.34035879629629628</v>
      </c>
      <c r="T1090">
        <f t="shared" si="66"/>
        <v>16</v>
      </c>
      <c r="U1090" t="str" cm="1">
        <f t="array" ref="U1090">_xlfn.IFS(M1090&lt;=34,"YOUNG",M1090&lt;=54,"MIDDLE AGE",M1090&gt;=55,"OLD")</f>
        <v>YOUNG</v>
      </c>
      <c r="V1090" t="str">
        <f t="shared" si="67"/>
        <v>NORMAL</v>
      </c>
    </row>
    <row r="1091" spans="1:22" x14ac:dyDescent="0.35">
      <c r="A1091" t="s">
        <v>2745</v>
      </c>
      <c r="B1091" t="s">
        <v>533</v>
      </c>
      <c r="C1091">
        <v>256.05</v>
      </c>
      <c r="D1091" s="1">
        <v>45084.685324074075</v>
      </c>
      <c r="E1091" s="2">
        <f t="shared" si="68"/>
        <v>0.68532407407474238</v>
      </c>
      <c r="F1091" s="3">
        <f t="shared" si="69"/>
        <v>45084</v>
      </c>
      <c r="G1091" t="s">
        <v>17</v>
      </c>
      <c r="H1091" t="s">
        <v>80</v>
      </c>
      <c r="I1091" t="s">
        <v>286</v>
      </c>
      <c r="J1091" t="s">
        <v>1341</v>
      </c>
      <c r="K1091" t="s">
        <v>35</v>
      </c>
      <c r="L1091" t="s">
        <v>22</v>
      </c>
      <c r="M1091">
        <v>54</v>
      </c>
      <c r="N1091" t="s">
        <v>70</v>
      </c>
      <c r="O1091">
        <v>35</v>
      </c>
      <c r="P1091">
        <v>1</v>
      </c>
      <c r="Q1091">
        <v>6910.18</v>
      </c>
      <c r="R1091" s="4">
        <v>45600</v>
      </c>
      <c r="S1091" s="6">
        <v>0.34150462962962963</v>
      </c>
      <c r="T1091">
        <f t="shared" ref="T1091:T1154" si="70">HOUR(E1091)</f>
        <v>16</v>
      </c>
      <c r="U1091" t="str" cm="1">
        <f t="array" ref="U1091">_xlfn.IFS(M1091&lt;=34,"YOUNG",M1091&lt;=54,"MIDDLE AGE",M1091&gt;=55,"OLD")</f>
        <v>MIDDLE AGE</v>
      </c>
      <c r="V1091" t="str">
        <f t="shared" ref="V1091:V1154" si="71">IF(P1091&gt;1,"HIGH","NORMAL")</f>
        <v>NORMAL</v>
      </c>
    </row>
    <row r="1092" spans="1:22" x14ac:dyDescent="0.35">
      <c r="A1092" t="s">
        <v>2746</v>
      </c>
      <c r="B1092" t="s">
        <v>1240</v>
      </c>
      <c r="C1092">
        <v>7.79</v>
      </c>
      <c r="D1092" s="1">
        <v>45093.731423611112</v>
      </c>
      <c r="E1092" s="2">
        <f t="shared" si="68"/>
        <v>0.73142361111240461</v>
      </c>
      <c r="F1092" s="3">
        <f t="shared" si="69"/>
        <v>45093</v>
      </c>
      <c r="G1092" t="s">
        <v>17</v>
      </c>
      <c r="H1092" t="s">
        <v>140</v>
      </c>
      <c r="I1092" t="s">
        <v>939</v>
      </c>
      <c r="J1092" t="s">
        <v>2718</v>
      </c>
      <c r="K1092" t="s">
        <v>348</v>
      </c>
      <c r="L1092" t="s">
        <v>69</v>
      </c>
      <c r="M1092">
        <v>34</v>
      </c>
      <c r="N1092" t="s">
        <v>23</v>
      </c>
      <c r="O1092">
        <v>298</v>
      </c>
      <c r="P1092">
        <v>1</v>
      </c>
      <c r="Q1092">
        <v>1319.85</v>
      </c>
      <c r="R1092" s="4">
        <v>45600</v>
      </c>
      <c r="S1092" s="6">
        <v>0.33975694444444443</v>
      </c>
      <c r="T1092">
        <f t="shared" si="70"/>
        <v>17</v>
      </c>
      <c r="U1092" t="str" cm="1">
        <f t="array" ref="U1092">_xlfn.IFS(M1092&lt;=34,"YOUNG",M1092&lt;=54,"MIDDLE AGE",M1092&gt;=55,"OLD")</f>
        <v>YOUNG</v>
      </c>
      <c r="V1092" t="str">
        <f t="shared" si="71"/>
        <v>NORMAL</v>
      </c>
    </row>
    <row r="1093" spans="1:22" x14ac:dyDescent="0.35">
      <c r="A1093" t="s">
        <v>2747</v>
      </c>
      <c r="B1093" t="s">
        <v>749</v>
      </c>
      <c r="C1093">
        <v>233.71</v>
      </c>
      <c r="D1093" s="1">
        <v>45202.713148148148</v>
      </c>
      <c r="E1093" s="2">
        <f t="shared" si="68"/>
        <v>0.71314814814832062</v>
      </c>
      <c r="F1093" s="3">
        <f t="shared" si="69"/>
        <v>45202</v>
      </c>
      <c r="G1093" t="s">
        <v>17</v>
      </c>
      <c r="H1093" t="s">
        <v>108</v>
      </c>
      <c r="I1093" t="s">
        <v>1097</v>
      </c>
      <c r="J1093" t="s">
        <v>194</v>
      </c>
      <c r="K1093" t="s">
        <v>89</v>
      </c>
      <c r="L1093" t="s">
        <v>69</v>
      </c>
      <c r="M1093">
        <v>63</v>
      </c>
      <c r="N1093" t="s">
        <v>23</v>
      </c>
      <c r="O1093">
        <v>11</v>
      </c>
      <c r="P1093">
        <v>1</v>
      </c>
      <c r="Q1093">
        <v>6095.5</v>
      </c>
      <c r="R1093" s="4">
        <v>45600</v>
      </c>
      <c r="S1093" s="6">
        <v>0.33944444444444444</v>
      </c>
      <c r="T1093">
        <f t="shared" si="70"/>
        <v>17</v>
      </c>
      <c r="U1093" t="str" cm="1">
        <f t="array" ref="U1093">_xlfn.IFS(M1093&lt;=34,"YOUNG",M1093&lt;=54,"MIDDLE AGE",M1093&gt;=55,"OLD")</f>
        <v>OLD</v>
      </c>
      <c r="V1093" t="str">
        <f t="shared" si="71"/>
        <v>NORMAL</v>
      </c>
    </row>
    <row r="1094" spans="1:22" x14ac:dyDescent="0.35">
      <c r="A1094" t="s">
        <v>2748</v>
      </c>
      <c r="B1094" t="s">
        <v>1536</v>
      </c>
      <c r="C1094">
        <v>176.37</v>
      </c>
      <c r="D1094" s="1">
        <v>44942.693715277775</v>
      </c>
      <c r="E1094" s="2">
        <f t="shared" si="68"/>
        <v>0.69371527777548181</v>
      </c>
      <c r="F1094" s="3">
        <f t="shared" si="69"/>
        <v>44942</v>
      </c>
      <c r="G1094" t="s">
        <v>17</v>
      </c>
      <c r="H1094" t="s">
        <v>388</v>
      </c>
      <c r="I1094" t="s">
        <v>1584</v>
      </c>
      <c r="J1094" t="s">
        <v>948</v>
      </c>
      <c r="K1094" t="s">
        <v>100</v>
      </c>
      <c r="L1094" t="s">
        <v>69</v>
      </c>
      <c r="M1094">
        <v>55</v>
      </c>
      <c r="N1094" t="s">
        <v>70</v>
      </c>
      <c r="O1094">
        <v>126</v>
      </c>
      <c r="P1094">
        <v>1</v>
      </c>
      <c r="Q1094">
        <v>2420.86</v>
      </c>
      <c r="R1094" s="4">
        <v>45600</v>
      </c>
      <c r="S1094" s="6">
        <v>0.33829861111111109</v>
      </c>
      <c r="T1094">
        <f t="shared" si="70"/>
        <v>16</v>
      </c>
      <c r="U1094" t="str" cm="1">
        <f t="array" ref="U1094">_xlfn.IFS(M1094&lt;=34,"YOUNG",M1094&lt;=54,"MIDDLE AGE",M1094&gt;=55,"OLD")</f>
        <v>OLD</v>
      </c>
      <c r="V1094" t="str">
        <f t="shared" si="71"/>
        <v>NORMAL</v>
      </c>
    </row>
    <row r="1095" spans="1:22" x14ac:dyDescent="0.35">
      <c r="A1095" t="s">
        <v>2749</v>
      </c>
      <c r="B1095" t="s">
        <v>85</v>
      </c>
      <c r="C1095">
        <v>122.63</v>
      </c>
      <c r="D1095" s="1">
        <v>45036.777199074073</v>
      </c>
      <c r="E1095" s="2">
        <f t="shared" si="68"/>
        <v>0.77719907407299615</v>
      </c>
      <c r="F1095" s="3">
        <f t="shared" si="69"/>
        <v>45036</v>
      </c>
      <c r="G1095" t="s">
        <v>17</v>
      </c>
      <c r="H1095" t="s">
        <v>178</v>
      </c>
      <c r="I1095" t="s">
        <v>605</v>
      </c>
      <c r="J1095" t="s">
        <v>758</v>
      </c>
      <c r="K1095" t="s">
        <v>175</v>
      </c>
      <c r="L1095" t="s">
        <v>69</v>
      </c>
      <c r="M1095">
        <v>21</v>
      </c>
      <c r="N1095" t="s">
        <v>37</v>
      </c>
      <c r="O1095">
        <v>153</v>
      </c>
      <c r="P1095">
        <v>1</v>
      </c>
      <c r="Q1095">
        <v>359.06</v>
      </c>
      <c r="R1095" s="4">
        <v>45600</v>
      </c>
      <c r="S1095" s="6">
        <v>0.34039351851851851</v>
      </c>
      <c r="T1095">
        <f t="shared" si="70"/>
        <v>18</v>
      </c>
      <c r="U1095" t="str" cm="1">
        <f t="array" ref="U1095">_xlfn.IFS(M1095&lt;=34,"YOUNG",M1095&lt;=54,"MIDDLE AGE",M1095&gt;=55,"OLD")</f>
        <v>YOUNG</v>
      </c>
      <c r="V1095" t="str">
        <f t="shared" si="71"/>
        <v>NORMAL</v>
      </c>
    </row>
    <row r="1096" spans="1:22" x14ac:dyDescent="0.35">
      <c r="A1096" t="s">
        <v>2750</v>
      </c>
      <c r="B1096" t="s">
        <v>171</v>
      </c>
      <c r="C1096">
        <v>86.41</v>
      </c>
      <c r="D1096" s="1">
        <v>45012.746180555558</v>
      </c>
      <c r="E1096" s="2">
        <f t="shared" si="68"/>
        <v>0.7461805555576575</v>
      </c>
      <c r="F1096" s="3">
        <f t="shared" si="69"/>
        <v>45012</v>
      </c>
      <c r="G1096" t="s">
        <v>17</v>
      </c>
      <c r="H1096" t="s">
        <v>558</v>
      </c>
      <c r="I1096" t="s">
        <v>775</v>
      </c>
      <c r="J1096" t="s">
        <v>2751</v>
      </c>
      <c r="K1096" t="s">
        <v>514</v>
      </c>
      <c r="L1096" t="s">
        <v>22</v>
      </c>
      <c r="M1096">
        <v>75</v>
      </c>
      <c r="N1096" t="s">
        <v>70</v>
      </c>
      <c r="O1096">
        <v>125</v>
      </c>
      <c r="P1096">
        <v>1</v>
      </c>
      <c r="Q1096">
        <v>3128.71</v>
      </c>
      <c r="R1096" s="4">
        <v>45600</v>
      </c>
      <c r="S1096" s="6">
        <v>0.34126157407407409</v>
      </c>
      <c r="T1096">
        <f t="shared" si="70"/>
        <v>17</v>
      </c>
      <c r="U1096" t="str" cm="1">
        <f t="array" ref="U1096">_xlfn.IFS(M1096&lt;=34,"YOUNG",M1096&lt;=54,"MIDDLE AGE",M1096&gt;=55,"OLD")</f>
        <v>OLD</v>
      </c>
      <c r="V1096" t="str">
        <f t="shared" si="71"/>
        <v>NORMAL</v>
      </c>
    </row>
    <row r="1097" spans="1:22" x14ac:dyDescent="0.35">
      <c r="A1097" t="s">
        <v>2752</v>
      </c>
      <c r="B1097" t="s">
        <v>1512</v>
      </c>
      <c r="C1097">
        <v>21.57</v>
      </c>
      <c r="D1097" s="1">
        <v>45225.674456018518</v>
      </c>
      <c r="E1097" s="2">
        <f t="shared" si="68"/>
        <v>0.674456018517958</v>
      </c>
      <c r="F1097" s="3">
        <f t="shared" si="69"/>
        <v>45225</v>
      </c>
      <c r="G1097" t="s">
        <v>17</v>
      </c>
      <c r="H1097" t="s">
        <v>212</v>
      </c>
      <c r="I1097" t="s">
        <v>559</v>
      </c>
      <c r="J1097" t="s">
        <v>1701</v>
      </c>
      <c r="K1097" t="s">
        <v>358</v>
      </c>
      <c r="L1097" t="s">
        <v>22</v>
      </c>
      <c r="M1097">
        <v>54</v>
      </c>
      <c r="N1097" t="s">
        <v>70</v>
      </c>
      <c r="O1097">
        <v>71</v>
      </c>
      <c r="P1097">
        <v>1</v>
      </c>
      <c r="Q1097">
        <v>7587.48</v>
      </c>
      <c r="R1097" s="4">
        <v>45600</v>
      </c>
      <c r="S1097" s="6">
        <v>0.33991898148148147</v>
      </c>
      <c r="T1097">
        <f t="shared" si="70"/>
        <v>16</v>
      </c>
      <c r="U1097" t="str" cm="1">
        <f t="array" ref="U1097">_xlfn.IFS(M1097&lt;=34,"YOUNG",M1097&lt;=54,"MIDDLE AGE",M1097&gt;=55,"OLD")</f>
        <v>MIDDLE AGE</v>
      </c>
      <c r="V1097" t="str">
        <f t="shared" si="71"/>
        <v>NORMAL</v>
      </c>
    </row>
    <row r="1098" spans="1:22" x14ac:dyDescent="0.35">
      <c r="A1098" t="s">
        <v>2753</v>
      </c>
      <c r="B1098" t="s">
        <v>1229</v>
      </c>
      <c r="C1098">
        <v>82.67</v>
      </c>
      <c r="D1098" s="1">
        <v>45163.694641203707</v>
      </c>
      <c r="E1098" s="2">
        <f t="shared" si="68"/>
        <v>0.69464120370685123</v>
      </c>
      <c r="F1098" s="3">
        <f t="shared" si="69"/>
        <v>45163</v>
      </c>
      <c r="G1098" t="s">
        <v>17</v>
      </c>
      <c r="H1098" t="s">
        <v>178</v>
      </c>
      <c r="I1098" t="s">
        <v>115</v>
      </c>
      <c r="J1098" t="s">
        <v>1608</v>
      </c>
      <c r="K1098" t="s">
        <v>240</v>
      </c>
      <c r="L1098" t="s">
        <v>69</v>
      </c>
      <c r="M1098">
        <v>26</v>
      </c>
      <c r="N1098" t="s">
        <v>37</v>
      </c>
      <c r="O1098">
        <v>46</v>
      </c>
      <c r="P1098">
        <v>1</v>
      </c>
      <c r="Q1098">
        <v>290.58999999999997</v>
      </c>
      <c r="R1098" s="4">
        <v>45600</v>
      </c>
      <c r="S1098" s="6">
        <v>0.33832175925925928</v>
      </c>
      <c r="T1098">
        <f t="shared" si="70"/>
        <v>16</v>
      </c>
      <c r="U1098" t="str" cm="1">
        <f t="array" ref="U1098">_xlfn.IFS(M1098&lt;=34,"YOUNG",M1098&lt;=54,"MIDDLE AGE",M1098&gt;=55,"OLD")</f>
        <v>YOUNG</v>
      </c>
      <c r="V1098" t="str">
        <f t="shared" si="71"/>
        <v>NORMAL</v>
      </c>
    </row>
    <row r="1099" spans="1:22" x14ac:dyDescent="0.35">
      <c r="A1099" t="s">
        <v>2754</v>
      </c>
      <c r="B1099" t="s">
        <v>581</v>
      </c>
      <c r="C1099">
        <v>451.35</v>
      </c>
      <c r="D1099" s="1">
        <v>45174.7812962963</v>
      </c>
      <c r="E1099" s="2">
        <f t="shared" si="68"/>
        <v>0.78129629629984265</v>
      </c>
      <c r="F1099" s="3">
        <f t="shared" si="69"/>
        <v>45174</v>
      </c>
      <c r="G1099" t="s">
        <v>46</v>
      </c>
      <c r="H1099" t="s">
        <v>197</v>
      </c>
      <c r="I1099" t="s">
        <v>951</v>
      </c>
      <c r="J1099" t="s">
        <v>837</v>
      </c>
      <c r="K1099" t="s">
        <v>165</v>
      </c>
      <c r="L1099" t="s">
        <v>69</v>
      </c>
      <c r="M1099">
        <v>47</v>
      </c>
      <c r="N1099" t="s">
        <v>77</v>
      </c>
      <c r="O1099">
        <v>223</v>
      </c>
      <c r="P1099">
        <v>1</v>
      </c>
      <c r="Q1099">
        <v>7707.96</v>
      </c>
      <c r="R1099" s="4">
        <v>45600</v>
      </c>
      <c r="S1099" s="6">
        <v>0.33827546296296296</v>
      </c>
      <c r="T1099">
        <f t="shared" si="70"/>
        <v>18</v>
      </c>
      <c r="U1099" t="str" cm="1">
        <f t="array" ref="U1099">_xlfn.IFS(M1099&lt;=34,"YOUNG",M1099&lt;=54,"MIDDLE AGE",M1099&gt;=55,"OLD")</f>
        <v>MIDDLE AGE</v>
      </c>
      <c r="V1099" t="str">
        <f t="shared" si="71"/>
        <v>NORMAL</v>
      </c>
    </row>
    <row r="1100" spans="1:22" x14ac:dyDescent="0.35">
      <c r="A1100" t="s">
        <v>2755</v>
      </c>
      <c r="B1100" t="s">
        <v>2512</v>
      </c>
      <c r="C1100">
        <v>299.42</v>
      </c>
      <c r="D1100" s="1">
        <v>45264.725902777776</v>
      </c>
      <c r="E1100" s="2">
        <f t="shared" si="68"/>
        <v>0.72590277777635492</v>
      </c>
      <c r="F1100" s="3">
        <f t="shared" si="69"/>
        <v>45264</v>
      </c>
      <c r="G1100" t="s">
        <v>46</v>
      </c>
      <c r="H1100" t="s">
        <v>223</v>
      </c>
      <c r="I1100" t="s">
        <v>346</v>
      </c>
      <c r="J1100" t="s">
        <v>153</v>
      </c>
      <c r="K1100" t="s">
        <v>262</v>
      </c>
      <c r="L1100" t="s">
        <v>69</v>
      </c>
      <c r="M1100">
        <v>63</v>
      </c>
      <c r="N1100" t="s">
        <v>70</v>
      </c>
      <c r="O1100">
        <v>53</v>
      </c>
      <c r="P1100">
        <v>1</v>
      </c>
      <c r="Q1100">
        <v>4735.41</v>
      </c>
      <c r="R1100" s="4">
        <v>45600</v>
      </c>
      <c r="S1100" s="6">
        <v>0.34002314814814816</v>
      </c>
      <c r="T1100">
        <f t="shared" si="70"/>
        <v>17</v>
      </c>
      <c r="U1100" t="str" cm="1">
        <f t="array" ref="U1100">_xlfn.IFS(M1100&lt;=34,"YOUNG",M1100&lt;=54,"MIDDLE AGE",M1100&gt;=55,"OLD")</f>
        <v>OLD</v>
      </c>
      <c r="V1100" t="str">
        <f t="shared" si="71"/>
        <v>NORMAL</v>
      </c>
    </row>
    <row r="1101" spans="1:22" x14ac:dyDescent="0.35">
      <c r="A1101" t="s">
        <v>2756</v>
      </c>
      <c r="B1101" t="s">
        <v>322</v>
      </c>
      <c r="C1101">
        <v>543.47</v>
      </c>
      <c r="D1101" s="1">
        <v>45152.720914351848</v>
      </c>
      <c r="E1101" s="2">
        <f t="shared" si="68"/>
        <v>0.72091435184847796</v>
      </c>
      <c r="F1101" s="3">
        <f t="shared" si="69"/>
        <v>45152</v>
      </c>
      <c r="G1101" t="s">
        <v>17</v>
      </c>
      <c r="H1101" t="s">
        <v>140</v>
      </c>
      <c r="I1101" t="s">
        <v>1061</v>
      </c>
      <c r="J1101" t="s">
        <v>2094</v>
      </c>
      <c r="K1101" t="s">
        <v>186</v>
      </c>
      <c r="L1101" t="s">
        <v>22</v>
      </c>
      <c r="M1101">
        <v>18</v>
      </c>
      <c r="N1101" t="s">
        <v>37</v>
      </c>
      <c r="O1101">
        <v>122</v>
      </c>
      <c r="P1101">
        <v>1</v>
      </c>
      <c r="Q1101">
        <v>6165.03</v>
      </c>
      <c r="R1101" s="4">
        <v>45600</v>
      </c>
      <c r="S1101" s="6">
        <v>0.34145833333333331</v>
      </c>
      <c r="T1101">
        <f t="shared" si="70"/>
        <v>17</v>
      </c>
      <c r="U1101" t="str" cm="1">
        <f t="array" ref="U1101">_xlfn.IFS(M1101&lt;=34,"YOUNG",M1101&lt;=54,"MIDDLE AGE",M1101&gt;=55,"OLD")</f>
        <v>YOUNG</v>
      </c>
      <c r="V1101" t="str">
        <f t="shared" si="71"/>
        <v>NORMAL</v>
      </c>
    </row>
    <row r="1102" spans="1:22" x14ac:dyDescent="0.35">
      <c r="A1102" t="s">
        <v>2757</v>
      </c>
      <c r="B1102" t="s">
        <v>318</v>
      </c>
      <c r="C1102">
        <v>346.76</v>
      </c>
      <c r="D1102" s="1">
        <v>45289.689317129632</v>
      </c>
      <c r="E1102" s="2">
        <f t="shared" si="68"/>
        <v>0.68931712963239988</v>
      </c>
      <c r="F1102" s="3">
        <f t="shared" si="69"/>
        <v>45289</v>
      </c>
      <c r="G1102" t="s">
        <v>46</v>
      </c>
      <c r="H1102" t="s">
        <v>223</v>
      </c>
      <c r="I1102" t="s">
        <v>2758</v>
      </c>
      <c r="J1102" t="s">
        <v>2367</v>
      </c>
      <c r="K1102" t="s">
        <v>288</v>
      </c>
      <c r="L1102" t="s">
        <v>69</v>
      </c>
      <c r="M1102">
        <v>21</v>
      </c>
      <c r="N1102" t="s">
        <v>37</v>
      </c>
      <c r="O1102">
        <v>116</v>
      </c>
      <c r="P1102">
        <v>1</v>
      </c>
      <c r="Q1102">
        <v>1637.75</v>
      </c>
      <c r="R1102" s="4">
        <v>45600</v>
      </c>
      <c r="S1102" s="6">
        <v>0.34021990740740743</v>
      </c>
      <c r="T1102">
        <f t="shared" si="70"/>
        <v>16</v>
      </c>
      <c r="U1102" t="str" cm="1">
        <f t="array" ref="U1102">_xlfn.IFS(M1102&lt;=34,"YOUNG",M1102&lt;=54,"MIDDLE AGE",M1102&gt;=55,"OLD")</f>
        <v>YOUNG</v>
      </c>
      <c r="V1102" t="str">
        <f t="shared" si="71"/>
        <v>NORMAL</v>
      </c>
    </row>
    <row r="1103" spans="1:22" x14ac:dyDescent="0.35">
      <c r="A1103" t="s">
        <v>2759</v>
      </c>
      <c r="B1103" t="s">
        <v>2128</v>
      </c>
      <c r="C1103">
        <v>47.48</v>
      </c>
      <c r="D1103" s="1">
        <v>44977.699571759258</v>
      </c>
      <c r="E1103" s="2">
        <f t="shared" si="68"/>
        <v>0.69957175925810589</v>
      </c>
      <c r="F1103" s="3">
        <f t="shared" si="69"/>
        <v>44977</v>
      </c>
      <c r="G1103" t="s">
        <v>17</v>
      </c>
      <c r="H1103" t="s">
        <v>506</v>
      </c>
      <c r="I1103" t="s">
        <v>250</v>
      </c>
      <c r="J1103" t="s">
        <v>1484</v>
      </c>
      <c r="K1103" t="s">
        <v>1562</v>
      </c>
      <c r="L1103" t="s">
        <v>69</v>
      </c>
      <c r="M1103">
        <v>24</v>
      </c>
      <c r="N1103" t="s">
        <v>37</v>
      </c>
      <c r="O1103">
        <v>66</v>
      </c>
      <c r="P1103">
        <v>1</v>
      </c>
      <c r="Q1103">
        <v>585.52</v>
      </c>
      <c r="R1103" s="4">
        <v>45600</v>
      </c>
      <c r="S1103" s="6">
        <v>0.33946759259259257</v>
      </c>
      <c r="T1103">
        <f t="shared" si="70"/>
        <v>16</v>
      </c>
      <c r="U1103" t="str" cm="1">
        <f t="array" ref="U1103">_xlfn.IFS(M1103&lt;=34,"YOUNG",M1103&lt;=54,"MIDDLE AGE",M1103&gt;=55,"OLD")</f>
        <v>YOUNG</v>
      </c>
      <c r="V1103" t="str">
        <f t="shared" si="71"/>
        <v>NORMAL</v>
      </c>
    </row>
    <row r="1104" spans="1:22" x14ac:dyDescent="0.35">
      <c r="A1104" t="s">
        <v>2760</v>
      </c>
      <c r="B1104" t="s">
        <v>467</v>
      </c>
      <c r="C1104">
        <v>64.92</v>
      </c>
      <c r="D1104" s="1">
        <v>45065.782766203702</v>
      </c>
      <c r="E1104" s="2">
        <f t="shared" si="68"/>
        <v>0.78276620370161254</v>
      </c>
      <c r="F1104" s="3">
        <f t="shared" si="69"/>
        <v>45065</v>
      </c>
      <c r="G1104" t="s">
        <v>17</v>
      </c>
      <c r="H1104" t="s">
        <v>47</v>
      </c>
      <c r="I1104" t="s">
        <v>1461</v>
      </c>
      <c r="J1104" t="s">
        <v>2761</v>
      </c>
      <c r="K1104" t="s">
        <v>984</v>
      </c>
      <c r="L1104" t="s">
        <v>69</v>
      </c>
      <c r="M1104">
        <v>58</v>
      </c>
      <c r="N1104" t="s">
        <v>77</v>
      </c>
      <c r="O1104">
        <v>236</v>
      </c>
      <c r="P1104">
        <v>1</v>
      </c>
      <c r="Q1104">
        <v>5481.76</v>
      </c>
      <c r="R1104" s="4">
        <v>45600</v>
      </c>
      <c r="S1104" s="6">
        <v>0.34108796296296295</v>
      </c>
      <c r="T1104">
        <f t="shared" si="70"/>
        <v>18</v>
      </c>
      <c r="U1104" t="str" cm="1">
        <f t="array" ref="U1104">_xlfn.IFS(M1104&lt;=34,"YOUNG",M1104&lt;=54,"MIDDLE AGE",M1104&gt;=55,"OLD")</f>
        <v>OLD</v>
      </c>
      <c r="V1104" t="str">
        <f t="shared" si="71"/>
        <v>NORMAL</v>
      </c>
    </row>
    <row r="1105" spans="1:22" x14ac:dyDescent="0.35">
      <c r="A1105" t="s">
        <v>2762</v>
      </c>
      <c r="B1105" t="s">
        <v>1144</v>
      </c>
      <c r="C1105">
        <v>350.72</v>
      </c>
      <c r="D1105" s="1">
        <v>45140.692812499998</v>
      </c>
      <c r="E1105" s="2">
        <f t="shared" si="68"/>
        <v>0.69281249999767169</v>
      </c>
      <c r="F1105" s="3">
        <f t="shared" si="69"/>
        <v>45140</v>
      </c>
      <c r="G1105" t="s">
        <v>46</v>
      </c>
      <c r="H1105" t="s">
        <v>558</v>
      </c>
      <c r="I1105" t="s">
        <v>2763</v>
      </c>
      <c r="J1105" t="s">
        <v>374</v>
      </c>
      <c r="K1105" t="s">
        <v>76</v>
      </c>
      <c r="L1105" t="s">
        <v>22</v>
      </c>
      <c r="M1105">
        <v>28</v>
      </c>
      <c r="N1105" t="s">
        <v>37</v>
      </c>
      <c r="O1105">
        <v>48</v>
      </c>
      <c r="P1105">
        <v>1</v>
      </c>
      <c r="Q1105">
        <v>1982.9</v>
      </c>
      <c r="R1105" s="4">
        <v>45600</v>
      </c>
      <c r="S1105" s="6">
        <v>0.33837962962962964</v>
      </c>
      <c r="T1105">
        <f t="shared" si="70"/>
        <v>16</v>
      </c>
      <c r="U1105" t="str" cm="1">
        <f t="array" ref="U1105">_xlfn.IFS(M1105&lt;=34,"YOUNG",M1105&lt;=54,"MIDDLE AGE",M1105&gt;=55,"OLD")</f>
        <v>YOUNG</v>
      </c>
      <c r="V1105" t="str">
        <f t="shared" si="71"/>
        <v>NORMAL</v>
      </c>
    </row>
    <row r="1106" spans="1:22" x14ac:dyDescent="0.35">
      <c r="A1106" t="s">
        <v>2764</v>
      </c>
      <c r="B1106" t="s">
        <v>2073</v>
      </c>
      <c r="C1106">
        <v>3.8</v>
      </c>
      <c r="D1106" s="1">
        <v>45139.675983796296</v>
      </c>
      <c r="E1106" s="2">
        <f t="shared" si="68"/>
        <v>0.67598379629635019</v>
      </c>
      <c r="F1106" s="3">
        <f t="shared" si="69"/>
        <v>45139</v>
      </c>
      <c r="G1106" t="s">
        <v>17</v>
      </c>
      <c r="H1106" t="s">
        <v>249</v>
      </c>
      <c r="I1106" t="s">
        <v>1570</v>
      </c>
      <c r="J1106" t="s">
        <v>882</v>
      </c>
      <c r="K1106" t="s">
        <v>100</v>
      </c>
      <c r="L1106" t="s">
        <v>36</v>
      </c>
      <c r="M1106">
        <v>65</v>
      </c>
      <c r="N1106" t="s">
        <v>23</v>
      </c>
      <c r="O1106">
        <v>174</v>
      </c>
      <c r="P1106">
        <v>1</v>
      </c>
      <c r="Q1106">
        <v>5766.96</v>
      </c>
      <c r="R1106" s="4">
        <v>45600</v>
      </c>
      <c r="S1106" s="6">
        <v>0.34187499999999998</v>
      </c>
      <c r="T1106">
        <f t="shared" si="70"/>
        <v>16</v>
      </c>
      <c r="U1106" t="str" cm="1">
        <f t="array" ref="U1106">_xlfn.IFS(M1106&lt;=34,"YOUNG",M1106&lt;=54,"MIDDLE AGE",M1106&gt;=55,"OLD")</f>
        <v>OLD</v>
      </c>
      <c r="V1106" t="str">
        <f t="shared" si="71"/>
        <v>NORMAL</v>
      </c>
    </row>
    <row r="1107" spans="1:22" x14ac:dyDescent="0.35">
      <c r="A1107" t="s">
        <v>2765</v>
      </c>
      <c r="B1107" t="s">
        <v>177</v>
      </c>
      <c r="C1107">
        <v>22.54</v>
      </c>
      <c r="D1107" s="1">
        <v>45167.680023148147</v>
      </c>
      <c r="E1107" s="2">
        <f t="shared" si="68"/>
        <v>0.68002314814657439</v>
      </c>
      <c r="F1107" s="3">
        <f t="shared" si="69"/>
        <v>45167</v>
      </c>
      <c r="G1107" t="s">
        <v>17</v>
      </c>
      <c r="H1107" t="s">
        <v>506</v>
      </c>
      <c r="I1107" t="s">
        <v>1931</v>
      </c>
      <c r="J1107" t="s">
        <v>911</v>
      </c>
      <c r="K1107" t="s">
        <v>252</v>
      </c>
      <c r="L1107" t="s">
        <v>36</v>
      </c>
      <c r="M1107">
        <v>26</v>
      </c>
      <c r="N1107" t="s">
        <v>77</v>
      </c>
      <c r="O1107">
        <v>42</v>
      </c>
      <c r="P1107">
        <v>1</v>
      </c>
      <c r="Q1107">
        <v>7139.11</v>
      </c>
      <c r="R1107" s="4">
        <v>45600</v>
      </c>
      <c r="S1107" s="6">
        <v>0.34067129629629628</v>
      </c>
      <c r="T1107">
        <f t="shared" si="70"/>
        <v>16</v>
      </c>
      <c r="U1107" t="str" cm="1">
        <f t="array" ref="U1107">_xlfn.IFS(M1107&lt;=34,"YOUNG",M1107&lt;=54,"MIDDLE AGE",M1107&gt;=55,"OLD")</f>
        <v>YOUNG</v>
      </c>
      <c r="V1107" t="str">
        <f t="shared" si="71"/>
        <v>NORMAL</v>
      </c>
    </row>
    <row r="1108" spans="1:22" x14ac:dyDescent="0.35">
      <c r="A1108" t="s">
        <v>2766</v>
      </c>
      <c r="B1108" t="s">
        <v>1736</v>
      </c>
      <c r="C1108">
        <v>767.14</v>
      </c>
      <c r="D1108" s="1">
        <v>45167.683599537035</v>
      </c>
      <c r="E1108" s="2">
        <f t="shared" si="68"/>
        <v>0.68359953703475185</v>
      </c>
      <c r="F1108" s="3">
        <f t="shared" si="69"/>
        <v>45167</v>
      </c>
      <c r="G1108" t="s">
        <v>46</v>
      </c>
      <c r="H1108" t="s">
        <v>32</v>
      </c>
      <c r="I1108" t="s">
        <v>1815</v>
      </c>
      <c r="J1108" t="s">
        <v>2025</v>
      </c>
      <c r="K1108" t="s">
        <v>137</v>
      </c>
      <c r="L1108" t="s">
        <v>69</v>
      </c>
      <c r="M1108">
        <v>62</v>
      </c>
      <c r="N1108" t="s">
        <v>70</v>
      </c>
      <c r="O1108">
        <v>38</v>
      </c>
      <c r="P1108">
        <v>1</v>
      </c>
      <c r="Q1108">
        <v>4732.57</v>
      </c>
      <c r="R1108" s="4">
        <v>45600</v>
      </c>
      <c r="S1108" s="6">
        <v>0.33937499999999998</v>
      </c>
      <c r="T1108">
        <f t="shared" si="70"/>
        <v>16</v>
      </c>
      <c r="U1108" t="str" cm="1">
        <f t="array" ref="U1108">_xlfn.IFS(M1108&lt;=34,"YOUNG",M1108&lt;=54,"MIDDLE AGE",M1108&gt;=55,"OLD")</f>
        <v>OLD</v>
      </c>
      <c r="V1108" t="str">
        <f t="shared" si="71"/>
        <v>NORMAL</v>
      </c>
    </row>
    <row r="1109" spans="1:22" x14ac:dyDescent="0.35">
      <c r="A1109" t="s">
        <v>2767</v>
      </c>
      <c r="B1109" t="s">
        <v>2637</v>
      </c>
      <c r="C1109">
        <v>167.47</v>
      </c>
      <c r="D1109" s="1">
        <v>45261.739803240744</v>
      </c>
      <c r="E1109" s="2">
        <f t="shared" si="68"/>
        <v>0.73980324074364034</v>
      </c>
      <c r="F1109" s="3">
        <f t="shared" si="69"/>
        <v>45261</v>
      </c>
      <c r="G1109" t="s">
        <v>17</v>
      </c>
      <c r="H1109" t="s">
        <v>285</v>
      </c>
      <c r="I1109" t="s">
        <v>1727</v>
      </c>
      <c r="J1109" t="s">
        <v>1377</v>
      </c>
      <c r="K1109" t="s">
        <v>1209</v>
      </c>
      <c r="L1109" t="s">
        <v>22</v>
      </c>
      <c r="M1109">
        <v>35</v>
      </c>
      <c r="N1109" t="s">
        <v>77</v>
      </c>
      <c r="O1109">
        <v>103</v>
      </c>
      <c r="P1109">
        <v>1</v>
      </c>
      <c r="Q1109">
        <v>2293.13</v>
      </c>
      <c r="R1109" s="4">
        <v>45600</v>
      </c>
      <c r="S1109" s="6">
        <v>0.34171296296296294</v>
      </c>
      <c r="T1109">
        <f t="shared" si="70"/>
        <v>17</v>
      </c>
      <c r="U1109" t="str" cm="1">
        <f t="array" ref="U1109">_xlfn.IFS(M1109&lt;=34,"YOUNG",M1109&lt;=54,"MIDDLE AGE",M1109&gt;=55,"OLD")</f>
        <v>MIDDLE AGE</v>
      </c>
      <c r="V1109" t="str">
        <f t="shared" si="71"/>
        <v>NORMAL</v>
      </c>
    </row>
    <row r="1110" spans="1:22" x14ac:dyDescent="0.35">
      <c r="A1110" t="s">
        <v>2768</v>
      </c>
      <c r="B1110" t="s">
        <v>183</v>
      </c>
      <c r="C1110">
        <v>43.65</v>
      </c>
      <c r="D1110" s="1">
        <v>45229.683032407411</v>
      </c>
      <c r="E1110" s="2">
        <f t="shared" si="68"/>
        <v>0.68303240741079208</v>
      </c>
      <c r="F1110" s="3">
        <f t="shared" si="69"/>
        <v>45229</v>
      </c>
      <c r="G1110" t="s">
        <v>46</v>
      </c>
      <c r="H1110" t="s">
        <v>249</v>
      </c>
      <c r="I1110" t="s">
        <v>633</v>
      </c>
      <c r="J1110" t="s">
        <v>2268</v>
      </c>
      <c r="K1110" t="s">
        <v>386</v>
      </c>
      <c r="L1110" t="s">
        <v>69</v>
      </c>
      <c r="M1110">
        <v>30</v>
      </c>
      <c r="N1110" t="s">
        <v>77</v>
      </c>
      <c r="O1110">
        <v>212</v>
      </c>
      <c r="P1110">
        <v>1</v>
      </c>
      <c r="Q1110">
        <v>2870.67</v>
      </c>
      <c r="R1110" s="4">
        <v>45600</v>
      </c>
      <c r="S1110" s="6">
        <v>0.34160879629629631</v>
      </c>
      <c r="T1110">
        <f t="shared" si="70"/>
        <v>16</v>
      </c>
      <c r="U1110" t="str" cm="1">
        <f t="array" ref="U1110">_xlfn.IFS(M1110&lt;=34,"YOUNG",M1110&lt;=54,"MIDDLE AGE",M1110&gt;=55,"OLD")</f>
        <v>YOUNG</v>
      </c>
      <c r="V1110" t="str">
        <f t="shared" si="71"/>
        <v>NORMAL</v>
      </c>
    </row>
    <row r="1111" spans="1:22" x14ac:dyDescent="0.35">
      <c r="A1111" t="s">
        <v>2769</v>
      </c>
      <c r="B1111" t="s">
        <v>2238</v>
      </c>
      <c r="C1111">
        <v>391.08</v>
      </c>
      <c r="D1111" s="1">
        <v>45044.716736111113</v>
      </c>
      <c r="E1111" s="2">
        <f t="shared" si="68"/>
        <v>0.71673611111327773</v>
      </c>
      <c r="F1111" s="3">
        <f t="shared" si="69"/>
        <v>45044</v>
      </c>
      <c r="G1111" t="s">
        <v>17</v>
      </c>
      <c r="H1111" t="s">
        <v>558</v>
      </c>
      <c r="I1111" t="s">
        <v>2770</v>
      </c>
      <c r="J1111" t="s">
        <v>860</v>
      </c>
      <c r="K1111" t="s">
        <v>175</v>
      </c>
      <c r="L1111" t="s">
        <v>36</v>
      </c>
      <c r="M1111">
        <v>56</v>
      </c>
      <c r="N1111" t="s">
        <v>70</v>
      </c>
      <c r="O1111">
        <v>105</v>
      </c>
      <c r="P1111">
        <v>1</v>
      </c>
      <c r="Q1111">
        <v>6885.16</v>
      </c>
      <c r="R1111" s="4">
        <v>45600</v>
      </c>
      <c r="S1111" s="6">
        <v>0.34087962962962964</v>
      </c>
      <c r="T1111">
        <f t="shared" si="70"/>
        <v>17</v>
      </c>
      <c r="U1111" t="str" cm="1">
        <f t="array" ref="U1111">_xlfn.IFS(M1111&lt;=34,"YOUNG",M1111&lt;=54,"MIDDLE AGE",M1111&gt;=55,"OLD")</f>
        <v>OLD</v>
      </c>
      <c r="V1111" t="str">
        <f t="shared" si="71"/>
        <v>NORMAL</v>
      </c>
    </row>
    <row r="1112" spans="1:22" x14ac:dyDescent="0.35">
      <c r="A1112" t="s">
        <v>2771</v>
      </c>
      <c r="B1112" t="s">
        <v>968</v>
      </c>
      <c r="C1112">
        <v>390.77</v>
      </c>
      <c r="D1112" s="1">
        <v>45229.668425925927</v>
      </c>
      <c r="E1112" s="2">
        <f t="shared" si="68"/>
        <v>0.66842592592729488</v>
      </c>
      <c r="F1112" s="3">
        <f t="shared" si="69"/>
        <v>45229</v>
      </c>
      <c r="G1112" t="s">
        <v>17</v>
      </c>
      <c r="H1112" t="s">
        <v>595</v>
      </c>
      <c r="I1112" t="s">
        <v>351</v>
      </c>
      <c r="J1112" t="s">
        <v>1430</v>
      </c>
      <c r="K1112" t="s">
        <v>414</v>
      </c>
      <c r="L1112" t="s">
        <v>36</v>
      </c>
      <c r="M1112">
        <v>44</v>
      </c>
      <c r="N1112" t="s">
        <v>23</v>
      </c>
      <c r="O1112">
        <v>34</v>
      </c>
      <c r="P1112">
        <v>1</v>
      </c>
      <c r="Q1112">
        <v>5500.56</v>
      </c>
      <c r="R1112" s="4">
        <v>45600</v>
      </c>
      <c r="S1112" s="6">
        <v>0.3396527777777778</v>
      </c>
      <c r="T1112">
        <f t="shared" si="70"/>
        <v>16</v>
      </c>
      <c r="U1112" t="str" cm="1">
        <f t="array" ref="U1112">_xlfn.IFS(M1112&lt;=34,"YOUNG",M1112&lt;=54,"MIDDLE AGE",M1112&gt;=55,"OLD")</f>
        <v>MIDDLE AGE</v>
      </c>
      <c r="V1112" t="str">
        <f t="shared" si="71"/>
        <v>NORMAL</v>
      </c>
    </row>
    <row r="1113" spans="1:22" x14ac:dyDescent="0.35">
      <c r="A1113" t="s">
        <v>2772</v>
      </c>
      <c r="B1113" t="s">
        <v>2500</v>
      </c>
      <c r="C1113">
        <v>508.16</v>
      </c>
      <c r="D1113" s="1">
        <v>45013.763310185182</v>
      </c>
      <c r="E1113" s="2">
        <f t="shared" si="68"/>
        <v>0.76331018518249039</v>
      </c>
      <c r="F1113" s="3">
        <f t="shared" si="69"/>
        <v>45013</v>
      </c>
      <c r="G1113" t="s">
        <v>17</v>
      </c>
      <c r="H1113" t="s">
        <v>32</v>
      </c>
      <c r="I1113" t="s">
        <v>2773</v>
      </c>
      <c r="J1113" t="s">
        <v>2190</v>
      </c>
      <c r="K1113" t="s">
        <v>858</v>
      </c>
      <c r="L1113" t="s">
        <v>22</v>
      </c>
      <c r="M1113">
        <v>39</v>
      </c>
      <c r="N1113" t="s">
        <v>77</v>
      </c>
      <c r="O1113">
        <v>131</v>
      </c>
      <c r="P1113">
        <v>1</v>
      </c>
      <c r="Q1113">
        <v>5609.44</v>
      </c>
      <c r="R1113" s="4">
        <v>45600</v>
      </c>
      <c r="S1113" s="6">
        <v>0.34020833333333333</v>
      </c>
      <c r="T1113">
        <f t="shared" si="70"/>
        <v>18</v>
      </c>
      <c r="U1113" t="str" cm="1">
        <f t="array" ref="U1113">_xlfn.IFS(M1113&lt;=34,"YOUNG",M1113&lt;=54,"MIDDLE AGE",M1113&gt;=55,"OLD")</f>
        <v>MIDDLE AGE</v>
      </c>
      <c r="V1113" t="str">
        <f t="shared" si="71"/>
        <v>NORMAL</v>
      </c>
    </row>
    <row r="1114" spans="1:22" x14ac:dyDescent="0.35">
      <c r="A1114" t="s">
        <v>2774</v>
      </c>
      <c r="B1114" t="s">
        <v>318</v>
      </c>
      <c r="C1114">
        <v>36.76</v>
      </c>
      <c r="D1114" s="1">
        <v>45026.702581018515</v>
      </c>
      <c r="E1114" s="2">
        <f t="shared" si="68"/>
        <v>0.70258101851504762</v>
      </c>
      <c r="F1114" s="3">
        <f t="shared" si="69"/>
        <v>45026</v>
      </c>
      <c r="G1114" t="s">
        <v>46</v>
      </c>
      <c r="H1114" t="s">
        <v>243</v>
      </c>
      <c r="I1114" t="s">
        <v>19</v>
      </c>
      <c r="J1114" t="s">
        <v>2775</v>
      </c>
      <c r="K1114" t="s">
        <v>200</v>
      </c>
      <c r="L1114" t="s">
        <v>36</v>
      </c>
      <c r="M1114">
        <v>65</v>
      </c>
      <c r="N1114" t="s">
        <v>70</v>
      </c>
      <c r="O1114">
        <v>108</v>
      </c>
      <c r="P1114">
        <v>1</v>
      </c>
      <c r="Q1114">
        <v>1228.93</v>
      </c>
      <c r="R1114" s="4">
        <v>45600</v>
      </c>
      <c r="S1114" s="6">
        <v>0.34175925925925926</v>
      </c>
      <c r="T1114">
        <f t="shared" si="70"/>
        <v>16</v>
      </c>
      <c r="U1114" t="str" cm="1">
        <f t="array" ref="U1114">_xlfn.IFS(M1114&lt;=34,"YOUNG",M1114&lt;=54,"MIDDLE AGE",M1114&gt;=55,"OLD")</f>
        <v>OLD</v>
      </c>
      <c r="V1114" t="str">
        <f t="shared" si="71"/>
        <v>NORMAL</v>
      </c>
    </row>
    <row r="1115" spans="1:22" x14ac:dyDescent="0.35">
      <c r="A1115" t="s">
        <v>2776</v>
      </c>
      <c r="B1115" t="s">
        <v>1123</v>
      </c>
      <c r="C1115">
        <v>332.33</v>
      </c>
      <c r="D1115" s="1">
        <v>45097.712245370371</v>
      </c>
      <c r="E1115" s="2">
        <f t="shared" si="68"/>
        <v>0.7122453703705105</v>
      </c>
      <c r="F1115" s="3">
        <f t="shared" si="69"/>
        <v>45097</v>
      </c>
      <c r="G1115" t="s">
        <v>17</v>
      </c>
      <c r="H1115" t="s">
        <v>291</v>
      </c>
      <c r="I1115" t="s">
        <v>373</v>
      </c>
      <c r="J1115" t="s">
        <v>1046</v>
      </c>
      <c r="K1115" t="s">
        <v>137</v>
      </c>
      <c r="L1115" t="s">
        <v>22</v>
      </c>
      <c r="M1115">
        <v>27</v>
      </c>
      <c r="N1115" t="s">
        <v>37</v>
      </c>
      <c r="O1115">
        <v>101</v>
      </c>
      <c r="P1115">
        <v>1</v>
      </c>
      <c r="Q1115">
        <v>192.63</v>
      </c>
      <c r="R1115" s="4">
        <v>45600</v>
      </c>
      <c r="S1115" s="6">
        <v>0.34128472222222223</v>
      </c>
      <c r="T1115">
        <f t="shared" si="70"/>
        <v>17</v>
      </c>
      <c r="U1115" t="str" cm="1">
        <f t="array" ref="U1115">_xlfn.IFS(M1115&lt;=34,"YOUNG",M1115&lt;=54,"MIDDLE AGE",M1115&gt;=55,"OLD")</f>
        <v>YOUNG</v>
      </c>
      <c r="V1115" t="str">
        <f t="shared" si="71"/>
        <v>NORMAL</v>
      </c>
    </row>
    <row r="1116" spans="1:22" x14ac:dyDescent="0.35">
      <c r="A1116" t="s">
        <v>2777</v>
      </c>
      <c r="B1116" t="s">
        <v>2238</v>
      </c>
      <c r="C1116">
        <v>362.09</v>
      </c>
      <c r="D1116" s="1">
        <v>44984.707719907405</v>
      </c>
      <c r="E1116" s="2">
        <f t="shared" si="68"/>
        <v>0.70771990740468027</v>
      </c>
      <c r="F1116" s="3">
        <f t="shared" si="69"/>
        <v>44984</v>
      </c>
      <c r="G1116" t="s">
        <v>17</v>
      </c>
      <c r="H1116" t="s">
        <v>203</v>
      </c>
      <c r="I1116" t="s">
        <v>1903</v>
      </c>
      <c r="J1116" t="s">
        <v>1657</v>
      </c>
      <c r="K1116" t="s">
        <v>482</v>
      </c>
      <c r="L1116" t="s">
        <v>69</v>
      </c>
      <c r="M1116">
        <v>32</v>
      </c>
      <c r="N1116" t="s">
        <v>77</v>
      </c>
      <c r="O1116">
        <v>31</v>
      </c>
      <c r="P1116">
        <v>1</v>
      </c>
      <c r="Q1116">
        <v>6590.28</v>
      </c>
      <c r="R1116" s="4">
        <v>45600</v>
      </c>
      <c r="S1116" s="6">
        <v>0.33863425925925927</v>
      </c>
      <c r="T1116">
        <f t="shared" si="70"/>
        <v>16</v>
      </c>
      <c r="U1116" t="str" cm="1">
        <f t="array" ref="U1116">_xlfn.IFS(M1116&lt;=34,"YOUNG",M1116&lt;=54,"MIDDLE AGE",M1116&gt;=55,"OLD")</f>
        <v>YOUNG</v>
      </c>
      <c r="V1116" t="str">
        <f t="shared" si="71"/>
        <v>NORMAL</v>
      </c>
    </row>
    <row r="1117" spans="1:22" x14ac:dyDescent="0.35">
      <c r="A1117" t="s">
        <v>2778</v>
      </c>
      <c r="B1117" t="s">
        <v>2779</v>
      </c>
      <c r="C1117">
        <v>42.58</v>
      </c>
      <c r="D1117" s="1">
        <v>44963.689502314817</v>
      </c>
      <c r="E1117" s="2">
        <f t="shared" si="68"/>
        <v>0.68950231481721858</v>
      </c>
      <c r="F1117" s="3">
        <f t="shared" si="69"/>
        <v>44963</v>
      </c>
      <c r="G1117" t="s">
        <v>17</v>
      </c>
      <c r="H1117" t="s">
        <v>223</v>
      </c>
      <c r="I1117" t="s">
        <v>1061</v>
      </c>
      <c r="J1117" t="s">
        <v>1344</v>
      </c>
      <c r="K1117" t="s">
        <v>100</v>
      </c>
      <c r="L1117" t="s">
        <v>36</v>
      </c>
      <c r="M1117">
        <v>30</v>
      </c>
      <c r="N1117" t="s">
        <v>23</v>
      </c>
      <c r="O1117">
        <v>80</v>
      </c>
      <c r="P1117">
        <v>1</v>
      </c>
      <c r="Q1117">
        <v>13485</v>
      </c>
      <c r="R1117" s="4">
        <v>45600</v>
      </c>
      <c r="S1117" s="6">
        <v>0.34054398148148146</v>
      </c>
      <c r="T1117">
        <f t="shared" si="70"/>
        <v>16</v>
      </c>
      <c r="U1117" t="str" cm="1">
        <f t="array" ref="U1117">_xlfn.IFS(M1117&lt;=34,"YOUNG",M1117&lt;=54,"MIDDLE AGE",M1117&gt;=55,"OLD")</f>
        <v>YOUNG</v>
      </c>
      <c r="V1117" t="str">
        <f t="shared" si="71"/>
        <v>NORMAL</v>
      </c>
    </row>
    <row r="1118" spans="1:22" x14ac:dyDescent="0.35">
      <c r="A1118" t="s">
        <v>2780</v>
      </c>
      <c r="B1118" t="s">
        <v>2781</v>
      </c>
      <c r="C1118">
        <v>122.35</v>
      </c>
      <c r="D1118" s="1">
        <v>45028.74322916667</v>
      </c>
      <c r="E1118" s="2">
        <f t="shared" si="68"/>
        <v>0.74322916667006211</v>
      </c>
      <c r="F1118" s="3">
        <f t="shared" si="69"/>
        <v>45028</v>
      </c>
      <c r="G1118" t="s">
        <v>46</v>
      </c>
      <c r="H1118" t="s">
        <v>47</v>
      </c>
      <c r="I1118" t="s">
        <v>1713</v>
      </c>
      <c r="J1118" t="s">
        <v>2635</v>
      </c>
      <c r="K1118" t="s">
        <v>181</v>
      </c>
      <c r="L1118" t="s">
        <v>69</v>
      </c>
      <c r="M1118">
        <v>53</v>
      </c>
      <c r="N1118" t="s">
        <v>70</v>
      </c>
      <c r="O1118">
        <v>188</v>
      </c>
      <c r="P1118">
        <v>1</v>
      </c>
      <c r="Q1118">
        <v>6472.5</v>
      </c>
      <c r="R1118" s="4">
        <v>45600</v>
      </c>
      <c r="S1118" s="6">
        <v>0.33967592592592594</v>
      </c>
      <c r="T1118">
        <f t="shared" si="70"/>
        <v>17</v>
      </c>
      <c r="U1118" t="str" cm="1">
        <f t="array" ref="U1118">_xlfn.IFS(M1118&lt;=34,"YOUNG",M1118&lt;=54,"MIDDLE AGE",M1118&gt;=55,"OLD")</f>
        <v>MIDDLE AGE</v>
      </c>
      <c r="V1118" t="str">
        <f t="shared" si="71"/>
        <v>NORMAL</v>
      </c>
    </row>
    <row r="1119" spans="1:22" x14ac:dyDescent="0.35">
      <c r="A1119" t="s">
        <v>2782</v>
      </c>
      <c r="B1119" t="s">
        <v>1561</v>
      </c>
      <c r="C1119">
        <v>248.66</v>
      </c>
      <c r="D1119" s="1">
        <v>44960.740902777776</v>
      </c>
      <c r="E1119" s="2">
        <f t="shared" si="68"/>
        <v>0.74090277777577285</v>
      </c>
      <c r="F1119" s="3">
        <f t="shared" si="69"/>
        <v>44960</v>
      </c>
      <c r="G1119" t="s">
        <v>17</v>
      </c>
      <c r="H1119" t="s">
        <v>265</v>
      </c>
      <c r="I1119" t="s">
        <v>865</v>
      </c>
      <c r="J1119" t="s">
        <v>1377</v>
      </c>
      <c r="K1119" t="s">
        <v>707</v>
      </c>
      <c r="L1119" t="s">
        <v>36</v>
      </c>
      <c r="M1119">
        <v>28</v>
      </c>
      <c r="N1119" t="s">
        <v>77</v>
      </c>
      <c r="O1119">
        <v>113</v>
      </c>
      <c r="P1119">
        <v>1</v>
      </c>
      <c r="Q1119">
        <v>2571.39</v>
      </c>
      <c r="R1119" s="4">
        <v>45600</v>
      </c>
      <c r="S1119" s="6">
        <v>0.34131944444444445</v>
      </c>
      <c r="T1119">
        <f t="shared" si="70"/>
        <v>17</v>
      </c>
      <c r="U1119" t="str" cm="1">
        <f t="array" ref="U1119">_xlfn.IFS(M1119&lt;=34,"YOUNG",M1119&lt;=54,"MIDDLE AGE",M1119&gt;=55,"OLD")</f>
        <v>YOUNG</v>
      </c>
      <c r="V1119" t="str">
        <f t="shared" si="71"/>
        <v>NORMAL</v>
      </c>
    </row>
    <row r="1120" spans="1:22" x14ac:dyDescent="0.35">
      <c r="A1120" t="s">
        <v>2783</v>
      </c>
      <c r="B1120" t="s">
        <v>222</v>
      </c>
      <c r="C1120">
        <v>461.25</v>
      </c>
      <c r="D1120" s="1">
        <v>45166.731099537035</v>
      </c>
      <c r="E1120" s="2">
        <f t="shared" si="68"/>
        <v>0.73109953703533392</v>
      </c>
      <c r="F1120" s="3">
        <f t="shared" si="69"/>
        <v>45166</v>
      </c>
      <c r="G1120" t="s">
        <v>46</v>
      </c>
      <c r="H1120" t="s">
        <v>285</v>
      </c>
      <c r="I1120" t="s">
        <v>2784</v>
      </c>
      <c r="J1120" t="s">
        <v>2416</v>
      </c>
      <c r="K1120" t="s">
        <v>252</v>
      </c>
      <c r="L1120" t="s">
        <v>36</v>
      </c>
      <c r="M1120">
        <v>54</v>
      </c>
      <c r="N1120" t="s">
        <v>23</v>
      </c>
      <c r="O1120">
        <v>171</v>
      </c>
      <c r="P1120">
        <v>1</v>
      </c>
      <c r="Q1120">
        <v>676.1</v>
      </c>
      <c r="R1120" s="4">
        <v>45600</v>
      </c>
      <c r="S1120" s="6">
        <v>0.33971064814814816</v>
      </c>
      <c r="T1120">
        <f t="shared" si="70"/>
        <v>17</v>
      </c>
      <c r="U1120" t="str" cm="1">
        <f t="array" ref="U1120">_xlfn.IFS(M1120&lt;=34,"YOUNG",M1120&lt;=54,"MIDDLE AGE",M1120&gt;=55,"OLD")</f>
        <v>MIDDLE AGE</v>
      </c>
      <c r="V1120" t="str">
        <f t="shared" si="71"/>
        <v>NORMAL</v>
      </c>
    </row>
    <row r="1121" spans="1:22" x14ac:dyDescent="0.35">
      <c r="A1121" t="s">
        <v>2785</v>
      </c>
      <c r="B1121" t="s">
        <v>533</v>
      </c>
      <c r="C1121">
        <v>61.77</v>
      </c>
      <c r="D1121" s="1">
        <v>45197.712870370371</v>
      </c>
      <c r="E1121" s="2">
        <f t="shared" si="68"/>
        <v>0.71287037037109258</v>
      </c>
      <c r="F1121" s="3">
        <f t="shared" si="69"/>
        <v>45197</v>
      </c>
      <c r="G1121" t="s">
        <v>17</v>
      </c>
      <c r="H1121" t="s">
        <v>249</v>
      </c>
      <c r="I1121" t="s">
        <v>772</v>
      </c>
      <c r="J1121" t="s">
        <v>174</v>
      </c>
      <c r="K1121" t="s">
        <v>984</v>
      </c>
      <c r="L1121" t="s">
        <v>69</v>
      </c>
      <c r="M1121">
        <v>56</v>
      </c>
      <c r="N1121" t="s">
        <v>23</v>
      </c>
      <c r="O1121">
        <v>49</v>
      </c>
      <c r="P1121">
        <v>1</v>
      </c>
      <c r="Q1121">
        <v>12352.2</v>
      </c>
      <c r="R1121" s="4">
        <v>45600</v>
      </c>
      <c r="S1121" s="6">
        <v>0.34137731481481481</v>
      </c>
      <c r="T1121">
        <f t="shared" si="70"/>
        <v>17</v>
      </c>
      <c r="U1121" t="str" cm="1">
        <f t="array" ref="U1121">_xlfn.IFS(M1121&lt;=34,"YOUNG",M1121&lt;=54,"MIDDLE AGE",M1121&gt;=55,"OLD")</f>
        <v>OLD</v>
      </c>
      <c r="V1121" t="str">
        <f t="shared" si="71"/>
        <v>NORMAL</v>
      </c>
    </row>
    <row r="1122" spans="1:22" x14ac:dyDescent="0.35">
      <c r="A1122" t="s">
        <v>2786</v>
      </c>
      <c r="B1122" t="s">
        <v>1114</v>
      </c>
      <c r="C1122">
        <v>268.92</v>
      </c>
      <c r="D1122" s="1">
        <v>45152.689212962963</v>
      </c>
      <c r="E1122" s="2">
        <f t="shared" si="68"/>
        <v>0.68921296296321088</v>
      </c>
      <c r="F1122" s="3">
        <f t="shared" si="69"/>
        <v>45152</v>
      </c>
      <c r="G1122" t="s">
        <v>17</v>
      </c>
      <c r="H1122" t="s">
        <v>265</v>
      </c>
      <c r="I1122" t="s">
        <v>2037</v>
      </c>
      <c r="J1122" t="s">
        <v>1985</v>
      </c>
      <c r="K1122" t="s">
        <v>154</v>
      </c>
      <c r="L1122" t="s">
        <v>69</v>
      </c>
      <c r="M1122">
        <v>29</v>
      </c>
      <c r="N1122" t="s">
        <v>77</v>
      </c>
      <c r="O1122">
        <v>148</v>
      </c>
      <c r="P1122">
        <v>1</v>
      </c>
      <c r="Q1122">
        <v>8765.3799999999992</v>
      </c>
      <c r="R1122" s="4">
        <v>45600</v>
      </c>
      <c r="S1122" s="6">
        <v>0.33791666666666664</v>
      </c>
      <c r="T1122">
        <f t="shared" si="70"/>
        <v>16</v>
      </c>
      <c r="U1122" t="str" cm="1">
        <f t="array" ref="U1122">_xlfn.IFS(M1122&lt;=34,"YOUNG",M1122&lt;=54,"MIDDLE AGE",M1122&gt;=55,"OLD")</f>
        <v>YOUNG</v>
      </c>
      <c r="V1122" t="str">
        <f t="shared" si="71"/>
        <v>NORMAL</v>
      </c>
    </row>
    <row r="1123" spans="1:22" x14ac:dyDescent="0.35">
      <c r="A1123" t="s">
        <v>2787</v>
      </c>
      <c r="B1123" t="s">
        <v>848</v>
      </c>
      <c r="C1123">
        <v>303.97000000000003</v>
      </c>
      <c r="D1123" s="1">
        <v>44959.705150462964</v>
      </c>
      <c r="E1123" s="2">
        <f t="shared" si="68"/>
        <v>0.70515046296350192</v>
      </c>
      <c r="F1123" s="3">
        <f t="shared" si="69"/>
        <v>44959</v>
      </c>
      <c r="G1123" t="s">
        <v>17</v>
      </c>
      <c r="H1123" t="s">
        <v>157</v>
      </c>
      <c r="I1123" t="s">
        <v>846</v>
      </c>
      <c r="J1123" t="s">
        <v>342</v>
      </c>
      <c r="K1123" t="s">
        <v>682</v>
      </c>
      <c r="L1123" t="s">
        <v>36</v>
      </c>
      <c r="M1123">
        <v>24</v>
      </c>
      <c r="N1123" t="s">
        <v>37</v>
      </c>
      <c r="O1123">
        <v>77</v>
      </c>
      <c r="P1123">
        <v>5</v>
      </c>
      <c r="Q1123">
        <v>1590.88</v>
      </c>
      <c r="R1123" s="4">
        <v>45600</v>
      </c>
      <c r="S1123" s="6">
        <v>0.3387384259259259</v>
      </c>
      <c r="T1123">
        <f t="shared" si="70"/>
        <v>16</v>
      </c>
      <c r="U1123" t="str" cm="1">
        <f t="array" ref="U1123">_xlfn.IFS(M1123&lt;=34,"YOUNG",M1123&lt;=54,"MIDDLE AGE",M1123&gt;=55,"OLD")</f>
        <v>YOUNG</v>
      </c>
      <c r="V1123" t="str">
        <f t="shared" si="71"/>
        <v>HIGH</v>
      </c>
    </row>
    <row r="1124" spans="1:22" x14ac:dyDescent="0.35">
      <c r="A1124" t="s">
        <v>2788</v>
      </c>
      <c r="B1124" t="s">
        <v>2650</v>
      </c>
      <c r="C1124">
        <v>219.02</v>
      </c>
      <c r="D1124" s="1">
        <v>45292.688171296293</v>
      </c>
      <c r="E1124" s="2">
        <f t="shared" si="68"/>
        <v>0.68817129629314877</v>
      </c>
      <c r="F1124" s="3">
        <f t="shared" si="69"/>
        <v>45292</v>
      </c>
      <c r="G1124" t="s">
        <v>46</v>
      </c>
      <c r="H1124" t="s">
        <v>18</v>
      </c>
      <c r="I1124" t="s">
        <v>306</v>
      </c>
      <c r="J1124" t="s">
        <v>2183</v>
      </c>
      <c r="K1124" t="s">
        <v>482</v>
      </c>
      <c r="L1124" t="s">
        <v>36</v>
      </c>
      <c r="M1124">
        <v>54</v>
      </c>
      <c r="N1124" t="s">
        <v>77</v>
      </c>
      <c r="O1124">
        <v>68</v>
      </c>
      <c r="P1124">
        <v>1</v>
      </c>
      <c r="Q1124">
        <v>7375.73</v>
      </c>
      <c r="R1124" s="4">
        <v>45600</v>
      </c>
      <c r="S1124" s="6">
        <v>0.3397337962962963</v>
      </c>
      <c r="T1124">
        <f t="shared" si="70"/>
        <v>16</v>
      </c>
      <c r="U1124" t="str" cm="1">
        <f t="array" ref="U1124">_xlfn.IFS(M1124&lt;=34,"YOUNG",M1124&lt;=54,"MIDDLE AGE",M1124&gt;=55,"OLD")</f>
        <v>MIDDLE AGE</v>
      </c>
      <c r="V1124" t="str">
        <f t="shared" si="71"/>
        <v>NORMAL</v>
      </c>
    </row>
    <row r="1125" spans="1:22" x14ac:dyDescent="0.35">
      <c r="A1125" t="s">
        <v>2789</v>
      </c>
      <c r="B1125" t="s">
        <v>1753</v>
      </c>
      <c r="C1125">
        <v>125.14</v>
      </c>
      <c r="D1125" s="1">
        <v>45166.721736111111</v>
      </c>
      <c r="E1125" s="2">
        <f t="shared" si="68"/>
        <v>0.72173611111065838</v>
      </c>
      <c r="F1125" s="3">
        <f t="shared" si="69"/>
        <v>45166</v>
      </c>
      <c r="G1125" t="s">
        <v>17</v>
      </c>
      <c r="H1125" t="s">
        <v>197</v>
      </c>
      <c r="I1125" t="s">
        <v>2318</v>
      </c>
      <c r="J1125" t="s">
        <v>1797</v>
      </c>
      <c r="K1125" t="s">
        <v>1014</v>
      </c>
      <c r="L1125" t="s">
        <v>69</v>
      </c>
      <c r="M1125">
        <v>20</v>
      </c>
      <c r="N1125" t="s">
        <v>37</v>
      </c>
      <c r="O1125">
        <v>31</v>
      </c>
      <c r="P1125">
        <v>1</v>
      </c>
      <c r="Q1125">
        <v>1845.18</v>
      </c>
      <c r="R1125" s="4">
        <v>45600</v>
      </c>
      <c r="S1125" s="6">
        <v>0.34076388888888887</v>
      </c>
      <c r="T1125">
        <f t="shared" si="70"/>
        <v>17</v>
      </c>
      <c r="U1125" t="str" cm="1">
        <f t="array" ref="U1125">_xlfn.IFS(M1125&lt;=34,"YOUNG",M1125&lt;=54,"MIDDLE AGE",M1125&gt;=55,"OLD")</f>
        <v>YOUNG</v>
      </c>
      <c r="V1125" t="str">
        <f t="shared" si="71"/>
        <v>NORMAL</v>
      </c>
    </row>
    <row r="1126" spans="1:22" x14ac:dyDescent="0.35">
      <c r="A1126" t="s">
        <v>2790</v>
      </c>
      <c r="B1126" t="s">
        <v>211</v>
      </c>
      <c r="C1126">
        <v>47.6</v>
      </c>
      <c r="D1126" s="1">
        <v>44980.779756944445</v>
      </c>
      <c r="E1126" s="2">
        <f t="shared" si="68"/>
        <v>0.77975694444467081</v>
      </c>
      <c r="F1126" s="3">
        <f t="shared" si="69"/>
        <v>44980</v>
      </c>
      <c r="G1126" t="s">
        <v>17</v>
      </c>
      <c r="H1126" t="s">
        <v>119</v>
      </c>
      <c r="I1126" t="s">
        <v>2639</v>
      </c>
      <c r="J1126" t="s">
        <v>1597</v>
      </c>
      <c r="K1126" t="s">
        <v>607</v>
      </c>
      <c r="L1126" t="s">
        <v>36</v>
      </c>
      <c r="M1126">
        <v>53</v>
      </c>
      <c r="N1126" t="s">
        <v>77</v>
      </c>
      <c r="O1126">
        <v>115</v>
      </c>
      <c r="P1126">
        <v>1</v>
      </c>
      <c r="Q1126">
        <v>1382.51</v>
      </c>
      <c r="R1126" s="4">
        <v>45600</v>
      </c>
      <c r="S1126" s="6">
        <v>0.33912037037037035</v>
      </c>
      <c r="T1126">
        <f t="shared" si="70"/>
        <v>18</v>
      </c>
      <c r="U1126" t="str" cm="1">
        <f t="array" ref="U1126">_xlfn.IFS(M1126&lt;=34,"YOUNG",M1126&lt;=54,"MIDDLE AGE",M1126&gt;=55,"OLD")</f>
        <v>MIDDLE AGE</v>
      </c>
      <c r="V1126" t="str">
        <f t="shared" si="71"/>
        <v>NORMAL</v>
      </c>
    </row>
    <row r="1127" spans="1:22" x14ac:dyDescent="0.35">
      <c r="A1127" t="s">
        <v>2791</v>
      </c>
      <c r="B1127" t="s">
        <v>1343</v>
      </c>
      <c r="C1127">
        <v>592.82000000000005</v>
      </c>
      <c r="D1127" s="1">
        <v>45183.726261574076</v>
      </c>
      <c r="E1127" s="2">
        <f t="shared" si="68"/>
        <v>0.72626157407648861</v>
      </c>
      <c r="F1127" s="3">
        <f t="shared" si="69"/>
        <v>45183</v>
      </c>
      <c r="G1127" t="s">
        <v>17</v>
      </c>
      <c r="H1127" t="s">
        <v>92</v>
      </c>
      <c r="I1127" t="s">
        <v>994</v>
      </c>
      <c r="J1127" t="s">
        <v>486</v>
      </c>
      <c r="K1127" t="s">
        <v>592</v>
      </c>
      <c r="L1127" t="s">
        <v>36</v>
      </c>
      <c r="M1127">
        <v>74</v>
      </c>
      <c r="N1127" t="s">
        <v>70</v>
      </c>
      <c r="O1127">
        <v>248</v>
      </c>
      <c r="P1127">
        <v>1</v>
      </c>
      <c r="Q1127">
        <v>7508.98</v>
      </c>
      <c r="R1127" s="4">
        <v>45600</v>
      </c>
      <c r="S1127" s="6">
        <v>0.34182870370370372</v>
      </c>
      <c r="T1127">
        <f t="shared" si="70"/>
        <v>17</v>
      </c>
      <c r="U1127" t="str" cm="1">
        <f t="array" ref="U1127">_xlfn.IFS(M1127&lt;=34,"YOUNG",M1127&lt;=54,"MIDDLE AGE",M1127&gt;=55,"OLD")</f>
        <v>OLD</v>
      </c>
      <c r="V1127" t="str">
        <f t="shared" si="71"/>
        <v>NORMAL</v>
      </c>
    </row>
    <row r="1128" spans="1:22" x14ac:dyDescent="0.35">
      <c r="A1128" t="s">
        <v>2792</v>
      </c>
      <c r="B1128" t="s">
        <v>25</v>
      </c>
      <c r="C1128">
        <v>372.5</v>
      </c>
      <c r="D1128" s="1">
        <v>45215.760972222219</v>
      </c>
      <c r="E1128" s="2">
        <f t="shared" si="68"/>
        <v>0.76097222221869742</v>
      </c>
      <c r="F1128" s="3">
        <f t="shared" si="69"/>
        <v>45215</v>
      </c>
      <c r="G1128" t="s">
        <v>17</v>
      </c>
      <c r="H1128" t="s">
        <v>80</v>
      </c>
      <c r="I1128" t="s">
        <v>1883</v>
      </c>
      <c r="J1128" t="s">
        <v>963</v>
      </c>
      <c r="K1128" t="s">
        <v>89</v>
      </c>
      <c r="L1128" t="s">
        <v>22</v>
      </c>
      <c r="M1128">
        <v>22</v>
      </c>
      <c r="N1128" t="s">
        <v>37</v>
      </c>
      <c r="O1128">
        <v>211</v>
      </c>
      <c r="P1128">
        <v>1</v>
      </c>
      <c r="Q1128">
        <v>3901.82</v>
      </c>
      <c r="R1128" s="4">
        <v>45600</v>
      </c>
      <c r="S1128" s="6">
        <v>0.34057870370370369</v>
      </c>
      <c r="T1128">
        <f t="shared" si="70"/>
        <v>18</v>
      </c>
      <c r="U1128" t="str" cm="1">
        <f t="array" ref="U1128">_xlfn.IFS(M1128&lt;=34,"YOUNG",M1128&lt;=54,"MIDDLE AGE",M1128&gt;=55,"OLD")</f>
        <v>YOUNG</v>
      </c>
      <c r="V1128" t="str">
        <f t="shared" si="71"/>
        <v>NORMAL</v>
      </c>
    </row>
    <row r="1129" spans="1:22" x14ac:dyDescent="0.35">
      <c r="A1129" t="s">
        <v>2793</v>
      </c>
      <c r="B1129" t="s">
        <v>1012</v>
      </c>
      <c r="C1129">
        <v>4.72</v>
      </c>
      <c r="D1129" s="1">
        <v>45033.669351851851</v>
      </c>
      <c r="E1129" s="2">
        <f t="shared" si="68"/>
        <v>0.66935185185138835</v>
      </c>
      <c r="F1129" s="3">
        <f t="shared" si="69"/>
        <v>45033</v>
      </c>
      <c r="G1129" t="s">
        <v>17</v>
      </c>
      <c r="H1129" t="s">
        <v>157</v>
      </c>
      <c r="I1129" t="s">
        <v>2794</v>
      </c>
      <c r="J1129" t="s">
        <v>583</v>
      </c>
      <c r="K1129" t="s">
        <v>267</v>
      </c>
      <c r="L1129" t="s">
        <v>69</v>
      </c>
      <c r="M1129">
        <v>32</v>
      </c>
      <c r="N1129" t="s">
        <v>77</v>
      </c>
      <c r="O1129">
        <v>20</v>
      </c>
      <c r="P1129">
        <v>1</v>
      </c>
      <c r="Q1129">
        <v>4792.01</v>
      </c>
      <c r="R1129" s="4">
        <v>45600</v>
      </c>
      <c r="S1129" s="6">
        <v>0.33990740740740738</v>
      </c>
      <c r="T1129">
        <f t="shared" si="70"/>
        <v>16</v>
      </c>
      <c r="U1129" t="str" cm="1">
        <f t="array" ref="U1129">_xlfn.IFS(M1129&lt;=34,"YOUNG",M1129&lt;=54,"MIDDLE AGE",M1129&gt;=55,"OLD")</f>
        <v>YOUNG</v>
      </c>
      <c r="V1129" t="str">
        <f t="shared" si="71"/>
        <v>NORMAL</v>
      </c>
    </row>
    <row r="1130" spans="1:22" x14ac:dyDescent="0.35">
      <c r="A1130" t="s">
        <v>2795</v>
      </c>
      <c r="B1130" t="s">
        <v>687</v>
      </c>
      <c r="C1130">
        <v>144.93</v>
      </c>
      <c r="D1130" s="1">
        <v>45062.688888888886</v>
      </c>
      <c r="E1130" s="2">
        <f t="shared" si="68"/>
        <v>0.68888888888614019</v>
      </c>
      <c r="F1130" s="3">
        <f t="shared" si="69"/>
        <v>45062</v>
      </c>
      <c r="G1130" t="s">
        <v>17</v>
      </c>
      <c r="H1130" t="s">
        <v>558</v>
      </c>
      <c r="I1130" t="s">
        <v>1050</v>
      </c>
      <c r="J1130" t="s">
        <v>747</v>
      </c>
      <c r="K1130" t="s">
        <v>482</v>
      </c>
      <c r="L1130" t="s">
        <v>69</v>
      </c>
      <c r="M1130">
        <v>42</v>
      </c>
      <c r="N1130" t="s">
        <v>77</v>
      </c>
      <c r="O1130">
        <v>74</v>
      </c>
      <c r="P1130">
        <v>1</v>
      </c>
      <c r="Q1130">
        <v>6887.52</v>
      </c>
      <c r="R1130" s="4">
        <v>45600</v>
      </c>
      <c r="S1130" s="6">
        <v>0.33979166666666666</v>
      </c>
      <c r="T1130">
        <f t="shared" si="70"/>
        <v>16</v>
      </c>
      <c r="U1130" t="str" cm="1">
        <f t="array" ref="U1130">_xlfn.IFS(M1130&lt;=34,"YOUNG",M1130&lt;=54,"MIDDLE AGE",M1130&gt;=55,"OLD")</f>
        <v>MIDDLE AGE</v>
      </c>
      <c r="V1130" t="str">
        <f t="shared" si="71"/>
        <v>NORMAL</v>
      </c>
    </row>
    <row r="1131" spans="1:22" x14ac:dyDescent="0.35">
      <c r="A1131" t="s">
        <v>2796</v>
      </c>
      <c r="B1131" t="s">
        <v>1501</v>
      </c>
      <c r="C1131">
        <v>316.56</v>
      </c>
      <c r="D1131" s="1">
        <v>45167.770995370367</v>
      </c>
      <c r="E1131" s="2">
        <f t="shared" si="68"/>
        <v>0.77099537036701804</v>
      </c>
      <c r="F1131" s="3">
        <f t="shared" si="69"/>
        <v>45167</v>
      </c>
      <c r="G1131" t="s">
        <v>17</v>
      </c>
      <c r="H1131" t="s">
        <v>114</v>
      </c>
      <c r="I1131" t="s">
        <v>1636</v>
      </c>
      <c r="J1131" t="s">
        <v>2051</v>
      </c>
      <c r="K1131" t="s">
        <v>29</v>
      </c>
      <c r="L1131" t="s">
        <v>36</v>
      </c>
      <c r="M1131">
        <v>28</v>
      </c>
      <c r="N1131" t="s">
        <v>77</v>
      </c>
      <c r="O1131">
        <v>261</v>
      </c>
      <c r="P1131">
        <v>1</v>
      </c>
      <c r="Q1131">
        <v>8643.51</v>
      </c>
      <c r="R1131" s="4">
        <v>45600</v>
      </c>
      <c r="S1131" s="6">
        <v>0.34024305555555556</v>
      </c>
      <c r="T1131">
        <f t="shared" si="70"/>
        <v>18</v>
      </c>
      <c r="U1131" t="str" cm="1">
        <f t="array" ref="U1131">_xlfn.IFS(M1131&lt;=34,"YOUNG",M1131&lt;=54,"MIDDLE AGE",M1131&gt;=55,"OLD")</f>
        <v>YOUNG</v>
      </c>
      <c r="V1131" t="str">
        <f t="shared" si="71"/>
        <v>NORMAL</v>
      </c>
    </row>
    <row r="1132" spans="1:22" x14ac:dyDescent="0.35">
      <c r="A1132" t="s">
        <v>2797</v>
      </c>
      <c r="B1132" t="s">
        <v>1179</v>
      </c>
      <c r="C1132">
        <v>9.18</v>
      </c>
      <c r="D1132" s="1">
        <v>45113.757627314815</v>
      </c>
      <c r="E1132" s="2">
        <f t="shared" si="68"/>
        <v>0.75762731481518131</v>
      </c>
      <c r="F1132" s="3">
        <f t="shared" si="69"/>
        <v>45113</v>
      </c>
      <c r="G1132" t="s">
        <v>17</v>
      </c>
      <c r="H1132" t="s">
        <v>212</v>
      </c>
      <c r="I1132" t="s">
        <v>1824</v>
      </c>
      <c r="J1132" t="s">
        <v>702</v>
      </c>
      <c r="K1132" t="s">
        <v>1287</v>
      </c>
      <c r="L1132" t="s">
        <v>36</v>
      </c>
      <c r="M1132">
        <v>22</v>
      </c>
      <c r="N1132" t="s">
        <v>37</v>
      </c>
      <c r="O1132">
        <v>140</v>
      </c>
      <c r="P1132">
        <v>1</v>
      </c>
      <c r="Q1132">
        <v>887.32</v>
      </c>
      <c r="R1132" s="4">
        <v>45600</v>
      </c>
      <c r="S1132" s="6">
        <v>0.34013888888888888</v>
      </c>
      <c r="T1132">
        <f t="shared" si="70"/>
        <v>18</v>
      </c>
      <c r="U1132" t="str" cm="1">
        <f t="array" ref="U1132">_xlfn.IFS(M1132&lt;=34,"YOUNG",M1132&lt;=54,"MIDDLE AGE",M1132&gt;=55,"OLD")</f>
        <v>YOUNG</v>
      </c>
      <c r="V1132" t="str">
        <f t="shared" si="71"/>
        <v>NORMAL</v>
      </c>
    </row>
    <row r="1133" spans="1:22" x14ac:dyDescent="0.35">
      <c r="A1133" t="s">
        <v>2798</v>
      </c>
      <c r="B1133" t="s">
        <v>1217</v>
      </c>
      <c r="C1133">
        <v>421.25</v>
      </c>
      <c r="D1133" s="1">
        <v>44931.676377314812</v>
      </c>
      <c r="E1133" s="2">
        <f t="shared" si="68"/>
        <v>0.67637731481227092</v>
      </c>
      <c r="F1133" s="3">
        <f t="shared" si="69"/>
        <v>44931</v>
      </c>
      <c r="G1133" t="s">
        <v>17</v>
      </c>
      <c r="H1133" t="s">
        <v>157</v>
      </c>
      <c r="I1133" t="s">
        <v>1622</v>
      </c>
      <c r="J1133" t="s">
        <v>2588</v>
      </c>
      <c r="K1133" t="s">
        <v>83</v>
      </c>
      <c r="L1133" t="s">
        <v>36</v>
      </c>
      <c r="M1133">
        <v>25</v>
      </c>
      <c r="N1133" t="s">
        <v>37</v>
      </c>
      <c r="O1133">
        <v>66</v>
      </c>
      <c r="P1133">
        <v>1</v>
      </c>
      <c r="Q1133">
        <v>7174.69</v>
      </c>
      <c r="R1133" s="4">
        <v>45600</v>
      </c>
      <c r="S1133" s="6">
        <v>0.33872685185185186</v>
      </c>
      <c r="T1133">
        <f t="shared" si="70"/>
        <v>16</v>
      </c>
      <c r="U1133" t="str" cm="1">
        <f t="array" ref="U1133">_xlfn.IFS(M1133&lt;=34,"YOUNG",M1133&lt;=54,"MIDDLE AGE",M1133&gt;=55,"OLD")</f>
        <v>YOUNG</v>
      </c>
      <c r="V1133" t="str">
        <f t="shared" si="71"/>
        <v>NORMAL</v>
      </c>
    </row>
    <row r="1134" spans="1:22" x14ac:dyDescent="0.35">
      <c r="A1134" t="s">
        <v>2799</v>
      </c>
      <c r="B1134" t="s">
        <v>429</v>
      </c>
      <c r="C1134">
        <v>185.71</v>
      </c>
      <c r="D1134" s="1">
        <v>45145.677268518521</v>
      </c>
      <c r="E1134" s="2">
        <f t="shared" si="68"/>
        <v>0.67726851852057735</v>
      </c>
      <c r="F1134" s="3">
        <f t="shared" si="69"/>
        <v>45145</v>
      </c>
      <c r="G1134" t="s">
        <v>17</v>
      </c>
      <c r="H1134" t="s">
        <v>301</v>
      </c>
      <c r="I1134" t="s">
        <v>637</v>
      </c>
      <c r="J1134" t="s">
        <v>1518</v>
      </c>
      <c r="K1134" t="s">
        <v>820</v>
      </c>
      <c r="L1134" t="s">
        <v>69</v>
      </c>
      <c r="M1134">
        <v>48</v>
      </c>
      <c r="N1134" t="s">
        <v>77</v>
      </c>
      <c r="O1134">
        <v>194</v>
      </c>
      <c r="P1134">
        <v>1</v>
      </c>
      <c r="Q1134">
        <v>2679.91</v>
      </c>
      <c r="R1134" s="4">
        <v>45600</v>
      </c>
      <c r="S1134" s="6">
        <v>0.34005787037037039</v>
      </c>
      <c r="T1134">
        <f t="shared" si="70"/>
        <v>16</v>
      </c>
      <c r="U1134" t="str" cm="1">
        <f t="array" ref="U1134">_xlfn.IFS(M1134&lt;=34,"YOUNG",M1134&lt;=54,"MIDDLE AGE",M1134&gt;=55,"OLD")</f>
        <v>MIDDLE AGE</v>
      </c>
      <c r="V1134" t="str">
        <f t="shared" si="71"/>
        <v>NORMAL</v>
      </c>
    </row>
    <row r="1135" spans="1:22" x14ac:dyDescent="0.35">
      <c r="A1135" t="s">
        <v>2800</v>
      </c>
      <c r="B1135" t="s">
        <v>151</v>
      </c>
      <c r="C1135">
        <v>1432.02</v>
      </c>
      <c r="D1135" s="1">
        <v>45177.743159722224</v>
      </c>
      <c r="E1135" s="2">
        <f t="shared" si="68"/>
        <v>0.74315972222393611</v>
      </c>
      <c r="F1135" s="3">
        <f t="shared" si="69"/>
        <v>45177</v>
      </c>
      <c r="G1135" t="s">
        <v>17</v>
      </c>
      <c r="H1135" t="s">
        <v>108</v>
      </c>
      <c r="I1135" t="s">
        <v>1141</v>
      </c>
      <c r="J1135" t="s">
        <v>2346</v>
      </c>
      <c r="K1135" t="s">
        <v>427</v>
      </c>
      <c r="L1135" t="s">
        <v>69</v>
      </c>
      <c r="M1135">
        <v>60</v>
      </c>
      <c r="N1135" t="s">
        <v>70</v>
      </c>
      <c r="O1135">
        <v>138</v>
      </c>
      <c r="P1135">
        <v>1</v>
      </c>
      <c r="Q1135">
        <v>4315.07</v>
      </c>
      <c r="R1135" s="4">
        <v>45600</v>
      </c>
      <c r="S1135" s="6">
        <v>0.34</v>
      </c>
      <c r="T1135">
        <f t="shared" si="70"/>
        <v>17</v>
      </c>
      <c r="U1135" t="str" cm="1">
        <f t="array" ref="U1135">_xlfn.IFS(M1135&lt;=34,"YOUNG",M1135&lt;=54,"MIDDLE AGE",M1135&gt;=55,"OLD")</f>
        <v>OLD</v>
      </c>
      <c r="V1135" t="str">
        <f t="shared" si="71"/>
        <v>NORMAL</v>
      </c>
    </row>
    <row r="1136" spans="1:22" x14ac:dyDescent="0.35">
      <c r="A1136" t="s">
        <v>2801</v>
      </c>
      <c r="B1136" t="s">
        <v>2802</v>
      </c>
      <c r="C1136">
        <v>26.27</v>
      </c>
      <c r="D1136" s="1">
        <v>45002.682546296295</v>
      </c>
      <c r="E1136" s="2">
        <f t="shared" si="68"/>
        <v>0.68254629629518604</v>
      </c>
      <c r="F1136" s="3">
        <f t="shared" si="69"/>
        <v>45002</v>
      </c>
      <c r="G1136" t="s">
        <v>46</v>
      </c>
      <c r="H1136" t="s">
        <v>595</v>
      </c>
      <c r="I1136" t="s">
        <v>1135</v>
      </c>
      <c r="J1136" t="s">
        <v>940</v>
      </c>
      <c r="K1136" t="s">
        <v>1562</v>
      </c>
      <c r="L1136" t="s">
        <v>36</v>
      </c>
      <c r="M1136">
        <v>45</v>
      </c>
      <c r="N1136" t="s">
        <v>77</v>
      </c>
      <c r="O1136">
        <v>177</v>
      </c>
      <c r="P1136">
        <v>1</v>
      </c>
      <c r="Q1136">
        <v>8853.93</v>
      </c>
      <c r="R1136" s="4">
        <v>45600</v>
      </c>
      <c r="S1136" s="6">
        <v>0.34052083333333333</v>
      </c>
      <c r="T1136">
        <f t="shared" si="70"/>
        <v>16</v>
      </c>
      <c r="U1136" t="str" cm="1">
        <f t="array" ref="U1136">_xlfn.IFS(M1136&lt;=34,"YOUNG",M1136&lt;=54,"MIDDLE AGE",M1136&gt;=55,"OLD")</f>
        <v>MIDDLE AGE</v>
      </c>
      <c r="V1136" t="str">
        <f t="shared" si="71"/>
        <v>NORMAL</v>
      </c>
    </row>
    <row r="1137" spans="1:22" x14ac:dyDescent="0.35">
      <c r="A1137" t="s">
        <v>2803</v>
      </c>
      <c r="B1137" t="s">
        <v>1200</v>
      </c>
      <c r="C1137">
        <v>297.02999999999997</v>
      </c>
      <c r="D1137" s="1">
        <v>45177.714236111111</v>
      </c>
      <c r="E1137" s="2">
        <f t="shared" si="68"/>
        <v>0.71423611111094942</v>
      </c>
      <c r="F1137" s="3">
        <f t="shared" si="69"/>
        <v>45177</v>
      </c>
      <c r="G1137" t="s">
        <v>17</v>
      </c>
      <c r="H1137" t="s">
        <v>119</v>
      </c>
      <c r="I1137" t="s">
        <v>1950</v>
      </c>
      <c r="J1137" t="s">
        <v>739</v>
      </c>
      <c r="K1137" t="s">
        <v>576</v>
      </c>
      <c r="L1137" t="s">
        <v>36</v>
      </c>
      <c r="M1137">
        <v>61</v>
      </c>
      <c r="N1137" t="s">
        <v>70</v>
      </c>
      <c r="O1137">
        <v>151</v>
      </c>
      <c r="P1137">
        <v>1</v>
      </c>
      <c r="Q1137">
        <v>1088.6199999999999</v>
      </c>
      <c r="R1137" s="4">
        <v>45600</v>
      </c>
      <c r="S1137" s="6">
        <v>0.34039351851851851</v>
      </c>
      <c r="T1137">
        <f t="shared" si="70"/>
        <v>17</v>
      </c>
      <c r="U1137" t="str" cm="1">
        <f t="array" ref="U1137">_xlfn.IFS(M1137&lt;=34,"YOUNG",M1137&lt;=54,"MIDDLE AGE",M1137&gt;=55,"OLD")</f>
        <v>OLD</v>
      </c>
      <c r="V1137" t="str">
        <f t="shared" si="71"/>
        <v>NORMAL</v>
      </c>
    </row>
    <row r="1138" spans="1:22" x14ac:dyDescent="0.35">
      <c r="A1138" t="s">
        <v>2804</v>
      </c>
      <c r="B1138" t="s">
        <v>1992</v>
      </c>
      <c r="C1138">
        <v>341.67</v>
      </c>
      <c r="D1138" s="1">
        <v>44991.698194444441</v>
      </c>
      <c r="E1138" s="2">
        <f t="shared" si="68"/>
        <v>0.69819444444146939</v>
      </c>
      <c r="F1138" s="3">
        <f t="shared" si="69"/>
        <v>44991</v>
      </c>
      <c r="G1138" t="s">
        <v>17</v>
      </c>
      <c r="H1138" t="s">
        <v>296</v>
      </c>
      <c r="I1138" t="s">
        <v>1543</v>
      </c>
      <c r="J1138" t="s">
        <v>1968</v>
      </c>
      <c r="K1138" t="s">
        <v>980</v>
      </c>
      <c r="L1138" t="s">
        <v>69</v>
      </c>
      <c r="M1138">
        <v>53</v>
      </c>
      <c r="N1138" t="s">
        <v>70</v>
      </c>
      <c r="O1138">
        <v>96</v>
      </c>
      <c r="P1138">
        <v>5</v>
      </c>
      <c r="Q1138">
        <v>1442.29</v>
      </c>
      <c r="R1138" s="4">
        <v>45600</v>
      </c>
      <c r="S1138" s="6">
        <v>0.33961805555555558</v>
      </c>
      <c r="T1138">
        <f t="shared" si="70"/>
        <v>16</v>
      </c>
      <c r="U1138" t="str" cm="1">
        <f t="array" ref="U1138">_xlfn.IFS(M1138&lt;=34,"YOUNG",M1138&lt;=54,"MIDDLE AGE",M1138&gt;=55,"OLD")</f>
        <v>MIDDLE AGE</v>
      </c>
      <c r="V1138" t="str">
        <f t="shared" si="71"/>
        <v>HIGH</v>
      </c>
    </row>
    <row r="1139" spans="1:22" x14ac:dyDescent="0.35">
      <c r="A1139" t="s">
        <v>2805</v>
      </c>
      <c r="B1139" t="s">
        <v>1760</v>
      </c>
      <c r="C1139">
        <v>99.52</v>
      </c>
      <c r="D1139" s="1">
        <v>45026.742407407408</v>
      </c>
      <c r="E1139" s="2">
        <f t="shared" si="68"/>
        <v>0.74240740740788169</v>
      </c>
      <c r="F1139" s="3">
        <f t="shared" si="69"/>
        <v>45026</v>
      </c>
      <c r="G1139" t="s">
        <v>17</v>
      </c>
      <c r="H1139" t="s">
        <v>18</v>
      </c>
      <c r="I1139" t="s">
        <v>2806</v>
      </c>
      <c r="J1139" t="s">
        <v>1170</v>
      </c>
      <c r="K1139" t="s">
        <v>160</v>
      </c>
      <c r="L1139" t="s">
        <v>22</v>
      </c>
      <c r="M1139">
        <v>52</v>
      </c>
      <c r="N1139" t="s">
        <v>77</v>
      </c>
      <c r="O1139">
        <v>127</v>
      </c>
      <c r="P1139">
        <v>1</v>
      </c>
      <c r="Q1139">
        <v>3798.09</v>
      </c>
      <c r="R1139" s="4">
        <v>45600</v>
      </c>
      <c r="S1139" s="6">
        <v>0.34143518518518517</v>
      </c>
      <c r="T1139">
        <f t="shared" si="70"/>
        <v>17</v>
      </c>
      <c r="U1139" t="str" cm="1">
        <f t="array" ref="U1139">_xlfn.IFS(M1139&lt;=34,"YOUNG",M1139&lt;=54,"MIDDLE AGE",M1139&gt;=55,"OLD")</f>
        <v>MIDDLE AGE</v>
      </c>
      <c r="V1139" t="str">
        <f t="shared" si="71"/>
        <v>NORMAL</v>
      </c>
    </row>
    <row r="1140" spans="1:22" x14ac:dyDescent="0.35">
      <c r="A1140" t="s">
        <v>2807</v>
      </c>
      <c r="B1140" t="s">
        <v>876</v>
      </c>
      <c r="C1140">
        <v>881.1</v>
      </c>
      <c r="D1140" s="1">
        <v>45243.698680555557</v>
      </c>
      <c r="E1140" s="2">
        <f t="shared" si="68"/>
        <v>0.69868055555707542</v>
      </c>
      <c r="F1140" s="3">
        <f t="shared" si="69"/>
        <v>45243</v>
      </c>
      <c r="G1140" t="s">
        <v>17</v>
      </c>
      <c r="H1140" t="s">
        <v>425</v>
      </c>
      <c r="I1140" t="s">
        <v>109</v>
      </c>
      <c r="J1140" t="s">
        <v>1751</v>
      </c>
      <c r="K1140" t="s">
        <v>482</v>
      </c>
      <c r="L1140" t="s">
        <v>69</v>
      </c>
      <c r="M1140">
        <v>28</v>
      </c>
      <c r="N1140" t="s">
        <v>37</v>
      </c>
      <c r="O1140">
        <v>16</v>
      </c>
      <c r="P1140">
        <v>1</v>
      </c>
      <c r="Q1140">
        <v>9951.68</v>
      </c>
      <c r="R1140" s="4">
        <v>45600</v>
      </c>
      <c r="S1140" s="6">
        <v>0.33900462962962963</v>
      </c>
      <c r="T1140">
        <f t="shared" si="70"/>
        <v>16</v>
      </c>
      <c r="U1140" t="str" cm="1">
        <f t="array" ref="U1140">_xlfn.IFS(M1140&lt;=34,"YOUNG",M1140&lt;=54,"MIDDLE AGE",M1140&gt;=55,"OLD")</f>
        <v>YOUNG</v>
      </c>
      <c r="V1140" t="str">
        <f t="shared" si="71"/>
        <v>NORMAL</v>
      </c>
    </row>
    <row r="1141" spans="1:22" x14ac:dyDescent="0.35">
      <c r="A1141" t="s">
        <v>2808</v>
      </c>
      <c r="B1141" t="s">
        <v>1736</v>
      </c>
      <c r="C1141">
        <v>139.69</v>
      </c>
      <c r="D1141" s="1">
        <v>45092.724097222221</v>
      </c>
      <c r="E1141" s="2">
        <f t="shared" si="68"/>
        <v>0.72409722222073469</v>
      </c>
      <c r="F1141" s="3">
        <f t="shared" si="69"/>
        <v>45092</v>
      </c>
      <c r="G1141" t="s">
        <v>17</v>
      </c>
      <c r="H1141" t="s">
        <v>65</v>
      </c>
      <c r="I1141" t="s">
        <v>2809</v>
      </c>
      <c r="J1141" t="s">
        <v>828</v>
      </c>
      <c r="K1141" t="s">
        <v>105</v>
      </c>
      <c r="L1141" t="s">
        <v>36</v>
      </c>
      <c r="M1141">
        <v>52</v>
      </c>
      <c r="N1141" t="s">
        <v>77</v>
      </c>
      <c r="O1141">
        <v>180</v>
      </c>
      <c r="P1141">
        <v>1</v>
      </c>
      <c r="Q1141">
        <v>9567.94</v>
      </c>
      <c r="R1141" s="4">
        <v>45600</v>
      </c>
      <c r="S1141" s="6">
        <v>0.33884259259259258</v>
      </c>
      <c r="T1141">
        <f t="shared" si="70"/>
        <v>17</v>
      </c>
      <c r="U1141" t="str" cm="1">
        <f t="array" ref="U1141">_xlfn.IFS(M1141&lt;=34,"YOUNG",M1141&lt;=54,"MIDDLE AGE",M1141&gt;=55,"OLD")</f>
        <v>MIDDLE AGE</v>
      </c>
      <c r="V1141" t="str">
        <f t="shared" si="71"/>
        <v>NORMAL</v>
      </c>
    </row>
    <row r="1142" spans="1:22" x14ac:dyDescent="0.35">
      <c r="A1142" t="s">
        <v>2810</v>
      </c>
      <c r="B1142" t="s">
        <v>1240</v>
      </c>
      <c r="C1142">
        <v>42.72</v>
      </c>
      <c r="D1142" s="1">
        <v>45155.704976851855</v>
      </c>
      <c r="E1142" s="2">
        <f t="shared" si="68"/>
        <v>0.70497685185546288</v>
      </c>
      <c r="F1142" s="3">
        <f t="shared" si="69"/>
        <v>45155</v>
      </c>
      <c r="G1142" t="s">
        <v>17</v>
      </c>
      <c r="H1142" t="s">
        <v>80</v>
      </c>
      <c r="I1142" t="s">
        <v>2811</v>
      </c>
      <c r="J1142" t="s">
        <v>276</v>
      </c>
      <c r="K1142" t="s">
        <v>353</v>
      </c>
      <c r="L1142" t="s">
        <v>22</v>
      </c>
      <c r="M1142">
        <v>37</v>
      </c>
      <c r="N1142" t="s">
        <v>77</v>
      </c>
      <c r="O1142">
        <v>143</v>
      </c>
      <c r="P1142">
        <v>1</v>
      </c>
      <c r="Q1142">
        <v>2669.66</v>
      </c>
      <c r="R1142" s="4">
        <v>45600</v>
      </c>
      <c r="S1142" s="6">
        <v>0.33818287037037037</v>
      </c>
      <c r="T1142">
        <f t="shared" si="70"/>
        <v>16</v>
      </c>
      <c r="U1142" t="str" cm="1">
        <f t="array" ref="U1142">_xlfn.IFS(M1142&lt;=34,"YOUNG",M1142&lt;=54,"MIDDLE AGE",M1142&gt;=55,"OLD")</f>
        <v>MIDDLE AGE</v>
      </c>
      <c r="V1142" t="str">
        <f t="shared" si="71"/>
        <v>NORMAL</v>
      </c>
    </row>
    <row r="1143" spans="1:22" x14ac:dyDescent="0.35">
      <c r="A1143" t="s">
        <v>2812</v>
      </c>
      <c r="B1143" t="s">
        <v>162</v>
      </c>
      <c r="C1143">
        <v>112.72</v>
      </c>
      <c r="D1143" s="1">
        <v>45012.690486111111</v>
      </c>
      <c r="E1143" s="2">
        <f t="shared" si="68"/>
        <v>0.69048611111065838</v>
      </c>
      <c r="F1143" s="3">
        <f t="shared" si="69"/>
        <v>45012</v>
      </c>
      <c r="G1143" t="s">
        <v>17</v>
      </c>
      <c r="H1143" t="s">
        <v>453</v>
      </c>
      <c r="I1143" t="s">
        <v>1362</v>
      </c>
      <c r="J1143" t="s">
        <v>1845</v>
      </c>
      <c r="K1143" t="s">
        <v>165</v>
      </c>
      <c r="L1143" t="s">
        <v>69</v>
      </c>
      <c r="M1143">
        <v>31</v>
      </c>
      <c r="N1143" t="s">
        <v>23</v>
      </c>
      <c r="O1143">
        <v>17</v>
      </c>
      <c r="P1143">
        <v>1</v>
      </c>
      <c r="Q1143">
        <v>9630</v>
      </c>
      <c r="R1143" s="4">
        <v>45600</v>
      </c>
      <c r="S1143" s="6">
        <v>0.34188657407407408</v>
      </c>
      <c r="T1143">
        <f t="shared" si="70"/>
        <v>16</v>
      </c>
      <c r="U1143" t="str" cm="1">
        <f t="array" ref="U1143">_xlfn.IFS(M1143&lt;=34,"YOUNG",M1143&lt;=54,"MIDDLE AGE",M1143&gt;=55,"OLD")</f>
        <v>YOUNG</v>
      </c>
      <c r="V1143" t="str">
        <f t="shared" si="71"/>
        <v>NORMAL</v>
      </c>
    </row>
    <row r="1144" spans="1:22" x14ac:dyDescent="0.35">
      <c r="A1144" t="s">
        <v>2813</v>
      </c>
      <c r="B1144" t="s">
        <v>756</v>
      </c>
      <c r="C1144">
        <v>568.88</v>
      </c>
      <c r="D1144" s="1">
        <v>44967.686655092592</v>
      </c>
      <c r="E1144" s="2">
        <f t="shared" si="68"/>
        <v>0.68665509259153623</v>
      </c>
      <c r="F1144" s="3">
        <f t="shared" si="69"/>
        <v>44967</v>
      </c>
      <c r="G1144" t="s">
        <v>17</v>
      </c>
      <c r="H1144" t="s">
        <v>80</v>
      </c>
      <c r="I1144" t="s">
        <v>502</v>
      </c>
      <c r="J1144" t="s">
        <v>88</v>
      </c>
      <c r="K1144" t="s">
        <v>592</v>
      </c>
      <c r="L1144" t="s">
        <v>69</v>
      </c>
      <c r="M1144">
        <v>19</v>
      </c>
      <c r="N1144" t="s">
        <v>37</v>
      </c>
      <c r="O1144">
        <v>105</v>
      </c>
      <c r="P1144">
        <v>1</v>
      </c>
      <c r="Q1144">
        <v>1307.8599999999999</v>
      </c>
      <c r="R1144" s="4">
        <v>45600</v>
      </c>
      <c r="S1144" s="6">
        <v>0.33928240740740739</v>
      </c>
      <c r="T1144">
        <f t="shared" si="70"/>
        <v>16</v>
      </c>
      <c r="U1144" t="str" cm="1">
        <f t="array" ref="U1144">_xlfn.IFS(M1144&lt;=34,"YOUNG",M1144&lt;=54,"MIDDLE AGE",M1144&gt;=55,"OLD")</f>
        <v>YOUNG</v>
      </c>
      <c r="V1144" t="str">
        <f t="shared" si="71"/>
        <v>NORMAL</v>
      </c>
    </row>
    <row r="1145" spans="1:22" x14ac:dyDescent="0.35">
      <c r="A1145" t="s">
        <v>2814</v>
      </c>
      <c r="B1145" t="s">
        <v>817</v>
      </c>
      <c r="C1145">
        <v>189.03</v>
      </c>
      <c r="D1145" s="1">
        <v>45036.745949074073</v>
      </c>
      <c r="E1145" s="2">
        <f t="shared" si="68"/>
        <v>0.74594907407299615</v>
      </c>
      <c r="F1145" s="3">
        <f t="shared" si="69"/>
        <v>45036</v>
      </c>
      <c r="G1145" t="s">
        <v>17</v>
      </c>
      <c r="H1145" t="s">
        <v>53</v>
      </c>
      <c r="I1145" t="s">
        <v>2428</v>
      </c>
      <c r="J1145" t="s">
        <v>2268</v>
      </c>
      <c r="K1145" t="s">
        <v>246</v>
      </c>
      <c r="L1145" t="s">
        <v>22</v>
      </c>
      <c r="M1145">
        <v>28</v>
      </c>
      <c r="N1145" t="s">
        <v>37</v>
      </c>
      <c r="O1145">
        <v>50</v>
      </c>
      <c r="P1145">
        <v>1</v>
      </c>
      <c r="Q1145">
        <v>1916.46</v>
      </c>
      <c r="R1145" s="4">
        <v>45600</v>
      </c>
      <c r="S1145" s="6">
        <v>0.33966435185185184</v>
      </c>
      <c r="T1145">
        <f t="shared" si="70"/>
        <v>17</v>
      </c>
      <c r="U1145" t="str" cm="1">
        <f t="array" ref="U1145">_xlfn.IFS(M1145&lt;=34,"YOUNG",M1145&lt;=54,"MIDDLE AGE",M1145&gt;=55,"OLD")</f>
        <v>YOUNG</v>
      </c>
      <c r="V1145" t="str">
        <f t="shared" si="71"/>
        <v>NORMAL</v>
      </c>
    </row>
    <row r="1146" spans="1:22" x14ac:dyDescent="0.35">
      <c r="A1146" t="s">
        <v>2815</v>
      </c>
      <c r="B1146" t="s">
        <v>1313</v>
      </c>
      <c r="C1146">
        <v>199.8</v>
      </c>
      <c r="D1146" s="1">
        <v>45131.679745370369</v>
      </c>
      <c r="E1146" s="2">
        <f t="shared" si="68"/>
        <v>0.67974537036934635</v>
      </c>
      <c r="F1146" s="3">
        <f t="shared" si="69"/>
        <v>45131</v>
      </c>
      <c r="G1146" t="s">
        <v>17</v>
      </c>
      <c r="H1146" t="s">
        <v>73</v>
      </c>
      <c r="I1146" t="s">
        <v>2401</v>
      </c>
      <c r="J1146" t="s">
        <v>2071</v>
      </c>
      <c r="K1146" t="s">
        <v>858</v>
      </c>
      <c r="L1146" t="s">
        <v>22</v>
      </c>
      <c r="M1146">
        <v>20</v>
      </c>
      <c r="N1146" t="s">
        <v>37</v>
      </c>
      <c r="O1146">
        <v>163</v>
      </c>
      <c r="P1146">
        <v>1</v>
      </c>
      <c r="Q1146">
        <v>167.28</v>
      </c>
      <c r="R1146" s="4">
        <v>45600</v>
      </c>
      <c r="S1146" s="6">
        <v>0.34136574074074072</v>
      </c>
      <c r="T1146">
        <f t="shared" si="70"/>
        <v>16</v>
      </c>
      <c r="U1146" t="str" cm="1">
        <f t="array" ref="U1146">_xlfn.IFS(M1146&lt;=34,"YOUNG",M1146&lt;=54,"MIDDLE AGE",M1146&gt;=55,"OLD")</f>
        <v>YOUNG</v>
      </c>
      <c r="V1146" t="str">
        <f t="shared" si="71"/>
        <v>NORMAL</v>
      </c>
    </row>
    <row r="1147" spans="1:22" x14ac:dyDescent="0.35">
      <c r="A1147" t="s">
        <v>2816</v>
      </c>
      <c r="B1147" t="s">
        <v>328</v>
      </c>
      <c r="C1147">
        <v>189.08</v>
      </c>
      <c r="D1147" s="1">
        <v>44998.675844907404</v>
      </c>
      <c r="E1147" s="2">
        <f t="shared" si="68"/>
        <v>0.67584490740409819</v>
      </c>
      <c r="F1147" s="3">
        <f t="shared" si="69"/>
        <v>44998</v>
      </c>
      <c r="G1147" t="s">
        <v>17</v>
      </c>
      <c r="H1147" t="s">
        <v>172</v>
      </c>
      <c r="I1147" t="s">
        <v>1108</v>
      </c>
      <c r="J1147" t="s">
        <v>1298</v>
      </c>
      <c r="K1147" t="s">
        <v>1349</v>
      </c>
      <c r="L1147" t="s">
        <v>69</v>
      </c>
      <c r="M1147">
        <v>68</v>
      </c>
      <c r="N1147" t="s">
        <v>23</v>
      </c>
      <c r="O1147">
        <v>238</v>
      </c>
      <c r="P1147">
        <v>1</v>
      </c>
      <c r="Q1147">
        <v>10790.8</v>
      </c>
      <c r="R1147" s="4">
        <v>45600</v>
      </c>
      <c r="S1147" s="6">
        <v>0.33944444444444444</v>
      </c>
      <c r="T1147">
        <f t="shared" si="70"/>
        <v>16</v>
      </c>
      <c r="U1147" t="str" cm="1">
        <f t="array" ref="U1147">_xlfn.IFS(M1147&lt;=34,"YOUNG",M1147&lt;=54,"MIDDLE AGE",M1147&gt;=55,"OLD")</f>
        <v>OLD</v>
      </c>
      <c r="V1147" t="str">
        <f t="shared" si="71"/>
        <v>NORMAL</v>
      </c>
    </row>
    <row r="1148" spans="1:22" x14ac:dyDescent="0.35">
      <c r="A1148" t="s">
        <v>2817</v>
      </c>
      <c r="B1148" t="s">
        <v>540</v>
      </c>
      <c r="C1148">
        <v>958.9</v>
      </c>
      <c r="D1148" s="1">
        <v>45111.687673611108</v>
      </c>
      <c r="E1148" s="2">
        <f t="shared" si="68"/>
        <v>0.68767361110803904</v>
      </c>
      <c r="F1148" s="3">
        <f t="shared" si="69"/>
        <v>45111</v>
      </c>
      <c r="G1148" t="s">
        <v>17</v>
      </c>
      <c r="H1148" t="s">
        <v>92</v>
      </c>
      <c r="I1148" t="s">
        <v>936</v>
      </c>
      <c r="J1148" t="s">
        <v>2094</v>
      </c>
      <c r="K1148" t="s">
        <v>348</v>
      </c>
      <c r="L1148" t="s">
        <v>69</v>
      </c>
      <c r="M1148">
        <v>31</v>
      </c>
      <c r="N1148" t="s">
        <v>77</v>
      </c>
      <c r="O1148">
        <v>135</v>
      </c>
      <c r="P1148">
        <v>1</v>
      </c>
      <c r="Q1148">
        <v>9977.49</v>
      </c>
      <c r="R1148" s="4">
        <v>45600</v>
      </c>
      <c r="S1148" s="6">
        <v>0.33814814814814814</v>
      </c>
      <c r="T1148">
        <f t="shared" si="70"/>
        <v>16</v>
      </c>
      <c r="U1148" t="str" cm="1">
        <f t="array" ref="U1148">_xlfn.IFS(M1148&lt;=34,"YOUNG",M1148&lt;=54,"MIDDLE AGE",M1148&gt;=55,"OLD")</f>
        <v>YOUNG</v>
      </c>
      <c r="V1148" t="str">
        <f t="shared" si="71"/>
        <v>NORMAL</v>
      </c>
    </row>
    <row r="1149" spans="1:22" x14ac:dyDescent="0.35">
      <c r="A1149" t="s">
        <v>2818</v>
      </c>
      <c r="B1149" t="s">
        <v>1688</v>
      </c>
      <c r="C1149">
        <v>409.59</v>
      </c>
      <c r="D1149" s="1">
        <v>45005.672349537039</v>
      </c>
      <c r="E1149" s="2">
        <f t="shared" si="68"/>
        <v>0.67234953703882638</v>
      </c>
      <c r="F1149" s="3">
        <f t="shared" si="69"/>
        <v>45005</v>
      </c>
      <c r="G1149" t="s">
        <v>17</v>
      </c>
      <c r="H1149" t="s">
        <v>86</v>
      </c>
      <c r="I1149" t="s">
        <v>1588</v>
      </c>
      <c r="J1149" t="s">
        <v>2465</v>
      </c>
      <c r="K1149" t="s">
        <v>564</v>
      </c>
      <c r="L1149" t="s">
        <v>36</v>
      </c>
      <c r="M1149">
        <v>35</v>
      </c>
      <c r="N1149" t="s">
        <v>23</v>
      </c>
      <c r="O1149">
        <v>50</v>
      </c>
      <c r="P1149">
        <v>1</v>
      </c>
      <c r="Q1149">
        <v>14563.02</v>
      </c>
      <c r="R1149" s="4">
        <v>45600</v>
      </c>
      <c r="S1149" s="6">
        <v>0.34126157407407409</v>
      </c>
      <c r="T1149">
        <f t="shared" si="70"/>
        <v>16</v>
      </c>
      <c r="U1149" t="str" cm="1">
        <f t="array" ref="U1149">_xlfn.IFS(M1149&lt;=34,"YOUNG",M1149&lt;=54,"MIDDLE AGE",M1149&gt;=55,"OLD")</f>
        <v>MIDDLE AGE</v>
      </c>
      <c r="V1149" t="str">
        <f t="shared" si="71"/>
        <v>NORMAL</v>
      </c>
    </row>
    <row r="1150" spans="1:22" x14ac:dyDescent="0.35">
      <c r="A1150" t="s">
        <v>2819</v>
      </c>
      <c r="B1150" t="s">
        <v>2481</v>
      </c>
      <c r="C1150">
        <v>349.34</v>
      </c>
      <c r="D1150" s="1">
        <v>44935.703761574077</v>
      </c>
      <c r="E1150" s="2">
        <f t="shared" si="68"/>
        <v>0.70376157407736173</v>
      </c>
      <c r="F1150" s="3">
        <f t="shared" si="69"/>
        <v>44935</v>
      </c>
      <c r="G1150" t="s">
        <v>46</v>
      </c>
      <c r="H1150" t="s">
        <v>65</v>
      </c>
      <c r="I1150" t="s">
        <v>1340</v>
      </c>
      <c r="J1150" t="s">
        <v>2820</v>
      </c>
      <c r="K1150" t="s">
        <v>478</v>
      </c>
      <c r="L1150" t="s">
        <v>22</v>
      </c>
      <c r="M1150">
        <v>28</v>
      </c>
      <c r="N1150" t="s">
        <v>37</v>
      </c>
      <c r="O1150">
        <v>245</v>
      </c>
      <c r="P1150">
        <v>1</v>
      </c>
      <c r="Q1150">
        <v>614.14</v>
      </c>
      <c r="R1150" s="4">
        <v>45600</v>
      </c>
      <c r="S1150" s="6">
        <v>0.34061342592592592</v>
      </c>
      <c r="T1150">
        <f t="shared" si="70"/>
        <v>16</v>
      </c>
      <c r="U1150" t="str" cm="1">
        <f t="array" ref="U1150">_xlfn.IFS(M1150&lt;=34,"YOUNG",M1150&lt;=54,"MIDDLE AGE",M1150&gt;=55,"OLD")</f>
        <v>YOUNG</v>
      </c>
      <c r="V1150" t="str">
        <f t="shared" si="71"/>
        <v>NORMAL</v>
      </c>
    </row>
    <row r="1151" spans="1:22" x14ac:dyDescent="0.35">
      <c r="A1151" t="s">
        <v>2821</v>
      </c>
      <c r="B1151" t="s">
        <v>2500</v>
      </c>
      <c r="C1151">
        <v>283.14999999999998</v>
      </c>
      <c r="D1151" s="1">
        <v>45149.688692129632</v>
      </c>
      <c r="E1151" s="2">
        <f t="shared" si="68"/>
        <v>0.68869212963181781</v>
      </c>
      <c r="F1151" s="3">
        <f t="shared" si="69"/>
        <v>45149</v>
      </c>
      <c r="G1151" t="s">
        <v>17</v>
      </c>
      <c r="H1151" t="s">
        <v>197</v>
      </c>
      <c r="I1151" t="s">
        <v>1152</v>
      </c>
      <c r="J1151" t="s">
        <v>2822</v>
      </c>
      <c r="K1151" t="s">
        <v>548</v>
      </c>
      <c r="L1151" t="s">
        <v>36</v>
      </c>
      <c r="M1151">
        <v>24</v>
      </c>
      <c r="N1151" t="s">
        <v>37</v>
      </c>
      <c r="O1151">
        <v>180</v>
      </c>
      <c r="P1151">
        <v>1</v>
      </c>
      <c r="Q1151">
        <v>603.79</v>
      </c>
      <c r="R1151" s="4">
        <v>45600</v>
      </c>
      <c r="S1151" s="6">
        <v>0.34115740740740741</v>
      </c>
      <c r="T1151">
        <f t="shared" si="70"/>
        <v>16</v>
      </c>
      <c r="U1151" t="str" cm="1">
        <f t="array" ref="U1151">_xlfn.IFS(M1151&lt;=34,"YOUNG",M1151&lt;=54,"MIDDLE AGE",M1151&gt;=55,"OLD")</f>
        <v>YOUNG</v>
      </c>
      <c r="V1151" t="str">
        <f t="shared" si="71"/>
        <v>NORMAL</v>
      </c>
    </row>
    <row r="1152" spans="1:22" x14ac:dyDescent="0.35">
      <c r="A1152" t="s">
        <v>2823</v>
      </c>
      <c r="B1152" t="s">
        <v>2681</v>
      </c>
      <c r="C1152">
        <v>151.82</v>
      </c>
      <c r="D1152" s="1">
        <v>45124.689409722225</v>
      </c>
      <c r="E1152" s="2">
        <f t="shared" si="68"/>
        <v>0.68940972222480923</v>
      </c>
      <c r="F1152" s="3">
        <f t="shared" si="69"/>
        <v>45124</v>
      </c>
      <c r="G1152" t="s">
        <v>17</v>
      </c>
      <c r="H1152" t="s">
        <v>265</v>
      </c>
      <c r="I1152" t="s">
        <v>2824</v>
      </c>
      <c r="J1152" t="s">
        <v>444</v>
      </c>
      <c r="K1152" t="s">
        <v>759</v>
      </c>
      <c r="L1152" t="s">
        <v>22</v>
      </c>
      <c r="M1152">
        <v>51</v>
      </c>
      <c r="N1152" t="s">
        <v>70</v>
      </c>
      <c r="O1152">
        <v>105</v>
      </c>
      <c r="P1152">
        <v>1</v>
      </c>
      <c r="Q1152">
        <v>2197.12</v>
      </c>
      <c r="R1152" s="4">
        <v>45600</v>
      </c>
      <c r="S1152" s="6">
        <v>0.34159722222222222</v>
      </c>
      <c r="T1152">
        <f t="shared" si="70"/>
        <v>16</v>
      </c>
      <c r="U1152" t="str" cm="1">
        <f t="array" ref="U1152">_xlfn.IFS(M1152&lt;=34,"YOUNG",M1152&lt;=54,"MIDDLE AGE",M1152&gt;=55,"OLD")</f>
        <v>MIDDLE AGE</v>
      </c>
      <c r="V1152" t="str">
        <f t="shared" si="71"/>
        <v>NORMAL</v>
      </c>
    </row>
    <row r="1153" spans="1:22" x14ac:dyDescent="0.35">
      <c r="A1153" t="s">
        <v>2825</v>
      </c>
      <c r="B1153" t="s">
        <v>2372</v>
      </c>
      <c r="C1153">
        <v>438.59</v>
      </c>
      <c r="D1153" s="1">
        <v>45229.741770833331</v>
      </c>
      <c r="E1153" s="2">
        <f t="shared" si="68"/>
        <v>0.74177083333051996</v>
      </c>
      <c r="F1153" s="3">
        <f t="shared" si="69"/>
        <v>45229</v>
      </c>
      <c r="G1153" t="s">
        <v>17</v>
      </c>
      <c r="H1153" t="s">
        <v>223</v>
      </c>
      <c r="I1153" t="s">
        <v>2824</v>
      </c>
      <c r="J1153" t="s">
        <v>870</v>
      </c>
      <c r="K1153" t="s">
        <v>76</v>
      </c>
      <c r="L1153" t="s">
        <v>36</v>
      </c>
      <c r="M1153">
        <v>37</v>
      </c>
      <c r="N1153" t="s">
        <v>77</v>
      </c>
      <c r="O1153">
        <v>103</v>
      </c>
      <c r="P1153">
        <v>1</v>
      </c>
      <c r="Q1153">
        <v>8994.39</v>
      </c>
      <c r="R1153" s="4">
        <v>45600</v>
      </c>
      <c r="S1153" s="6">
        <v>0.3399537037037037</v>
      </c>
      <c r="T1153">
        <f t="shared" si="70"/>
        <v>17</v>
      </c>
      <c r="U1153" t="str" cm="1">
        <f t="array" ref="U1153">_xlfn.IFS(M1153&lt;=34,"YOUNG",M1153&lt;=54,"MIDDLE AGE",M1153&gt;=55,"OLD")</f>
        <v>MIDDLE AGE</v>
      </c>
      <c r="V1153" t="str">
        <f t="shared" si="71"/>
        <v>NORMAL</v>
      </c>
    </row>
    <row r="1154" spans="1:22" x14ac:dyDescent="0.35">
      <c r="A1154" t="s">
        <v>2826</v>
      </c>
      <c r="B1154" t="s">
        <v>1710</v>
      </c>
      <c r="C1154">
        <v>590.57000000000005</v>
      </c>
      <c r="D1154" s="1">
        <v>45105.671956018516</v>
      </c>
      <c r="E1154" s="2">
        <f t="shared" ref="E1154:E1217" si="72">D1154-INT(D1154)</f>
        <v>0.67195601851562969</v>
      </c>
      <c r="F1154" s="3">
        <f t="shared" ref="F1154:F1217" si="73">INT(D1154)</f>
        <v>45105</v>
      </c>
      <c r="G1154" t="s">
        <v>17</v>
      </c>
      <c r="H1154" t="s">
        <v>178</v>
      </c>
      <c r="I1154" t="s">
        <v>1158</v>
      </c>
      <c r="J1154" t="s">
        <v>1032</v>
      </c>
      <c r="K1154" t="s">
        <v>1345</v>
      </c>
      <c r="L1154" t="s">
        <v>22</v>
      </c>
      <c r="M1154">
        <v>79</v>
      </c>
      <c r="N1154" t="s">
        <v>70</v>
      </c>
      <c r="O1154">
        <v>93</v>
      </c>
      <c r="P1154">
        <v>1</v>
      </c>
      <c r="Q1154">
        <v>3224.6</v>
      </c>
      <c r="R1154" s="4">
        <v>45600</v>
      </c>
      <c r="S1154" s="6">
        <v>0.33841435185185187</v>
      </c>
      <c r="T1154">
        <f t="shared" si="70"/>
        <v>16</v>
      </c>
      <c r="U1154" t="str" cm="1">
        <f t="array" ref="U1154">_xlfn.IFS(M1154&lt;=34,"YOUNG",M1154&lt;=54,"MIDDLE AGE",M1154&gt;=55,"OLD")</f>
        <v>OLD</v>
      </c>
      <c r="V1154" t="str">
        <f t="shared" si="71"/>
        <v>NORMAL</v>
      </c>
    </row>
    <row r="1155" spans="1:22" x14ac:dyDescent="0.35">
      <c r="A1155" t="s">
        <v>2827</v>
      </c>
      <c r="B1155" t="s">
        <v>1696</v>
      </c>
      <c r="C1155">
        <v>63.74</v>
      </c>
      <c r="D1155" s="1">
        <v>45181.743356481478</v>
      </c>
      <c r="E1155" s="2">
        <f t="shared" si="72"/>
        <v>0.7433564814782585</v>
      </c>
      <c r="F1155" s="3">
        <f t="shared" si="73"/>
        <v>45181</v>
      </c>
      <c r="G1155" t="s">
        <v>17</v>
      </c>
      <c r="H1155" t="s">
        <v>265</v>
      </c>
      <c r="I1155" t="s">
        <v>1132</v>
      </c>
      <c r="J1155" t="s">
        <v>2828</v>
      </c>
      <c r="K1155" t="s">
        <v>186</v>
      </c>
      <c r="L1155" t="s">
        <v>36</v>
      </c>
      <c r="M1155">
        <v>63</v>
      </c>
      <c r="N1155" t="s">
        <v>70</v>
      </c>
      <c r="O1155">
        <v>31</v>
      </c>
      <c r="P1155">
        <v>1</v>
      </c>
      <c r="Q1155">
        <v>4336.3999999999996</v>
      </c>
      <c r="R1155" s="4">
        <v>45600</v>
      </c>
      <c r="S1155" s="6">
        <v>0.3395023148148148</v>
      </c>
      <c r="T1155">
        <f t="shared" ref="T1155:T1218" si="74">HOUR(E1155)</f>
        <v>17</v>
      </c>
      <c r="U1155" t="str" cm="1">
        <f t="array" ref="U1155">_xlfn.IFS(M1155&lt;=34,"YOUNG",M1155&lt;=54,"MIDDLE AGE",M1155&gt;=55,"OLD")</f>
        <v>OLD</v>
      </c>
      <c r="V1155" t="str">
        <f t="shared" ref="V1155:V1218" si="75">IF(P1155&gt;1,"HIGH","NORMAL")</f>
        <v>NORMAL</v>
      </c>
    </row>
    <row r="1156" spans="1:22" x14ac:dyDescent="0.35">
      <c r="A1156" t="s">
        <v>2829</v>
      </c>
      <c r="B1156" t="s">
        <v>424</v>
      </c>
      <c r="C1156">
        <v>77.02</v>
      </c>
      <c r="D1156" s="1">
        <v>45155.6794212963</v>
      </c>
      <c r="E1156" s="2">
        <f t="shared" si="72"/>
        <v>0.67942129629955161</v>
      </c>
      <c r="F1156" s="3">
        <f t="shared" si="73"/>
        <v>45155</v>
      </c>
      <c r="G1156" t="s">
        <v>46</v>
      </c>
      <c r="H1156" t="s">
        <v>172</v>
      </c>
      <c r="I1156" t="s">
        <v>1859</v>
      </c>
      <c r="J1156" t="s">
        <v>1556</v>
      </c>
      <c r="K1156" t="s">
        <v>200</v>
      </c>
      <c r="L1156" t="s">
        <v>36</v>
      </c>
      <c r="M1156">
        <v>59</v>
      </c>
      <c r="N1156" t="s">
        <v>23</v>
      </c>
      <c r="O1156">
        <v>132</v>
      </c>
      <c r="P1156">
        <v>1</v>
      </c>
      <c r="Q1156">
        <v>800.83</v>
      </c>
      <c r="R1156" s="4">
        <v>45600</v>
      </c>
      <c r="S1156" s="6">
        <v>0.33881944444444445</v>
      </c>
      <c r="T1156">
        <f t="shared" si="74"/>
        <v>16</v>
      </c>
      <c r="U1156" t="str" cm="1">
        <f t="array" ref="U1156">_xlfn.IFS(M1156&lt;=34,"YOUNG",M1156&lt;=54,"MIDDLE AGE",M1156&gt;=55,"OLD")</f>
        <v>OLD</v>
      </c>
      <c r="V1156" t="str">
        <f t="shared" si="75"/>
        <v>NORMAL</v>
      </c>
    </row>
    <row r="1157" spans="1:22" x14ac:dyDescent="0.35">
      <c r="A1157" t="s">
        <v>2830</v>
      </c>
      <c r="B1157" t="s">
        <v>2581</v>
      </c>
      <c r="C1157">
        <v>501.15</v>
      </c>
      <c r="D1157" s="1">
        <v>45159.755023148151</v>
      </c>
      <c r="E1157" s="2">
        <f t="shared" si="72"/>
        <v>0.75502314815093996</v>
      </c>
      <c r="F1157" s="3">
        <f t="shared" si="73"/>
        <v>45159</v>
      </c>
      <c r="G1157" t="s">
        <v>17</v>
      </c>
      <c r="H1157" t="s">
        <v>425</v>
      </c>
      <c r="I1157" t="s">
        <v>464</v>
      </c>
      <c r="J1157" t="s">
        <v>1430</v>
      </c>
      <c r="K1157" t="s">
        <v>769</v>
      </c>
      <c r="L1157" t="s">
        <v>69</v>
      </c>
      <c r="M1157">
        <v>47</v>
      </c>
      <c r="N1157" t="s">
        <v>77</v>
      </c>
      <c r="O1157">
        <v>208</v>
      </c>
      <c r="P1157">
        <v>1</v>
      </c>
      <c r="Q1157">
        <v>8821.84</v>
      </c>
      <c r="R1157" s="4">
        <v>45600</v>
      </c>
      <c r="S1157" s="6">
        <v>0.34135416666666668</v>
      </c>
      <c r="T1157">
        <f t="shared" si="74"/>
        <v>18</v>
      </c>
      <c r="U1157" t="str" cm="1">
        <f t="array" ref="U1157">_xlfn.IFS(M1157&lt;=34,"YOUNG",M1157&lt;=54,"MIDDLE AGE",M1157&gt;=55,"OLD")</f>
        <v>MIDDLE AGE</v>
      </c>
      <c r="V1157" t="str">
        <f t="shared" si="75"/>
        <v>NORMAL</v>
      </c>
    </row>
    <row r="1158" spans="1:22" x14ac:dyDescent="0.35">
      <c r="A1158" t="s">
        <v>2831</v>
      </c>
      <c r="B1158" t="s">
        <v>1900</v>
      </c>
      <c r="C1158">
        <v>917.81</v>
      </c>
      <c r="D1158" s="1">
        <v>45168.777037037034</v>
      </c>
      <c r="E1158" s="2">
        <f t="shared" si="72"/>
        <v>0.77703703703446081</v>
      </c>
      <c r="F1158" s="3">
        <f t="shared" si="73"/>
        <v>45168</v>
      </c>
      <c r="G1158" t="s">
        <v>17</v>
      </c>
      <c r="H1158" t="s">
        <v>291</v>
      </c>
      <c r="I1158" t="s">
        <v>1103</v>
      </c>
      <c r="J1158" t="s">
        <v>837</v>
      </c>
      <c r="K1158" t="s">
        <v>478</v>
      </c>
      <c r="L1158" t="s">
        <v>22</v>
      </c>
      <c r="M1158">
        <v>64</v>
      </c>
      <c r="N1158" t="s">
        <v>70</v>
      </c>
      <c r="O1158">
        <v>75</v>
      </c>
      <c r="P1158">
        <v>2</v>
      </c>
      <c r="Q1158">
        <v>3173.17</v>
      </c>
      <c r="R1158" s="4">
        <v>45600</v>
      </c>
      <c r="S1158" s="6">
        <v>0.34011574074074075</v>
      </c>
      <c r="T1158">
        <f t="shared" si="74"/>
        <v>18</v>
      </c>
      <c r="U1158" t="str" cm="1">
        <f t="array" ref="U1158">_xlfn.IFS(M1158&lt;=34,"YOUNG",M1158&lt;=54,"MIDDLE AGE",M1158&gt;=55,"OLD")</f>
        <v>OLD</v>
      </c>
      <c r="V1158" t="str">
        <f t="shared" si="75"/>
        <v>HIGH</v>
      </c>
    </row>
    <row r="1159" spans="1:22" x14ac:dyDescent="0.35">
      <c r="A1159" t="s">
        <v>2832</v>
      </c>
      <c r="B1159" t="s">
        <v>2833</v>
      </c>
      <c r="C1159">
        <v>8.9499999999999993</v>
      </c>
      <c r="D1159" s="1">
        <v>45203.667569444442</v>
      </c>
      <c r="E1159" s="2">
        <f t="shared" si="72"/>
        <v>0.66756944444205146</v>
      </c>
      <c r="F1159" s="3">
        <f t="shared" si="73"/>
        <v>45203</v>
      </c>
      <c r="G1159" t="s">
        <v>17</v>
      </c>
      <c r="H1159" t="s">
        <v>53</v>
      </c>
      <c r="I1159" t="s">
        <v>1334</v>
      </c>
      <c r="J1159" t="s">
        <v>1925</v>
      </c>
      <c r="K1159" t="s">
        <v>181</v>
      </c>
      <c r="L1159" t="s">
        <v>36</v>
      </c>
      <c r="M1159">
        <v>76</v>
      </c>
      <c r="N1159" t="s">
        <v>70</v>
      </c>
      <c r="O1159">
        <v>102</v>
      </c>
      <c r="P1159">
        <v>1</v>
      </c>
      <c r="Q1159">
        <v>3299.84</v>
      </c>
      <c r="R1159" s="4">
        <v>45600</v>
      </c>
      <c r="S1159" s="6">
        <v>0.34010416666666665</v>
      </c>
      <c r="T1159">
        <f t="shared" si="74"/>
        <v>16</v>
      </c>
      <c r="U1159" t="str" cm="1">
        <f t="array" ref="U1159">_xlfn.IFS(M1159&lt;=34,"YOUNG",M1159&lt;=54,"MIDDLE AGE",M1159&gt;=55,"OLD")</f>
        <v>OLD</v>
      </c>
      <c r="V1159" t="str">
        <f t="shared" si="75"/>
        <v>NORMAL</v>
      </c>
    </row>
    <row r="1160" spans="1:22" x14ac:dyDescent="0.35">
      <c r="A1160" t="s">
        <v>2834</v>
      </c>
      <c r="B1160" t="s">
        <v>667</v>
      </c>
      <c r="C1160">
        <v>173.6</v>
      </c>
      <c r="D1160" s="1">
        <v>45258.693148148152</v>
      </c>
      <c r="E1160" s="2">
        <f t="shared" si="72"/>
        <v>0.69314814815152204</v>
      </c>
      <c r="F1160" s="3">
        <f t="shared" si="73"/>
        <v>45258</v>
      </c>
      <c r="G1160" t="s">
        <v>17</v>
      </c>
      <c r="H1160" t="s">
        <v>119</v>
      </c>
      <c r="I1160" t="s">
        <v>1721</v>
      </c>
      <c r="J1160" t="s">
        <v>1689</v>
      </c>
      <c r="K1160" t="s">
        <v>169</v>
      </c>
      <c r="L1160" t="s">
        <v>36</v>
      </c>
      <c r="M1160">
        <v>21</v>
      </c>
      <c r="N1160" t="s">
        <v>37</v>
      </c>
      <c r="O1160">
        <v>160</v>
      </c>
      <c r="P1160">
        <v>1</v>
      </c>
      <c r="Q1160">
        <v>421.44</v>
      </c>
      <c r="R1160" s="4">
        <v>45600</v>
      </c>
      <c r="S1160" s="6">
        <v>0.33998842592592593</v>
      </c>
      <c r="T1160">
        <f t="shared" si="74"/>
        <v>16</v>
      </c>
      <c r="U1160" t="str" cm="1">
        <f t="array" ref="U1160">_xlfn.IFS(M1160&lt;=34,"YOUNG",M1160&lt;=54,"MIDDLE AGE",M1160&gt;=55,"OLD")</f>
        <v>YOUNG</v>
      </c>
      <c r="V1160" t="str">
        <f t="shared" si="75"/>
        <v>NORMAL</v>
      </c>
    </row>
    <row r="1161" spans="1:22" x14ac:dyDescent="0.35">
      <c r="A1161" t="s">
        <v>2835</v>
      </c>
      <c r="B1161" t="s">
        <v>2530</v>
      </c>
      <c r="C1161">
        <v>149.4</v>
      </c>
      <c r="D1161" s="1">
        <v>45048.688101851854</v>
      </c>
      <c r="E1161" s="2">
        <f t="shared" si="72"/>
        <v>0.68810185185429873</v>
      </c>
      <c r="F1161" s="3">
        <f t="shared" si="73"/>
        <v>45048</v>
      </c>
      <c r="G1161" t="s">
        <v>17</v>
      </c>
      <c r="H1161" t="s">
        <v>265</v>
      </c>
      <c r="I1161" t="s">
        <v>229</v>
      </c>
      <c r="J1161" t="s">
        <v>1698</v>
      </c>
      <c r="K1161" t="s">
        <v>137</v>
      </c>
      <c r="L1161" t="s">
        <v>22</v>
      </c>
      <c r="M1161">
        <v>53</v>
      </c>
      <c r="N1161" t="s">
        <v>70</v>
      </c>
      <c r="O1161">
        <v>123</v>
      </c>
      <c r="P1161">
        <v>1</v>
      </c>
      <c r="Q1161">
        <v>1035.22</v>
      </c>
      <c r="R1161" s="4">
        <v>45600</v>
      </c>
      <c r="S1161" s="6">
        <v>0.34046296296296297</v>
      </c>
      <c r="T1161">
        <f t="shared" si="74"/>
        <v>16</v>
      </c>
      <c r="U1161" t="str" cm="1">
        <f t="array" ref="U1161">_xlfn.IFS(M1161&lt;=34,"YOUNG",M1161&lt;=54,"MIDDLE AGE",M1161&gt;=55,"OLD")</f>
        <v>MIDDLE AGE</v>
      </c>
      <c r="V1161" t="str">
        <f t="shared" si="75"/>
        <v>NORMAL</v>
      </c>
    </row>
    <row r="1162" spans="1:22" x14ac:dyDescent="0.35">
      <c r="A1162" t="s">
        <v>2836</v>
      </c>
      <c r="B1162" t="s">
        <v>1992</v>
      </c>
      <c r="C1162">
        <v>388.21</v>
      </c>
      <c r="D1162" s="1">
        <v>45279.694409722222</v>
      </c>
      <c r="E1162" s="2">
        <f t="shared" si="72"/>
        <v>0.69440972222218988</v>
      </c>
      <c r="F1162" s="3">
        <f t="shared" si="73"/>
        <v>45279</v>
      </c>
      <c r="G1162" t="s">
        <v>46</v>
      </c>
      <c r="H1162" t="s">
        <v>125</v>
      </c>
      <c r="I1162" t="s">
        <v>1402</v>
      </c>
      <c r="J1162" t="s">
        <v>361</v>
      </c>
      <c r="K1162" t="s">
        <v>759</v>
      </c>
      <c r="L1162" t="s">
        <v>69</v>
      </c>
      <c r="M1162">
        <v>53</v>
      </c>
      <c r="N1162" t="s">
        <v>23</v>
      </c>
      <c r="O1162">
        <v>237</v>
      </c>
      <c r="P1162">
        <v>1</v>
      </c>
      <c r="Q1162">
        <v>9724.49</v>
      </c>
      <c r="R1162" s="4">
        <v>45600</v>
      </c>
      <c r="S1162" s="6">
        <v>0.33908564814814812</v>
      </c>
      <c r="T1162">
        <f t="shared" si="74"/>
        <v>16</v>
      </c>
      <c r="U1162" t="str" cm="1">
        <f t="array" ref="U1162">_xlfn.IFS(M1162&lt;=34,"YOUNG",M1162&lt;=54,"MIDDLE AGE",M1162&gt;=55,"OLD")</f>
        <v>MIDDLE AGE</v>
      </c>
      <c r="V1162" t="str">
        <f t="shared" si="75"/>
        <v>NORMAL</v>
      </c>
    </row>
    <row r="1163" spans="1:22" x14ac:dyDescent="0.35">
      <c r="A1163" t="s">
        <v>2837</v>
      </c>
      <c r="B1163" t="s">
        <v>367</v>
      </c>
      <c r="C1163">
        <v>484.3</v>
      </c>
      <c r="D1163" s="1">
        <v>45216.740879629629</v>
      </c>
      <c r="E1163" s="2">
        <f t="shared" si="72"/>
        <v>0.7408796296294895</v>
      </c>
      <c r="F1163" s="3">
        <f t="shared" si="73"/>
        <v>45216</v>
      </c>
      <c r="G1163" t="s">
        <v>46</v>
      </c>
      <c r="H1163" t="s">
        <v>388</v>
      </c>
      <c r="I1163" t="s">
        <v>1145</v>
      </c>
      <c r="J1163" t="s">
        <v>2838</v>
      </c>
      <c r="K1163" t="s">
        <v>607</v>
      </c>
      <c r="L1163" t="s">
        <v>36</v>
      </c>
      <c r="M1163">
        <v>61</v>
      </c>
      <c r="N1163" t="s">
        <v>70</v>
      </c>
      <c r="O1163">
        <v>230</v>
      </c>
      <c r="P1163">
        <v>3</v>
      </c>
      <c r="Q1163">
        <v>7910.3</v>
      </c>
      <c r="R1163" s="4">
        <v>45600</v>
      </c>
      <c r="S1163" s="6">
        <v>0.34106481481481482</v>
      </c>
      <c r="T1163">
        <f t="shared" si="74"/>
        <v>17</v>
      </c>
      <c r="U1163" t="str" cm="1">
        <f t="array" ref="U1163">_xlfn.IFS(M1163&lt;=34,"YOUNG",M1163&lt;=54,"MIDDLE AGE",M1163&gt;=55,"OLD")</f>
        <v>OLD</v>
      </c>
      <c r="V1163" t="str">
        <f t="shared" si="75"/>
        <v>HIGH</v>
      </c>
    </row>
    <row r="1164" spans="1:22" x14ac:dyDescent="0.35">
      <c r="A1164" t="s">
        <v>2839</v>
      </c>
      <c r="B1164" t="s">
        <v>91</v>
      </c>
      <c r="C1164">
        <v>126.04</v>
      </c>
      <c r="D1164" s="1">
        <v>45096.693206018521</v>
      </c>
      <c r="E1164" s="2">
        <f t="shared" si="72"/>
        <v>0.69320601852086838</v>
      </c>
      <c r="F1164" s="3">
        <f t="shared" si="73"/>
        <v>45096</v>
      </c>
      <c r="G1164" t="s">
        <v>46</v>
      </c>
      <c r="H1164" t="s">
        <v>249</v>
      </c>
      <c r="I1164" t="s">
        <v>2840</v>
      </c>
      <c r="J1164" t="s">
        <v>116</v>
      </c>
      <c r="K1164" t="s">
        <v>62</v>
      </c>
      <c r="L1164" t="s">
        <v>69</v>
      </c>
      <c r="M1164">
        <v>65</v>
      </c>
      <c r="N1164" t="s">
        <v>70</v>
      </c>
      <c r="O1164">
        <v>167</v>
      </c>
      <c r="P1164">
        <v>1</v>
      </c>
      <c r="Q1164">
        <v>6041.69</v>
      </c>
      <c r="R1164" s="4">
        <v>45600</v>
      </c>
      <c r="S1164" s="6">
        <v>0.33895833333333331</v>
      </c>
      <c r="T1164">
        <f t="shared" si="74"/>
        <v>16</v>
      </c>
      <c r="U1164" t="str" cm="1">
        <f t="array" ref="U1164">_xlfn.IFS(M1164&lt;=34,"YOUNG",M1164&lt;=54,"MIDDLE AGE",M1164&gt;=55,"OLD")</f>
        <v>OLD</v>
      </c>
      <c r="V1164" t="str">
        <f t="shared" si="75"/>
        <v>NORMAL</v>
      </c>
    </row>
    <row r="1165" spans="1:22" x14ac:dyDescent="0.35">
      <c r="A1165" t="s">
        <v>2841</v>
      </c>
      <c r="B1165" t="s">
        <v>2842</v>
      </c>
      <c r="C1165">
        <v>52.04</v>
      </c>
      <c r="D1165" s="1">
        <v>45134.686412037037</v>
      </c>
      <c r="E1165" s="2">
        <f t="shared" si="72"/>
        <v>0.68641203703737119</v>
      </c>
      <c r="F1165" s="3">
        <f t="shared" si="73"/>
        <v>45134</v>
      </c>
      <c r="G1165" t="s">
        <v>46</v>
      </c>
      <c r="H1165" t="s">
        <v>521</v>
      </c>
      <c r="I1165" t="s">
        <v>179</v>
      </c>
      <c r="J1165" t="s">
        <v>2346</v>
      </c>
      <c r="K1165" t="s">
        <v>272</v>
      </c>
      <c r="L1165" t="s">
        <v>69</v>
      </c>
      <c r="M1165">
        <v>50</v>
      </c>
      <c r="N1165" t="s">
        <v>23</v>
      </c>
      <c r="O1165">
        <v>31</v>
      </c>
      <c r="P1165">
        <v>1</v>
      </c>
      <c r="Q1165">
        <v>8436.1200000000008</v>
      </c>
      <c r="R1165" s="4">
        <v>45600</v>
      </c>
      <c r="S1165" s="6">
        <v>0.33863425925925927</v>
      </c>
      <c r="T1165">
        <f t="shared" si="74"/>
        <v>16</v>
      </c>
      <c r="U1165" t="str" cm="1">
        <f t="array" ref="U1165">_xlfn.IFS(M1165&lt;=34,"YOUNG",M1165&lt;=54,"MIDDLE AGE",M1165&gt;=55,"OLD")</f>
        <v>MIDDLE AGE</v>
      </c>
      <c r="V1165" t="str">
        <f t="shared" si="75"/>
        <v>NORMAL</v>
      </c>
    </row>
    <row r="1166" spans="1:22" x14ac:dyDescent="0.35">
      <c r="A1166" t="s">
        <v>2843</v>
      </c>
      <c r="B1166" t="s">
        <v>2456</v>
      </c>
      <c r="C1166">
        <v>389.7</v>
      </c>
      <c r="D1166" s="1">
        <v>44995.694444444445</v>
      </c>
      <c r="E1166" s="2">
        <f t="shared" si="72"/>
        <v>0.69444444444525288</v>
      </c>
      <c r="F1166" s="3">
        <f t="shared" si="73"/>
        <v>44995</v>
      </c>
      <c r="G1166" t="s">
        <v>46</v>
      </c>
      <c r="H1166" t="s">
        <v>119</v>
      </c>
      <c r="I1166" t="s">
        <v>2844</v>
      </c>
      <c r="J1166" t="s">
        <v>357</v>
      </c>
      <c r="K1166" t="s">
        <v>95</v>
      </c>
      <c r="L1166" t="s">
        <v>69</v>
      </c>
      <c r="M1166">
        <v>62</v>
      </c>
      <c r="N1166" t="s">
        <v>23</v>
      </c>
      <c r="O1166">
        <v>216</v>
      </c>
      <c r="P1166">
        <v>1</v>
      </c>
      <c r="Q1166">
        <v>7125.15</v>
      </c>
      <c r="R1166" s="4">
        <v>45600</v>
      </c>
      <c r="S1166" s="6">
        <v>0.34076388888888887</v>
      </c>
      <c r="T1166">
        <f t="shared" si="74"/>
        <v>16</v>
      </c>
      <c r="U1166" t="str" cm="1">
        <f t="array" ref="U1166">_xlfn.IFS(M1166&lt;=34,"YOUNG",M1166&lt;=54,"MIDDLE AGE",M1166&gt;=55,"OLD")</f>
        <v>OLD</v>
      </c>
      <c r="V1166" t="str">
        <f t="shared" si="75"/>
        <v>NORMAL</v>
      </c>
    </row>
    <row r="1167" spans="1:22" x14ac:dyDescent="0.35">
      <c r="A1167" t="s">
        <v>2845</v>
      </c>
      <c r="B1167" t="s">
        <v>52</v>
      </c>
      <c r="C1167">
        <v>161.1</v>
      </c>
      <c r="D1167" s="1">
        <v>45026.728333333333</v>
      </c>
      <c r="E1167" s="2">
        <f t="shared" si="72"/>
        <v>0.72833333333255723</v>
      </c>
      <c r="F1167" s="3">
        <f t="shared" si="73"/>
        <v>45026</v>
      </c>
      <c r="G1167" t="s">
        <v>46</v>
      </c>
      <c r="H1167" t="s">
        <v>172</v>
      </c>
      <c r="I1167" t="s">
        <v>746</v>
      </c>
      <c r="J1167" t="s">
        <v>55</v>
      </c>
      <c r="K1167" t="s">
        <v>43</v>
      </c>
      <c r="L1167" t="s">
        <v>22</v>
      </c>
      <c r="M1167">
        <v>19</v>
      </c>
      <c r="N1167" t="s">
        <v>37</v>
      </c>
      <c r="O1167">
        <v>104</v>
      </c>
      <c r="P1167">
        <v>1</v>
      </c>
      <c r="Q1167">
        <v>239.12</v>
      </c>
      <c r="R1167" s="4">
        <v>45600</v>
      </c>
      <c r="S1167" s="6">
        <v>0.34067129629629628</v>
      </c>
      <c r="T1167">
        <f t="shared" si="74"/>
        <v>17</v>
      </c>
      <c r="U1167" t="str" cm="1">
        <f t="array" ref="U1167">_xlfn.IFS(M1167&lt;=34,"YOUNG",M1167&lt;=54,"MIDDLE AGE",M1167&gt;=55,"OLD")</f>
        <v>YOUNG</v>
      </c>
      <c r="V1167" t="str">
        <f t="shared" si="75"/>
        <v>NORMAL</v>
      </c>
    </row>
    <row r="1168" spans="1:22" x14ac:dyDescent="0.35">
      <c r="A1168" t="s">
        <v>2846</v>
      </c>
      <c r="B1168" t="s">
        <v>974</v>
      </c>
      <c r="C1168">
        <v>309.77</v>
      </c>
      <c r="D1168" s="1">
        <v>45054.688842592594</v>
      </c>
      <c r="E1168" s="2">
        <f t="shared" si="72"/>
        <v>0.6888425925935735</v>
      </c>
      <c r="F1168" s="3">
        <f t="shared" si="73"/>
        <v>45054</v>
      </c>
      <c r="G1168" t="s">
        <v>46</v>
      </c>
      <c r="H1168" t="s">
        <v>237</v>
      </c>
      <c r="I1168" t="s">
        <v>2142</v>
      </c>
      <c r="J1168" t="s">
        <v>1732</v>
      </c>
      <c r="K1168" t="s">
        <v>752</v>
      </c>
      <c r="L1168" t="s">
        <v>36</v>
      </c>
      <c r="M1168">
        <v>67</v>
      </c>
      <c r="N1168" t="s">
        <v>70</v>
      </c>
      <c r="O1168">
        <v>137</v>
      </c>
      <c r="P1168">
        <v>1</v>
      </c>
      <c r="Q1168">
        <v>4378.1400000000003</v>
      </c>
      <c r="R1168" s="4">
        <v>45600</v>
      </c>
      <c r="S1168" s="6">
        <v>0.33777777777777779</v>
      </c>
      <c r="T1168">
        <f t="shared" si="74"/>
        <v>16</v>
      </c>
      <c r="U1168" t="str" cm="1">
        <f t="array" ref="U1168">_xlfn.IFS(M1168&lt;=34,"YOUNG",M1168&lt;=54,"MIDDLE AGE",M1168&gt;=55,"OLD")</f>
        <v>OLD</v>
      </c>
      <c r="V1168" t="str">
        <f t="shared" si="75"/>
        <v>NORMAL</v>
      </c>
    </row>
    <row r="1169" spans="1:22" x14ac:dyDescent="0.35">
      <c r="A1169" t="s">
        <v>2847</v>
      </c>
      <c r="B1169" t="s">
        <v>484</v>
      </c>
      <c r="C1169">
        <v>838.57</v>
      </c>
      <c r="D1169" s="1">
        <v>45103.672511574077</v>
      </c>
      <c r="E1169" s="2">
        <f t="shared" si="72"/>
        <v>0.67251157407736173</v>
      </c>
      <c r="F1169" s="3">
        <f t="shared" si="73"/>
        <v>45103</v>
      </c>
      <c r="G1169" t="s">
        <v>17</v>
      </c>
      <c r="H1169" t="s">
        <v>425</v>
      </c>
      <c r="I1169" t="s">
        <v>1588</v>
      </c>
      <c r="J1169" t="s">
        <v>1960</v>
      </c>
      <c r="K1169" t="s">
        <v>143</v>
      </c>
      <c r="L1169" t="s">
        <v>22</v>
      </c>
      <c r="M1169">
        <v>41</v>
      </c>
      <c r="N1169" t="s">
        <v>23</v>
      </c>
      <c r="O1169">
        <v>273</v>
      </c>
      <c r="P1169">
        <v>1</v>
      </c>
      <c r="Q1169">
        <v>14576.47</v>
      </c>
      <c r="R1169" s="4">
        <v>45600</v>
      </c>
      <c r="S1169" s="6">
        <v>0.34126157407407409</v>
      </c>
      <c r="T1169">
        <f t="shared" si="74"/>
        <v>16</v>
      </c>
      <c r="U1169" t="str" cm="1">
        <f t="array" ref="U1169">_xlfn.IFS(M1169&lt;=34,"YOUNG",M1169&lt;=54,"MIDDLE AGE",M1169&gt;=55,"OLD")</f>
        <v>MIDDLE AGE</v>
      </c>
      <c r="V1169" t="str">
        <f t="shared" si="75"/>
        <v>NORMAL</v>
      </c>
    </row>
    <row r="1170" spans="1:22" x14ac:dyDescent="0.35">
      <c r="A1170" t="s">
        <v>2848</v>
      </c>
      <c r="B1170" t="s">
        <v>248</v>
      </c>
      <c r="C1170">
        <v>202.55</v>
      </c>
      <c r="D1170" s="1">
        <v>45244.784629629627</v>
      </c>
      <c r="E1170" s="2">
        <f t="shared" si="72"/>
        <v>0.78462962962657912</v>
      </c>
      <c r="F1170" s="3">
        <f t="shared" si="73"/>
        <v>45244</v>
      </c>
      <c r="G1170" t="s">
        <v>17</v>
      </c>
      <c r="H1170" t="s">
        <v>323</v>
      </c>
      <c r="I1170" t="s">
        <v>530</v>
      </c>
      <c r="J1170" t="s">
        <v>2849</v>
      </c>
      <c r="K1170" t="s">
        <v>175</v>
      </c>
      <c r="L1170" t="s">
        <v>22</v>
      </c>
      <c r="M1170">
        <v>21</v>
      </c>
      <c r="N1170" t="s">
        <v>37</v>
      </c>
      <c r="O1170">
        <v>34</v>
      </c>
      <c r="P1170">
        <v>2</v>
      </c>
      <c r="Q1170">
        <v>701.73</v>
      </c>
      <c r="R1170" s="4">
        <v>45600</v>
      </c>
      <c r="S1170" s="6">
        <v>0.3397222222222222</v>
      </c>
      <c r="T1170">
        <f t="shared" si="74"/>
        <v>18</v>
      </c>
      <c r="U1170" t="str" cm="1">
        <f t="array" ref="U1170">_xlfn.IFS(M1170&lt;=34,"YOUNG",M1170&lt;=54,"MIDDLE AGE",M1170&gt;=55,"OLD")</f>
        <v>YOUNG</v>
      </c>
      <c r="V1170" t="str">
        <f t="shared" si="75"/>
        <v>HIGH</v>
      </c>
    </row>
    <row r="1171" spans="1:22" x14ac:dyDescent="0.35">
      <c r="A1171" t="s">
        <v>2850</v>
      </c>
      <c r="B1171" t="s">
        <v>2543</v>
      </c>
      <c r="C1171">
        <v>724.18</v>
      </c>
      <c r="D1171" s="1">
        <v>44963.6718287037</v>
      </c>
      <c r="E1171" s="2">
        <f t="shared" si="72"/>
        <v>0.67182870370015735</v>
      </c>
      <c r="F1171" s="3">
        <f t="shared" si="73"/>
        <v>44963</v>
      </c>
      <c r="G1171" t="s">
        <v>17</v>
      </c>
      <c r="H1171" t="s">
        <v>157</v>
      </c>
      <c r="I1171" t="s">
        <v>2851</v>
      </c>
      <c r="J1171" t="s">
        <v>1277</v>
      </c>
      <c r="K1171" t="s">
        <v>43</v>
      </c>
      <c r="L1171" t="s">
        <v>69</v>
      </c>
      <c r="M1171">
        <v>41</v>
      </c>
      <c r="N1171" t="s">
        <v>23</v>
      </c>
      <c r="O1171">
        <v>134</v>
      </c>
      <c r="P1171">
        <v>1</v>
      </c>
      <c r="Q1171">
        <v>10922.78</v>
      </c>
      <c r="R1171" s="4">
        <v>45600</v>
      </c>
      <c r="S1171" s="6">
        <v>0.33913194444444444</v>
      </c>
      <c r="T1171">
        <f t="shared" si="74"/>
        <v>16</v>
      </c>
      <c r="U1171" t="str" cm="1">
        <f t="array" ref="U1171">_xlfn.IFS(M1171&lt;=34,"YOUNG",M1171&lt;=54,"MIDDLE AGE",M1171&gt;=55,"OLD")</f>
        <v>MIDDLE AGE</v>
      </c>
      <c r="V1171" t="str">
        <f t="shared" si="75"/>
        <v>NORMAL</v>
      </c>
    </row>
    <row r="1172" spans="1:22" x14ac:dyDescent="0.35">
      <c r="A1172" t="s">
        <v>2852</v>
      </c>
      <c r="B1172" t="s">
        <v>1385</v>
      </c>
      <c r="C1172">
        <v>124.98</v>
      </c>
      <c r="D1172" s="1">
        <v>44978.702962962961</v>
      </c>
      <c r="E1172" s="2">
        <f t="shared" si="72"/>
        <v>0.70296296296146465</v>
      </c>
      <c r="F1172" s="3">
        <f t="shared" si="73"/>
        <v>44978</v>
      </c>
      <c r="G1172" t="s">
        <v>17</v>
      </c>
      <c r="H1172" t="s">
        <v>453</v>
      </c>
      <c r="I1172" t="s">
        <v>786</v>
      </c>
      <c r="J1172" t="s">
        <v>897</v>
      </c>
      <c r="K1172" t="s">
        <v>619</v>
      </c>
      <c r="L1172" t="s">
        <v>22</v>
      </c>
      <c r="M1172">
        <v>24</v>
      </c>
      <c r="N1172" t="s">
        <v>37</v>
      </c>
      <c r="O1172">
        <v>78</v>
      </c>
      <c r="P1172">
        <v>1</v>
      </c>
      <c r="Q1172">
        <v>642</v>
      </c>
      <c r="R1172" s="4">
        <v>45600</v>
      </c>
      <c r="S1172" s="6">
        <v>0.3392013888888889</v>
      </c>
      <c r="T1172">
        <f t="shared" si="74"/>
        <v>16</v>
      </c>
      <c r="U1172" t="str" cm="1">
        <f t="array" ref="U1172">_xlfn.IFS(M1172&lt;=34,"YOUNG",M1172&lt;=54,"MIDDLE AGE",M1172&gt;=55,"OLD")</f>
        <v>YOUNG</v>
      </c>
      <c r="V1172" t="str">
        <f t="shared" si="75"/>
        <v>NORMAL</v>
      </c>
    </row>
    <row r="1173" spans="1:22" x14ac:dyDescent="0.35">
      <c r="A1173" t="s">
        <v>2853</v>
      </c>
      <c r="B1173" t="s">
        <v>2854</v>
      </c>
      <c r="C1173">
        <v>487.32</v>
      </c>
      <c r="D1173" s="1">
        <v>45218.757905092592</v>
      </c>
      <c r="E1173" s="2">
        <f t="shared" si="72"/>
        <v>0.75790509259240935</v>
      </c>
      <c r="F1173" s="3">
        <f t="shared" si="73"/>
        <v>45218</v>
      </c>
      <c r="G1173" t="s">
        <v>17</v>
      </c>
      <c r="H1173" t="s">
        <v>291</v>
      </c>
      <c r="I1173" t="s">
        <v>2682</v>
      </c>
      <c r="J1173" t="s">
        <v>1623</v>
      </c>
      <c r="K1173" t="s">
        <v>262</v>
      </c>
      <c r="L1173" t="s">
        <v>69</v>
      </c>
      <c r="M1173">
        <v>52</v>
      </c>
      <c r="N1173" t="s">
        <v>23</v>
      </c>
      <c r="O1173">
        <v>164</v>
      </c>
      <c r="P1173">
        <v>1</v>
      </c>
      <c r="Q1173">
        <v>7707.96</v>
      </c>
      <c r="R1173" s="4">
        <v>45600</v>
      </c>
      <c r="S1173" s="6">
        <v>0.33984953703703702</v>
      </c>
      <c r="T1173">
        <f t="shared" si="74"/>
        <v>18</v>
      </c>
      <c r="U1173" t="str" cm="1">
        <f t="array" ref="U1173">_xlfn.IFS(M1173&lt;=34,"YOUNG",M1173&lt;=54,"MIDDLE AGE",M1173&gt;=55,"OLD")</f>
        <v>MIDDLE AGE</v>
      </c>
      <c r="V1173" t="str">
        <f t="shared" si="75"/>
        <v>NORMAL</v>
      </c>
    </row>
    <row r="1174" spans="1:22" x14ac:dyDescent="0.35">
      <c r="A1174" t="s">
        <v>2855</v>
      </c>
      <c r="B1174" t="s">
        <v>1507</v>
      </c>
      <c r="C1174">
        <v>635.91</v>
      </c>
      <c r="D1174" s="1">
        <v>45258.705335648148</v>
      </c>
      <c r="E1174" s="2">
        <f t="shared" si="72"/>
        <v>0.70533564814832062</v>
      </c>
      <c r="F1174" s="3">
        <f t="shared" si="73"/>
        <v>45258</v>
      </c>
      <c r="G1174" t="s">
        <v>46</v>
      </c>
      <c r="H1174" t="s">
        <v>392</v>
      </c>
      <c r="I1174" t="s">
        <v>738</v>
      </c>
      <c r="J1174" t="s">
        <v>779</v>
      </c>
      <c r="K1174" t="s">
        <v>226</v>
      </c>
      <c r="L1174" t="s">
        <v>69</v>
      </c>
      <c r="M1174">
        <v>46</v>
      </c>
      <c r="N1174" t="s">
        <v>23</v>
      </c>
      <c r="O1174">
        <v>78</v>
      </c>
      <c r="P1174">
        <v>1</v>
      </c>
      <c r="Q1174">
        <v>13267.09</v>
      </c>
      <c r="R1174" s="4">
        <v>45600</v>
      </c>
      <c r="S1174" s="6">
        <v>0.34077546296296296</v>
      </c>
      <c r="T1174">
        <f t="shared" si="74"/>
        <v>16</v>
      </c>
      <c r="U1174" t="str" cm="1">
        <f t="array" ref="U1174">_xlfn.IFS(M1174&lt;=34,"YOUNG",M1174&lt;=54,"MIDDLE AGE",M1174&gt;=55,"OLD")</f>
        <v>MIDDLE AGE</v>
      </c>
      <c r="V1174" t="str">
        <f t="shared" si="75"/>
        <v>NORMAL</v>
      </c>
    </row>
    <row r="1175" spans="1:22" x14ac:dyDescent="0.35">
      <c r="A1175" t="s">
        <v>2856</v>
      </c>
      <c r="B1175" t="s">
        <v>2262</v>
      </c>
      <c r="C1175">
        <v>205.65</v>
      </c>
      <c r="D1175" s="1">
        <v>45120.697511574072</v>
      </c>
      <c r="E1175" s="2">
        <f t="shared" si="72"/>
        <v>0.69751157407154096</v>
      </c>
      <c r="F1175" s="3">
        <f t="shared" si="73"/>
        <v>45120</v>
      </c>
      <c r="G1175" t="s">
        <v>17</v>
      </c>
      <c r="H1175" t="s">
        <v>26</v>
      </c>
      <c r="I1175" t="s">
        <v>2012</v>
      </c>
      <c r="J1175" t="s">
        <v>1363</v>
      </c>
      <c r="K1175" t="s">
        <v>1014</v>
      </c>
      <c r="L1175" t="s">
        <v>69</v>
      </c>
      <c r="M1175">
        <v>62</v>
      </c>
      <c r="N1175" t="s">
        <v>70</v>
      </c>
      <c r="O1175">
        <v>144</v>
      </c>
      <c r="P1175">
        <v>1</v>
      </c>
      <c r="Q1175">
        <v>3582.16</v>
      </c>
      <c r="R1175" s="4">
        <v>45600</v>
      </c>
      <c r="S1175" s="6">
        <v>0.33989583333333334</v>
      </c>
      <c r="T1175">
        <f t="shared" si="74"/>
        <v>16</v>
      </c>
      <c r="U1175" t="str" cm="1">
        <f t="array" ref="U1175">_xlfn.IFS(M1175&lt;=34,"YOUNG",M1175&lt;=54,"MIDDLE AGE",M1175&gt;=55,"OLD")</f>
        <v>OLD</v>
      </c>
      <c r="V1175" t="str">
        <f t="shared" si="75"/>
        <v>NORMAL</v>
      </c>
    </row>
    <row r="1176" spans="1:22" x14ac:dyDescent="0.35">
      <c r="A1176" t="s">
        <v>2857</v>
      </c>
      <c r="B1176" t="s">
        <v>2128</v>
      </c>
      <c r="C1176">
        <v>39.409999999999997</v>
      </c>
      <c r="D1176" s="1">
        <v>45257.686064814814</v>
      </c>
      <c r="E1176" s="2">
        <f t="shared" si="72"/>
        <v>0.68606481481401715</v>
      </c>
      <c r="F1176" s="3">
        <f t="shared" si="73"/>
        <v>45257</v>
      </c>
      <c r="G1176" t="s">
        <v>17</v>
      </c>
      <c r="H1176" t="s">
        <v>108</v>
      </c>
      <c r="I1176" t="s">
        <v>2397</v>
      </c>
      <c r="J1176" t="s">
        <v>2858</v>
      </c>
      <c r="K1176" t="s">
        <v>95</v>
      </c>
      <c r="L1176" t="s">
        <v>69</v>
      </c>
      <c r="M1176">
        <v>25</v>
      </c>
      <c r="N1176" t="s">
        <v>37</v>
      </c>
      <c r="O1176">
        <v>132</v>
      </c>
      <c r="P1176">
        <v>1</v>
      </c>
      <c r="Q1176">
        <v>921.91</v>
      </c>
      <c r="R1176" s="4">
        <v>45600</v>
      </c>
      <c r="S1176" s="6">
        <v>0.34099537037037037</v>
      </c>
      <c r="T1176">
        <f t="shared" si="74"/>
        <v>16</v>
      </c>
      <c r="U1176" t="str" cm="1">
        <f t="array" ref="U1176">_xlfn.IFS(M1176&lt;=34,"YOUNG",M1176&lt;=54,"MIDDLE AGE",M1176&gt;=55,"OLD")</f>
        <v>YOUNG</v>
      </c>
      <c r="V1176" t="str">
        <f t="shared" si="75"/>
        <v>NORMAL</v>
      </c>
    </row>
    <row r="1177" spans="1:22" x14ac:dyDescent="0.35">
      <c r="A1177" t="s">
        <v>2859</v>
      </c>
      <c r="B1177" t="s">
        <v>215</v>
      </c>
      <c r="C1177">
        <v>254</v>
      </c>
      <c r="D1177" s="1">
        <v>45061.731620370374</v>
      </c>
      <c r="E1177" s="2">
        <f t="shared" si="72"/>
        <v>0.73162037037400296</v>
      </c>
      <c r="F1177" s="3">
        <f t="shared" si="73"/>
        <v>45061</v>
      </c>
      <c r="G1177" t="s">
        <v>17</v>
      </c>
      <c r="H1177" t="s">
        <v>80</v>
      </c>
      <c r="I1177" t="s">
        <v>709</v>
      </c>
      <c r="J1177" t="s">
        <v>2206</v>
      </c>
      <c r="K1177" t="s">
        <v>634</v>
      </c>
      <c r="L1177" t="s">
        <v>69</v>
      </c>
      <c r="M1177">
        <v>35</v>
      </c>
      <c r="N1177" t="s">
        <v>23</v>
      </c>
      <c r="O1177">
        <v>63</v>
      </c>
      <c r="P1177">
        <v>1</v>
      </c>
      <c r="Q1177">
        <v>5788.53</v>
      </c>
      <c r="R1177" s="4">
        <v>45600</v>
      </c>
      <c r="S1177" s="6">
        <v>0.3389699074074074</v>
      </c>
      <c r="T1177">
        <f t="shared" si="74"/>
        <v>17</v>
      </c>
      <c r="U1177" t="str" cm="1">
        <f t="array" ref="U1177">_xlfn.IFS(M1177&lt;=34,"YOUNG",M1177&lt;=54,"MIDDLE AGE",M1177&gt;=55,"OLD")</f>
        <v>MIDDLE AGE</v>
      </c>
      <c r="V1177" t="str">
        <f t="shared" si="75"/>
        <v>NORMAL</v>
      </c>
    </row>
    <row r="1178" spans="1:22" x14ac:dyDescent="0.35">
      <c r="A1178" t="s">
        <v>2860</v>
      </c>
      <c r="B1178" t="s">
        <v>781</v>
      </c>
      <c r="C1178">
        <v>436.8</v>
      </c>
      <c r="D1178" s="1">
        <v>45246.687511574077</v>
      </c>
      <c r="E1178" s="2">
        <f t="shared" si="72"/>
        <v>0.68751157407677965</v>
      </c>
      <c r="F1178" s="3">
        <f t="shared" si="73"/>
        <v>45246</v>
      </c>
      <c r="G1178" t="s">
        <v>17</v>
      </c>
      <c r="H1178" t="s">
        <v>26</v>
      </c>
      <c r="I1178" t="s">
        <v>2479</v>
      </c>
      <c r="J1178" t="s">
        <v>1436</v>
      </c>
      <c r="K1178" t="s">
        <v>634</v>
      </c>
      <c r="L1178" t="s">
        <v>69</v>
      </c>
      <c r="M1178">
        <v>36</v>
      </c>
      <c r="N1178" t="s">
        <v>77</v>
      </c>
      <c r="O1178">
        <v>213</v>
      </c>
      <c r="P1178">
        <v>1</v>
      </c>
      <c r="Q1178">
        <v>4515.43</v>
      </c>
      <c r="R1178" s="4">
        <v>45600</v>
      </c>
      <c r="S1178" s="6">
        <v>0.33818287037037037</v>
      </c>
      <c r="T1178">
        <f t="shared" si="74"/>
        <v>16</v>
      </c>
      <c r="U1178" t="str" cm="1">
        <f t="array" ref="U1178">_xlfn.IFS(M1178&lt;=34,"YOUNG",M1178&lt;=54,"MIDDLE AGE",M1178&gt;=55,"OLD")</f>
        <v>MIDDLE AGE</v>
      </c>
      <c r="V1178" t="str">
        <f t="shared" si="75"/>
        <v>NORMAL</v>
      </c>
    </row>
    <row r="1179" spans="1:22" x14ac:dyDescent="0.35">
      <c r="A1179" t="s">
        <v>2861</v>
      </c>
      <c r="B1179" t="s">
        <v>1900</v>
      </c>
      <c r="C1179">
        <v>224.73</v>
      </c>
      <c r="D1179" s="1">
        <v>44966.686018518521</v>
      </c>
      <c r="E1179" s="2">
        <f t="shared" si="72"/>
        <v>0.68601851852145046</v>
      </c>
      <c r="F1179" s="3">
        <f t="shared" si="73"/>
        <v>44966</v>
      </c>
      <c r="G1179" t="s">
        <v>17</v>
      </c>
      <c r="H1179" t="s">
        <v>172</v>
      </c>
      <c r="I1179" t="s">
        <v>2333</v>
      </c>
      <c r="J1179" t="s">
        <v>2862</v>
      </c>
      <c r="K1179" t="s">
        <v>43</v>
      </c>
      <c r="L1179" t="s">
        <v>69</v>
      </c>
      <c r="M1179">
        <v>76</v>
      </c>
      <c r="N1179" t="s">
        <v>70</v>
      </c>
      <c r="O1179">
        <v>63</v>
      </c>
      <c r="P1179">
        <v>1</v>
      </c>
      <c r="Q1179">
        <v>7551.89</v>
      </c>
      <c r="R1179" s="4">
        <v>45600</v>
      </c>
      <c r="S1179" s="6">
        <v>0.33934027777777775</v>
      </c>
      <c r="T1179">
        <f t="shared" si="74"/>
        <v>16</v>
      </c>
      <c r="U1179" t="str" cm="1">
        <f t="array" ref="U1179">_xlfn.IFS(M1179&lt;=34,"YOUNG",M1179&lt;=54,"MIDDLE AGE",M1179&gt;=55,"OLD")</f>
        <v>OLD</v>
      </c>
      <c r="V1179" t="str">
        <f t="shared" si="75"/>
        <v>NORMAL</v>
      </c>
    </row>
    <row r="1180" spans="1:22" x14ac:dyDescent="0.35">
      <c r="A1180" t="s">
        <v>2863</v>
      </c>
      <c r="B1180" t="s">
        <v>2650</v>
      </c>
      <c r="C1180">
        <v>752.69</v>
      </c>
      <c r="D1180" s="1">
        <v>45075.788206018522</v>
      </c>
      <c r="E1180" s="2">
        <f t="shared" si="72"/>
        <v>0.78820601852203254</v>
      </c>
      <c r="F1180" s="3">
        <f t="shared" si="73"/>
        <v>45075</v>
      </c>
      <c r="G1180" t="s">
        <v>46</v>
      </c>
      <c r="H1180" t="s">
        <v>323</v>
      </c>
      <c r="I1180" t="s">
        <v>1615</v>
      </c>
      <c r="J1180" t="s">
        <v>2864</v>
      </c>
      <c r="K1180" t="s">
        <v>682</v>
      </c>
      <c r="L1180" t="s">
        <v>22</v>
      </c>
      <c r="M1180">
        <v>65</v>
      </c>
      <c r="N1180" t="s">
        <v>23</v>
      </c>
      <c r="O1180">
        <v>115</v>
      </c>
      <c r="P1180">
        <v>1</v>
      </c>
      <c r="Q1180">
        <v>14489.69</v>
      </c>
      <c r="R1180" s="4">
        <v>45600</v>
      </c>
      <c r="S1180" s="6">
        <v>0.33974537037037039</v>
      </c>
      <c r="T1180">
        <f t="shared" si="74"/>
        <v>18</v>
      </c>
      <c r="U1180" t="str" cm="1">
        <f t="array" ref="U1180">_xlfn.IFS(M1180&lt;=34,"YOUNG",M1180&lt;=54,"MIDDLE AGE",M1180&gt;=55,"OLD")</f>
        <v>OLD</v>
      </c>
      <c r="V1180" t="str">
        <f t="shared" si="75"/>
        <v>NORMAL</v>
      </c>
    </row>
    <row r="1181" spans="1:22" x14ac:dyDescent="0.35">
      <c r="A1181" t="s">
        <v>2865</v>
      </c>
      <c r="B1181" t="s">
        <v>322</v>
      </c>
      <c r="C1181">
        <v>78.5</v>
      </c>
      <c r="D1181" s="1">
        <v>44971.671249999999</v>
      </c>
      <c r="E1181" s="2">
        <f t="shared" si="72"/>
        <v>0.67124999999941792</v>
      </c>
      <c r="F1181" s="3">
        <f t="shared" si="73"/>
        <v>44971</v>
      </c>
      <c r="G1181" t="s">
        <v>46</v>
      </c>
      <c r="H1181" t="s">
        <v>223</v>
      </c>
      <c r="I1181" t="s">
        <v>443</v>
      </c>
      <c r="J1181" t="s">
        <v>1571</v>
      </c>
      <c r="K1181" t="s">
        <v>83</v>
      </c>
      <c r="L1181" t="s">
        <v>69</v>
      </c>
      <c r="M1181">
        <v>31</v>
      </c>
      <c r="N1181" t="s">
        <v>23</v>
      </c>
      <c r="O1181">
        <v>41</v>
      </c>
      <c r="P1181">
        <v>1</v>
      </c>
      <c r="Q1181">
        <v>13991.5</v>
      </c>
      <c r="R1181" s="4">
        <v>45600</v>
      </c>
      <c r="S1181" s="6">
        <v>0.34159722222222222</v>
      </c>
      <c r="T1181">
        <f t="shared" si="74"/>
        <v>16</v>
      </c>
      <c r="U1181" t="str" cm="1">
        <f t="array" ref="U1181">_xlfn.IFS(M1181&lt;=34,"YOUNG",M1181&lt;=54,"MIDDLE AGE",M1181&gt;=55,"OLD")</f>
        <v>YOUNG</v>
      </c>
      <c r="V1181" t="str">
        <f t="shared" si="75"/>
        <v>NORMAL</v>
      </c>
    </row>
    <row r="1182" spans="1:22" x14ac:dyDescent="0.35">
      <c r="A1182" t="s">
        <v>2866</v>
      </c>
      <c r="B1182" t="s">
        <v>2802</v>
      </c>
      <c r="C1182">
        <v>50</v>
      </c>
      <c r="D1182" s="1">
        <v>44981.753611111111</v>
      </c>
      <c r="E1182" s="2">
        <f t="shared" si="72"/>
        <v>0.75361111111124046</v>
      </c>
      <c r="F1182" s="3">
        <f t="shared" si="73"/>
        <v>44981</v>
      </c>
      <c r="G1182" t="s">
        <v>46</v>
      </c>
      <c r="H1182" t="s">
        <v>392</v>
      </c>
      <c r="I1182" t="s">
        <v>109</v>
      </c>
      <c r="J1182" t="s">
        <v>1032</v>
      </c>
      <c r="K1182" t="s">
        <v>762</v>
      </c>
      <c r="L1182" t="s">
        <v>22</v>
      </c>
      <c r="M1182">
        <v>53</v>
      </c>
      <c r="N1182" t="s">
        <v>23</v>
      </c>
      <c r="O1182">
        <v>87</v>
      </c>
      <c r="P1182">
        <v>1</v>
      </c>
      <c r="Q1182">
        <v>185.87</v>
      </c>
      <c r="R1182" s="4">
        <v>45600</v>
      </c>
      <c r="S1182" s="6">
        <v>0.34122685185185186</v>
      </c>
      <c r="T1182">
        <f t="shared" si="74"/>
        <v>18</v>
      </c>
      <c r="U1182" t="str" cm="1">
        <f t="array" ref="U1182">_xlfn.IFS(M1182&lt;=34,"YOUNG",M1182&lt;=54,"MIDDLE AGE",M1182&gt;=55,"OLD")</f>
        <v>MIDDLE AGE</v>
      </c>
      <c r="V1182" t="str">
        <f t="shared" si="75"/>
        <v>NORMAL</v>
      </c>
    </row>
    <row r="1183" spans="1:22" x14ac:dyDescent="0.35">
      <c r="A1183" t="s">
        <v>2867</v>
      </c>
      <c r="B1183" t="s">
        <v>1137</v>
      </c>
      <c r="C1183">
        <v>132.41999999999999</v>
      </c>
      <c r="D1183" s="1">
        <v>45131.682384259257</v>
      </c>
      <c r="E1183" s="2">
        <f t="shared" si="72"/>
        <v>0.68238425925665069</v>
      </c>
      <c r="F1183" s="3">
        <f t="shared" si="73"/>
        <v>45131</v>
      </c>
      <c r="G1183" t="s">
        <v>17</v>
      </c>
      <c r="H1183" t="s">
        <v>114</v>
      </c>
      <c r="I1183" t="s">
        <v>489</v>
      </c>
      <c r="J1183" t="s">
        <v>2868</v>
      </c>
      <c r="K1183" t="s">
        <v>853</v>
      </c>
      <c r="L1183" t="s">
        <v>22</v>
      </c>
      <c r="M1183">
        <v>18</v>
      </c>
      <c r="N1183" t="s">
        <v>37</v>
      </c>
      <c r="O1183">
        <v>164</v>
      </c>
      <c r="P1183">
        <v>1</v>
      </c>
      <c r="Q1183">
        <v>726.39</v>
      </c>
      <c r="R1183" s="4">
        <v>45600</v>
      </c>
      <c r="S1183" s="6">
        <v>0.34164351851851854</v>
      </c>
      <c r="T1183">
        <f t="shared" si="74"/>
        <v>16</v>
      </c>
      <c r="U1183" t="str" cm="1">
        <f t="array" ref="U1183">_xlfn.IFS(M1183&lt;=34,"YOUNG",M1183&lt;=54,"MIDDLE AGE",M1183&gt;=55,"OLD")</f>
        <v>YOUNG</v>
      </c>
      <c r="V1183" t="str">
        <f t="shared" si="75"/>
        <v>NORMAL</v>
      </c>
    </row>
    <row r="1184" spans="1:22" x14ac:dyDescent="0.35">
      <c r="A1184" t="s">
        <v>2869</v>
      </c>
      <c r="B1184" t="s">
        <v>264</v>
      </c>
      <c r="C1184">
        <v>11.67</v>
      </c>
      <c r="D1184" s="1">
        <v>45243.687743055554</v>
      </c>
      <c r="E1184" s="2">
        <f t="shared" si="72"/>
        <v>0.68774305555416504</v>
      </c>
      <c r="F1184" s="3">
        <f t="shared" si="73"/>
        <v>45243</v>
      </c>
      <c r="G1184" t="s">
        <v>17</v>
      </c>
      <c r="H1184" t="s">
        <v>157</v>
      </c>
      <c r="I1184" t="s">
        <v>2870</v>
      </c>
      <c r="J1184" t="s">
        <v>2181</v>
      </c>
      <c r="K1184" t="s">
        <v>303</v>
      </c>
      <c r="L1184" t="s">
        <v>69</v>
      </c>
      <c r="M1184">
        <v>76</v>
      </c>
      <c r="N1184" t="s">
        <v>70</v>
      </c>
      <c r="O1184">
        <v>105</v>
      </c>
      <c r="P1184">
        <v>1</v>
      </c>
      <c r="Q1184">
        <v>7458.63</v>
      </c>
      <c r="R1184" s="4">
        <v>45600</v>
      </c>
      <c r="S1184" s="6">
        <v>0.34050925925925923</v>
      </c>
      <c r="T1184">
        <f t="shared" si="74"/>
        <v>16</v>
      </c>
      <c r="U1184" t="str" cm="1">
        <f t="array" ref="U1184">_xlfn.IFS(M1184&lt;=34,"YOUNG",M1184&lt;=54,"MIDDLE AGE",M1184&gt;=55,"OLD")</f>
        <v>OLD</v>
      </c>
      <c r="V1184" t="str">
        <f t="shared" si="75"/>
        <v>NORMAL</v>
      </c>
    </row>
    <row r="1185" spans="1:22" x14ac:dyDescent="0.35">
      <c r="A1185" t="s">
        <v>2871</v>
      </c>
      <c r="B1185" t="s">
        <v>1066</v>
      </c>
      <c r="C1185">
        <v>83.16</v>
      </c>
      <c r="D1185" s="1">
        <v>45154.674953703703</v>
      </c>
      <c r="E1185" s="2">
        <f t="shared" si="72"/>
        <v>0.67495370370306773</v>
      </c>
      <c r="F1185" s="3">
        <f t="shared" si="73"/>
        <v>45154</v>
      </c>
      <c r="G1185" t="s">
        <v>17</v>
      </c>
      <c r="H1185" t="s">
        <v>140</v>
      </c>
      <c r="I1185" t="s">
        <v>596</v>
      </c>
      <c r="J1185" t="s">
        <v>583</v>
      </c>
      <c r="K1185" t="s">
        <v>50</v>
      </c>
      <c r="L1185" t="s">
        <v>22</v>
      </c>
      <c r="M1185">
        <v>61</v>
      </c>
      <c r="N1185" t="s">
        <v>70</v>
      </c>
      <c r="O1185">
        <v>177</v>
      </c>
      <c r="P1185">
        <v>1</v>
      </c>
      <c r="Q1185">
        <v>3065.87</v>
      </c>
      <c r="R1185" s="4">
        <v>45600</v>
      </c>
      <c r="S1185" s="6">
        <v>0.3394212962962963</v>
      </c>
      <c r="T1185">
        <f t="shared" si="74"/>
        <v>16</v>
      </c>
      <c r="U1185" t="str" cm="1">
        <f t="array" ref="U1185">_xlfn.IFS(M1185&lt;=34,"YOUNG",M1185&lt;=54,"MIDDLE AGE",M1185&gt;=55,"OLD")</f>
        <v>OLD</v>
      </c>
      <c r="V1185" t="str">
        <f t="shared" si="75"/>
        <v>NORMAL</v>
      </c>
    </row>
    <row r="1186" spans="1:22" x14ac:dyDescent="0.35">
      <c r="A1186" t="s">
        <v>2872</v>
      </c>
      <c r="B1186" t="s">
        <v>851</v>
      </c>
      <c r="C1186">
        <v>149.02000000000001</v>
      </c>
      <c r="D1186" s="1">
        <v>45170.691562499997</v>
      </c>
      <c r="E1186" s="2">
        <f t="shared" si="72"/>
        <v>0.69156249999650754</v>
      </c>
      <c r="F1186" s="3">
        <f t="shared" si="73"/>
        <v>45170</v>
      </c>
      <c r="G1186" t="s">
        <v>46</v>
      </c>
      <c r="H1186" t="s">
        <v>157</v>
      </c>
      <c r="I1186" t="s">
        <v>2873</v>
      </c>
      <c r="J1186" t="s">
        <v>2820</v>
      </c>
      <c r="K1186" t="s">
        <v>62</v>
      </c>
      <c r="L1186" t="s">
        <v>69</v>
      </c>
      <c r="M1186">
        <v>46</v>
      </c>
      <c r="N1186" t="s">
        <v>77</v>
      </c>
      <c r="O1186">
        <v>176</v>
      </c>
      <c r="P1186">
        <v>1</v>
      </c>
      <c r="Q1186">
        <v>9379.7199999999993</v>
      </c>
      <c r="R1186" s="4">
        <v>45600</v>
      </c>
      <c r="S1186" s="6">
        <v>0.33796296296296297</v>
      </c>
      <c r="T1186">
        <f t="shared" si="74"/>
        <v>16</v>
      </c>
      <c r="U1186" t="str" cm="1">
        <f t="array" ref="U1186">_xlfn.IFS(M1186&lt;=34,"YOUNG",M1186&lt;=54,"MIDDLE AGE",M1186&gt;=55,"OLD")</f>
        <v>MIDDLE AGE</v>
      </c>
      <c r="V1186" t="str">
        <f t="shared" si="75"/>
        <v>NORMAL</v>
      </c>
    </row>
    <row r="1187" spans="1:22" x14ac:dyDescent="0.35">
      <c r="A1187" t="s">
        <v>2874</v>
      </c>
      <c r="B1187" t="s">
        <v>202</v>
      </c>
      <c r="C1187">
        <v>74.27</v>
      </c>
      <c r="D1187" s="1">
        <v>45120.720219907409</v>
      </c>
      <c r="E1187" s="2">
        <f t="shared" si="72"/>
        <v>0.72021990740904585</v>
      </c>
      <c r="F1187" s="3">
        <f t="shared" si="73"/>
        <v>45120</v>
      </c>
      <c r="G1187" t="s">
        <v>46</v>
      </c>
      <c r="H1187" t="s">
        <v>92</v>
      </c>
      <c r="I1187" t="s">
        <v>1126</v>
      </c>
      <c r="J1187" t="s">
        <v>1943</v>
      </c>
      <c r="K1187" t="s">
        <v>277</v>
      </c>
      <c r="L1187" t="s">
        <v>36</v>
      </c>
      <c r="M1187">
        <v>59</v>
      </c>
      <c r="N1187" t="s">
        <v>23</v>
      </c>
      <c r="O1187">
        <v>148</v>
      </c>
      <c r="P1187">
        <v>1</v>
      </c>
      <c r="Q1187">
        <v>13696.61</v>
      </c>
      <c r="R1187" s="4">
        <v>45600</v>
      </c>
      <c r="S1187" s="6">
        <v>0.34120370370370373</v>
      </c>
      <c r="T1187">
        <f t="shared" si="74"/>
        <v>17</v>
      </c>
      <c r="U1187" t="str" cm="1">
        <f t="array" ref="U1187">_xlfn.IFS(M1187&lt;=34,"YOUNG",M1187&lt;=54,"MIDDLE AGE",M1187&gt;=55,"OLD")</f>
        <v>OLD</v>
      </c>
      <c r="V1187" t="str">
        <f t="shared" si="75"/>
        <v>NORMAL</v>
      </c>
    </row>
    <row r="1188" spans="1:22" x14ac:dyDescent="0.35">
      <c r="A1188" t="s">
        <v>2875</v>
      </c>
      <c r="B1188" t="s">
        <v>625</v>
      </c>
      <c r="C1188">
        <v>876.57</v>
      </c>
      <c r="D1188" s="1">
        <v>45180.677847222221</v>
      </c>
      <c r="E1188" s="2">
        <f t="shared" si="72"/>
        <v>0.67784722222131677</v>
      </c>
      <c r="F1188" s="3">
        <f t="shared" si="73"/>
        <v>45180</v>
      </c>
      <c r="G1188" t="s">
        <v>46</v>
      </c>
      <c r="H1188" t="s">
        <v>595</v>
      </c>
      <c r="I1188" t="s">
        <v>1939</v>
      </c>
      <c r="J1188" t="s">
        <v>1188</v>
      </c>
      <c r="K1188" t="s">
        <v>682</v>
      </c>
      <c r="L1188" t="s">
        <v>22</v>
      </c>
      <c r="M1188">
        <v>62</v>
      </c>
      <c r="N1188" t="s">
        <v>70</v>
      </c>
      <c r="O1188">
        <v>118</v>
      </c>
      <c r="P1188">
        <v>1</v>
      </c>
      <c r="Q1188">
        <v>3743.63</v>
      </c>
      <c r="R1188" s="4">
        <v>45600</v>
      </c>
      <c r="S1188" s="6">
        <v>0.33812500000000001</v>
      </c>
      <c r="T1188">
        <f t="shared" si="74"/>
        <v>16</v>
      </c>
      <c r="U1188" t="str" cm="1">
        <f t="array" ref="U1188">_xlfn.IFS(M1188&lt;=34,"YOUNG",M1188&lt;=54,"MIDDLE AGE",M1188&gt;=55,"OLD")</f>
        <v>OLD</v>
      </c>
      <c r="V1188" t="str">
        <f t="shared" si="75"/>
        <v>NORMAL</v>
      </c>
    </row>
    <row r="1189" spans="1:22" x14ac:dyDescent="0.35">
      <c r="A1189" t="s">
        <v>2876</v>
      </c>
      <c r="B1189" t="s">
        <v>2877</v>
      </c>
      <c r="C1189">
        <v>615.58000000000004</v>
      </c>
      <c r="D1189" s="1">
        <v>45194.694444444445</v>
      </c>
      <c r="E1189" s="2">
        <f t="shared" si="72"/>
        <v>0.69444444444525288</v>
      </c>
      <c r="F1189" s="3">
        <f t="shared" si="73"/>
        <v>45194</v>
      </c>
      <c r="G1189" t="s">
        <v>17</v>
      </c>
      <c r="H1189" t="s">
        <v>392</v>
      </c>
      <c r="I1189" t="s">
        <v>1713</v>
      </c>
      <c r="J1189" t="s">
        <v>2751</v>
      </c>
      <c r="K1189" t="s">
        <v>128</v>
      </c>
      <c r="L1189" t="s">
        <v>22</v>
      </c>
      <c r="M1189">
        <v>42</v>
      </c>
      <c r="N1189" t="s">
        <v>23</v>
      </c>
      <c r="O1189">
        <v>133</v>
      </c>
      <c r="P1189">
        <v>1</v>
      </c>
      <c r="Q1189">
        <v>14343</v>
      </c>
      <c r="R1189" s="4">
        <v>45600</v>
      </c>
      <c r="S1189" s="6">
        <v>0.34091435185185187</v>
      </c>
      <c r="T1189">
        <f t="shared" si="74"/>
        <v>16</v>
      </c>
      <c r="U1189" t="str" cm="1">
        <f t="array" ref="U1189">_xlfn.IFS(M1189&lt;=34,"YOUNG",M1189&lt;=54,"MIDDLE AGE",M1189&gt;=55,"OLD")</f>
        <v>MIDDLE AGE</v>
      </c>
      <c r="V1189" t="str">
        <f t="shared" si="75"/>
        <v>NORMAL</v>
      </c>
    </row>
    <row r="1190" spans="1:22" x14ac:dyDescent="0.35">
      <c r="A1190" t="s">
        <v>2878</v>
      </c>
      <c r="B1190" t="s">
        <v>1023</v>
      </c>
      <c r="C1190">
        <v>643.03</v>
      </c>
      <c r="D1190" s="1">
        <v>45139.683067129627</v>
      </c>
      <c r="E1190" s="2">
        <f t="shared" si="72"/>
        <v>0.68306712962657912</v>
      </c>
      <c r="F1190" s="3">
        <f t="shared" si="73"/>
        <v>45139</v>
      </c>
      <c r="G1190" t="s">
        <v>46</v>
      </c>
      <c r="H1190" t="s">
        <v>392</v>
      </c>
      <c r="I1190" t="s">
        <v>2142</v>
      </c>
      <c r="J1190" t="s">
        <v>1277</v>
      </c>
      <c r="K1190" t="s">
        <v>43</v>
      </c>
      <c r="L1190" t="s">
        <v>36</v>
      </c>
      <c r="M1190">
        <v>36</v>
      </c>
      <c r="N1190" t="s">
        <v>77</v>
      </c>
      <c r="O1190">
        <v>52</v>
      </c>
      <c r="P1190">
        <v>1</v>
      </c>
      <c r="Q1190">
        <v>2882.16</v>
      </c>
      <c r="R1190" s="4">
        <v>45600</v>
      </c>
      <c r="S1190" s="6">
        <v>0.33914351851851854</v>
      </c>
      <c r="T1190">
        <f t="shared" si="74"/>
        <v>16</v>
      </c>
      <c r="U1190" t="str" cm="1">
        <f t="array" ref="U1190">_xlfn.IFS(M1190&lt;=34,"YOUNG",M1190&lt;=54,"MIDDLE AGE",M1190&gt;=55,"OLD")</f>
        <v>MIDDLE AGE</v>
      </c>
      <c r="V1190" t="str">
        <f t="shared" si="75"/>
        <v>NORMAL</v>
      </c>
    </row>
    <row r="1191" spans="1:22" x14ac:dyDescent="0.35">
      <c r="A1191" t="s">
        <v>2879</v>
      </c>
      <c r="B1191" t="s">
        <v>460</v>
      </c>
      <c r="C1191">
        <v>7.95</v>
      </c>
      <c r="D1191" s="1">
        <v>44935.698055555556</v>
      </c>
      <c r="E1191" s="2">
        <f t="shared" si="72"/>
        <v>0.69805555555649335</v>
      </c>
      <c r="F1191" s="3">
        <f t="shared" si="73"/>
        <v>44935</v>
      </c>
      <c r="G1191" t="s">
        <v>17</v>
      </c>
      <c r="H1191" t="s">
        <v>425</v>
      </c>
      <c r="I1191" t="s">
        <v>2721</v>
      </c>
      <c r="J1191" t="s">
        <v>2336</v>
      </c>
      <c r="K1191" t="s">
        <v>343</v>
      </c>
      <c r="L1191" t="s">
        <v>22</v>
      </c>
      <c r="M1191">
        <v>79</v>
      </c>
      <c r="N1191" t="s">
        <v>70</v>
      </c>
      <c r="O1191">
        <v>65</v>
      </c>
      <c r="P1191">
        <v>1</v>
      </c>
      <c r="Q1191">
        <v>5631.2</v>
      </c>
      <c r="R1191" s="4">
        <v>45600</v>
      </c>
      <c r="S1191" s="6">
        <v>0.34034722222222225</v>
      </c>
      <c r="T1191">
        <f t="shared" si="74"/>
        <v>16</v>
      </c>
      <c r="U1191" t="str" cm="1">
        <f t="array" ref="U1191">_xlfn.IFS(M1191&lt;=34,"YOUNG",M1191&lt;=54,"MIDDLE AGE",M1191&gt;=55,"OLD")</f>
        <v>OLD</v>
      </c>
      <c r="V1191" t="str">
        <f t="shared" si="75"/>
        <v>NORMAL</v>
      </c>
    </row>
    <row r="1192" spans="1:22" x14ac:dyDescent="0.35">
      <c r="A1192" t="s">
        <v>2880</v>
      </c>
      <c r="B1192" t="s">
        <v>621</v>
      </c>
      <c r="C1192">
        <v>270.92</v>
      </c>
      <c r="D1192" s="1">
        <v>45037.71056712963</v>
      </c>
      <c r="E1192" s="2">
        <f t="shared" si="72"/>
        <v>0.71056712963036261</v>
      </c>
      <c r="F1192" s="3">
        <f t="shared" si="73"/>
        <v>45037</v>
      </c>
      <c r="G1192" t="s">
        <v>46</v>
      </c>
      <c r="H1192" t="s">
        <v>108</v>
      </c>
      <c r="I1192" t="s">
        <v>713</v>
      </c>
      <c r="J1192" t="s">
        <v>1155</v>
      </c>
      <c r="K1192" t="s">
        <v>386</v>
      </c>
      <c r="L1192" t="s">
        <v>69</v>
      </c>
      <c r="M1192">
        <v>77</v>
      </c>
      <c r="N1192" t="s">
        <v>70</v>
      </c>
      <c r="O1192">
        <v>143</v>
      </c>
      <c r="P1192">
        <v>1</v>
      </c>
      <c r="Q1192">
        <v>4574.43</v>
      </c>
      <c r="R1192" s="4">
        <v>45600</v>
      </c>
      <c r="S1192" s="6">
        <v>0.33809027777777778</v>
      </c>
      <c r="T1192">
        <f t="shared" si="74"/>
        <v>17</v>
      </c>
      <c r="U1192" t="str" cm="1">
        <f t="array" ref="U1192">_xlfn.IFS(M1192&lt;=34,"YOUNG",M1192&lt;=54,"MIDDLE AGE",M1192&gt;=55,"OLD")</f>
        <v>OLD</v>
      </c>
      <c r="V1192" t="str">
        <f t="shared" si="75"/>
        <v>NORMAL</v>
      </c>
    </row>
    <row r="1193" spans="1:22" x14ac:dyDescent="0.35">
      <c r="A1193" t="s">
        <v>2881</v>
      </c>
      <c r="B1193" t="s">
        <v>889</v>
      </c>
      <c r="C1193">
        <v>499.48</v>
      </c>
      <c r="D1193" s="1">
        <v>44943.706319444442</v>
      </c>
      <c r="E1193" s="2">
        <f t="shared" si="72"/>
        <v>0.70631944444176042</v>
      </c>
      <c r="F1193" s="3">
        <f t="shared" si="73"/>
        <v>44943</v>
      </c>
      <c r="G1193" t="s">
        <v>17</v>
      </c>
      <c r="H1193" t="s">
        <v>249</v>
      </c>
      <c r="I1193" t="s">
        <v>1592</v>
      </c>
      <c r="J1193" t="s">
        <v>42</v>
      </c>
      <c r="K1193" t="s">
        <v>445</v>
      </c>
      <c r="L1193" t="s">
        <v>22</v>
      </c>
      <c r="M1193">
        <v>24</v>
      </c>
      <c r="N1193" t="s">
        <v>37</v>
      </c>
      <c r="O1193">
        <v>133</v>
      </c>
      <c r="P1193">
        <v>1</v>
      </c>
      <c r="Q1193">
        <v>1242.6199999999999</v>
      </c>
      <c r="R1193" s="4">
        <v>45600</v>
      </c>
      <c r="S1193" s="6">
        <v>0.33939814814814817</v>
      </c>
      <c r="T1193">
        <f t="shared" si="74"/>
        <v>16</v>
      </c>
      <c r="U1193" t="str" cm="1">
        <f t="array" ref="U1193">_xlfn.IFS(M1193&lt;=34,"YOUNG",M1193&lt;=54,"MIDDLE AGE",M1193&gt;=55,"OLD")</f>
        <v>YOUNG</v>
      </c>
      <c r="V1193" t="str">
        <f t="shared" si="75"/>
        <v>NORMAL</v>
      </c>
    </row>
    <row r="1194" spans="1:22" x14ac:dyDescent="0.35">
      <c r="A1194" t="s">
        <v>2882</v>
      </c>
      <c r="B1194" t="s">
        <v>569</v>
      </c>
      <c r="C1194">
        <v>841.5</v>
      </c>
      <c r="D1194" s="1">
        <v>45068.689768518518</v>
      </c>
      <c r="E1194" s="2">
        <f t="shared" si="72"/>
        <v>0.68976851851766696</v>
      </c>
      <c r="F1194" s="3">
        <f t="shared" si="73"/>
        <v>45068</v>
      </c>
      <c r="G1194" t="s">
        <v>46</v>
      </c>
      <c r="H1194" t="s">
        <v>47</v>
      </c>
      <c r="I1194" t="s">
        <v>2883</v>
      </c>
      <c r="J1194" t="s">
        <v>1100</v>
      </c>
      <c r="K1194" t="s">
        <v>68</v>
      </c>
      <c r="L1194" t="s">
        <v>69</v>
      </c>
      <c r="M1194">
        <v>25</v>
      </c>
      <c r="N1194" t="s">
        <v>37</v>
      </c>
      <c r="O1194">
        <v>287</v>
      </c>
      <c r="P1194">
        <v>1</v>
      </c>
      <c r="Q1194">
        <v>352.31</v>
      </c>
      <c r="R1194" s="4">
        <v>45600</v>
      </c>
      <c r="S1194" s="6">
        <v>0.33966435185185184</v>
      </c>
      <c r="T1194">
        <f t="shared" si="74"/>
        <v>16</v>
      </c>
      <c r="U1194" t="str" cm="1">
        <f t="array" ref="U1194">_xlfn.IFS(M1194&lt;=34,"YOUNG",M1194&lt;=54,"MIDDLE AGE",M1194&gt;=55,"OLD")</f>
        <v>YOUNG</v>
      </c>
      <c r="V1194" t="str">
        <f t="shared" si="75"/>
        <v>NORMAL</v>
      </c>
    </row>
    <row r="1195" spans="1:22" x14ac:dyDescent="0.35">
      <c r="A1195" t="s">
        <v>2884</v>
      </c>
      <c r="B1195" t="s">
        <v>498</v>
      </c>
      <c r="C1195">
        <v>138.82</v>
      </c>
      <c r="D1195" s="1">
        <v>45215.67523148148</v>
      </c>
      <c r="E1195" s="2">
        <f t="shared" si="72"/>
        <v>0.67523148148029577</v>
      </c>
      <c r="F1195" s="3">
        <f t="shared" si="73"/>
        <v>45215</v>
      </c>
      <c r="G1195" t="s">
        <v>17</v>
      </c>
      <c r="H1195" t="s">
        <v>157</v>
      </c>
      <c r="I1195" t="s">
        <v>2203</v>
      </c>
      <c r="J1195" t="s">
        <v>1204</v>
      </c>
      <c r="K1195" t="s">
        <v>95</v>
      </c>
      <c r="L1195" t="s">
        <v>36</v>
      </c>
      <c r="M1195">
        <v>77</v>
      </c>
      <c r="N1195" t="s">
        <v>70</v>
      </c>
      <c r="O1195">
        <v>53</v>
      </c>
      <c r="P1195">
        <v>1</v>
      </c>
      <c r="Q1195">
        <v>3100.22</v>
      </c>
      <c r="R1195" s="4">
        <v>45600</v>
      </c>
      <c r="S1195" s="6">
        <v>0.34152777777777776</v>
      </c>
      <c r="T1195">
        <f t="shared" si="74"/>
        <v>16</v>
      </c>
      <c r="U1195" t="str" cm="1">
        <f t="array" ref="U1195">_xlfn.IFS(M1195&lt;=34,"YOUNG",M1195&lt;=54,"MIDDLE AGE",M1195&gt;=55,"OLD")</f>
        <v>OLD</v>
      </c>
      <c r="V1195" t="str">
        <f t="shared" si="75"/>
        <v>NORMAL</v>
      </c>
    </row>
    <row r="1196" spans="1:22" x14ac:dyDescent="0.35">
      <c r="A1196" t="s">
        <v>2885</v>
      </c>
      <c r="B1196" t="s">
        <v>2125</v>
      </c>
      <c r="C1196">
        <v>231.46</v>
      </c>
      <c r="D1196" s="1">
        <v>45085.696180555555</v>
      </c>
      <c r="E1196" s="2">
        <f t="shared" si="72"/>
        <v>0.69618055555474712</v>
      </c>
      <c r="F1196" s="3">
        <f t="shared" si="73"/>
        <v>45085</v>
      </c>
      <c r="G1196" t="s">
        <v>46</v>
      </c>
      <c r="H1196" t="s">
        <v>172</v>
      </c>
      <c r="I1196" t="s">
        <v>2453</v>
      </c>
      <c r="J1196" t="s">
        <v>261</v>
      </c>
      <c r="K1196" t="s">
        <v>478</v>
      </c>
      <c r="L1196" t="s">
        <v>69</v>
      </c>
      <c r="M1196">
        <v>60</v>
      </c>
      <c r="N1196" t="s">
        <v>77</v>
      </c>
      <c r="O1196">
        <v>83</v>
      </c>
      <c r="P1196">
        <v>1</v>
      </c>
      <c r="Q1196">
        <v>4707.24</v>
      </c>
      <c r="R1196" s="4">
        <v>45600</v>
      </c>
      <c r="S1196" s="6">
        <v>0.33924768518518517</v>
      </c>
      <c r="T1196">
        <f t="shared" si="74"/>
        <v>16</v>
      </c>
      <c r="U1196" t="str" cm="1">
        <f t="array" ref="U1196">_xlfn.IFS(M1196&lt;=34,"YOUNG",M1196&lt;=54,"MIDDLE AGE",M1196&gt;=55,"OLD")</f>
        <v>OLD</v>
      </c>
      <c r="V1196" t="str">
        <f t="shared" si="75"/>
        <v>NORMAL</v>
      </c>
    </row>
    <row r="1197" spans="1:22" x14ac:dyDescent="0.35">
      <c r="A1197" t="s">
        <v>2886</v>
      </c>
      <c r="B1197" t="s">
        <v>2370</v>
      </c>
      <c r="C1197">
        <v>292.08</v>
      </c>
      <c r="D1197" s="1">
        <v>45289.754907407405</v>
      </c>
      <c r="E1197" s="2">
        <f t="shared" si="72"/>
        <v>0.75490740740497131</v>
      </c>
      <c r="F1197" s="3">
        <f t="shared" si="73"/>
        <v>45289</v>
      </c>
      <c r="G1197" t="s">
        <v>17</v>
      </c>
      <c r="H1197" t="s">
        <v>125</v>
      </c>
      <c r="I1197" t="s">
        <v>833</v>
      </c>
      <c r="J1197" t="s">
        <v>1864</v>
      </c>
      <c r="K1197" t="s">
        <v>652</v>
      </c>
      <c r="L1197" t="s">
        <v>22</v>
      </c>
      <c r="M1197">
        <v>72</v>
      </c>
      <c r="N1197" t="s">
        <v>70</v>
      </c>
      <c r="O1197">
        <v>32</v>
      </c>
      <c r="P1197">
        <v>1</v>
      </c>
      <c r="Q1197">
        <v>7950.48</v>
      </c>
      <c r="R1197" s="4">
        <v>45600</v>
      </c>
      <c r="S1197" s="6">
        <v>0.33997685185185184</v>
      </c>
      <c r="T1197">
        <f t="shared" si="74"/>
        <v>18</v>
      </c>
      <c r="U1197" t="str" cm="1">
        <f t="array" ref="U1197">_xlfn.IFS(M1197&lt;=34,"YOUNG",M1197&lt;=54,"MIDDLE AGE",M1197&gt;=55,"OLD")</f>
        <v>OLD</v>
      </c>
      <c r="V1197" t="str">
        <f t="shared" si="75"/>
        <v>NORMAL</v>
      </c>
    </row>
    <row r="1198" spans="1:22" x14ac:dyDescent="0.35">
      <c r="A1198" t="s">
        <v>2887</v>
      </c>
      <c r="B1198" t="s">
        <v>219</v>
      </c>
      <c r="C1198">
        <v>63.98</v>
      </c>
      <c r="D1198" s="1">
        <v>45229.667858796296</v>
      </c>
      <c r="E1198" s="2">
        <f t="shared" si="72"/>
        <v>0.66785879629605915</v>
      </c>
      <c r="F1198" s="3">
        <f t="shared" si="73"/>
        <v>45229</v>
      </c>
      <c r="G1198" t="s">
        <v>17</v>
      </c>
      <c r="H1198" t="s">
        <v>197</v>
      </c>
      <c r="I1198" t="s">
        <v>798</v>
      </c>
      <c r="J1198" t="s">
        <v>710</v>
      </c>
      <c r="K1198" t="s">
        <v>607</v>
      </c>
      <c r="L1198" t="s">
        <v>36</v>
      </c>
      <c r="M1198">
        <v>54</v>
      </c>
      <c r="N1198" t="s">
        <v>23</v>
      </c>
      <c r="O1198">
        <v>258</v>
      </c>
      <c r="P1198">
        <v>1</v>
      </c>
      <c r="Q1198">
        <v>7954.12</v>
      </c>
      <c r="R1198" s="4">
        <v>45600</v>
      </c>
      <c r="S1198" s="6">
        <v>0.33811342592592591</v>
      </c>
      <c r="T1198">
        <f t="shared" si="74"/>
        <v>16</v>
      </c>
      <c r="U1198" t="str" cm="1">
        <f t="array" ref="U1198">_xlfn.IFS(M1198&lt;=34,"YOUNG",M1198&lt;=54,"MIDDLE AGE",M1198&gt;=55,"OLD")</f>
        <v>MIDDLE AGE</v>
      </c>
      <c r="V1198" t="str">
        <f t="shared" si="75"/>
        <v>NORMAL</v>
      </c>
    </row>
    <row r="1199" spans="1:22" x14ac:dyDescent="0.35">
      <c r="A1199" t="s">
        <v>2888</v>
      </c>
      <c r="B1199" t="s">
        <v>2889</v>
      </c>
      <c r="C1199">
        <v>235.21</v>
      </c>
      <c r="D1199" s="1">
        <v>45215.697824074072</v>
      </c>
      <c r="E1199" s="2">
        <f t="shared" si="72"/>
        <v>0.697824074071832</v>
      </c>
      <c r="F1199" s="3">
        <f t="shared" si="73"/>
        <v>45215</v>
      </c>
      <c r="G1199" t="s">
        <v>17</v>
      </c>
      <c r="H1199" t="s">
        <v>388</v>
      </c>
      <c r="I1199" t="s">
        <v>2890</v>
      </c>
      <c r="J1199" t="s">
        <v>2254</v>
      </c>
      <c r="K1199" t="s">
        <v>83</v>
      </c>
      <c r="L1199" t="s">
        <v>69</v>
      </c>
      <c r="M1199">
        <v>67</v>
      </c>
      <c r="N1199" t="s">
        <v>23</v>
      </c>
      <c r="O1199">
        <v>74</v>
      </c>
      <c r="P1199">
        <v>1</v>
      </c>
      <c r="Q1199">
        <v>5946.61</v>
      </c>
      <c r="R1199" s="4">
        <v>45600</v>
      </c>
      <c r="S1199" s="6">
        <v>0.34096064814814814</v>
      </c>
      <c r="T1199">
        <f t="shared" si="74"/>
        <v>16</v>
      </c>
      <c r="U1199" t="str" cm="1">
        <f t="array" ref="U1199">_xlfn.IFS(M1199&lt;=34,"YOUNG",M1199&lt;=54,"MIDDLE AGE",M1199&gt;=55,"OLD")</f>
        <v>OLD</v>
      </c>
      <c r="V1199" t="str">
        <f t="shared" si="75"/>
        <v>NORMAL</v>
      </c>
    </row>
    <row r="1200" spans="1:22" x14ac:dyDescent="0.35">
      <c r="A1200" t="s">
        <v>2891</v>
      </c>
      <c r="B1200" t="s">
        <v>242</v>
      </c>
      <c r="C1200">
        <v>201.73</v>
      </c>
      <c r="D1200" s="1">
        <v>45174.781504629631</v>
      </c>
      <c r="E1200" s="2">
        <f t="shared" si="72"/>
        <v>0.78150462963094469</v>
      </c>
      <c r="F1200" s="3">
        <f t="shared" si="73"/>
        <v>45174</v>
      </c>
      <c r="G1200" t="s">
        <v>17</v>
      </c>
      <c r="H1200" t="s">
        <v>197</v>
      </c>
      <c r="I1200" t="s">
        <v>2892</v>
      </c>
      <c r="J1200" t="s">
        <v>1637</v>
      </c>
      <c r="K1200" t="s">
        <v>1287</v>
      </c>
      <c r="L1200" t="s">
        <v>36</v>
      </c>
      <c r="M1200">
        <v>57</v>
      </c>
      <c r="N1200" t="s">
        <v>77</v>
      </c>
      <c r="O1200">
        <v>78</v>
      </c>
      <c r="P1200">
        <v>1</v>
      </c>
      <c r="Q1200">
        <v>6650.71</v>
      </c>
      <c r="R1200" s="4">
        <v>45600</v>
      </c>
      <c r="S1200" s="6">
        <v>0.34174768518518517</v>
      </c>
      <c r="T1200">
        <f t="shared" si="74"/>
        <v>18</v>
      </c>
      <c r="U1200" t="str" cm="1">
        <f t="array" ref="U1200">_xlfn.IFS(M1200&lt;=34,"YOUNG",M1200&lt;=54,"MIDDLE AGE",M1200&gt;=55,"OLD")</f>
        <v>OLD</v>
      </c>
      <c r="V1200" t="str">
        <f t="shared" si="75"/>
        <v>NORMAL</v>
      </c>
    </row>
    <row r="1201" spans="1:22" x14ac:dyDescent="0.35">
      <c r="A1201" t="s">
        <v>2893</v>
      </c>
      <c r="B1201" t="s">
        <v>447</v>
      </c>
      <c r="C1201">
        <v>161.31</v>
      </c>
      <c r="D1201" s="1">
        <v>45180.683993055558</v>
      </c>
      <c r="E1201" s="2">
        <f t="shared" si="72"/>
        <v>0.68399305555794854</v>
      </c>
      <c r="F1201" s="3">
        <f t="shared" si="73"/>
        <v>45180</v>
      </c>
      <c r="G1201" t="s">
        <v>17</v>
      </c>
      <c r="H1201" t="s">
        <v>80</v>
      </c>
      <c r="I1201" t="s">
        <v>2119</v>
      </c>
      <c r="J1201" t="s">
        <v>1629</v>
      </c>
      <c r="K1201" t="s">
        <v>267</v>
      </c>
      <c r="L1201" t="s">
        <v>22</v>
      </c>
      <c r="M1201">
        <v>28</v>
      </c>
      <c r="N1201" t="s">
        <v>37</v>
      </c>
      <c r="O1201">
        <v>13</v>
      </c>
      <c r="P1201">
        <v>1</v>
      </c>
      <c r="Q1201">
        <v>1268.67</v>
      </c>
      <c r="R1201" s="4">
        <v>45600</v>
      </c>
      <c r="S1201" s="6">
        <v>0.33951388888888889</v>
      </c>
      <c r="T1201">
        <f t="shared" si="74"/>
        <v>16</v>
      </c>
      <c r="U1201" t="str" cm="1">
        <f t="array" ref="U1201">_xlfn.IFS(M1201&lt;=34,"YOUNG",M1201&lt;=54,"MIDDLE AGE",M1201&gt;=55,"OLD")</f>
        <v>YOUNG</v>
      </c>
      <c r="V1201" t="str">
        <f t="shared" si="75"/>
        <v>NORMAL</v>
      </c>
    </row>
    <row r="1202" spans="1:22" x14ac:dyDescent="0.35">
      <c r="A1202" t="s">
        <v>2894</v>
      </c>
      <c r="B1202" t="s">
        <v>892</v>
      </c>
      <c r="C1202">
        <v>18.41</v>
      </c>
      <c r="D1202" s="1">
        <v>45261.726921296293</v>
      </c>
      <c r="E1202" s="2">
        <f t="shared" si="72"/>
        <v>0.72692129629285773</v>
      </c>
      <c r="F1202" s="3">
        <f t="shared" si="73"/>
        <v>45261</v>
      </c>
      <c r="G1202" t="s">
        <v>17</v>
      </c>
      <c r="H1202" t="s">
        <v>47</v>
      </c>
      <c r="I1202" t="s">
        <v>530</v>
      </c>
      <c r="J1202" t="s">
        <v>2858</v>
      </c>
      <c r="K1202" t="s">
        <v>831</v>
      </c>
      <c r="L1202" t="s">
        <v>69</v>
      </c>
      <c r="M1202">
        <v>53</v>
      </c>
      <c r="N1202" t="s">
        <v>23</v>
      </c>
      <c r="O1202">
        <v>168</v>
      </c>
      <c r="P1202">
        <v>1</v>
      </c>
      <c r="Q1202">
        <v>8287.5400000000009</v>
      </c>
      <c r="R1202" s="4">
        <v>45600</v>
      </c>
      <c r="S1202" s="6">
        <v>0.34131944444444445</v>
      </c>
      <c r="T1202">
        <f t="shared" si="74"/>
        <v>17</v>
      </c>
      <c r="U1202" t="str" cm="1">
        <f t="array" ref="U1202">_xlfn.IFS(M1202&lt;=34,"YOUNG",M1202&lt;=54,"MIDDLE AGE",M1202&gt;=55,"OLD")</f>
        <v>MIDDLE AGE</v>
      </c>
      <c r="V1202" t="str">
        <f t="shared" si="75"/>
        <v>NORMAL</v>
      </c>
    </row>
    <row r="1203" spans="1:22" x14ac:dyDescent="0.35">
      <c r="A1203" t="s">
        <v>2895</v>
      </c>
      <c r="B1203" t="s">
        <v>1088</v>
      </c>
      <c r="C1203">
        <v>471.75</v>
      </c>
      <c r="D1203" s="1">
        <v>45083.771597222221</v>
      </c>
      <c r="E1203" s="2">
        <f t="shared" si="72"/>
        <v>0.77159722222131677</v>
      </c>
      <c r="F1203" s="3">
        <f t="shared" si="73"/>
        <v>45083</v>
      </c>
      <c r="G1203" t="s">
        <v>46</v>
      </c>
      <c r="H1203" t="s">
        <v>223</v>
      </c>
      <c r="I1203" t="s">
        <v>1187</v>
      </c>
      <c r="J1203" t="s">
        <v>651</v>
      </c>
      <c r="K1203" t="s">
        <v>122</v>
      </c>
      <c r="L1203" t="s">
        <v>69</v>
      </c>
      <c r="M1203">
        <v>34</v>
      </c>
      <c r="N1203" t="s">
        <v>23</v>
      </c>
      <c r="O1203">
        <v>41</v>
      </c>
      <c r="P1203">
        <v>1</v>
      </c>
      <c r="Q1203">
        <v>12948.5</v>
      </c>
      <c r="R1203" s="4">
        <v>45600</v>
      </c>
      <c r="S1203" s="6">
        <v>0.34090277777777778</v>
      </c>
      <c r="T1203">
        <f t="shared" si="74"/>
        <v>18</v>
      </c>
      <c r="U1203" t="str" cm="1">
        <f t="array" ref="U1203">_xlfn.IFS(M1203&lt;=34,"YOUNG",M1203&lt;=54,"MIDDLE AGE",M1203&gt;=55,"OLD")</f>
        <v>YOUNG</v>
      </c>
      <c r="V1203" t="str">
        <f t="shared" si="75"/>
        <v>NORMAL</v>
      </c>
    </row>
    <row r="1204" spans="1:22" x14ac:dyDescent="0.35">
      <c r="A1204" t="s">
        <v>2896</v>
      </c>
      <c r="B1204" t="s">
        <v>667</v>
      </c>
      <c r="C1204">
        <v>290.02</v>
      </c>
      <c r="D1204" s="1">
        <v>45194.742303240739</v>
      </c>
      <c r="E1204" s="2">
        <f t="shared" si="72"/>
        <v>0.74230324073869269</v>
      </c>
      <c r="F1204" s="3">
        <f t="shared" si="73"/>
        <v>45194</v>
      </c>
      <c r="G1204" t="s">
        <v>17</v>
      </c>
      <c r="H1204" t="s">
        <v>178</v>
      </c>
      <c r="I1204" t="s">
        <v>1389</v>
      </c>
      <c r="J1204" t="s">
        <v>1318</v>
      </c>
      <c r="K1204" t="s">
        <v>262</v>
      </c>
      <c r="L1204" t="s">
        <v>69</v>
      </c>
      <c r="M1204">
        <v>55</v>
      </c>
      <c r="N1204" t="s">
        <v>77</v>
      </c>
      <c r="O1204">
        <v>246</v>
      </c>
      <c r="P1204">
        <v>1</v>
      </c>
      <c r="Q1204">
        <v>4746.71</v>
      </c>
      <c r="R1204" s="4">
        <v>45600</v>
      </c>
      <c r="S1204" s="6">
        <v>0.33884259259259258</v>
      </c>
      <c r="T1204">
        <f t="shared" si="74"/>
        <v>17</v>
      </c>
      <c r="U1204" t="str" cm="1">
        <f t="array" ref="U1204">_xlfn.IFS(M1204&lt;=34,"YOUNG",M1204&lt;=54,"MIDDLE AGE",M1204&gt;=55,"OLD")</f>
        <v>OLD</v>
      </c>
      <c r="V1204" t="str">
        <f t="shared" si="75"/>
        <v>NORMAL</v>
      </c>
    </row>
    <row r="1205" spans="1:22" x14ac:dyDescent="0.35">
      <c r="A1205" t="s">
        <v>2897</v>
      </c>
      <c r="B1205" t="s">
        <v>1507</v>
      </c>
      <c r="C1205">
        <v>48.05</v>
      </c>
      <c r="D1205" s="1">
        <v>45064.732175925928</v>
      </c>
      <c r="E1205" s="2">
        <f t="shared" si="72"/>
        <v>0.73217592592845904</v>
      </c>
      <c r="F1205" s="3">
        <f t="shared" si="73"/>
        <v>45064</v>
      </c>
      <c r="G1205" t="s">
        <v>17</v>
      </c>
      <c r="H1205" t="s">
        <v>203</v>
      </c>
      <c r="I1205" t="s">
        <v>1201</v>
      </c>
      <c r="J1205" t="s">
        <v>352</v>
      </c>
      <c r="K1205" t="s">
        <v>406</v>
      </c>
      <c r="L1205" t="s">
        <v>69</v>
      </c>
      <c r="M1205">
        <v>27</v>
      </c>
      <c r="N1205" t="s">
        <v>77</v>
      </c>
      <c r="O1205">
        <v>38</v>
      </c>
      <c r="P1205">
        <v>1</v>
      </c>
      <c r="Q1205">
        <v>5334.97</v>
      </c>
      <c r="R1205" s="4">
        <v>45600</v>
      </c>
      <c r="S1205" s="6">
        <v>0.33966435185185184</v>
      </c>
      <c r="T1205">
        <f t="shared" si="74"/>
        <v>17</v>
      </c>
      <c r="U1205" t="str" cm="1">
        <f t="array" ref="U1205">_xlfn.IFS(M1205&lt;=34,"YOUNG",M1205&lt;=54,"MIDDLE AGE",M1205&gt;=55,"OLD")</f>
        <v>YOUNG</v>
      </c>
      <c r="V1205" t="str">
        <f t="shared" si="75"/>
        <v>NORMAL</v>
      </c>
    </row>
    <row r="1206" spans="1:22" x14ac:dyDescent="0.35">
      <c r="A1206" t="s">
        <v>2898</v>
      </c>
      <c r="B1206" t="s">
        <v>45</v>
      </c>
      <c r="C1206">
        <v>359.42</v>
      </c>
      <c r="D1206" s="1">
        <v>45075.678900462961</v>
      </c>
      <c r="E1206" s="2">
        <f t="shared" si="72"/>
        <v>0.67890046296088258</v>
      </c>
      <c r="F1206" s="3">
        <f t="shared" si="73"/>
        <v>45075</v>
      </c>
      <c r="G1206" t="s">
        <v>17</v>
      </c>
      <c r="H1206" t="s">
        <v>197</v>
      </c>
      <c r="I1206" t="s">
        <v>1138</v>
      </c>
      <c r="J1206" t="s">
        <v>2899</v>
      </c>
      <c r="K1206" t="s">
        <v>548</v>
      </c>
      <c r="L1206" t="s">
        <v>69</v>
      </c>
      <c r="M1206">
        <v>55</v>
      </c>
      <c r="N1206" t="s">
        <v>23</v>
      </c>
      <c r="O1206">
        <v>30</v>
      </c>
      <c r="P1206">
        <v>1</v>
      </c>
      <c r="Q1206">
        <v>1765.45</v>
      </c>
      <c r="R1206" s="4">
        <v>45600</v>
      </c>
      <c r="S1206" s="6">
        <v>0.3379861111111111</v>
      </c>
      <c r="T1206">
        <f t="shared" si="74"/>
        <v>16</v>
      </c>
      <c r="U1206" t="str" cm="1">
        <f t="array" ref="U1206">_xlfn.IFS(M1206&lt;=34,"YOUNG",M1206&lt;=54,"MIDDLE AGE",M1206&gt;=55,"OLD")</f>
        <v>OLD</v>
      </c>
      <c r="V1206" t="str">
        <f t="shared" si="75"/>
        <v>NORMAL</v>
      </c>
    </row>
    <row r="1207" spans="1:22" x14ac:dyDescent="0.35">
      <c r="A1207" t="s">
        <v>2900</v>
      </c>
      <c r="B1207" t="s">
        <v>701</v>
      </c>
      <c r="C1207">
        <v>32.909999999999997</v>
      </c>
      <c r="D1207" s="1">
        <v>45050.692372685182</v>
      </c>
      <c r="E1207" s="2">
        <f t="shared" si="72"/>
        <v>0.69237268518190831</v>
      </c>
      <c r="F1207" s="3">
        <f t="shared" si="73"/>
        <v>45050</v>
      </c>
      <c r="G1207" t="s">
        <v>17</v>
      </c>
      <c r="H1207" t="s">
        <v>157</v>
      </c>
      <c r="I1207" t="s">
        <v>2278</v>
      </c>
      <c r="J1207" t="s">
        <v>1683</v>
      </c>
      <c r="K1207" t="s">
        <v>308</v>
      </c>
      <c r="L1207" t="s">
        <v>36</v>
      </c>
      <c r="M1207">
        <v>19</v>
      </c>
      <c r="N1207" t="s">
        <v>37</v>
      </c>
      <c r="O1207">
        <v>255</v>
      </c>
      <c r="P1207">
        <v>1</v>
      </c>
      <c r="Q1207">
        <v>427.3</v>
      </c>
      <c r="R1207" s="4">
        <v>45600</v>
      </c>
      <c r="S1207" s="6">
        <v>0.33800925925925923</v>
      </c>
      <c r="T1207">
        <f t="shared" si="74"/>
        <v>16</v>
      </c>
      <c r="U1207" t="str" cm="1">
        <f t="array" ref="U1207">_xlfn.IFS(M1207&lt;=34,"YOUNG",M1207&lt;=54,"MIDDLE AGE",M1207&gt;=55,"OLD")</f>
        <v>YOUNG</v>
      </c>
      <c r="V1207" t="str">
        <f t="shared" si="75"/>
        <v>NORMAL</v>
      </c>
    </row>
    <row r="1208" spans="1:22" x14ac:dyDescent="0.35">
      <c r="A1208" t="s">
        <v>2901</v>
      </c>
      <c r="B1208" t="s">
        <v>1512</v>
      </c>
      <c r="C1208">
        <v>3.8</v>
      </c>
      <c r="D1208" s="1">
        <v>45146.699629629627</v>
      </c>
      <c r="E1208" s="2">
        <f t="shared" si="72"/>
        <v>0.69962962962745223</v>
      </c>
      <c r="F1208" s="3">
        <f t="shared" si="73"/>
        <v>45146</v>
      </c>
      <c r="G1208" t="s">
        <v>17</v>
      </c>
      <c r="H1208" t="s">
        <v>114</v>
      </c>
      <c r="I1208" t="s">
        <v>2902</v>
      </c>
      <c r="J1208" t="s">
        <v>1929</v>
      </c>
      <c r="K1208" t="s">
        <v>226</v>
      </c>
      <c r="L1208" t="s">
        <v>69</v>
      </c>
      <c r="M1208">
        <v>67</v>
      </c>
      <c r="N1208" t="s">
        <v>70</v>
      </c>
      <c r="O1208">
        <v>140</v>
      </c>
      <c r="P1208">
        <v>1</v>
      </c>
      <c r="Q1208">
        <v>6285.39</v>
      </c>
      <c r="R1208" s="4">
        <v>45600</v>
      </c>
      <c r="S1208" s="6">
        <v>0.33924768518518517</v>
      </c>
      <c r="T1208">
        <f t="shared" si="74"/>
        <v>16</v>
      </c>
      <c r="U1208" t="str" cm="1">
        <f t="array" ref="U1208">_xlfn.IFS(M1208&lt;=34,"YOUNG",M1208&lt;=54,"MIDDLE AGE",M1208&gt;=55,"OLD")</f>
        <v>OLD</v>
      </c>
      <c r="V1208" t="str">
        <f t="shared" si="75"/>
        <v>NORMAL</v>
      </c>
    </row>
    <row r="1209" spans="1:22" x14ac:dyDescent="0.35">
      <c r="A1209" t="s">
        <v>2903</v>
      </c>
      <c r="B1209" t="s">
        <v>215</v>
      </c>
      <c r="C1209">
        <v>31.81</v>
      </c>
      <c r="D1209" s="1">
        <v>45022.73741898148</v>
      </c>
      <c r="E1209" s="2">
        <f t="shared" si="72"/>
        <v>0.73741898148000473</v>
      </c>
      <c r="F1209" s="3">
        <f t="shared" si="73"/>
        <v>45022</v>
      </c>
      <c r="G1209" t="s">
        <v>17</v>
      </c>
      <c r="H1209" t="s">
        <v>157</v>
      </c>
      <c r="I1209" t="s">
        <v>1108</v>
      </c>
      <c r="J1209" t="s">
        <v>1370</v>
      </c>
      <c r="K1209" t="s">
        <v>450</v>
      </c>
      <c r="L1209" t="s">
        <v>36</v>
      </c>
      <c r="M1209">
        <v>51</v>
      </c>
      <c r="N1209" t="s">
        <v>70</v>
      </c>
      <c r="O1209">
        <v>149</v>
      </c>
      <c r="P1209">
        <v>1</v>
      </c>
      <c r="Q1209">
        <v>1406.6</v>
      </c>
      <c r="R1209" s="4">
        <v>45600</v>
      </c>
      <c r="S1209" s="6">
        <v>0.33805555555555555</v>
      </c>
      <c r="T1209">
        <f t="shared" si="74"/>
        <v>17</v>
      </c>
      <c r="U1209" t="str" cm="1">
        <f t="array" ref="U1209">_xlfn.IFS(M1209&lt;=34,"YOUNG",M1209&lt;=54,"MIDDLE AGE",M1209&gt;=55,"OLD")</f>
        <v>MIDDLE AGE</v>
      </c>
      <c r="V1209" t="str">
        <f t="shared" si="75"/>
        <v>NORMAL</v>
      </c>
    </row>
    <row r="1210" spans="1:22" x14ac:dyDescent="0.35">
      <c r="A1210" t="s">
        <v>2904</v>
      </c>
      <c r="B1210" t="s">
        <v>215</v>
      </c>
      <c r="C1210">
        <v>220.2</v>
      </c>
      <c r="D1210" s="1">
        <v>45180.684074074074</v>
      </c>
      <c r="E1210" s="2">
        <f t="shared" si="72"/>
        <v>0.68407407407357823</v>
      </c>
      <c r="F1210" s="3">
        <f t="shared" si="73"/>
        <v>45180</v>
      </c>
      <c r="G1210" t="s">
        <v>17</v>
      </c>
      <c r="H1210" t="s">
        <v>388</v>
      </c>
      <c r="I1210" t="s">
        <v>2126</v>
      </c>
      <c r="J1210" t="s">
        <v>1742</v>
      </c>
      <c r="K1210" t="s">
        <v>478</v>
      </c>
      <c r="L1210" t="s">
        <v>36</v>
      </c>
      <c r="M1210">
        <v>28</v>
      </c>
      <c r="N1210" t="s">
        <v>37</v>
      </c>
      <c r="O1210">
        <v>102</v>
      </c>
      <c r="P1210">
        <v>1</v>
      </c>
      <c r="Q1210">
        <v>1075.1500000000001</v>
      </c>
      <c r="R1210" s="4">
        <v>45600</v>
      </c>
      <c r="S1210" s="6">
        <v>0.34118055555555554</v>
      </c>
      <c r="T1210">
        <f t="shared" si="74"/>
        <v>16</v>
      </c>
      <c r="U1210" t="str" cm="1">
        <f t="array" ref="U1210">_xlfn.IFS(M1210&lt;=34,"YOUNG",M1210&lt;=54,"MIDDLE AGE",M1210&gt;=55,"OLD")</f>
        <v>YOUNG</v>
      </c>
      <c r="V1210" t="str">
        <f t="shared" si="75"/>
        <v>NORMAL</v>
      </c>
    </row>
    <row r="1211" spans="1:22" x14ac:dyDescent="0.35">
      <c r="A1211" t="s">
        <v>2905</v>
      </c>
      <c r="B1211" t="s">
        <v>1765</v>
      </c>
      <c r="C1211">
        <v>476.03</v>
      </c>
      <c r="D1211" s="1">
        <v>45170.675405092596</v>
      </c>
      <c r="E1211" s="2">
        <f t="shared" si="72"/>
        <v>0.67540509259561077</v>
      </c>
      <c r="F1211" s="3">
        <f t="shared" si="73"/>
        <v>45170</v>
      </c>
      <c r="G1211" t="s">
        <v>46</v>
      </c>
      <c r="H1211" t="s">
        <v>26</v>
      </c>
      <c r="I1211" t="s">
        <v>1082</v>
      </c>
      <c r="J1211" t="s">
        <v>417</v>
      </c>
      <c r="K1211" t="s">
        <v>362</v>
      </c>
      <c r="L1211" t="s">
        <v>69</v>
      </c>
      <c r="M1211">
        <v>77</v>
      </c>
      <c r="N1211" t="s">
        <v>70</v>
      </c>
      <c r="O1211">
        <v>99</v>
      </c>
      <c r="P1211">
        <v>1</v>
      </c>
      <c r="Q1211">
        <v>5958.34</v>
      </c>
      <c r="R1211" s="4">
        <v>45600</v>
      </c>
      <c r="S1211" s="6">
        <v>0.33967592592592594</v>
      </c>
      <c r="T1211">
        <f t="shared" si="74"/>
        <v>16</v>
      </c>
      <c r="U1211" t="str" cm="1">
        <f t="array" ref="U1211">_xlfn.IFS(M1211&lt;=34,"YOUNG",M1211&lt;=54,"MIDDLE AGE",M1211&gt;=55,"OLD")</f>
        <v>OLD</v>
      </c>
      <c r="V1211" t="str">
        <f t="shared" si="75"/>
        <v>NORMAL</v>
      </c>
    </row>
    <row r="1212" spans="1:22" x14ac:dyDescent="0.35">
      <c r="A1212" t="s">
        <v>2906</v>
      </c>
      <c r="B1212" t="s">
        <v>2907</v>
      </c>
      <c r="C1212">
        <v>141.91</v>
      </c>
      <c r="D1212" s="1">
        <v>44945.713935185187</v>
      </c>
      <c r="E1212" s="2">
        <f t="shared" si="72"/>
        <v>0.71393518518743804</v>
      </c>
      <c r="F1212" s="3">
        <f t="shared" si="73"/>
        <v>44945</v>
      </c>
      <c r="G1212" t="s">
        <v>17</v>
      </c>
      <c r="H1212" t="s">
        <v>172</v>
      </c>
      <c r="I1212" t="s">
        <v>2399</v>
      </c>
      <c r="J1212" t="s">
        <v>185</v>
      </c>
      <c r="K1212" t="s">
        <v>267</v>
      </c>
      <c r="L1212" t="s">
        <v>69</v>
      </c>
      <c r="M1212">
        <v>23</v>
      </c>
      <c r="N1212" t="s">
        <v>37</v>
      </c>
      <c r="O1212">
        <v>49</v>
      </c>
      <c r="P1212">
        <v>1</v>
      </c>
      <c r="Q1212">
        <v>791.97</v>
      </c>
      <c r="R1212" s="4">
        <v>45600</v>
      </c>
      <c r="S1212" s="6">
        <v>0.34006944444444442</v>
      </c>
      <c r="T1212">
        <f t="shared" si="74"/>
        <v>17</v>
      </c>
      <c r="U1212" t="str" cm="1">
        <f t="array" ref="U1212">_xlfn.IFS(M1212&lt;=34,"YOUNG",M1212&lt;=54,"MIDDLE AGE",M1212&gt;=55,"OLD")</f>
        <v>YOUNG</v>
      </c>
      <c r="V1212" t="str">
        <f t="shared" si="75"/>
        <v>NORMAL</v>
      </c>
    </row>
    <row r="1213" spans="1:22" x14ac:dyDescent="0.35">
      <c r="A1213" t="s">
        <v>2908</v>
      </c>
      <c r="B1213" t="s">
        <v>2543</v>
      </c>
      <c r="C1213">
        <v>95.83</v>
      </c>
      <c r="D1213" s="1">
        <v>45261.667662037034</v>
      </c>
      <c r="E1213" s="2">
        <f t="shared" si="72"/>
        <v>0.66766203703446081</v>
      </c>
      <c r="F1213" s="3">
        <f t="shared" si="73"/>
        <v>45261</v>
      </c>
      <c r="G1213" t="s">
        <v>17</v>
      </c>
      <c r="H1213" t="s">
        <v>453</v>
      </c>
      <c r="I1213" t="s">
        <v>334</v>
      </c>
      <c r="J1213" t="s">
        <v>205</v>
      </c>
      <c r="K1213" t="s">
        <v>272</v>
      </c>
      <c r="L1213" t="s">
        <v>36</v>
      </c>
      <c r="M1213">
        <v>27</v>
      </c>
      <c r="N1213" t="s">
        <v>37</v>
      </c>
      <c r="O1213">
        <v>91</v>
      </c>
      <c r="P1213">
        <v>1</v>
      </c>
      <c r="Q1213">
        <v>1726.4</v>
      </c>
      <c r="R1213" s="4">
        <v>45600</v>
      </c>
      <c r="S1213" s="6">
        <v>0.33915509259259258</v>
      </c>
      <c r="T1213">
        <f t="shared" si="74"/>
        <v>16</v>
      </c>
      <c r="U1213" t="str" cm="1">
        <f t="array" ref="U1213">_xlfn.IFS(M1213&lt;=34,"YOUNG",M1213&lt;=54,"MIDDLE AGE",M1213&gt;=55,"OLD")</f>
        <v>YOUNG</v>
      </c>
      <c r="V1213" t="str">
        <f t="shared" si="75"/>
        <v>NORMAL</v>
      </c>
    </row>
    <row r="1214" spans="1:22" x14ac:dyDescent="0.35">
      <c r="A1214" t="s">
        <v>2909</v>
      </c>
      <c r="B1214" t="s">
        <v>923</v>
      </c>
      <c r="C1214">
        <v>51.15</v>
      </c>
      <c r="D1214" s="1">
        <v>44986.726956018516</v>
      </c>
      <c r="E1214" s="2">
        <f t="shared" si="72"/>
        <v>0.72695601851592073</v>
      </c>
      <c r="F1214" s="3">
        <f t="shared" si="73"/>
        <v>44986</v>
      </c>
      <c r="G1214" t="s">
        <v>46</v>
      </c>
      <c r="H1214" t="s">
        <v>140</v>
      </c>
      <c r="I1214" t="s">
        <v>846</v>
      </c>
      <c r="J1214" t="s">
        <v>1790</v>
      </c>
      <c r="K1214" t="s">
        <v>62</v>
      </c>
      <c r="L1214" t="s">
        <v>69</v>
      </c>
      <c r="M1214">
        <v>46</v>
      </c>
      <c r="N1214" t="s">
        <v>77</v>
      </c>
      <c r="O1214">
        <v>199</v>
      </c>
      <c r="P1214">
        <v>1</v>
      </c>
      <c r="Q1214">
        <v>8992.25</v>
      </c>
      <c r="R1214" s="4">
        <v>45600</v>
      </c>
      <c r="S1214" s="6">
        <v>0.34090277777777778</v>
      </c>
      <c r="T1214">
        <f t="shared" si="74"/>
        <v>17</v>
      </c>
      <c r="U1214" t="str" cm="1">
        <f t="array" ref="U1214">_xlfn.IFS(M1214&lt;=34,"YOUNG",M1214&lt;=54,"MIDDLE AGE",M1214&gt;=55,"OLD")</f>
        <v>MIDDLE AGE</v>
      </c>
      <c r="V1214" t="str">
        <f t="shared" si="75"/>
        <v>NORMAL</v>
      </c>
    </row>
    <row r="1215" spans="1:22" x14ac:dyDescent="0.35">
      <c r="A1215" t="s">
        <v>2910</v>
      </c>
      <c r="B1215" t="s">
        <v>516</v>
      </c>
      <c r="C1215">
        <v>1192.2</v>
      </c>
      <c r="D1215" s="1">
        <v>45281.681562500002</v>
      </c>
      <c r="E1215" s="2">
        <f t="shared" si="72"/>
        <v>0.68156250000174623</v>
      </c>
      <c r="F1215" s="3">
        <f t="shared" si="73"/>
        <v>45281</v>
      </c>
      <c r="G1215" t="s">
        <v>46</v>
      </c>
      <c r="H1215" t="s">
        <v>392</v>
      </c>
      <c r="I1215" t="s">
        <v>2911</v>
      </c>
      <c r="J1215" t="s">
        <v>1732</v>
      </c>
      <c r="K1215" t="s">
        <v>482</v>
      </c>
      <c r="L1215" t="s">
        <v>69</v>
      </c>
      <c r="M1215">
        <v>60</v>
      </c>
      <c r="N1215" t="s">
        <v>70</v>
      </c>
      <c r="O1215">
        <v>103</v>
      </c>
      <c r="P1215">
        <v>5</v>
      </c>
      <c r="Q1215">
        <v>7816.41</v>
      </c>
      <c r="R1215" s="4">
        <v>45600</v>
      </c>
      <c r="S1215" s="6">
        <v>0.33974537037037039</v>
      </c>
      <c r="T1215">
        <f t="shared" si="74"/>
        <v>16</v>
      </c>
      <c r="U1215" t="str" cm="1">
        <f t="array" ref="U1215">_xlfn.IFS(M1215&lt;=34,"YOUNG",M1215&lt;=54,"MIDDLE AGE",M1215&gt;=55,"OLD")</f>
        <v>OLD</v>
      </c>
      <c r="V1215" t="str">
        <f t="shared" si="75"/>
        <v>HIGH</v>
      </c>
    </row>
    <row r="1216" spans="1:22" x14ac:dyDescent="0.35">
      <c r="A1216" t="s">
        <v>2912</v>
      </c>
      <c r="B1216" t="s">
        <v>1078</v>
      </c>
      <c r="C1216">
        <v>50.75</v>
      </c>
      <c r="D1216" s="1">
        <v>45152.759988425925</v>
      </c>
      <c r="E1216" s="2">
        <f t="shared" si="72"/>
        <v>0.75998842592525762</v>
      </c>
      <c r="F1216" s="3">
        <f t="shared" si="73"/>
        <v>45152</v>
      </c>
      <c r="G1216" t="s">
        <v>17</v>
      </c>
      <c r="H1216" t="s">
        <v>388</v>
      </c>
      <c r="I1216" t="s">
        <v>311</v>
      </c>
      <c r="J1216" t="s">
        <v>1868</v>
      </c>
      <c r="K1216" t="s">
        <v>762</v>
      </c>
      <c r="L1216" t="s">
        <v>22</v>
      </c>
      <c r="M1216">
        <v>62</v>
      </c>
      <c r="N1216" t="s">
        <v>23</v>
      </c>
      <c r="O1216">
        <v>185</v>
      </c>
      <c r="P1216">
        <v>1</v>
      </c>
      <c r="Q1216">
        <v>8271.4699999999993</v>
      </c>
      <c r="R1216" s="4">
        <v>45600</v>
      </c>
      <c r="S1216" s="6">
        <v>0.3386689814814815</v>
      </c>
      <c r="T1216">
        <f t="shared" si="74"/>
        <v>18</v>
      </c>
      <c r="U1216" t="str" cm="1">
        <f t="array" ref="U1216">_xlfn.IFS(M1216&lt;=34,"YOUNG",M1216&lt;=54,"MIDDLE AGE",M1216&gt;=55,"OLD")</f>
        <v>OLD</v>
      </c>
      <c r="V1216" t="str">
        <f t="shared" si="75"/>
        <v>NORMAL</v>
      </c>
    </row>
    <row r="1217" spans="1:22" x14ac:dyDescent="0.35">
      <c r="A1217" t="s">
        <v>2913</v>
      </c>
      <c r="B1217" t="s">
        <v>2914</v>
      </c>
      <c r="C1217">
        <v>185.07</v>
      </c>
      <c r="D1217" s="1">
        <v>45279.706712962965</v>
      </c>
      <c r="E1217" s="2">
        <f t="shared" si="72"/>
        <v>0.70671296296495711</v>
      </c>
      <c r="F1217" s="3">
        <f t="shared" si="73"/>
        <v>45279</v>
      </c>
      <c r="G1217" t="s">
        <v>17</v>
      </c>
      <c r="H1217" t="s">
        <v>521</v>
      </c>
      <c r="I1217" t="s">
        <v>464</v>
      </c>
      <c r="J1217" t="s">
        <v>1411</v>
      </c>
      <c r="K1217" t="s">
        <v>619</v>
      </c>
      <c r="L1217" t="s">
        <v>69</v>
      </c>
      <c r="M1217">
        <v>22</v>
      </c>
      <c r="N1217" t="s">
        <v>37</v>
      </c>
      <c r="O1217">
        <v>159</v>
      </c>
      <c r="P1217">
        <v>1</v>
      </c>
      <c r="Q1217">
        <v>636.41999999999996</v>
      </c>
      <c r="R1217" s="4">
        <v>45600</v>
      </c>
      <c r="S1217" s="6">
        <v>0.33864583333333331</v>
      </c>
      <c r="T1217">
        <f t="shared" si="74"/>
        <v>16</v>
      </c>
      <c r="U1217" t="str" cm="1">
        <f t="array" ref="U1217">_xlfn.IFS(M1217&lt;=34,"YOUNG",M1217&lt;=54,"MIDDLE AGE",M1217&gt;=55,"OLD")</f>
        <v>YOUNG</v>
      </c>
      <c r="V1217" t="str">
        <f t="shared" si="75"/>
        <v>NORMAL</v>
      </c>
    </row>
    <row r="1218" spans="1:22" x14ac:dyDescent="0.35">
      <c r="A1218" t="s">
        <v>2915</v>
      </c>
      <c r="B1218" t="s">
        <v>1678</v>
      </c>
      <c r="C1218">
        <v>293.54000000000002</v>
      </c>
      <c r="D1218" s="1">
        <v>44942.726527777777</v>
      </c>
      <c r="E1218" s="2">
        <f t="shared" ref="E1218:E1281" si="76">D1218-INT(D1218)</f>
        <v>0.726527777776937</v>
      </c>
      <c r="F1218" s="3">
        <f t="shared" ref="F1218:F1281" si="77">INT(D1218)</f>
        <v>44942</v>
      </c>
      <c r="G1218" t="s">
        <v>17</v>
      </c>
      <c r="H1218" t="s">
        <v>285</v>
      </c>
      <c r="I1218" t="s">
        <v>2916</v>
      </c>
      <c r="J1218" t="s">
        <v>2025</v>
      </c>
      <c r="K1218" t="s">
        <v>607</v>
      </c>
      <c r="L1218" t="s">
        <v>36</v>
      </c>
      <c r="M1218">
        <v>40</v>
      </c>
      <c r="N1218" t="s">
        <v>77</v>
      </c>
      <c r="O1218">
        <v>45</v>
      </c>
      <c r="P1218">
        <v>1</v>
      </c>
      <c r="Q1218">
        <v>2290.1</v>
      </c>
      <c r="R1218" s="4">
        <v>45600</v>
      </c>
      <c r="S1218" s="6">
        <v>0.33916666666666667</v>
      </c>
      <c r="T1218">
        <f t="shared" si="74"/>
        <v>17</v>
      </c>
      <c r="U1218" t="str" cm="1">
        <f t="array" ref="U1218">_xlfn.IFS(M1218&lt;=34,"YOUNG",M1218&lt;=54,"MIDDLE AGE",M1218&gt;=55,"OLD")</f>
        <v>MIDDLE AGE</v>
      </c>
      <c r="V1218" t="str">
        <f t="shared" si="75"/>
        <v>NORMAL</v>
      </c>
    </row>
    <row r="1219" spans="1:22" x14ac:dyDescent="0.35">
      <c r="A1219" t="s">
        <v>2917</v>
      </c>
      <c r="B1219" t="s">
        <v>1157</v>
      </c>
      <c r="C1219">
        <v>23.38</v>
      </c>
      <c r="D1219" s="1">
        <v>45194.782418981478</v>
      </c>
      <c r="E1219" s="2">
        <f t="shared" si="76"/>
        <v>0.7824189814782585</v>
      </c>
      <c r="F1219" s="3">
        <f t="shared" si="77"/>
        <v>45194</v>
      </c>
      <c r="G1219" t="s">
        <v>17</v>
      </c>
      <c r="H1219" t="s">
        <v>92</v>
      </c>
      <c r="I1219" t="s">
        <v>2918</v>
      </c>
      <c r="J1219" t="s">
        <v>2193</v>
      </c>
      <c r="K1219" t="s">
        <v>619</v>
      </c>
      <c r="L1219" t="s">
        <v>69</v>
      </c>
      <c r="M1219">
        <v>32</v>
      </c>
      <c r="N1219" t="s">
        <v>77</v>
      </c>
      <c r="O1219">
        <v>89</v>
      </c>
      <c r="P1219">
        <v>1</v>
      </c>
      <c r="Q1219">
        <v>9968.49</v>
      </c>
      <c r="R1219" s="4">
        <v>45600</v>
      </c>
      <c r="S1219" s="6">
        <v>0.34005787037037039</v>
      </c>
      <c r="T1219">
        <f t="shared" ref="T1219:T1282" si="78">HOUR(E1219)</f>
        <v>18</v>
      </c>
      <c r="U1219" t="str" cm="1">
        <f t="array" ref="U1219">_xlfn.IFS(M1219&lt;=34,"YOUNG",M1219&lt;=54,"MIDDLE AGE",M1219&gt;=55,"OLD")</f>
        <v>YOUNG</v>
      </c>
      <c r="V1219" t="str">
        <f t="shared" ref="V1219:V1282" si="79">IF(P1219&gt;1,"HIGH","NORMAL")</f>
        <v>NORMAL</v>
      </c>
    </row>
    <row r="1220" spans="1:22" x14ac:dyDescent="0.35">
      <c r="A1220" t="s">
        <v>2919</v>
      </c>
      <c r="B1220" t="s">
        <v>1617</v>
      </c>
      <c r="C1220">
        <v>285.26</v>
      </c>
      <c r="D1220" s="1">
        <v>45231.672974537039</v>
      </c>
      <c r="E1220" s="2">
        <f t="shared" si="76"/>
        <v>0.67297453703940846</v>
      </c>
      <c r="F1220" s="3">
        <f t="shared" si="77"/>
        <v>45231</v>
      </c>
      <c r="G1220" t="s">
        <v>17</v>
      </c>
      <c r="H1220" t="s">
        <v>47</v>
      </c>
      <c r="I1220" t="s">
        <v>1486</v>
      </c>
      <c r="J1220" t="s">
        <v>1359</v>
      </c>
      <c r="K1220" t="s">
        <v>619</v>
      </c>
      <c r="L1220" t="s">
        <v>22</v>
      </c>
      <c r="M1220">
        <v>28</v>
      </c>
      <c r="N1220" t="s">
        <v>37</v>
      </c>
      <c r="O1220">
        <v>93</v>
      </c>
      <c r="P1220">
        <v>1</v>
      </c>
      <c r="Q1220">
        <v>167.72</v>
      </c>
      <c r="R1220" s="4">
        <v>45600</v>
      </c>
      <c r="S1220" s="6">
        <v>0.34114583333333331</v>
      </c>
      <c r="T1220">
        <f t="shared" si="78"/>
        <v>16</v>
      </c>
      <c r="U1220" t="str" cm="1">
        <f t="array" ref="U1220">_xlfn.IFS(M1220&lt;=34,"YOUNG",M1220&lt;=54,"MIDDLE AGE",M1220&gt;=55,"OLD")</f>
        <v>YOUNG</v>
      </c>
      <c r="V1220" t="str">
        <f t="shared" si="79"/>
        <v>NORMAL</v>
      </c>
    </row>
    <row r="1221" spans="1:22" x14ac:dyDescent="0.35">
      <c r="A1221" t="s">
        <v>2920</v>
      </c>
      <c r="B1221" t="s">
        <v>1311</v>
      </c>
      <c r="C1221">
        <v>129.47999999999999</v>
      </c>
      <c r="D1221" s="1">
        <v>44963.687997685185</v>
      </c>
      <c r="E1221" s="2">
        <f t="shared" si="76"/>
        <v>0.68799768518510973</v>
      </c>
      <c r="F1221" s="3">
        <f t="shared" si="77"/>
        <v>44963</v>
      </c>
      <c r="G1221" t="s">
        <v>17</v>
      </c>
      <c r="H1221" t="s">
        <v>59</v>
      </c>
      <c r="I1221" t="s">
        <v>943</v>
      </c>
      <c r="J1221" t="s">
        <v>2254</v>
      </c>
      <c r="K1221" t="s">
        <v>353</v>
      </c>
      <c r="L1221" t="s">
        <v>22</v>
      </c>
      <c r="M1221">
        <v>31</v>
      </c>
      <c r="N1221" t="s">
        <v>77</v>
      </c>
      <c r="O1221">
        <v>179</v>
      </c>
      <c r="P1221">
        <v>1</v>
      </c>
      <c r="Q1221">
        <v>7581.7</v>
      </c>
      <c r="R1221" s="4">
        <v>45600</v>
      </c>
      <c r="S1221" s="6">
        <v>0.34077546296296296</v>
      </c>
      <c r="T1221">
        <f t="shared" si="78"/>
        <v>16</v>
      </c>
      <c r="U1221" t="str" cm="1">
        <f t="array" ref="U1221">_xlfn.IFS(M1221&lt;=34,"YOUNG",M1221&lt;=54,"MIDDLE AGE",M1221&gt;=55,"OLD")</f>
        <v>YOUNG</v>
      </c>
      <c r="V1221" t="str">
        <f t="shared" si="79"/>
        <v>NORMAL</v>
      </c>
    </row>
    <row r="1222" spans="1:22" x14ac:dyDescent="0.35">
      <c r="A1222" t="s">
        <v>2921</v>
      </c>
      <c r="B1222" t="s">
        <v>196</v>
      </c>
      <c r="C1222">
        <v>743.03</v>
      </c>
      <c r="D1222" s="1">
        <v>45134.705312500002</v>
      </c>
      <c r="E1222" s="2">
        <f t="shared" si="76"/>
        <v>0.70531250000203727</v>
      </c>
      <c r="F1222" s="3">
        <f t="shared" si="77"/>
        <v>45134</v>
      </c>
      <c r="G1222" t="s">
        <v>17</v>
      </c>
      <c r="H1222" t="s">
        <v>203</v>
      </c>
      <c r="I1222" t="s">
        <v>270</v>
      </c>
      <c r="J1222" t="s">
        <v>1876</v>
      </c>
      <c r="K1222" t="s">
        <v>1345</v>
      </c>
      <c r="L1222" t="s">
        <v>22</v>
      </c>
      <c r="M1222">
        <v>50</v>
      </c>
      <c r="N1222" t="s">
        <v>77</v>
      </c>
      <c r="O1222">
        <v>174</v>
      </c>
      <c r="P1222">
        <v>1</v>
      </c>
      <c r="Q1222">
        <v>4111.38</v>
      </c>
      <c r="R1222" s="4">
        <v>45600</v>
      </c>
      <c r="S1222" s="6">
        <v>0.33980324074074075</v>
      </c>
      <c r="T1222">
        <f t="shared" si="78"/>
        <v>16</v>
      </c>
      <c r="U1222" t="str" cm="1">
        <f t="array" ref="U1222">_xlfn.IFS(M1222&lt;=34,"YOUNG",M1222&lt;=54,"MIDDLE AGE",M1222&gt;=55,"OLD")</f>
        <v>MIDDLE AGE</v>
      </c>
      <c r="V1222" t="str">
        <f t="shared" si="79"/>
        <v>NORMAL</v>
      </c>
    </row>
    <row r="1223" spans="1:22" x14ac:dyDescent="0.35">
      <c r="A1223" t="s">
        <v>2922</v>
      </c>
      <c r="B1223" t="s">
        <v>1183</v>
      </c>
      <c r="C1223">
        <v>297.86</v>
      </c>
      <c r="D1223" s="1">
        <v>44963.73060185185</v>
      </c>
      <c r="E1223" s="2">
        <f t="shared" si="76"/>
        <v>0.73060185185022419</v>
      </c>
      <c r="F1223" s="3">
        <f t="shared" si="77"/>
        <v>44963</v>
      </c>
      <c r="G1223" t="s">
        <v>46</v>
      </c>
      <c r="H1223" t="s">
        <v>178</v>
      </c>
      <c r="I1223" t="s">
        <v>990</v>
      </c>
      <c r="J1223" t="s">
        <v>963</v>
      </c>
      <c r="K1223" t="s">
        <v>272</v>
      </c>
      <c r="L1223" t="s">
        <v>22</v>
      </c>
      <c r="M1223">
        <v>28</v>
      </c>
      <c r="N1223" t="s">
        <v>37</v>
      </c>
      <c r="O1223">
        <v>96</v>
      </c>
      <c r="P1223">
        <v>1</v>
      </c>
      <c r="Q1223">
        <v>1680.14</v>
      </c>
      <c r="R1223" s="4">
        <v>45600</v>
      </c>
      <c r="S1223" s="6">
        <v>0.34143518518518517</v>
      </c>
      <c r="T1223">
        <f t="shared" si="78"/>
        <v>17</v>
      </c>
      <c r="U1223" t="str" cm="1">
        <f t="array" ref="U1223">_xlfn.IFS(M1223&lt;=34,"YOUNG",M1223&lt;=54,"MIDDLE AGE",M1223&gt;=55,"OLD")</f>
        <v>YOUNG</v>
      </c>
      <c r="V1223" t="str">
        <f t="shared" si="79"/>
        <v>NORMAL</v>
      </c>
    </row>
    <row r="1224" spans="1:22" x14ac:dyDescent="0.35">
      <c r="A1224" t="s">
        <v>2923</v>
      </c>
      <c r="B1224" t="s">
        <v>716</v>
      </c>
      <c r="C1224">
        <v>231.92</v>
      </c>
      <c r="D1224" s="1">
        <v>45117.750648148147</v>
      </c>
      <c r="E1224" s="2">
        <f t="shared" si="76"/>
        <v>0.75064814814686542</v>
      </c>
      <c r="F1224" s="3">
        <f t="shared" si="77"/>
        <v>45117</v>
      </c>
      <c r="G1224" t="s">
        <v>17</v>
      </c>
      <c r="H1224" t="s">
        <v>65</v>
      </c>
      <c r="I1224" t="s">
        <v>1269</v>
      </c>
      <c r="J1224" t="s">
        <v>1291</v>
      </c>
      <c r="K1224" t="s">
        <v>474</v>
      </c>
      <c r="L1224" t="s">
        <v>22</v>
      </c>
      <c r="M1224">
        <v>66</v>
      </c>
      <c r="N1224" t="s">
        <v>23</v>
      </c>
      <c r="O1224">
        <v>12</v>
      </c>
      <c r="P1224">
        <v>1</v>
      </c>
      <c r="Q1224">
        <v>5715.08</v>
      </c>
      <c r="R1224" s="4">
        <v>45600</v>
      </c>
      <c r="S1224" s="6">
        <v>0.34128472222222223</v>
      </c>
      <c r="T1224">
        <f t="shared" si="78"/>
        <v>18</v>
      </c>
      <c r="U1224" t="str" cm="1">
        <f t="array" ref="U1224">_xlfn.IFS(M1224&lt;=34,"YOUNG",M1224&lt;=54,"MIDDLE AGE",M1224&gt;=55,"OLD")</f>
        <v>OLD</v>
      </c>
      <c r="V1224" t="str">
        <f t="shared" si="79"/>
        <v>NORMAL</v>
      </c>
    </row>
    <row r="1225" spans="1:22" x14ac:dyDescent="0.35">
      <c r="A1225" t="s">
        <v>2924</v>
      </c>
      <c r="B1225" t="s">
        <v>1137</v>
      </c>
      <c r="C1225">
        <v>295.82</v>
      </c>
      <c r="D1225" s="1">
        <v>45274.677407407406</v>
      </c>
      <c r="E1225" s="2">
        <f t="shared" si="76"/>
        <v>0.67740740740555339</v>
      </c>
      <c r="F1225" s="3">
        <f t="shared" si="77"/>
        <v>45274</v>
      </c>
      <c r="G1225" t="s">
        <v>46</v>
      </c>
      <c r="H1225" t="s">
        <v>265</v>
      </c>
      <c r="I1225" t="s">
        <v>1941</v>
      </c>
      <c r="J1225" t="s">
        <v>2925</v>
      </c>
      <c r="K1225" t="s">
        <v>576</v>
      </c>
      <c r="L1225" t="s">
        <v>69</v>
      </c>
      <c r="M1225">
        <v>47</v>
      </c>
      <c r="N1225" t="s">
        <v>77</v>
      </c>
      <c r="O1225">
        <v>46</v>
      </c>
      <c r="P1225">
        <v>1</v>
      </c>
      <c r="Q1225">
        <v>5897.73</v>
      </c>
      <c r="R1225" s="4">
        <v>45600</v>
      </c>
      <c r="S1225" s="6">
        <v>0.3387384259259259</v>
      </c>
      <c r="T1225">
        <f t="shared" si="78"/>
        <v>16</v>
      </c>
      <c r="U1225" t="str" cm="1">
        <f t="array" ref="U1225">_xlfn.IFS(M1225&lt;=34,"YOUNG",M1225&lt;=54,"MIDDLE AGE",M1225&gt;=55,"OLD")</f>
        <v>MIDDLE AGE</v>
      </c>
      <c r="V1225" t="str">
        <f t="shared" si="79"/>
        <v>NORMAL</v>
      </c>
    </row>
    <row r="1226" spans="1:22" x14ac:dyDescent="0.35">
      <c r="A1226" t="s">
        <v>2926</v>
      </c>
      <c r="B1226" t="s">
        <v>698</v>
      </c>
      <c r="C1226">
        <v>302.86</v>
      </c>
      <c r="D1226" s="1">
        <v>45110.788923611108</v>
      </c>
      <c r="E1226" s="2">
        <f t="shared" si="76"/>
        <v>0.788923611107748</v>
      </c>
      <c r="F1226" s="3">
        <f t="shared" si="77"/>
        <v>45110</v>
      </c>
      <c r="G1226" t="s">
        <v>17</v>
      </c>
      <c r="H1226" t="s">
        <v>140</v>
      </c>
      <c r="I1226" t="s">
        <v>1365</v>
      </c>
      <c r="J1226" t="s">
        <v>1779</v>
      </c>
      <c r="K1226" t="s">
        <v>427</v>
      </c>
      <c r="L1226" t="s">
        <v>36</v>
      </c>
      <c r="M1226">
        <v>55</v>
      </c>
      <c r="N1226" t="s">
        <v>23</v>
      </c>
      <c r="O1226">
        <v>275</v>
      </c>
      <c r="P1226">
        <v>1</v>
      </c>
      <c r="Q1226">
        <v>5239.24</v>
      </c>
      <c r="R1226" s="4">
        <v>45600</v>
      </c>
      <c r="S1226" s="6">
        <v>0.34173611111111113</v>
      </c>
      <c r="T1226">
        <f t="shared" si="78"/>
        <v>18</v>
      </c>
      <c r="U1226" t="str" cm="1">
        <f t="array" ref="U1226">_xlfn.IFS(M1226&lt;=34,"YOUNG",M1226&lt;=54,"MIDDLE AGE",M1226&gt;=55,"OLD")</f>
        <v>OLD</v>
      </c>
      <c r="V1226" t="str">
        <f t="shared" si="79"/>
        <v>NORMAL</v>
      </c>
    </row>
    <row r="1227" spans="1:22" x14ac:dyDescent="0.35">
      <c r="A1227" t="s">
        <v>2927</v>
      </c>
      <c r="B1227" t="s">
        <v>1796</v>
      </c>
      <c r="C1227">
        <v>81.08</v>
      </c>
      <c r="D1227" s="1">
        <v>45188.705960648149</v>
      </c>
      <c r="E1227" s="2">
        <f t="shared" si="76"/>
        <v>0.70596064814890269</v>
      </c>
      <c r="F1227" s="3">
        <f t="shared" si="77"/>
        <v>45188</v>
      </c>
      <c r="G1227" t="s">
        <v>17</v>
      </c>
      <c r="H1227" t="s">
        <v>296</v>
      </c>
      <c r="I1227" t="s">
        <v>1977</v>
      </c>
      <c r="J1227" t="s">
        <v>2685</v>
      </c>
      <c r="K1227" t="s">
        <v>548</v>
      </c>
      <c r="L1227" t="s">
        <v>22</v>
      </c>
      <c r="M1227">
        <v>58</v>
      </c>
      <c r="N1227" t="s">
        <v>77</v>
      </c>
      <c r="O1227">
        <v>56</v>
      </c>
      <c r="P1227">
        <v>1</v>
      </c>
      <c r="Q1227">
        <v>7788.91</v>
      </c>
      <c r="R1227" s="4">
        <v>45600</v>
      </c>
      <c r="S1227" s="6">
        <v>0.33839120370370368</v>
      </c>
      <c r="T1227">
        <f t="shared" si="78"/>
        <v>16</v>
      </c>
      <c r="U1227" t="str" cm="1">
        <f t="array" ref="U1227">_xlfn.IFS(M1227&lt;=34,"YOUNG",M1227&lt;=54,"MIDDLE AGE",M1227&gt;=55,"OLD")</f>
        <v>OLD</v>
      </c>
      <c r="V1227" t="str">
        <f t="shared" si="79"/>
        <v>NORMAL</v>
      </c>
    </row>
    <row r="1228" spans="1:22" x14ac:dyDescent="0.35">
      <c r="A1228" t="s">
        <v>2928</v>
      </c>
      <c r="B1228" t="s">
        <v>1799</v>
      </c>
      <c r="C1228">
        <v>775.6</v>
      </c>
      <c r="D1228" s="1">
        <v>45159.738391203704</v>
      </c>
      <c r="E1228" s="2">
        <f t="shared" si="76"/>
        <v>0.73839120370394085</v>
      </c>
      <c r="F1228" s="3">
        <f t="shared" si="77"/>
        <v>45159</v>
      </c>
      <c r="G1228" t="s">
        <v>46</v>
      </c>
      <c r="H1228" t="s">
        <v>32</v>
      </c>
      <c r="I1228" t="s">
        <v>244</v>
      </c>
      <c r="J1228" t="s">
        <v>225</v>
      </c>
      <c r="K1228" t="s">
        <v>272</v>
      </c>
      <c r="L1228" t="s">
        <v>69</v>
      </c>
      <c r="M1228">
        <v>79</v>
      </c>
      <c r="N1228" t="s">
        <v>70</v>
      </c>
      <c r="O1228">
        <v>158</v>
      </c>
      <c r="P1228">
        <v>1</v>
      </c>
      <c r="Q1228">
        <v>3898.64</v>
      </c>
      <c r="R1228" s="4">
        <v>45600</v>
      </c>
      <c r="S1228" s="6">
        <v>0.33902777777777776</v>
      </c>
      <c r="T1228">
        <f t="shared" si="78"/>
        <v>17</v>
      </c>
      <c r="U1228" t="str" cm="1">
        <f t="array" ref="U1228">_xlfn.IFS(M1228&lt;=34,"YOUNG",M1228&lt;=54,"MIDDLE AGE",M1228&gt;=55,"OLD")</f>
        <v>OLD</v>
      </c>
      <c r="V1228" t="str">
        <f t="shared" si="79"/>
        <v>NORMAL</v>
      </c>
    </row>
    <row r="1229" spans="1:22" x14ac:dyDescent="0.35">
      <c r="A1229" t="s">
        <v>2929</v>
      </c>
      <c r="B1229" t="s">
        <v>2930</v>
      </c>
      <c r="C1229">
        <v>178.43</v>
      </c>
      <c r="D1229" s="1">
        <v>45286.759675925925</v>
      </c>
      <c r="E1229" s="2">
        <f t="shared" si="76"/>
        <v>0.75967592592496658</v>
      </c>
      <c r="F1229" s="3">
        <f t="shared" si="77"/>
        <v>45286</v>
      </c>
      <c r="G1229" t="s">
        <v>17</v>
      </c>
      <c r="H1229" t="s">
        <v>197</v>
      </c>
      <c r="I1229" t="s">
        <v>688</v>
      </c>
      <c r="J1229" t="s">
        <v>320</v>
      </c>
      <c r="K1229" t="s">
        <v>576</v>
      </c>
      <c r="L1229" t="s">
        <v>69</v>
      </c>
      <c r="M1229">
        <v>26</v>
      </c>
      <c r="N1229" t="s">
        <v>37</v>
      </c>
      <c r="O1229">
        <v>136</v>
      </c>
      <c r="P1229">
        <v>1</v>
      </c>
      <c r="Q1229">
        <v>1214.93</v>
      </c>
      <c r="R1229" s="4">
        <v>45600</v>
      </c>
      <c r="S1229" s="6">
        <v>0.33886574074074072</v>
      </c>
      <c r="T1229">
        <f t="shared" si="78"/>
        <v>18</v>
      </c>
      <c r="U1229" t="str" cm="1">
        <f t="array" ref="U1229">_xlfn.IFS(M1229&lt;=34,"YOUNG",M1229&lt;=54,"MIDDLE AGE",M1229&gt;=55,"OLD")</f>
        <v>YOUNG</v>
      </c>
      <c r="V1229" t="str">
        <f t="shared" si="79"/>
        <v>NORMAL</v>
      </c>
    </row>
    <row r="1230" spans="1:22" x14ac:dyDescent="0.35">
      <c r="A1230" t="s">
        <v>2931</v>
      </c>
      <c r="B1230" t="s">
        <v>1137</v>
      </c>
      <c r="C1230">
        <v>211.91</v>
      </c>
      <c r="D1230" s="1">
        <v>45187.70212962963</v>
      </c>
      <c r="E1230" s="2">
        <f t="shared" si="76"/>
        <v>0.70212962962978054</v>
      </c>
      <c r="F1230" s="3">
        <f t="shared" si="77"/>
        <v>45187</v>
      </c>
      <c r="G1230" t="s">
        <v>17</v>
      </c>
      <c r="H1230" t="s">
        <v>65</v>
      </c>
      <c r="I1230" t="s">
        <v>2235</v>
      </c>
      <c r="J1230" t="s">
        <v>1819</v>
      </c>
      <c r="K1230" t="s">
        <v>326</v>
      </c>
      <c r="L1230" t="s">
        <v>36</v>
      </c>
      <c r="M1230">
        <v>20</v>
      </c>
      <c r="N1230" t="s">
        <v>37</v>
      </c>
      <c r="O1230">
        <v>181</v>
      </c>
      <c r="P1230">
        <v>1</v>
      </c>
      <c r="Q1230">
        <v>927.47</v>
      </c>
      <c r="R1230" s="4">
        <v>45600</v>
      </c>
      <c r="S1230" s="6">
        <v>0.3394212962962963</v>
      </c>
      <c r="T1230">
        <f t="shared" si="78"/>
        <v>16</v>
      </c>
      <c r="U1230" t="str" cm="1">
        <f t="array" ref="U1230">_xlfn.IFS(M1230&lt;=34,"YOUNG",M1230&lt;=54,"MIDDLE AGE",M1230&gt;=55,"OLD")</f>
        <v>YOUNG</v>
      </c>
      <c r="V1230" t="str">
        <f t="shared" si="79"/>
        <v>NORMAL</v>
      </c>
    </row>
    <row r="1231" spans="1:22" x14ac:dyDescent="0.35">
      <c r="A1231" t="s">
        <v>2932</v>
      </c>
      <c r="B1231" t="s">
        <v>1457</v>
      </c>
      <c r="C1231">
        <v>17.21</v>
      </c>
      <c r="D1231" s="1">
        <v>45285.721504629626</v>
      </c>
      <c r="E1231" s="2">
        <f t="shared" si="76"/>
        <v>0.72150462962599704</v>
      </c>
      <c r="F1231" s="3">
        <f t="shared" si="77"/>
        <v>45285</v>
      </c>
      <c r="G1231" t="s">
        <v>17</v>
      </c>
      <c r="H1231" t="s">
        <v>296</v>
      </c>
      <c r="I1231" t="s">
        <v>1091</v>
      </c>
      <c r="J1231" t="s">
        <v>2685</v>
      </c>
      <c r="K1231" t="s">
        <v>432</v>
      </c>
      <c r="L1231" t="s">
        <v>36</v>
      </c>
      <c r="M1231">
        <v>23</v>
      </c>
      <c r="N1231" t="s">
        <v>37</v>
      </c>
      <c r="O1231">
        <v>219</v>
      </c>
      <c r="P1231">
        <v>1</v>
      </c>
      <c r="Q1231">
        <v>914.16</v>
      </c>
      <c r="R1231" s="4">
        <v>45600</v>
      </c>
      <c r="S1231" s="6">
        <v>0.33818287037037037</v>
      </c>
      <c r="T1231">
        <f t="shared" si="78"/>
        <v>17</v>
      </c>
      <c r="U1231" t="str" cm="1">
        <f t="array" ref="U1231">_xlfn.IFS(M1231&lt;=34,"YOUNG",M1231&lt;=54,"MIDDLE AGE",M1231&gt;=55,"OLD")</f>
        <v>YOUNG</v>
      </c>
      <c r="V1231" t="str">
        <f t="shared" si="79"/>
        <v>NORMAL</v>
      </c>
    </row>
    <row r="1232" spans="1:22" x14ac:dyDescent="0.35">
      <c r="A1232" t="s">
        <v>2933</v>
      </c>
      <c r="B1232" t="s">
        <v>452</v>
      </c>
      <c r="C1232">
        <v>124.22</v>
      </c>
      <c r="D1232" s="1">
        <v>45065.748333333337</v>
      </c>
      <c r="E1232" s="2">
        <f t="shared" si="76"/>
        <v>0.74833333333663177</v>
      </c>
      <c r="F1232" s="3">
        <f t="shared" si="77"/>
        <v>45065</v>
      </c>
      <c r="G1232" t="s">
        <v>17</v>
      </c>
      <c r="H1232" t="s">
        <v>249</v>
      </c>
      <c r="I1232" t="s">
        <v>2934</v>
      </c>
      <c r="J1232" t="s">
        <v>2729</v>
      </c>
      <c r="K1232" t="s">
        <v>759</v>
      </c>
      <c r="L1232" t="s">
        <v>22</v>
      </c>
      <c r="M1232">
        <v>23</v>
      </c>
      <c r="N1232" t="s">
        <v>37</v>
      </c>
      <c r="O1232">
        <v>172</v>
      </c>
      <c r="P1232">
        <v>1</v>
      </c>
      <c r="Q1232">
        <v>9695.0400000000009</v>
      </c>
      <c r="R1232" s="4">
        <v>45600</v>
      </c>
      <c r="S1232" s="6">
        <v>0.33893518518518517</v>
      </c>
      <c r="T1232">
        <f t="shared" si="78"/>
        <v>17</v>
      </c>
      <c r="U1232" t="str" cm="1">
        <f t="array" ref="U1232">_xlfn.IFS(M1232&lt;=34,"YOUNG",M1232&lt;=54,"MIDDLE AGE",M1232&gt;=55,"OLD")</f>
        <v>YOUNG</v>
      </c>
      <c r="V1232" t="str">
        <f t="shared" si="79"/>
        <v>NORMAL</v>
      </c>
    </row>
    <row r="1233" spans="1:22" x14ac:dyDescent="0.35">
      <c r="A1233" t="s">
        <v>2935</v>
      </c>
      <c r="B1233" t="s">
        <v>2073</v>
      </c>
      <c r="C1233">
        <v>38.369999999999997</v>
      </c>
      <c r="D1233" s="1">
        <v>45170.671967592592</v>
      </c>
      <c r="E1233" s="2">
        <f t="shared" si="76"/>
        <v>0.67196759259240935</v>
      </c>
      <c r="F1233" s="3">
        <f t="shared" si="77"/>
        <v>45170</v>
      </c>
      <c r="G1233" t="s">
        <v>17</v>
      </c>
      <c r="H1233" t="s">
        <v>237</v>
      </c>
      <c r="I1233" t="s">
        <v>2340</v>
      </c>
      <c r="J1233" t="s">
        <v>2641</v>
      </c>
      <c r="K1233" t="s">
        <v>362</v>
      </c>
      <c r="L1233" t="s">
        <v>22</v>
      </c>
      <c r="M1233">
        <v>63</v>
      </c>
      <c r="N1233" t="s">
        <v>23</v>
      </c>
      <c r="O1233">
        <v>135</v>
      </c>
      <c r="P1233">
        <v>1</v>
      </c>
      <c r="Q1233">
        <v>8647.0400000000009</v>
      </c>
      <c r="R1233" s="4">
        <v>45600</v>
      </c>
      <c r="S1233" s="6">
        <v>0.34032407407407406</v>
      </c>
      <c r="T1233">
        <f t="shared" si="78"/>
        <v>16</v>
      </c>
      <c r="U1233" t="str" cm="1">
        <f t="array" ref="U1233">_xlfn.IFS(M1233&lt;=34,"YOUNG",M1233&lt;=54,"MIDDLE AGE",M1233&gt;=55,"OLD")</f>
        <v>OLD</v>
      </c>
      <c r="V1233" t="str">
        <f t="shared" si="79"/>
        <v>NORMAL</v>
      </c>
    </row>
    <row r="1234" spans="1:22" x14ac:dyDescent="0.35">
      <c r="A1234" t="s">
        <v>2936</v>
      </c>
      <c r="B1234" t="s">
        <v>2496</v>
      </c>
      <c r="C1234">
        <v>269.79000000000002</v>
      </c>
      <c r="D1234" s="1">
        <v>45202.677372685182</v>
      </c>
      <c r="E1234" s="2">
        <f t="shared" si="76"/>
        <v>0.67737268518249039</v>
      </c>
      <c r="F1234" s="3">
        <f t="shared" si="77"/>
        <v>45202</v>
      </c>
      <c r="G1234" t="s">
        <v>17</v>
      </c>
      <c r="H1234" t="s">
        <v>223</v>
      </c>
      <c r="I1234" t="s">
        <v>2687</v>
      </c>
      <c r="J1234" t="s">
        <v>2305</v>
      </c>
      <c r="K1234" t="s">
        <v>759</v>
      </c>
      <c r="L1234" t="s">
        <v>22</v>
      </c>
      <c r="M1234">
        <v>52</v>
      </c>
      <c r="N1234" t="s">
        <v>77</v>
      </c>
      <c r="O1234">
        <v>17</v>
      </c>
      <c r="P1234">
        <v>1</v>
      </c>
      <c r="Q1234">
        <v>1292.0999999999999</v>
      </c>
      <c r="R1234" s="4">
        <v>45600</v>
      </c>
      <c r="S1234" s="6">
        <v>0.33887731481481481</v>
      </c>
      <c r="T1234">
        <f t="shared" si="78"/>
        <v>16</v>
      </c>
      <c r="U1234" t="str" cm="1">
        <f t="array" ref="U1234">_xlfn.IFS(M1234&lt;=34,"YOUNG",M1234&lt;=54,"MIDDLE AGE",M1234&gt;=55,"OLD")</f>
        <v>MIDDLE AGE</v>
      </c>
      <c r="V1234" t="str">
        <f t="shared" si="79"/>
        <v>NORMAL</v>
      </c>
    </row>
    <row r="1235" spans="1:22" x14ac:dyDescent="0.35">
      <c r="A1235" t="s">
        <v>2937</v>
      </c>
      <c r="B1235" t="s">
        <v>145</v>
      </c>
      <c r="C1235">
        <v>605.41999999999996</v>
      </c>
      <c r="D1235" s="1">
        <v>45090.67392361111</v>
      </c>
      <c r="E1235" s="2">
        <f t="shared" si="76"/>
        <v>0.67392361110978527</v>
      </c>
      <c r="F1235" s="3">
        <f t="shared" si="77"/>
        <v>45090</v>
      </c>
      <c r="G1235" t="s">
        <v>17</v>
      </c>
      <c r="H1235" t="s">
        <v>32</v>
      </c>
      <c r="I1235" t="s">
        <v>421</v>
      </c>
      <c r="J1235" t="s">
        <v>1559</v>
      </c>
      <c r="K1235" t="s">
        <v>674</v>
      </c>
      <c r="L1235" t="s">
        <v>22</v>
      </c>
      <c r="M1235">
        <v>21</v>
      </c>
      <c r="N1235" t="s">
        <v>37</v>
      </c>
      <c r="O1235">
        <v>33</v>
      </c>
      <c r="P1235">
        <v>1</v>
      </c>
      <c r="Q1235">
        <v>392.34</v>
      </c>
      <c r="R1235" s="4">
        <v>45600</v>
      </c>
      <c r="S1235" s="6">
        <v>0.34004629629629629</v>
      </c>
      <c r="T1235">
        <f t="shared" si="78"/>
        <v>16</v>
      </c>
      <c r="U1235" t="str" cm="1">
        <f t="array" ref="U1235">_xlfn.IFS(M1235&lt;=34,"YOUNG",M1235&lt;=54,"MIDDLE AGE",M1235&gt;=55,"OLD")</f>
        <v>YOUNG</v>
      </c>
      <c r="V1235" t="str">
        <f t="shared" si="79"/>
        <v>NORMAL</v>
      </c>
    </row>
    <row r="1236" spans="1:22" x14ac:dyDescent="0.35">
      <c r="A1236" t="s">
        <v>2938</v>
      </c>
      <c r="B1236" t="s">
        <v>1405</v>
      </c>
      <c r="C1236">
        <v>11.19</v>
      </c>
      <c r="D1236" s="1">
        <v>44928.732094907406</v>
      </c>
      <c r="E1236" s="2">
        <f t="shared" si="76"/>
        <v>0.73209490740555339</v>
      </c>
      <c r="F1236" s="3">
        <f t="shared" si="77"/>
        <v>44928</v>
      </c>
      <c r="G1236" t="s">
        <v>17</v>
      </c>
      <c r="H1236" t="s">
        <v>119</v>
      </c>
      <c r="I1236" t="s">
        <v>2142</v>
      </c>
      <c r="J1236" t="s">
        <v>1556</v>
      </c>
      <c r="K1236" t="s">
        <v>277</v>
      </c>
      <c r="L1236" t="s">
        <v>22</v>
      </c>
      <c r="M1236">
        <v>60</v>
      </c>
      <c r="N1236" t="s">
        <v>77</v>
      </c>
      <c r="O1236">
        <v>40</v>
      </c>
      <c r="P1236">
        <v>1</v>
      </c>
      <c r="Q1236">
        <v>9877.17</v>
      </c>
      <c r="R1236" s="4">
        <v>45600</v>
      </c>
      <c r="S1236" s="6">
        <v>0.34192129629629631</v>
      </c>
      <c r="T1236">
        <f t="shared" si="78"/>
        <v>17</v>
      </c>
      <c r="U1236" t="str" cm="1">
        <f t="array" ref="U1236">_xlfn.IFS(M1236&lt;=34,"YOUNG",M1236&lt;=54,"MIDDLE AGE",M1236&gt;=55,"OLD")</f>
        <v>OLD</v>
      </c>
      <c r="V1236" t="str">
        <f t="shared" si="79"/>
        <v>NORMAL</v>
      </c>
    </row>
    <row r="1237" spans="1:22" x14ac:dyDescent="0.35">
      <c r="A1237" t="s">
        <v>2939</v>
      </c>
      <c r="B1237" t="s">
        <v>384</v>
      </c>
      <c r="C1237">
        <v>29.19</v>
      </c>
      <c r="D1237" s="1">
        <v>44951.735590277778</v>
      </c>
      <c r="E1237" s="2">
        <f t="shared" si="76"/>
        <v>0.73559027777810115</v>
      </c>
      <c r="F1237" s="3">
        <f t="shared" si="77"/>
        <v>44951</v>
      </c>
      <c r="G1237" t="s">
        <v>46</v>
      </c>
      <c r="H1237" t="s">
        <v>80</v>
      </c>
      <c r="I1237" t="s">
        <v>2890</v>
      </c>
      <c r="J1237" t="s">
        <v>2425</v>
      </c>
      <c r="K1237" t="s">
        <v>432</v>
      </c>
      <c r="L1237" t="s">
        <v>69</v>
      </c>
      <c r="M1237">
        <v>58</v>
      </c>
      <c r="N1237" t="s">
        <v>23</v>
      </c>
      <c r="O1237">
        <v>41</v>
      </c>
      <c r="P1237">
        <v>1</v>
      </c>
      <c r="Q1237">
        <v>12059.85</v>
      </c>
      <c r="R1237" s="4">
        <v>45600</v>
      </c>
      <c r="S1237" s="6">
        <v>0.34136574074074072</v>
      </c>
      <c r="T1237">
        <f t="shared" si="78"/>
        <v>17</v>
      </c>
      <c r="U1237" t="str" cm="1">
        <f t="array" ref="U1237">_xlfn.IFS(M1237&lt;=34,"YOUNG",M1237&lt;=54,"MIDDLE AGE",M1237&gt;=55,"OLD")</f>
        <v>OLD</v>
      </c>
      <c r="V1237" t="str">
        <f t="shared" si="79"/>
        <v>NORMAL</v>
      </c>
    </row>
    <row r="1238" spans="1:22" x14ac:dyDescent="0.35">
      <c r="A1238" t="s">
        <v>2940</v>
      </c>
      <c r="B1238" t="s">
        <v>228</v>
      </c>
      <c r="C1238">
        <v>701.7</v>
      </c>
      <c r="D1238" s="1">
        <v>45107.706678240742</v>
      </c>
      <c r="E1238" s="2">
        <f t="shared" si="76"/>
        <v>0.70667824074189411</v>
      </c>
      <c r="F1238" s="3">
        <f t="shared" si="77"/>
        <v>45107</v>
      </c>
      <c r="G1238" t="s">
        <v>46</v>
      </c>
      <c r="H1238" t="s">
        <v>59</v>
      </c>
      <c r="I1238" t="s">
        <v>596</v>
      </c>
      <c r="J1238" t="s">
        <v>104</v>
      </c>
      <c r="K1238" t="s">
        <v>288</v>
      </c>
      <c r="L1238" t="s">
        <v>36</v>
      </c>
      <c r="M1238">
        <v>61</v>
      </c>
      <c r="N1238" t="s">
        <v>70</v>
      </c>
      <c r="O1238">
        <v>64</v>
      </c>
      <c r="P1238">
        <v>1</v>
      </c>
      <c r="Q1238">
        <v>6643.24</v>
      </c>
      <c r="R1238" s="4">
        <v>45600</v>
      </c>
      <c r="S1238" s="6">
        <v>0.34015046296296297</v>
      </c>
      <c r="T1238">
        <f t="shared" si="78"/>
        <v>16</v>
      </c>
      <c r="U1238" t="str" cm="1">
        <f t="array" ref="U1238">_xlfn.IFS(M1238&lt;=34,"YOUNG",M1238&lt;=54,"MIDDLE AGE",M1238&gt;=55,"OLD")</f>
        <v>OLD</v>
      </c>
      <c r="V1238" t="str">
        <f t="shared" si="79"/>
        <v>NORMAL</v>
      </c>
    </row>
    <row r="1239" spans="1:22" x14ac:dyDescent="0.35">
      <c r="A1239" t="s">
        <v>2941</v>
      </c>
      <c r="B1239" t="s">
        <v>1794</v>
      </c>
      <c r="C1239">
        <v>862.34</v>
      </c>
      <c r="D1239" s="1">
        <v>45071.677800925929</v>
      </c>
      <c r="E1239" s="2">
        <f t="shared" si="76"/>
        <v>0.67780092592875008</v>
      </c>
      <c r="F1239" s="3">
        <f t="shared" si="77"/>
        <v>45071</v>
      </c>
      <c r="G1239" t="s">
        <v>17</v>
      </c>
      <c r="H1239" t="s">
        <v>291</v>
      </c>
      <c r="I1239" t="s">
        <v>1486</v>
      </c>
      <c r="J1239" t="s">
        <v>2167</v>
      </c>
      <c r="K1239" t="s">
        <v>272</v>
      </c>
      <c r="L1239" t="s">
        <v>69</v>
      </c>
      <c r="M1239">
        <v>57</v>
      </c>
      <c r="N1239" t="s">
        <v>23</v>
      </c>
      <c r="O1239">
        <v>72</v>
      </c>
      <c r="P1239">
        <v>1</v>
      </c>
      <c r="Q1239">
        <v>9903.48</v>
      </c>
      <c r="R1239" s="4">
        <v>45600</v>
      </c>
      <c r="S1239" s="6">
        <v>0.34172453703703703</v>
      </c>
      <c r="T1239">
        <f t="shared" si="78"/>
        <v>16</v>
      </c>
      <c r="U1239" t="str" cm="1">
        <f t="array" ref="U1239">_xlfn.IFS(M1239&lt;=34,"YOUNG",M1239&lt;=54,"MIDDLE AGE",M1239&gt;=55,"OLD")</f>
        <v>OLD</v>
      </c>
      <c r="V1239" t="str">
        <f t="shared" si="79"/>
        <v>NORMAL</v>
      </c>
    </row>
    <row r="1240" spans="1:22" x14ac:dyDescent="0.35">
      <c r="A1240" t="s">
        <v>2942</v>
      </c>
      <c r="B1240" t="s">
        <v>2162</v>
      </c>
      <c r="C1240">
        <v>410.97</v>
      </c>
      <c r="D1240" s="1">
        <v>45194.709675925929</v>
      </c>
      <c r="E1240" s="2">
        <f t="shared" si="76"/>
        <v>0.70967592592933215</v>
      </c>
      <c r="F1240" s="3">
        <f t="shared" si="77"/>
        <v>45194</v>
      </c>
      <c r="G1240" t="s">
        <v>17</v>
      </c>
      <c r="H1240" t="s">
        <v>140</v>
      </c>
      <c r="I1240" t="s">
        <v>109</v>
      </c>
      <c r="J1240" t="s">
        <v>1674</v>
      </c>
      <c r="K1240" t="s">
        <v>607</v>
      </c>
      <c r="L1240" t="s">
        <v>22</v>
      </c>
      <c r="M1240">
        <v>22</v>
      </c>
      <c r="N1240" t="s">
        <v>37</v>
      </c>
      <c r="O1240">
        <v>45</v>
      </c>
      <c r="P1240">
        <v>1</v>
      </c>
      <c r="Q1240">
        <v>151.41999999999999</v>
      </c>
      <c r="R1240" s="4">
        <v>45600</v>
      </c>
      <c r="S1240" s="6">
        <v>0.34109953703703705</v>
      </c>
      <c r="T1240">
        <f t="shared" si="78"/>
        <v>17</v>
      </c>
      <c r="U1240" t="str" cm="1">
        <f t="array" ref="U1240">_xlfn.IFS(M1240&lt;=34,"YOUNG",M1240&lt;=54,"MIDDLE AGE",M1240&gt;=55,"OLD")</f>
        <v>YOUNG</v>
      </c>
      <c r="V1240" t="str">
        <f t="shared" si="79"/>
        <v>NORMAL</v>
      </c>
    </row>
    <row r="1241" spans="1:22" x14ac:dyDescent="0.35">
      <c r="A1241" t="s">
        <v>2943</v>
      </c>
      <c r="B1241" t="s">
        <v>1682</v>
      </c>
      <c r="C1241">
        <v>36.97</v>
      </c>
      <c r="D1241" s="1">
        <v>45161.724178240744</v>
      </c>
      <c r="E1241" s="2">
        <f t="shared" si="76"/>
        <v>0.72417824074364034</v>
      </c>
      <c r="F1241" s="3">
        <f t="shared" si="77"/>
        <v>45161</v>
      </c>
      <c r="G1241" t="s">
        <v>17</v>
      </c>
      <c r="H1241" t="s">
        <v>301</v>
      </c>
      <c r="I1241" t="s">
        <v>2944</v>
      </c>
      <c r="J1241" t="s">
        <v>2391</v>
      </c>
      <c r="K1241" t="s">
        <v>343</v>
      </c>
      <c r="L1241" t="s">
        <v>69</v>
      </c>
      <c r="M1241">
        <v>41</v>
      </c>
      <c r="N1241" t="s">
        <v>77</v>
      </c>
      <c r="O1241">
        <v>79</v>
      </c>
      <c r="P1241">
        <v>1</v>
      </c>
      <c r="Q1241">
        <v>2850.92</v>
      </c>
      <c r="R1241" s="4">
        <v>45600</v>
      </c>
      <c r="S1241" s="6">
        <v>0.33875</v>
      </c>
      <c r="T1241">
        <f t="shared" si="78"/>
        <v>17</v>
      </c>
      <c r="U1241" t="str" cm="1">
        <f t="array" ref="U1241">_xlfn.IFS(M1241&lt;=34,"YOUNG",M1241&lt;=54,"MIDDLE AGE",M1241&gt;=55,"OLD")</f>
        <v>MIDDLE AGE</v>
      </c>
      <c r="V1241" t="str">
        <f t="shared" si="79"/>
        <v>NORMAL</v>
      </c>
    </row>
    <row r="1242" spans="1:22" x14ac:dyDescent="0.35">
      <c r="A1242" t="s">
        <v>2945</v>
      </c>
      <c r="B1242" t="s">
        <v>384</v>
      </c>
      <c r="C1242">
        <v>137.59</v>
      </c>
      <c r="D1242" s="1">
        <v>44929.685601851852</v>
      </c>
      <c r="E1242" s="2">
        <f t="shared" si="76"/>
        <v>0.68560185185197042</v>
      </c>
      <c r="F1242" s="3">
        <f t="shared" si="77"/>
        <v>44929</v>
      </c>
      <c r="G1242" t="s">
        <v>17</v>
      </c>
      <c r="H1242" t="s">
        <v>80</v>
      </c>
      <c r="I1242" t="s">
        <v>665</v>
      </c>
      <c r="J1242" t="s">
        <v>976</v>
      </c>
      <c r="K1242" t="s">
        <v>149</v>
      </c>
      <c r="L1242" t="s">
        <v>22</v>
      </c>
      <c r="M1242">
        <v>30</v>
      </c>
      <c r="N1242" t="s">
        <v>23</v>
      </c>
      <c r="O1242">
        <v>95</v>
      </c>
      <c r="P1242">
        <v>1</v>
      </c>
      <c r="Q1242">
        <v>10679.67</v>
      </c>
      <c r="R1242" s="4">
        <v>45600</v>
      </c>
      <c r="S1242" s="6">
        <v>0.34131944444444445</v>
      </c>
      <c r="T1242">
        <f t="shared" si="78"/>
        <v>16</v>
      </c>
      <c r="U1242" t="str" cm="1">
        <f t="array" ref="U1242">_xlfn.IFS(M1242&lt;=34,"YOUNG",M1242&lt;=54,"MIDDLE AGE",M1242&gt;=55,"OLD")</f>
        <v>YOUNG</v>
      </c>
      <c r="V1242" t="str">
        <f t="shared" si="79"/>
        <v>NORMAL</v>
      </c>
    </row>
    <row r="1243" spans="1:22" x14ac:dyDescent="0.35">
      <c r="A1243" t="s">
        <v>2946</v>
      </c>
      <c r="B1243" t="s">
        <v>2695</v>
      </c>
      <c r="C1243">
        <v>168.11</v>
      </c>
      <c r="D1243" s="1">
        <v>45065.697835648149</v>
      </c>
      <c r="E1243" s="2">
        <f t="shared" si="76"/>
        <v>0.69783564814861165</v>
      </c>
      <c r="F1243" s="3">
        <f t="shared" si="77"/>
        <v>45065</v>
      </c>
      <c r="G1243" t="s">
        <v>46</v>
      </c>
      <c r="H1243" t="s">
        <v>203</v>
      </c>
      <c r="I1243" t="s">
        <v>2947</v>
      </c>
      <c r="J1243" t="s">
        <v>1119</v>
      </c>
      <c r="K1243" t="s">
        <v>21</v>
      </c>
      <c r="L1243" t="s">
        <v>36</v>
      </c>
      <c r="M1243">
        <v>51</v>
      </c>
      <c r="N1243" t="s">
        <v>23</v>
      </c>
      <c r="O1243">
        <v>12</v>
      </c>
      <c r="P1243">
        <v>1</v>
      </c>
      <c r="Q1243">
        <v>10652.13</v>
      </c>
      <c r="R1243" s="4">
        <v>45600</v>
      </c>
      <c r="S1243" s="6">
        <v>0.33818287037037037</v>
      </c>
      <c r="T1243">
        <f t="shared" si="78"/>
        <v>16</v>
      </c>
      <c r="U1243" t="str" cm="1">
        <f t="array" ref="U1243">_xlfn.IFS(M1243&lt;=34,"YOUNG",M1243&lt;=54,"MIDDLE AGE",M1243&gt;=55,"OLD")</f>
        <v>MIDDLE AGE</v>
      </c>
      <c r="V1243" t="str">
        <f t="shared" si="79"/>
        <v>NORMAL</v>
      </c>
    </row>
    <row r="1244" spans="1:22" x14ac:dyDescent="0.35">
      <c r="A1244" t="s">
        <v>2948</v>
      </c>
      <c r="B1244" t="s">
        <v>2949</v>
      </c>
      <c r="C1244">
        <v>430.98</v>
      </c>
      <c r="D1244" s="1">
        <v>45209.75986111111</v>
      </c>
      <c r="E1244" s="2">
        <f t="shared" si="76"/>
        <v>0.75986111110978527</v>
      </c>
      <c r="F1244" s="3">
        <f t="shared" si="77"/>
        <v>45209</v>
      </c>
      <c r="G1244" t="s">
        <v>17</v>
      </c>
      <c r="H1244" t="s">
        <v>197</v>
      </c>
      <c r="I1244" t="s">
        <v>2592</v>
      </c>
      <c r="J1244" t="s">
        <v>2751</v>
      </c>
      <c r="K1244" t="s">
        <v>707</v>
      </c>
      <c r="L1244" t="s">
        <v>69</v>
      </c>
      <c r="M1244">
        <v>24</v>
      </c>
      <c r="N1244" t="s">
        <v>37</v>
      </c>
      <c r="O1244">
        <v>93</v>
      </c>
      <c r="P1244">
        <v>1</v>
      </c>
      <c r="Q1244">
        <v>569.25</v>
      </c>
      <c r="R1244" s="4">
        <v>45600</v>
      </c>
      <c r="S1244" s="6">
        <v>0.34097222222222223</v>
      </c>
      <c r="T1244">
        <f t="shared" si="78"/>
        <v>18</v>
      </c>
      <c r="U1244" t="str" cm="1">
        <f t="array" ref="U1244">_xlfn.IFS(M1244&lt;=34,"YOUNG",M1244&lt;=54,"MIDDLE AGE",M1244&gt;=55,"OLD")</f>
        <v>YOUNG</v>
      </c>
      <c r="V1244" t="str">
        <f t="shared" si="79"/>
        <v>NORMAL</v>
      </c>
    </row>
    <row r="1245" spans="1:22" x14ac:dyDescent="0.35">
      <c r="A1245" t="s">
        <v>2950</v>
      </c>
      <c r="B1245" t="s">
        <v>1206</v>
      </c>
      <c r="C1245">
        <v>13.87</v>
      </c>
      <c r="D1245" s="1">
        <v>45271.772685185184</v>
      </c>
      <c r="E1245" s="2">
        <f t="shared" si="76"/>
        <v>0.77268518518394558</v>
      </c>
      <c r="F1245" s="3">
        <f t="shared" si="77"/>
        <v>45271</v>
      </c>
      <c r="G1245" t="s">
        <v>17</v>
      </c>
      <c r="H1245" t="s">
        <v>425</v>
      </c>
      <c r="I1245" t="s">
        <v>1522</v>
      </c>
      <c r="J1245" t="s">
        <v>1996</v>
      </c>
      <c r="K1245" t="s">
        <v>543</v>
      </c>
      <c r="L1245" t="s">
        <v>69</v>
      </c>
      <c r="M1245">
        <v>24</v>
      </c>
      <c r="N1245" t="s">
        <v>37</v>
      </c>
      <c r="O1245">
        <v>20</v>
      </c>
      <c r="P1245">
        <v>1</v>
      </c>
      <c r="Q1245">
        <v>954.83</v>
      </c>
      <c r="R1245" s="4">
        <v>45600</v>
      </c>
      <c r="S1245" s="6">
        <v>0.3387384259259259</v>
      </c>
      <c r="T1245">
        <f t="shared" si="78"/>
        <v>18</v>
      </c>
      <c r="U1245" t="str" cm="1">
        <f t="array" ref="U1245">_xlfn.IFS(M1245&lt;=34,"YOUNG",M1245&lt;=54,"MIDDLE AGE",M1245&gt;=55,"OLD")</f>
        <v>YOUNG</v>
      </c>
      <c r="V1245" t="str">
        <f t="shared" si="79"/>
        <v>NORMAL</v>
      </c>
    </row>
    <row r="1246" spans="1:22" x14ac:dyDescent="0.35">
      <c r="A1246" t="s">
        <v>2951</v>
      </c>
      <c r="B1246" t="s">
        <v>222</v>
      </c>
      <c r="C1246">
        <v>642.67999999999995</v>
      </c>
      <c r="D1246" s="1">
        <v>45071.698275462964</v>
      </c>
      <c r="E1246" s="2">
        <f t="shared" si="76"/>
        <v>0.69827546296437504</v>
      </c>
      <c r="F1246" s="3">
        <f t="shared" si="77"/>
        <v>45071</v>
      </c>
      <c r="G1246" t="s">
        <v>17</v>
      </c>
      <c r="H1246" t="s">
        <v>392</v>
      </c>
      <c r="I1246" t="s">
        <v>1937</v>
      </c>
      <c r="J1246" t="s">
        <v>1605</v>
      </c>
      <c r="K1246" t="s">
        <v>406</v>
      </c>
      <c r="L1246" t="s">
        <v>22</v>
      </c>
      <c r="M1246">
        <v>76</v>
      </c>
      <c r="N1246" t="s">
        <v>70</v>
      </c>
      <c r="O1246">
        <v>66</v>
      </c>
      <c r="P1246">
        <v>1</v>
      </c>
      <c r="Q1246">
        <v>1831.2</v>
      </c>
      <c r="R1246" s="4">
        <v>45600</v>
      </c>
      <c r="S1246" s="6">
        <v>0.34070601851851851</v>
      </c>
      <c r="T1246">
        <f t="shared" si="78"/>
        <v>16</v>
      </c>
      <c r="U1246" t="str" cm="1">
        <f t="array" ref="U1246">_xlfn.IFS(M1246&lt;=34,"YOUNG",M1246&lt;=54,"MIDDLE AGE",M1246&gt;=55,"OLD")</f>
        <v>OLD</v>
      </c>
      <c r="V1246" t="str">
        <f t="shared" si="79"/>
        <v>NORMAL</v>
      </c>
    </row>
    <row r="1247" spans="1:22" x14ac:dyDescent="0.35">
      <c r="A1247" t="s">
        <v>2952</v>
      </c>
      <c r="B1247" t="s">
        <v>2500</v>
      </c>
      <c r="C1247">
        <v>175.07</v>
      </c>
      <c r="D1247" s="1">
        <v>45253.707766203705</v>
      </c>
      <c r="E1247" s="2">
        <f t="shared" si="76"/>
        <v>0.70776620370452292</v>
      </c>
      <c r="F1247" s="3">
        <f t="shared" si="77"/>
        <v>45253</v>
      </c>
      <c r="G1247" t="s">
        <v>17</v>
      </c>
      <c r="H1247" t="s">
        <v>146</v>
      </c>
      <c r="I1247" t="s">
        <v>1389</v>
      </c>
      <c r="J1247" t="s">
        <v>2858</v>
      </c>
      <c r="K1247" t="s">
        <v>740</v>
      </c>
      <c r="L1247" t="s">
        <v>36</v>
      </c>
      <c r="M1247">
        <v>28</v>
      </c>
      <c r="N1247" t="s">
        <v>77</v>
      </c>
      <c r="O1247">
        <v>169</v>
      </c>
      <c r="P1247">
        <v>2</v>
      </c>
      <c r="Q1247">
        <v>9274.64</v>
      </c>
      <c r="R1247" s="4">
        <v>45600</v>
      </c>
      <c r="S1247" s="6">
        <v>0.34174768518518517</v>
      </c>
      <c r="T1247">
        <f t="shared" si="78"/>
        <v>16</v>
      </c>
      <c r="U1247" t="str" cm="1">
        <f t="array" ref="U1247">_xlfn.IFS(M1247&lt;=34,"YOUNG",M1247&lt;=54,"MIDDLE AGE",M1247&gt;=55,"OLD")</f>
        <v>YOUNG</v>
      </c>
      <c r="V1247" t="str">
        <f t="shared" si="79"/>
        <v>HIGH</v>
      </c>
    </row>
    <row r="1248" spans="1:22" x14ac:dyDescent="0.35">
      <c r="A1248" t="s">
        <v>2953</v>
      </c>
      <c r="B1248" t="s">
        <v>134</v>
      </c>
      <c r="C1248">
        <v>302.82</v>
      </c>
      <c r="D1248" s="1">
        <v>45233.701620370368</v>
      </c>
      <c r="E1248" s="2">
        <f t="shared" si="76"/>
        <v>0.70162037036789116</v>
      </c>
      <c r="F1248" s="3">
        <f t="shared" si="77"/>
        <v>45233</v>
      </c>
      <c r="G1248" t="s">
        <v>17</v>
      </c>
      <c r="H1248" t="s">
        <v>392</v>
      </c>
      <c r="I1248" t="s">
        <v>2770</v>
      </c>
      <c r="J1248" t="s">
        <v>2411</v>
      </c>
      <c r="K1248" t="s">
        <v>68</v>
      </c>
      <c r="L1248" t="s">
        <v>22</v>
      </c>
      <c r="M1248">
        <v>36</v>
      </c>
      <c r="N1248" t="s">
        <v>77</v>
      </c>
      <c r="O1248">
        <v>175</v>
      </c>
      <c r="P1248">
        <v>1</v>
      </c>
      <c r="Q1248">
        <v>9384.5400000000009</v>
      </c>
      <c r="R1248" s="4">
        <v>45600</v>
      </c>
      <c r="S1248" s="6">
        <v>0.33855324074074072</v>
      </c>
      <c r="T1248">
        <f t="shared" si="78"/>
        <v>16</v>
      </c>
      <c r="U1248" t="str" cm="1">
        <f t="array" ref="U1248">_xlfn.IFS(M1248&lt;=34,"YOUNG",M1248&lt;=54,"MIDDLE AGE",M1248&gt;=55,"OLD")</f>
        <v>MIDDLE AGE</v>
      </c>
      <c r="V1248" t="str">
        <f t="shared" si="79"/>
        <v>NORMAL</v>
      </c>
    </row>
    <row r="1249" spans="1:22" x14ac:dyDescent="0.35">
      <c r="A1249" t="s">
        <v>2954</v>
      </c>
      <c r="B1249" t="s">
        <v>2024</v>
      </c>
      <c r="C1249">
        <v>1647.74</v>
      </c>
      <c r="D1249" s="1">
        <v>45285.73715277778</v>
      </c>
      <c r="E1249" s="2">
        <f t="shared" si="76"/>
        <v>0.73715277777955635</v>
      </c>
      <c r="F1249" s="3">
        <f t="shared" si="77"/>
        <v>45285</v>
      </c>
      <c r="G1249" t="s">
        <v>17</v>
      </c>
      <c r="H1249" t="s">
        <v>108</v>
      </c>
      <c r="I1249" t="s">
        <v>1555</v>
      </c>
      <c r="J1249" t="s">
        <v>2316</v>
      </c>
      <c r="K1249" t="s">
        <v>474</v>
      </c>
      <c r="L1249" t="s">
        <v>22</v>
      </c>
      <c r="M1249">
        <v>67</v>
      </c>
      <c r="N1249" t="s">
        <v>70</v>
      </c>
      <c r="O1249">
        <v>52</v>
      </c>
      <c r="P1249">
        <v>1</v>
      </c>
      <c r="Q1249">
        <v>1483.84</v>
      </c>
      <c r="R1249" s="4">
        <v>45600</v>
      </c>
      <c r="S1249" s="6">
        <v>0.33991898148148147</v>
      </c>
      <c r="T1249">
        <f t="shared" si="78"/>
        <v>17</v>
      </c>
      <c r="U1249" t="str" cm="1">
        <f t="array" ref="U1249">_xlfn.IFS(M1249&lt;=34,"YOUNG",M1249&lt;=54,"MIDDLE AGE",M1249&gt;=55,"OLD")</f>
        <v>OLD</v>
      </c>
      <c r="V1249" t="str">
        <f t="shared" si="79"/>
        <v>NORMAL</v>
      </c>
    </row>
    <row r="1250" spans="1:22" x14ac:dyDescent="0.35">
      <c r="A1250" t="s">
        <v>2955</v>
      </c>
      <c r="B1250" t="s">
        <v>1044</v>
      </c>
      <c r="C1250">
        <v>406.81</v>
      </c>
      <c r="D1250" s="1">
        <v>45265.689456018517</v>
      </c>
      <c r="E1250" s="2">
        <f t="shared" si="76"/>
        <v>0.68945601851737592</v>
      </c>
      <c r="F1250" s="3">
        <f t="shared" si="77"/>
        <v>45265</v>
      </c>
      <c r="G1250" t="s">
        <v>17</v>
      </c>
      <c r="H1250" t="s">
        <v>203</v>
      </c>
      <c r="I1250" t="s">
        <v>400</v>
      </c>
      <c r="J1250" t="s">
        <v>1100</v>
      </c>
      <c r="K1250" t="s">
        <v>1810</v>
      </c>
      <c r="L1250" t="s">
        <v>36</v>
      </c>
      <c r="M1250">
        <v>66</v>
      </c>
      <c r="N1250" t="s">
        <v>70</v>
      </c>
      <c r="O1250">
        <v>84</v>
      </c>
      <c r="P1250">
        <v>1</v>
      </c>
      <c r="Q1250">
        <v>1968.36</v>
      </c>
      <c r="R1250" s="4">
        <v>45600</v>
      </c>
      <c r="S1250" s="6">
        <v>0.3394212962962963</v>
      </c>
      <c r="T1250">
        <f t="shared" si="78"/>
        <v>16</v>
      </c>
      <c r="U1250" t="str" cm="1">
        <f t="array" ref="U1250">_xlfn.IFS(M1250&lt;=34,"YOUNG",M1250&lt;=54,"MIDDLE AGE",M1250&gt;=55,"OLD")</f>
        <v>OLD</v>
      </c>
      <c r="V1250" t="str">
        <f t="shared" si="79"/>
        <v>NORMAL</v>
      </c>
    </row>
    <row r="1251" spans="1:22" x14ac:dyDescent="0.35">
      <c r="A1251" t="s">
        <v>2956</v>
      </c>
      <c r="B1251" t="s">
        <v>737</v>
      </c>
      <c r="C1251">
        <v>256.3</v>
      </c>
      <c r="D1251" s="1">
        <v>45021.681932870371</v>
      </c>
      <c r="E1251" s="2">
        <f t="shared" si="76"/>
        <v>0.68193287037138361</v>
      </c>
      <c r="F1251" s="3">
        <f t="shared" si="77"/>
        <v>45021</v>
      </c>
      <c r="G1251" t="s">
        <v>17</v>
      </c>
      <c r="H1251" t="s">
        <v>203</v>
      </c>
      <c r="I1251" t="s">
        <v>1971</v>
      </c>
      <c r="J1251" t="s">
        <v>153</v>
      </c>
      <c r="K1251" t="s">
        <v>386</v>
      </c>
      <c r="L1251" t="s">
        <v>36</v>
      </c>
      <c r="M1251">
        <v>53</v>
      </c>
      <c r="N1251" t="s">
        <v>70</v>
      </c>
      <c r="O1251">
        <v>172</v>
      </c>
      <c r="P1251">
        <v>1</v>
      </c>
      <c r="Q1251">
        <v>4203.05</v>
      </c>
      <c r="R1251" s="4">
        <v>45600</v>
      </c>
      <c r="S1251" s="6">
        <v>0.33776620370370369</v>
      </c>
      <c r="T1251">
        <f t="shared" si="78"/>
        <v>16</v>
      </c>
      <c r="U1251" t="str" cm="1">
        <f t="array" ref="U1251">_xlfn.IFS(M1251&lt;=34,"YOUNG",M1251&lt;=54,"MIDDLE AGE",M1251&gt;=55,"OLD")</f>
        <v>MIDDLE AGE</v>
      </c>
      <c r="V1251" t="str">
        <f t="shared" si="79"/>
        <v>NORMAL</v>
      </c>
    </row>
    <row r="1252" spans="1:22" x14ac:dyDescent="0.35">
      <c r="A1252" t="s">
        <v>2957</v>
      </c>
      <c r="B1252" t="s">
        <v>1433</v>
      </c>
      <c r="C1252">
        <v>80.959999999999994</v>
      </c>
      <c r="D1252" s="1">
        <v>45196.741087962961</v>
      </c>
      <c r="E1252" s="2">
        <f t="shared" si="76"/>
        <v>0.74108796296059154</v>
      </c>
      <c r="F1252" s="3">
        <f t="shared" si="77"/>
        <v>45196</v>
      </c>
      <c r="G1252" t="s">
        <v>46</v>
      </c>
      <c r="H1252" t="s">
        <v>392</v>
      </c>
      <c r="I1252" t="s">
        <v>2958</v>
      </c>
      <c r="J1252" t="s">
        <v>168</v>
      </c>
      <c r="K1252" t="s">
        <v>303</v>
      </c>
      <c r="L1252" t="s">
        <v>36</v>
      </c>
      <c r="M1252">
        <v>19</v>
      </c>
      <c r="N1252" t="s">
        <v>37</v>
      </c>
      <c r="O1252">
        <v>97</v>
      </c>
      <c r="P1252">
        <v>1</v>
      </c>
      <c r="Q1252">
        <v>959.94</v>
      </c>
      <c r="R1252" s="4">
        <v>45600</v>
      </c>
      <c r="S1252" s="6">
        <v>0.33778935185185183</v>
      </c>
      <c r="T1252">
        <f t="shared" si="78"/>
        <v>17</v>
      </c>
      <c r="U1252" t="str" cm="1">
        <f t="array" ref="U1252">_xlfn.IFS(M1252&lt;=34,"YOUNG",M1252&lt;=54,"MIDDLE AGE",M1252&gt;=55,"OLD")</f>
        <v>YOUNG</v>
      </c>
      <c r="V1252" t="str">
        <f t="shared" si="79"/>
        <v>NORMAL</v>
      </c>
    </row>
    <row r="1253" spans="1:22" x14ac:dyDescent="0.35">
      <c r="A1253" t="s">
        <v>2959</v>
      </c>
      <c r="B1253" t="s">
        <v>1707</v>
      </c>
      <c r="C1253">
        <v>95.78</v>
      </c>
      <c r="D1253" s="1">
        <v>45008.715196759258</v>
      </c>
      <c r="E1253" s="2">
        <f t="shared" si="76"/>
        <v>0.71519675925810589</v>
      </c>
      <c r="F1253" s="3">
        <f t="shared" si="77"/>
        <v>45008</v>
      </c>
      <c r="G1253" t="s">
        <v>17</v>
      </c>
      <c r="H1253" t="s">
        <v>47</v>
      </c>
      <c r="I1253" t="s">
        <v>2548</v>
      </c>
      <c r="J1253" t="s">
        <v>1884</v>
      </c>
      <c r="K1253" t="s">
        <v>885</v>
      </c>
      <c r="L1253" t="s">
        <v>36</v>
      </c>
      <c r="M1253">
        <v>22</v>
      </c>
      <c r="N1253" t="s">
        <v>37</v>
      </c>
      <c r="O1253">
        <v>27</v>
      </c>
      <c r="P1253">
        <v>1</v>
      </c>
      <c r="Q1253">
        <v>271.64</v>
      </c>
      <c r="R1253" s="4">
        <v>45600</v>
      </c>
      <c r="S1253" s="6">
        <v>0.33976851851851853</v>
      </c>
      <c r="T1253">
        <f t="shared" si="78"/>
        <v>17</v>
      </c>
      <c r="U1253" t="str" cm="1">
        <f t="array" ref="U1253">_xlfn.IFS(M1253&lt;=34,"YOUNG",M1253&lt;=54,"MIDDLE AGE",M1253&gt;=55,"OLD")</f>
        <v>YOUNG</v>
      </c>
      <c r="V1253" t="str">
        <f t="shared" si="79"/>
        <v>NORMAL</v>
      </c>
    </row>
    <row r="1254" spans="1:22" x14ac:dyDescent="0.35">
      <c r="A1254" t="s">
        <v>2960</v>
      </c>
      <c r="B1254" t="s">
        <v>367</v>
      </c>
      <c r="C1254">
        <v>379.54</v>
      </c>
      <c r="D1254" s="1">
        <v>44929.718217592592</v>
      </c>
      <c r="E1254" s="2">
        <f t="shared" si="76"/>
        <v>0.71821759259182727</v>
      </c>
      <c r="F1254" s="3">
        <f t="shared" si="77"/>
        <v>44929</v>
      </c>
      <c r="G1254" t="s">
        <v>46</v>
      </c>
      <c r="H1254" t="s">
        <v>65</v>
      </c>
      <c r="I1254" t="s">
        <v>1201</v>
      </c>
      <c r="J1254" t="s">
        <v>245</v>
      </c>
      <c r="K1254" t="s">
        <v>143</v>
      </c>
      <c r="L1254" t="s">
        <v>69</v>
      </c>
      <c r="M1254">
        <v>41</v>
      </c>
      <c r="N1254" t="s">
        <v>23</v>
      </c>
      <c r="O1254">
        <v>118</v>
      </c>
      <c r="P1254">
        <v>1</v>
      </c>
      <c r="Q1254">
        <v>12571.76</v>
      </c>
      <c r="R1254" s="4">
        <v>45600</v>
      </c>
      <c r="S1254" s="6">
        <v>0.33776620370370369</v>
      </c>
      <c r="T1254">
        <f t="shared" si="78"/>
        <v>17</v>
      </c>
      <c r="U1254" t="str" cm="1">
        <f t="array" ref="U1254">_xlfn.IFS(M1254&lt;=34,"YOUNG",M1254&lt;=54,"MIDDLE AGE",M1254&gt;=55,"OLD")</f>
        <v>MIDDLE AGE</v>
      </c>
      <c r="V1254" t="str">
        <f t="shared" si="79"/>
        <v>NORMAL</v>
      </c>
    </row>
    <row r="1255" spans="1:22" x14ac:dyDescent="0.35">
      <c r="A1255" t="s">
        <v>2961</v>
      </c>
      <c r="B1255" t="s">
        <v>274</v>
      </c>
      <c r="C1255">
        <v>903.19</v>
      </c>
      <c r="D1255" s="1">
        <v>45113.744814814818</v>
      </c>
      <c r="E1255" s="2">
        <f t="shared" si="76"/>
        <v>0.74481481481780065</v>
      </c>
      <c r="F1255" s="3">
        <f t="shared" si="77"/>
        <v>45113</v>
      </c>
      <c r="G1255" t="s">
        <v>17</v>
      </c>
      <c r="H1255" t="s">
        <v>506</v>
      </c>
      <c r="I1255" t="s">
        <v>1570</v>
      </c>
      <c r="J1255" t="s">
        <v>531</v>
      </c>
      <c r="K1255" t="s">
        <v>165</v>
      </c>
      <c r="L1255" t="s">
        <v>36</v>
      </c>
      <c r="M1255">
        <v>22</v>
      </c>
      <c r="N1255" t="s">
        <v>37</v>
      </c>
      <c r="O1255">
        <v>65</v>
      </c>
      <c r="P1255">
        <v>1</v>
      </c>
      <c r="Q1255">
        <v>8627.08</v>
      </c>
      <c r="R1255" s="4">
        <v>45600</v>
      </c>
      <c r="S1255" s="6">
        <v>0.33792824074074074</v>
      </c>
      <c r="T1255">
        <f t="shared" si="78"/>
        <v>17</v>
      </c>
      <c r="U1255" t="str" cm="1">
        <f t="array" ref="U1255">_xlfn.IFS(M1255&lt;=34,"YOUNG",M1255&lt;=54,"MIDDLE AGE",M1255&gt;=55,"OLD")</f>
        <v>YOUNG</v>
      </c>
      <c r="V1255" t="str">
        <f t="shared" si="79"/>
        <v>NORMAL</v>
      </c>
    </row>
    <row r="1256" spans="1:22" x14ac:dyDescent="0.35">
      <c r="A1256" t="s">
        <v>2962</v>
      </c>
      <c r="B1256" t="s">
        <v>39</v>
      </c>
      <c r="C1256">
        <v>142.19</v>
      </c>
      <c r="D1256" s="1">
        <v>45092.77002314815</v>
      </c>
      <c r="E1256" s="2">
        <f t="shared" si="76"/>
        <v>0.77002314815035788</v>
      </c>
      <c r="F1256" s="3">
        <f t="shared" si="77"/>
        <v>45092</v>
      </c>
      <c r="G1256" t="s">
        <v>17</v>
      </c>
      <c r="H1256" t="s">
        <v>26</v>
      </c>
      <c r="I1256" t="s">
        <v>1253</v>
      </c>
      <c r="J1256" t="s">
        <v>2963</v>
      </c>
      <c r="K1256" t="s">
        <v>262</v>
      </c>
      <c r="L1256" t="s">
        <v>69</v>
      </c>
      <c r="M1256">
        <v>18</v>
      </c>
      <c r="N1256" t="s">
        <v>37</v>
      </c>
      <c r="O1256">
        <v>27</v>
      </c>
      <c r="P1256">
        <v>4</v>
      </c>
      <c r="Q1256">
        <v>524.46</v>
      </c>
      <c r="R1256" s="4">
        <v>45600</v>
      </c>
      <c r="S1256" s="6">
        <v>0.34009259259259261</v>
      </c>
      <c r="T1256">
        <f t="shared" si="78"/>
        <v>18</v>
      </c>
      <c r="U1256" t="str" cm="1">
        <f t="array" ref="U1256">_xlfn.IFS(M1256&lt;=34,"YOUNG",M1256&lt;=54,"MIDDLE AGE",M1256&gt;=55,"OLD")</f>
        <v>YOUNG</v>
      </c>
      <c r="V1256" t="str">
        <f t="shared" si="79"/>
        <v>HIGH</v>
      </c>
    </row>
    <row r="1257" spans="1:22" x14ac:dyDescent="0.35">
      <c r="A1257" t="s">
        <v>2964</v>
      </c>
      <c r="B1257" t="s">
        <v>1802</v>
      </c>
      <c r="C1257">
        <v>847.45</v>
      </c>
      <c r="D1257" s="1">
        <v>45096.683495370373</v>
      </c>
      <c r="E1257" s="2">
        <f t="shared" si="76"/>
        <v>0.68349537037283881</v>
      </c>
      <c r="F1257" s="3">
        <f t="shared" si="77"/>
        <v>45096</v>
      </c>
      <c r="G1257" t="s">
        <v>17</v>
      </c>
      <c r="H1257" t="s">
        <v>392</v>
      </c>
      <c r="I1257" t="s">
        <v>538</v>
      </c>
      <c r="J1257" t="s">
        <v>1689</v>
      </c>
      <c r="K1257" t="s">
        <v>564</v>
      </c>
      <c r="L1257" t="s">
        <v>69</v>
      </c>
      <c r="M1257">
        <v>28</v>
      </c>
      <c r="N1257" t="s">
        <v>37</v>
      </c>
      <c r="O1257">
        <v>175</v>
      </c>
      <c r="P1257">
        <v>1</v>
      </c>
      <c r="Q1257">
        <v>422.32</v>
      </c>
      <c r="R1257" s="4">
        <v>45600</v>
      </c>
      <c r="S1257" s="6">
        <v>0.33993055555555557</v>
      </c>
      <c r="T1257">
        <f t="shared" si="78"/>
        <v>16</v>
      </c>
      <c r="U1257" t="str" cm="1">
        <f t="array" ref="U1257">_xlfn.IFS(M1257&lt;=34,"YOUNG",M1257&lt;=54,"MIDDLE AGE",M1257&gt;=55,"OLD")</f>
        <v>YOUNG</v>
      </c>
      <c r="V1257" t="str">
        <f t="shared" si="79"/>
        <v>NORMAL</v>
      </c>
    </row>
    <row r="1258" spans="1:22" x14ac:dyDescent="0.35">
      <c r="A1258" t="s">
        <v>2965</v>
      </c>
      <c r="B1258" t="s">
        <v>2083</v>
      </c>
      <c r="C1258">
        <v>295.18</v>
      </c>
      <c r="D1258" s="1">
        <v>45055.74628472222</v>
      </c>
      <c r="E1258" s="2">
        <f t="shared" si="76"/>
        <v>0.74628472221957054</v>
      </c>
      <c r="F1258" s="3">
        <f t="shared" si="77"/>
        <v>45055</v>
      </c>
      <c r="G1258" t="s">
        <v>46</v>
      </c>
      <c r="H1258" t="s">
        <v>323</v>
      </c>
      <c r="I1258" t="s">
        <v>2966</v>
      </c>
      <c r="J1258" t="s">
        <v>42</v>
      </c>
      <c r="K1258" t="s">
        <v>740</v>
      </c>
      <c r="L1258" t="s">
        <v>69</v>
      </c>
      <c r="M1258">
        <v>66</v>
      </c>
      <c r="N1258" t="s">
        <v>23</v>
      </c>
      <c r="O1258">
        <v>31</v>
      </c>
      <c r="P1258">
        <v>1</v>
      </c>
      <c r="Q1258">
        <v>12961.53</v>
      </c>
      <c r="R1258" s="4">
        <v>45600</v>
      </c>
      <c r="S1258" s="6">
        <v>0.33880787037037036</v>
      </c>
      <c r="T1258">
        <f t="shared" si="78"/>
        <v>17</v>
      </c>
      <c r="U1258" t="str" cm="1">
        <f t="array" ref="U1258">_xlfn.IFS(M1258&lt;=34,"YOUNG",M1258&lt;=54,"MIDDLE AGE",M1258&gt;=55,"OLD")</f>
        <v>OLD</v>
      </c>
      <c r="V1258" t="str">
        <f t="shared" si="79"/>
        <v>NORMAL</v>
      </c>
    </row>
    <row r="1259" spans="1:22" x14ac:dyDescent="0.35">
      <c r="A1259" t="s">
        <v>2967</v>
      </c>
      <c r="B1259" t="s">
        <v>2264</v>
      </c>
      <c r="C1259">
        <v>18.46</v>
      </c>
      <c r="D1259" s="1">
        <v>45250.686967592592</v>
      </c>
      <c r="E1259" s="2">
        <f t="shared" si="76"/>
        <v>0.68696759259182727</v>
      </c>
      <c r="F1259" s="3">
        <f t="shared" si="77"/>
        <v>45250</v>
      </c>
      <c r="G1259" t="s">
        <v>17</v>
      </c>
      <c r="H1259" t="s">
        <v>249</v>
      </c>
      <c r="I1259" t="s">
        <v>2318</v>
      </c>
      <c r="J1259" t="s">
        <v>1571</v>
      </c>
      <c r="K1259" t="s">
        <v>418</v>
      </c>
      <c r="L1259" t="s">
        <v>69</v>
      </c>
      <c r="M1259">
        <v>68</v>
      </c>
      <c r="N1259" t="s">
        <v>70</v>
      </c>
      <c r="O1259">
        <v>213</v>
      </c>
      <c r="P1259">
        <v>1</v>
      </c>
      <c r="Q1259">
        <v>6381.6</v>
      </c>
      <c r="R1259" s="4">
        <v>45600</v>
      </c>
      <c r="S1259" s="6">
        <v>0.34047453703703706</v>
      </c>
      <c r="T1259">
        <f t="shared" si="78"/>
        <v>16</v>
      </c>
      <c r="U1259" t="str" cm="1">
        <f t="array" ref="U1259">_xlfn.IFS(M1259&lt;=34,"YOUNG",M1259&lt;=54,"MIDDLE AGE",M1259&gt;=55,"OLD")</f>
        <v>OLD</v>
      </c>
      <c r="V1259" t="str">
        <f t="shared" si="79"/>
        <v>NORMAL</v>
      </c>
    </row>
    <row r="1260" spans="1:22" x14ac:dyDescent="0.35">
      <c r="A1260" t="s">
        <v>2968</v>
      </c>
      <c r="B1260" t="s">
        <v>876</v>
      </c>
      <c r="C1260">
        <v>603.23</v>
      </c>
      <c r="D1260" s="1">
        <v>45162.732094907406</v>
      </c>
      <c r="E1260" s="2">
        <f t="shared" si="76"/>
        <v>0.73209490740555339</v>
      </c>
      <c r="F1260" s="3">
        <f t="shared" si="77"/>
        <v>45162</v>
      </c>
      <c r="G1260" t="s">
        <v>17</v>
      </c>
      <c r="H1260" t="s">
        <v>73</v>
      </c>
      <c r="I1260" t="s">
        <v>2969</v>
      </c>
      <c r="J1260" t="s">
        <v>1249</v>
      </c>
      <c r="K1260" t="s">
        <v>111</v>
      </c>
      <c r="L1260" t="s">
        <v>69</v>
      </c>
      <c r="M1260">
        <v>28</v>
      </c>
      <c r="N1260" t="s">
        <v>37</v>
      </c>
      <c r="O1260">
        <v>48</v>
      </c>
      <c r="P1260">
        <v>1</v>
      </c>
      <c r="Q1260">
        <v>117.98</v>
      </c>
      <c r="R1260" s="4">
        <v>45600</v>
      </c>
      <c r="S1260" s="6">
        <v>0.33909722222222222</v>
      </c>
      <c r="T1260">
        <f t="shared" si="78"/>
        <v>17</v>
      </c>
      <c r="U1260" t="str" cm="1">
        <f t="array" ref="U1260">_xlfn.IFS(M1260&lt;=34,"YOUNG",M1260&lt;=54,"MIDDLE AGE",M1260&gt;=55,"OLD")</f>
        <v>YOUNG</v>
      </c>
      <c r="V1260" t="str">
        <f t="shared" si="79"/>
        <v>NORMAL</v>
      </c>
    </row>
    <row r="1261" spans="1:22" x14ac:dyDescent="0.35">
      <c r="A1261" t="s">
        <v>2970</v>
      </c>
      <c r="B1261" t="s">
        <v>1293</v>
      </c>
      <c r="C1261">
        <v>54.5</v>
      </c>
      <c r="D1261" s="1">
        <v>45252.707743055558</v>
      </c>
      <c r="E1261" s="2">
        <f t="shared" si="76"/>
        <v>0.70774305555823958</v>
      </c>
      <c r="F1261" s="3">
        <f t="shared" si="77"/>
        <v>45252</v>
      </c>
      <c r="G1261" t="s">
        <v>46</v>
      </c>
      <c r="H1261" t="s">
        <v>243</v>
      </c>
      <c r="I1261" t="s">
        <v>2947</v>
      </c>
      <c r="J1261" t="s">
        <v>791</v>
      </c>
      <c r="K1261" t="s">
        <v>984</v>
      </c>
      <c r="L1261" t="s">
        <v>69</v>
      </c>
      <c r="M1261">
        <v>57</v>
      </c>
      <c r="N1261" t="s">
        <v>70</v>
      </c>
      <c r="O1261">
        <v>147</v>
      </c>
      <c r="P1261">
        <v>1</v>
      </c>
      <c r="Q1261">
        <v>1715.22</v>
      </c>
      <c r="R1261" s="4">
        <v>45600</v>
      </c>
      <c r="S1261" s="6">
        <v>0.3392013888888889</v>
      </c>
      <c r="T1261">
        <f t="shared" si="78"/>
        <v>16</v>
      </c>
      <c r="U1261" t="str" cm="1">
        <f t="array" ref="U1261">_xlfn.IFS(M1261&lt;=34,"YOUNG",M1261&lt;=54,"MIDDLE AGE",M1261&gt;=55,"OLD")</f>
        <v>OLD</v>
      </c>
      <c r="V1261" t="str">
        <f t="shared" si="79"/>
        <v>NORMAL</v>
      </c>
    </row>
    <row r="1262" spans="1:22" x14ac:dyDescent="0.35">
      <c r="A1262" t="s">
        <v>2971</v>
      </c>
      <c r="B1262" t="s">
        <v>767</v>
      </c>
      <c r="C1262">
        <v>414.77</v>
      </c>
      <c r="D1262" s="1">
        <v>45292.734074074076</v>
      </c>
      <c r="E1262" s="2">
        <f t="shared" si="76"/>
        <v>0.73407407407648861</v>
      </c>
      <c r="F1262" s="3">
        <f t="shared" si="77"/>
        <v>45292</v>
      </c>
      <c r="G1262" t="s">
        <v>17</v>
      </c>
      <c r="H1262" t="s">
        <v>212</v>
      </c>
      <c r="I1262" t="s">
        <v>2119</v>
      </c>
      <c r="J1262" t="s">
        <v>234</v>
      </c>
      <c r="K1262" t="s">
        <v>240</v>
      </c>
      <c r="L1262" t="s">
        <v>36</v>
      </c>
      <c r="M1262">
        <v>29</v>
      </c>
      <c r="N1262" t="s">
        <v>23</v>
      </c>
      <c r="O1262">
        <v>274</v>
      </c>
      <c r="P1262">
        <v>1</v>
      </c>
      <c r="Q1262">
        <v>5599.81</v>
      </c>
      <c r="R1262" s="4">
        <v>45600</v>
      </c>
      <c r="S1262" s="6">
        <v>0.33894675925925927</v>
      </c>
      <c r="T1262">
        <f t="shared" si="78"/>
        <v>17</v>
      </c>
      <c r="U1262" t="str" cm="1">
        <f t="array" ref="U1262">_xlfn.IFS(M1262&lt;=34,"YOUNG",M1262&lt;=54,"MIDDLE AGE",M1262&gt;=55,"OLD")</f>
        <v>YOUNG</v>
      </c>
      <c r="V1262" t="str">
        <f t="shared" si="79"/>
        <v>NORMAL</v>
      </c>
    </row>
    <row r="1263" spans="1:22" x14ac:dyDescent="0.35">
      <c r="A1263" t="s">
        <v>2972</v>
      </c>
      <c r="B1263" t="s">
        <v>1472</v>
      </c>
      <c r="C1263">
        <v>886.19</v>
      </c>
      <c r="D1263" s="1">
        <v>45159.73060185185</v>
      </c>
      <c r="E1263" s="2">
        <f t="shared" si="76"/>
        <v>0.73060185185022419</v>
      </c>
      <c r="F1263" s="3">
        <f t="shared" si="77"/>
        <v>45159</v>
      </c>
      <c r="G1263" t="s">
        <v>17</v>
      </c>
      <c r="H1263" t="s">
        <v>521</v>
      </c>
      <c r="I1263" t="s">
        <v>2617</v>
      </c>
      <c r="J1263" t="s">
        <v>2738</v>
      </c>
      <c r="K1263" t="s">
        <v>427</v>
      </c>
      <c r="L1263" t="s">
        <v>69</v>
      </c>
      <c r="M1263">
        <v>61</v>
      </c>
      <c r="N1263" t="s">
        <v>70</v>
      </c>
      <c r="O1263">
        <v>69</v>
      </c>
      <c r="P1263">
        <v>1</v>
      </c>
      <c r="Q1263">
        <v>7904.24</v>
      </c>
      <c r="R1263" s="4">
        <v>45600</v>
      </c>
      <c r="S1263" s="6">
        <v>0.33922453703703703</v>
      </c>
      <c r="T1263">
        <f t="shared" si="78"/>
        <v>17</v>
      </c>
      <c r="U1263" t="str" cm="1">
        <f t="array" ref="U1263">_xlfn.IFS(M1263&lt;=34,"YOUNG",M1263&lt;=54,"MIDDLE AGE",M1263&gt;=55,"OLD")</f>
        <v>OLD</v>
      </c>
      <c r="V1263" t="str">
        <f t="shared" si="79"/>
        <v>NORMAL</v>
      </c>
    </row>
    <row r="1264" spans="1:22" x14ac:dyDescent="0.35">
      <c r="A1264" t="s">
        <v>2973</v>
      </c>
      <c r="B1264" t="s">
        <v>1368</v>
      </c>
      <c r="C1264">
        <v>440.03</v>
      </c>
      <c r="D1264" s="1">
        <v>45259.674884259257</v>
      </c>
      <c r="E1264" s="2">
        <f t="shared" si="76"/>
        <v>0.67488425925694173</v>
      </c>
      <c r="F1264" s="3">
        <f t="shared" si="77"/>
        <v>45259</v>
      </c>
      <c r="G1264" t="s">
        <v>17</v>
      </c>
      <c r="H1264" t="s">
        <v>223</v>
      </c>
      <c r="I1264" t="s">
        <v>830</v>
      </c>
      <c r="J1264" t="s">
        <v>2974</v>
      </c>
      <c r="K1264" t="s">
        <v>514</v>
      </c>
      <c r="L1264" t="s">
        <v>36</v>
      </c>
      <c r="M1264">
        <v>49</v>
      </c>
      <c r="N1264" t="s">
        <v>77</v>
      </c>
      <c r="O1264">
        <v>88</v>
      </c>
      <c r="P1264">
        <v>1</v>
      </c>
      <c r="Q1264">
        <v>1490.44</v>
      </c>
      <c r="R1264" s="4">
        <v>45600</v>
      </c>
      <c r="S1264" s="6">
        <v>0.34049768518518519</v>
      </c>
      <c r="T1264">
        <f t="shared" si="78"/>
        <v>16</v>
      </c>
      <c r="U1264" t="str" cm="1">
        <f t="array" ref="U1264">_xlfn.IFS(M1264&lt;=34,"YOUNG",M1264&lt;=54,"MIDDLE AGE",M1264&gt;=55,"OLD")</f>
        <v>MIDDLE AGE</v>
      </c>
      <c r="V1264" t="str">
        <f t="shared" si="79"/>
        <v>NORMAL</v>
      </c>
    </row>
    <row r="1265" spans="1:22" x14ac:dyDescent="0.35">
      <c r="A1265" t="s">
        <v>2975</v>
      </c>
      <c r="B1265" t="s">
        <v>372</v>
      </c>
      <c r="C1265">
        <v>35.46</v>
      </c>
      <c r="D1265" s="1">
        <v>45008.678113425929</v>
      </c>
      <c r="E1265" s="2">
        <f t="shared" si="76"/>
        <v>0.67811342592904111</v>
      </c>
      <c r="F1265" s="3">
        <f t="shared" si="77"/>
        <v>45008</v>
      </c>
      <c r="G1265" t="s">
        <v>17</v>
      </c>
      <c r="H1265" t="s">
        <v>80</v>
      </c>
      <c r="I1265" t="s">
        <v>2976</v>
      </c>
      <c r="J1265" t="s">
        <v>104</v>
      </c>
      <c r="K1265" t="s">
        <v>262</v>
      </c>
      <c r="L1265" t="s">
        <v>22</v>
      </c>
      <c r="M1265">
        <v>56</v>
      </c>
      <c r="N1265" t="s">
        <v>70</v>
      </c>
      <c r="O1265">
        <v>285</v>
      </c>
      <c r="P1265">
        <v>1</v>
      </c>
      <c r="Q1265">
        <v>1532.72</v>
      </c>
      <c r="R1265" s="4">
        <v>45600</v>
      </c>
      <c r="S1265" s="6">
        <v>0.33849537037037036</v>
      </c>
      <c r="T1265">
        <f t="shared" si="78"/>
        <v>16</v>
      </c>
      <c r="U1265" t="str" cm="1">
        <f t="array" ref="U1265">_xlfn.IFS(M1265&lt;=34,"YOUNG",M1265&lt;=54,"MIDDLE AGE",M1265&gt;=55,"OLD")</f>
        <v>OLD</v>
      </c>
      <c r="V1265" t="str">
        <f t="shared" si="79"/>
        <v>NORMAL</v>
      </c>
    </row>
    <row r="1266" spans="1:22" x14ac:dyDescent="0.35">
      <c r="A1266" t="s">
        <v>2977</v>
      </c>
      <c r="B1266" t="s">
        <v>2978</v>
      </c>
      <c r="C1266">
        <v>76.39</v>
      </c>
      <c r="D1266" s="1">
        <v>44939.721909722219</v>
      </c>
      <c r="E1266" s="2">
        <f t="shared" si="76"/>
        <v>0.72190972221869742</v>
      </c>
      <c r="F1266" s="3">
        <f t="shared" si="77"/>
        <v>44939</v>
      </c>
      <c r="G1266" t="s">
        <v>17</v>
      </c>
      <c r="H1266" t="s">
        <v>114</v>
      </c>
      <c r="I1266" t="s">
        <v>1010</v>
      </c>
      <c r="J1266" t="s">
        <v>2614</v>
      </c>
      <c r="K1266" t="s">
        <v>62</v>
      </c>
      <c r="L1266" t="s">
        <v>69</v>
      </c>
      <c r="M1266">
        <v>18</v>
      </c>
      <c r="N1266" t="s">
        <v>37</v>
      </c>
      <c r="O1266">
        <v>219</v>
      </c>
      <c r="P1266">
        <v>1</v>
      </c>
      <c r="Q1266">
        <v>5976</v>
      </c>
      <c r="R1266" s="4">
        <v>45600</v>
      </c>
      <c r="S1266" s="6">
        <v>0.34038194444444442</v>
      </c>
      <c r="T1266">
        <f t="shared" si="78"/>
        <v>17</v>
      </c>
      <c r="U1266" t="str" cm="1">
        <f t="array" ref="U1266">_xlfn.IFS(M1266&lt;=34,"YOUNG",M1266&lt;=54,"MIDDLE AGE",M1266&gt;=55,"OLD")</f>
        <v>YOUNG</v>
      </c>
      <c r="V1266" t="str">
        <f t="shared" si="79"/>
        <v>NORMAL</v>
      </c>
    </row>
    <row r="1267" spans="1:22" x14ac:dyDescent="0.35">
      <c r="A1267" t="s">
        <v>2979</v>
      </c>
      <c r="B1267" t="s">
        <v>611</v>
      </c>
      <c r="C1267">
        <v>595.91</v>
      </c>
      <c r="D1267" s="1">
        <v>45148.777129629627</v>
      </c>
      <c r="E1267" s="2">
        <f t="shared" si="76"/>
        <v>0.77712962962687016</v>
      </c>
      <c r="F1267" s="3">
        <f t="shared" si="77"/>
        <v>45148</v>
      </c>
      <c r="G1267" t="s">
        <v>46</v>
      </c>
      <c r="H1267" t="s">
        <v>237</v>
      </c>
      <c r="I1267" t="s">
        <v>2505</v>
      </c>
      <c r="J1267" t="s">
        <v>1414</v>
      </c>
      <c r="K1267" t="s">
        <v>674</v>
      </c>
      <c r="L1267" t="s">
        <v>22</v>
      </c>
      <c r="M1267">
        <v>19</v>
      </c>
      <c r="N1267" t="s">
        <v>37</v>
      </c>
      <c r="O1267">
        <v>162</v>
      </c>
      <c r="P1267">
        <v>1</v>
      </c>
      <c r="Q1267">
        <v>1673.76</v>
      </c>
      <c r="R1267" s="4">
        <v>45600</v>
      </c>
      <c r="S1267" s="6">
        <v>0.34052083333333333</v>
      </c>
      <c r="T1267">
        <f t="shared" si="78"/>
        <v>18</v>
      </c>
      <c r="U1267" t="str" cm="1">
        <f t="array" ref="U1267">_xlfn.IFS(M1267&lt;=34,"YOUNG",M1267&lt;=54,"MIDDLE AGE",M1267&gt;=55,"OLD")</f>
        <v>YOUNG</v>
      </c>
      <c r="V1267" t="str">
        <f t="shared" si="79"/>
        <v>NORMAL</v>
      </c>
    </row>
    <row r="1268" spans="1:22" x14ac:dyDescent="0.35">
      <c r="A1268" t="s">
        <v>2980</v>
      </c>
      <c r="B1268" t="s">
        <v>923</v>
      </c>
      <c r="C1268">
        <v>6.03</v>
      </c>
      <c r="D1268" s="1">
        <v>45147.779456018521</v>
      </c>
      <c r="E1268" s="2">
        <f t="shared" si="76"/>
        <v>0.77945601852115942</v>
      </c>
      <c r="F1268" s="3">
        <f t="shared" si="77"/>
        <v>45147</v>
      </c>
      <c r="G1268" t="s">
        <v>17</v>
      </c>
      <c r="H1268" t="s">
        <v>265</v>
      </c>
      <c r="I1268" t="s">
        <v>2244</v>
      </c>
      <c r="J1268" t="s">
        <v>2981</v>
      </c>
      <c r="K1268" t="s">
        <v>76</v>
      </c>
      <c r="L1268" t="s">
        <v>69</v>
      </c>
      <c r="M1268">
        <v>76</v>
      </c>
      <c r="N1268" t="s">
        <v>70</v>
      </c>
      <c r="O1268">
        <v>70</v>
      </c>
      <c r="P1268">
        <v>1</v>
      </c>
      <c r="Q1268">
        <v>3290.72</v>
      </c>
      <c r="R1268" s="4">
        <v>45600</v>
      </c>
      <c r="S1268" s="6">
        <v>0.33989583333333334</v>
      </c>
      <c r="T1268">
        <f t="shared" si="78"/>
        <v>18</v>
      </c>
      <c r="U1268" t="str" cm="1">
        <f t="array" ref="U1268">_xlfn.IFS(M1268&lt;=34,"YOUNG",M1268&lt;=54,"MIDDLE AGE",M1268&gt;=55,"OLD")</f>
        <v>OLD</v>
      </c>
      <c r="V1268" t="str">
        <f t="shared" si="79"/>
        <v>NORMAL</v>
      </c>
    </row>
    <row r="1269" spans="1:22" x14ac:dyDescent="0.35">
      <c r="A1269" t="s">
        <v>2982</v>
      </c>
      <c r="B1269" t="s">
        <v>1009</v>
      </c>
      <c r="C1269">
        <v>249.34</v>
      </c>
      <c r="D1269" s="1">
        <v>45153.723460648151</v>
      </c>
      <c r="E1269" s="2">
        <f t="shared" si="76"/>
        <v>0.72346064815064892</v>
      </c>
      <c r="F1269" s="3">
        <f t="shared" si="77"/>
        <v>45153</v>
      </c>
      <c r="G1269" t="s">
        <v>17</v>
      </c>
      <c r="H1269" t="s">
        <v>249</v>
      </c>
      <c r="I1269" t="s">
        <v>2029</v>
      </c>
      <c r="J1269" t="s">
        <v>394</v>
      </c>
      <c r="K1269" t="s">
        <v>769</v>
      </c>
      <c r="L1269" t="s">
        <v>22</v>
      </c>
      <c r="M1269">
        <v>26</v>
      </c>
      <c r="N1269" t="s">
        <v>77</v>
      </c>
      <c r="O1269">
        <v>197</v>
      </c>
      <c r="P1269">
        <v>1</v>
      </c>
      <c r="Q1269">
        <v>3030.97</v>
      </c>
      <c r="R1269" s="4">
        <v>45600</v>
      </c>
      <c r="S1269" s="6">
        <v>0.33885416666666668</v>
      </c>
      <c r="T1269">
        <f t="shared" si="78"/>
        <v>17</v>
      </c>
      <c r="U1269" t="str" cm="1">
        <f t="array" ref="U1269">_xlfn.IFS(M1269&lt;=34,"YOUNG",M1269&lt;=54,"MIDDLE AGE",M1269&gt;=55,"OLD")</f>
        <v>YOUNG</v>
      </c>
      <c r="V1269" t="str">
        <f t="shared" si="79"/>
        <v>NORMAL</v>
      </c>
    </row>
    <row r="1270" spans="1:22" x14ac:dyDescent="0.35">
      <c r="A1270" t="s">
        <v>2983</v>
      </c>
      <c r="B1270" t="s">
        <v>284</v>
      </c>
      <c r="C1270">
        <v>421.52</v>
      </c>
      <c r="D1270" s="1">
        <v>45153.732731481483</v>
      </c>
      <c r="E1270" s="2">
        <f t="shared" si="76"/>
        <v>0.73273148148291511</v>
      </c>
      <c r="F1270" s="3">
        <f t="shared" si="77"/>
        <v>45153</v>
      </c>
      <c r="G1270" t="s">
        <v>17</v>
      </c>
      <c r="H1270" t="s">
        <v>223</v>
      </c>
      <c r="I1270" t="s">
        <v>2461</v>
      </c>
      <c r="J1270" t="s">
        <v>2984</v>
      </c>
      <c r="K1270" t="s">
        <v>331</v>
      </c>
      <c r="L1270" t="s">
        <v>69</v>
      </c>
      <c r="M1270">
        <v>20</v>
      </c>
      <c r="N1270" t="s">
        <v>37</v>
      </c>
      <c r="O1270">
        <v>67</v>
      </c>
      <c r="P1270">
        <v>1</v>
      </c>
      <c r="Q1270">
        <v>369.86</v>
      </c>
      <c r="R1270" s="4">
        <v>45600</v>
      </c>
      <c r="S1270" s="6">
        <v>0.34052083333333333</v>
      </c>
      <c r="T1270">
        <f t="shared" si="78"/>
        <v>17</v>
      </c>
      <c r="U1270" t="str" cm="1">
        <f t="array" ref="U1270">_xlfn.IFS(M1270&lt;=34,"YOUNG",M1270&lt;=54,"MIDDLE AGE",M1270&gt;=55,"OLD")</f>
        <v>YOUNG</v>
      </c>
      <c r="V1270" t="str">
        <f t="shared" si="79"/>
        <v>NORMAL</v>
      </c>
    </row>
    <row r="1271" spans="1:22" x14ac:dyDescent="0.35">
      <c r="A1271" t="s">
        <v>2985</v>
      </c>
      <c r="B1271" t="s">
        <v>2986</v>
      </c>
      <c r="C1271">
        <v>189.77</v>
      </c>
      <c r="D1271" s="1">
        <v>44984.672685185185</v>
      </c>
      <c r="E1271" s="2">
        <f t="shared" si="76"/>
        <v>0.67268518518540077</v>
      </c>
      <c r="F1271" s="3">
        <f t="shared" si="77"/>
        <v>44984</v>
      </c>
      <c r="G1271" t="s">
        <v>17</v>
      </c>
      <c r="H1271" t="s">
        <v>40</v>
      </c>
      <c r="I1271" t="s">
        <v>2770</v>
      </c>
      <c r="J1271" t="s">
        <v>2527</v>
      </c>
      <c r="K1271" t="s">
        <v>1349</v>
      </c>
      <c r="L1271" t="s">
        <v>69</v>
      </c>
      <c r="M1271">
        <v>58</v>
      </c>
      <c r="N1271" t="s">
        <v>77</v>
      </c>
      <c r="O1271">
        <v>24</v>
      </c>
      <c r="P1271">
        <v>1</v>
      </c>
      <c r="Q1271">
        <v>6570.36</v>
      </c>
      <c r="R1271" s="4">
        <v>45600</v>
      </c>
      <c r="S1271" s="6">
        <v>0.34129629629629632</v>
      </c>
      <c r="T1271">
        <f t="shared" si="78"/>
        <v>16</v>
      </c>
      <c r="U1271" t="str" cm="1">
        <f t="array" ref="U1271">_xlfn.IFS(M1271&lt;=34,"YOUNG",M1271&lt;=54,"MIDDLE AGE",M1271&gt;=55,"OLD")</f>
        <v>OLD</v>
      </c>
      <c r="V1271" t="str">
        <f t="shared" si="79"/>
        <v>NORMAL</v>
      </c>
    </row>
    <row r="1272" spans="1:22" x14ac:dyDescent="0.35">
      <c r="A1272" t="s">
        <v>2987</v>
      </c>
      <c r="B1272" t="s">
        <v>1902</v>
      </c>
      <c r="C1272">
        <v>73.19</v>
      </c>
      <c r="D1272" s="1">
        <v>45217.68072916667</v>
      </c>
      <c r="E1272" s="2">
        <f t="shared" si="76"/>
        <v>0.68072916667006211</v>
      </c>
      <c r="F1272" s="3">
        <f t="shared" si="77"/>
        <v>45217</v>
      </c>
      <c r="G1272" t="s">
        <v>17</v>
      </c>
      <c r="H1272" t="s">
        <v>47</v>
      </c>
      <c r="I1272" t="s">
        <v>2988</v>
      </c>
      <c r="J1272" t="s">
        <v>394</v>
      </c>
      <c r="K1272" t="s">
        <v>105</v>
      </c>
      <c r="L1272" t="s">
        <v>69</v>
      </c>
      <c r="M1272">
        <v>76</v>
      </c>
      <c r="N1272" t="s">
        <v>70</v>
      </c>
      <c r="O1272">
        <v>213</v>
      </c>
      <c r="P1272">
        <v>1</v>
      </c>
      <c r="Q1272">
        <v>2264.98</v>
      </c>
      <c r="R1272" s="4">
        <v>45600</v>
      </c>
      <c r="S1272" s="6">
        <v>0.34057870370370369</v>
      </c>
      <c r="T1272">
        <f t="shared" si="78"/>
        <v>16</v>
      </c>
      <c r="U1272" t="str" cm="1">
        <f t="array" ref="U1272">_xlfn.IFS(M1272&lt;=34,"YOUNG",M1272&lt;=54,"MIDDLE AGE",M1272&gt;=55,"OLD")</f>
        <v>OLD</v>
      </c>
      <c r="V1272" t="str">
        <f t="shared" si="79"/>
        <v>NORMAL</v>
      </c>
    </row>
    <row r="1273" spans="1:22" x14ac:dyDescent="0.35">
      <c r="A1273" t="s">
        <v>2989</v>
      </c>
      <c r="B1273" t="s">
        <v>1528</v>
      </c>
      <c r="C1273">
        <v>188.13</v>
      </c>
      <c r="D1273" s="1">
        <v>45079.758668981478</v>
      </c>
      <c r="E1273" s="2">
        <f t="shared" si="76"/>
        <v>0.75866898147796746</v>
      </c>
      <c r="F1273" s="3">
        <f t="shared" si="77"/>
        <v>45079</v>
      </c>
      <c r="G1273" t="s">
        <v>46</v>
      </c>
      <c r="H1273" t="s">
        <v>392</v>
      </c>
      <c r="I1273" t="s">
        <v>2990</v>
      </c>
      <c r="J1273" t="s">
        <v>2391</v>
      </c>
      <c r="K1273" t="s">
        <v>50</v>
      </c>
      <c r="L1273" t="s">
        <v>36</v>
      </c>
      <c r="M1273">
        <v>75</v>
      </c>
      <c r="N1273" t="s">
        <v>70</v>
      </c>
      <c r="O1273">
        <v>198</v>
      </c>
      <c r="P1273">
        <v>1</v>
      </c>
      <c r="Q1273">
        <v>5029.87</v>
      </c>
      <c r="R1273" s="4">
        <v>45600</v>
      </c>
      <c r="S1273" s="6">
        <v>0.34037037037037038</v>
      </c>
      <c r="T1273">
        <f t="shared" si="78"/>
        <v>18</v>
      </c>
      <c r="U1273" t="str" cm="1">
        <f t="array" ref="U1273">_xlfn.IFS(M1273&lt;=34,"YOUNG",M1273&lt;=54,"MIDDLE AGE",M1273&gt;=55,"OLD")</f>
        <v>OLD</v>
      </c>
      <c r="V1273" t="str">
        <f t="shared" si="79"/>
        <v>NORMAL</v>
      </c>
    </row>
    <row r="1274" spans="1:22" x14ac:dyDescent="0.35">
      <c r="A1274" t="s">
        <v>2991</v>
      </c>
      <c r="B1274" t="s">
        <v>1391</v>
      </c>
      <c r="C1274">
        <v>30.52</v>
      </c>
      <c r="D1274" s="1">
        <v>45065.72152777778</v>
      </c>
      <c r="E1274" s="2">
        <f t="shared" si="76"/>
        <v>0.72152777777955635</v>
      </c>
      <c r="F1274" s="3">
        <f t="shared" si="77"/>
        <v>45065</v>
      </c>
      <c r="G1274" t="s">
        <v>17</v>
      </c>
      <c r="H1274" t="s">
        <v>392</v>
      </c>
      <c r="I1274" t="s">
        <v>472</v>
      </c>
      <c r="J1274" t="s">
        <v>2061</v>
      </c>
      <c r="K1274" t="s">
        <v>262</v>
      </c>
      <c r="L1274" t="s">
        <v>69</v>
      </c>
      <c r="M1274">
        <v>62</v>
      </c>
      <c r="N1274" t="s">
        <v>23</v>
      </c>
      <c r="O1274">
        <v>122</v>
      </c>
      <c r="P1274">
        <v>1</v>
      </c>
      <c r="Q1274">
        <v>12327.74</v>
      </c>
      <c r="R1274" s="4">
        <v>45600</v>
      </c>
      <c r="S1274" s="6">
        <v>0.33840277777777777</v>
      </c>
      <c r="T1274">
        <f t="shared" si="78"/>
        <v>17</v>
      </c>
      <c r="U1274" t="str" cm="1">
        <f t="array" ref="U1274">_xlfn.IFS(M1274&lt;=34,"YOUNG",M1274&lt;=54,"MIDDLE AGE",M1274&gt;=55,"OLD")</f>
        <v>OLD</v>
      </c>
      <c r="V1274" t="str">
        <f t="shared" si="79"/>
        <v>NORMAL</v>
      </c>
    </row>
    <row r="1275" spans="1:22" x14ac:dyDescent="0.35">
      <c r="A1275" t="s">
        <v>2992</v>
      </c>
      <c r="B1275" t="s">
        <v>1183</v>
      </c>
      <c r="C1275">
        <v>1235.69</v>
      </c>
      <c r="D1275" s="1">
        <v>45070.676782407405</v>
      </c>
      <c r="E1275" s="2">
        <f t="shared" si="76"/>
        <v>0.67678240740497131</v>
      </c>
      <c r="F1275" s="3">
        <f t="shared" si="77"/>
        <v>45070</v>
      </c>
      <c r="G1275" t="s">
        <v>46</v>
      </c>
      <c r="H1275" t="s">
        <v>223</v>
      </c>
      <c r="I1275" t="s">
        <v>1680</v>
      </c>
      <c r="J1275" t="s">
        <v>587</v>
      </c>
      <c r="K1275" t="s">
        <v>122</v>
      </c>
      <c r="L1275" t="s">
        <v>69</v>
      </c>
      <c r="M1275">
        <v>20</v>
      </c>
      <c r="N1275" t="s">
        <v>37</v>
      </c>
      <c r="O1275">
        <v>118</v>
      </c>
      <c r="P1275">
        <v>1</v>
      </c>
      <c r="Q1275">
        <v>420.25</v>
      </c>
      <c r="R1275" s="4">
        <v>45600</v>
      </c>
      <c r="S1275" s="6">
        <v>0.33983796296296298</v>
      </c>
      <c r="T1275">
        <f t="shared" si="78"/>
        <v>16</v>
      </c>
      <c r="U1275" t="str" cm="1">
        <f t="array" ref="U1275">_xlfn.IFS(M1275&lt;=34,"YOUNG",M1275&lt;=54,"MIDDLE AGE",M1275&gt;=55,"OLD")</f>
        <v>YOUNG</v>
      </c>
      <c r="V1275" t="str">
        <f t="shared" si="79"/>
        <v>NORMAL</v>
      </c>
    </row>
    <row r="1276" spans="1:22" x14ac:dyDescent="0.35">
      <c r="A1276" t="s">
        <v>2993</v>
      </c>
      <c r="B1276" t="s">
        <v>1617</v>
      </c>
      <c r="C1276">
        <v>1159.3900000000001</v>
      </c>
      <c r="D1276" s="1">
        <v>45211.687372685185</v>
      </c>
      <c r="E1276" s="2">
        <f t="shared" si="76"/>
        <v>0.68737268518452765</v>
      </c>
      <c r="F1276" s="3">
        <f t="shared" si="77"/>
        <v>45211</v>
      </c>
      <c r="G1276" t="s">
        <v>17</v>
      </c>
      <c r="H1276" t="s">
        <v>53</v>
      </c>
      <c r="I1276" t="s">
        <v>2503</v>
      </c>
      <c r="J1276" t="s">
        <v>257</v>
      </c>
      <c r="K1276" t="s">
        <v>50</v>
      </c>
      <c r="L1276" t="s">
        <v>36</v>
      </c>
      <c r="M1276">
        <v>41</v>
      </c>
      <c r="N1276" t="s">
        <v>23</v>
      </c>
      <c r="O1276">
        <v>150</v>
      </c>
      <c r="P1276">
        <v>1</v>
      </c>
      <c r="Q1276">
        <v>6499.53</v>
      </c>
      <c r="R1276" s="4">
        <v>45600</v>
      </c>
      <c r="S1276" s="6">
        <v>0.33781250000000002</v>
      </c>
      <c r="T1276">
        <f t="shared" si="78"/>
        <v>16</v>
      </c>
      <c r="U1276" t="str" cm="1">
        <f t="array" ref="U1276">_xlfn.IFS(M1276&lt;=34,"YOUNG",M1276&lt;=54,"MIDDLE AGE",M1276&gt;=55,"OLD")</f>
        <v>MIDDLE AGE</v>
      </c>
      <c r="V1276" t="str">
        <f t="shared" si="79"/>
        <v>NORMAL</v>
      </c>
    </row>
    <row r="1277" spans="1:22" x14ac:dyDescent="0.35">
      <c r="A1277" t="s">
        <v>2994</v>
      </c>
      <c r="B1277" t="s">
        <v>2995</v>
      </c>
      <c r="C1277">
        <v>170.24</v>
      </c>
      <c r="D1277" s="1">
        <v>45082.683472222219</v>
      </c>
      <c r="E1277" s="2">
        <f t="shared" si="76"/>
        <v>0.6834722222192795</v>
      </c>
      <c r="F1277" s="3">
        <f t="shared" si="77"/>
        <v>45082</v>
      </c>
      <c r="G1277" t="s">
        <v>17</v>
      </c>
      <c r="H1277" t="s">
        <v>212</v>
      </c>
      <c r="I1277" t="s">
        <v>798</v>
      </c>
      <c r="J1277" t="s">
        <v>2273</v>
      </c>
      <c r="K1277" t="s">
        <v>1345</v>
      </c>
      <c r="L1277" t="s">
        <v>69</v>
      </c>
      <c r="M1277">
        <v>62</v>
      </c>
      <c r="N1277" t="s">
        <v>70</v>
      </c>
      <c r="O1277">
        <v>133</v>
      </c>
      <c r="P1277">
        <v>1</v>
      </c>
      <c r="Q1277">
        <v>5172.99</v>
      </c>
      <c r="R1277" s="4">
        <v>45600</v>
      </c>
      <c r="S1277" s="6">
        <v>0.33893518518518517</v>
      </c>
      <c r="T1277">
        <f t="shared" si="78"/>
        <v>16</v>
      </c>
      <c r="U1277" t="str" cm="1">
        <f t="array" ref="U1277">_xlfn.IFS(M1277&lt;=34,"YOUNG",M1277&lt;=54,"MIDDLE AGE",M1277&gt;=55,"OLD")</f>
        <v>OLD</v>
      </c>
      <c r="V1277" t="str">
        <f t="shared" si="79"/>
        <v>NORMAL</v>
      </c>
    </row>
    <row r="1278" spans="1:22" x14ac:dyDescent="0.35">
      <c r="A1278" t="s">
        <v>2996</v>
      </c>
      <c r="B1278" t="s">
        <v>965</v>
      </c>
      <c r="C1278">
        <v>56.62</v>
      </c>
      <c r="D1278" s="1">
        <v>44984.749722222223</v>
      </c>
      <c r="E1278" s="2">
        <f t="shared" si="76"/>
        <v>0.74972222222277196</v>
      </c>
      <c r="F1278" s="3">
        <f t="shared" si="77"/>
        <v>44984</v>
      </c>
      <c r="G1278" t="s">
        <v>17</v>
      </c>
      <c r="H1278" t="s">
        <v>119</v>
      </c>
      <c r="I1278" t="s">
        <v>2997</v>
      </c>
      <c r="J1278" t="s">
        <v>2609</v>
      </c>
      <c r="K1278" t="s">
        <v>853</v>
      </c>
      <c r="L1278" t="s">
        <v>69</v>
      </c>
      <c r="M1278">
        <v>54</v>
      </c>
      <c r="N1278" t="s">
        <v>23</v>
      </c>
      <c r="O1278">
        <v>121</v>
      </c>
      <c r="P1278">
        <v>1</v>
      </c>
      <c r="Q1278">
        <v>8981.1</v>
      </c>
      <c r="R1278" s="4">
        <v>45600</v>
      </c>
      <c r="S1278" s="6">
        <v>0.33940972222222221</v>
      </c>
      <c r="T1278">
        <f t="shared" si="78"/>
        <v>17</v>
      </c>
      <c r="U1278" t="str" cm="1">
        <f t="array" ref="U1278">_xlfn.IFS(M1278&lt;=34,"YOUNG",M1278&lt;=54,"MIDDLE AGE",M1278&gt;=55,"OLD")</f>
        <v>MIDDLE AGE</v>
      </c>
      <c r="V1278" t="str">
        <f t="shared" si="79"/>
        <v>NORMAL</v>
      </c>
    </row>
    <row r="1279" spans="1:22" x14ac:dyDescent="0.35">
      <c r="A1279" t="s">
        <v>2998</v>
      </c>
      <c r="B1279" t="s">
        <v>1700</v>
      </c>
      <c r="C1279">
        <v>53.14</v>
      </c>
      <c r="D1279" s="1">
        <v>45037.722175925926</v>
      </c>
      <c r="E1279" s="2">
        <f t="shared" si="76"/>
        <v>0.72217592592642177</v>
      </c>
      <c r="F1279" s="3">
        <f t="shared" si="77"/>
        <v>45037</v>
      </c>
      <c r="G1279" t="s">
        <v>17</v>
      </c>
      <c r="H1279" t="s">
        <v>146</v>
      </c>
      <c r="I1279" t="s">
        <v>1924</v>
      </c>
      <c r="J1279" t="s">
        <v>2999</v>
      </c>
      <c r="K1279" t="s">
        <v>619</v>
      </c>
      <c r="L1279" t="s">
        <v>22</v>
      </c>
      <c r="M1279">
        <v>34</v>
      </c>
      <c r="N1279" t="s">
        <v>23</v>
      </c>
      <c r="O1279">
        <v>70</v>
      </c>
      <c r="P1279">
        <v>1</v>
      </c>
      <c r="Q1279">
        <v>7915</v>
      </c>
      <c r="R1279" s="4">
        <v>45600</v>
      </c>
      <c r="S1279" s="6">
        <v>0.33836805555555555</v>
      </c>
      <c r="T1279">
        <f t="shared" si="78"/>
        <v>17</v>
      </c>
      <c r="U1279" t="str" cm="1">
        <f t="array" ref="U1279">_xlfn.IFS(M1279&lt;=34,"YOUNG",M1279&lt;=54,"MIDDLE AGE",M1279&gt;=55,"OLD")</f>
        <v>YOUNG</v>
      </c>
      <c r="V1279" t="str">
        <f t="shared" si="79"/>
        <v>NORMAL</v>
      </c>
    </row>
    <row r="1280" spans="1:22" x14ac:dyDescent="0.35">
      <c r="A1280" t="s">
        <v>3000</v>
      </c>
      <c r="B1280" t="s">
        <v>2133</v>
      </c>
      <c r="C1280">
        <v>587.23</v>
      </c>
      <c r="D1280" s="1">
        <v>45138.746157407404</v>
      </c>
      <c r="E1280" s="2">
        <f t="shared" si="76"/>
        <v>0.74615740740409819</v>
      </c>
      <c r="F1280" s="3">
        <f t="shared" si="77"/>
        <v>45138</v>
      </c>
      <c r="G1280" t="s">
        <v>17</v>
      </c>
      <c r="H1280" t="s">
        <v>296</v>
      </c>
      <c r="I1280" t="s">
        <v>2773</v>
      </c>
      <c r="J1280" t="s">
        <v>1098</v>
      </c>
      <c r="K1280" t="s">
        <v>83</v>
      </c>
      <c r="L1280" t="s">
        <v>36</v>
      </c>
      <c r="M1280">
        <v>27</v>
      </c>
      <c r="N1280" t="s">
        <v>37</v>
      </c>
      <c r="O1280">
        <v>144</v>
      </c>
      <c r="P1280">
        <v>1</v>
      </c>
      <c r="Q1280">
        <v>500.84</v>
      </c>
      <c r="R1280" s="4">
        <v>45600</v>
      </c>
      <c r="S1280" s="6">
        <v>0.33982638888888889</v>
      </c>
      <c r="T1280">
        <f t="shared" si="78"/>
        <v>17</v>
      </c>
      <c r="U1280" t="str" cm="1">
        <f t="array" ref="U1280">_xlfn.IFS(M1280&lt;=34,"YOUNG",M1280&lt;=54,"MIDDLE AGE",M1280&gt;=55,"OLD")</f>
        <v>YOUNG</v>
      </c>
      <c r="V1280" t="str">
        <f t="shared" si="79"/>
        <v>NORMAL</v>
      </c>
    </row>
    <row r="1281" spans="1:22" x14ac:dyDescent="0.35">
      <c r="A1281" t="s">
        <v>3001</v>
      </c>
      <c r="B1281" t="s">
        <v>452</v>
      </c>
      <c r="C1281">
        <v>146.15</v>
      </c>
      <c r="D1281" s="1">
        <v>44932.744571759256</v>
      </c>
      <c r="E1281" s="2">
        <f t="shared" si="76"/>
        <v>0.74457175925635966</v>
      </c>
      <c r="F1281" s="3">
        <f t="shared" si="77"/>
        <v>44932</v>
      </c>
      <c r="G1281" t="s">
        <v>17</v>
      </c>
      <c r="H1281" t="s">
        <v>425</v>
      </c>
      <c r="I1281" t="s">
        <v>1148</v>
      </c>
      <c r="J1281" t="s">
        <v>1018</v>
      </c>
      <c r="K1281" t="s">
        <v>634</v>
      </c>
      <c r="L1281" t="s">
        <v>69</v>
      </c>
      <c r="M1281">
        <v>43</v>
      </c>
      <c r="N1281" t="s">
        <v>23</v>
      </c>
      <c r="O1281">
        <v>75</v>
      </c>
      <c r="P1281">
        <v>1</v>
      </c>
      <c r="Q1281">
        <v>13784.4</v>
      </c>
      <c r="R1281" s="4">
        <v>45600</v>
      </c>
      <c r="S1281" s="6">
        <v>0.33818287037037037</v>
      </c>
      <c r="T1281">
        <f t="shared" si="78"/>
        <v>17</v>
      </c>
      <c r="U1281" t="str" cm="1">
        <f t="array" ref="U1281">_xlfn.IFS(M1281&lt;=34,"YOUNG",M1281&lt;=54,"MIDDLE AGE",M1281&gt;=55,"OLD")</f>
        <v>MIDDLE AGE</v>
      </c>
      <c r="V1281" t="str">
        <f t="shared" si="79"/>
        <v>NORMAL</v>
      </c>
    </row>
    <row r="1282" spans="1:22" x14ac:dyDescent="0.35">
      <c r="A1282" t="s">
        <v>3002</v>
      </c>
      <c r="B1282" t="s">
        <v>1176</v>
      </c>
      <c r="C1282">
        <v>21.27</v>
      </c>
      <c r="D1282" s="1">
        <v>45131.709247685183</v>
      </c>
      <c r="E1282" s="2">
        <f t="shared" ref="E1282:E1345" si="80">D1282-INT(D1282)</f>
        <v>0.70924768518307246</v>
      </c>
      <c r="F1282" s="3">
        <f t="shared" ref="F1282:F1345" si="81">INT(D1282)</f>
        <v>45131</v>
      </c>
      <c r="G1282" t="s">
        <v>46</v>
      </c>
      <c r="H1282" t="s">
        <v>65</v>
      </c>
      <c r="I1282" t="s">
        <v>1510</v>
      </c>
      <c r="J1282" t="s">
        <v>1852</v>
      </c>
      <c r="K1282" t="s">
        <v>272</v>
      </c>
      <c r="L1282" t="s">
        <v>36</v>
      </c>
      <c r="M1282">
        <v>62</v>
      </c>
      <c r="N1282" t="s">
        <v>70</v>
      </c>
      <c r="O1282">
        <v>114</v>
      </c>
      <c r="P1282">
        <v>1</v>
      </c>
      <c r="Q1282">
        <v>7392.79</v>
      </c>
      <c r="R1282" s="4">
        <v>45600</v>
      </c>
      <c r="S1282" s="6">
        <v>0.34020833333333333</v>
      </c>
      <c r="T1282">
        <f t="shared" si="78"/>
        <v>17</v>
      </c>
      <c r="U1282" t="str" cm="1">
        <f t="array" ref="U1282">_xlfn.IFS(M1282&lt;=34,"YOUNG",M1282&lt;=54,"MIDDLE AGE",M1282&gt;=55,"OLD")</f>
        <v>OLD</v>
      </c>
      <c r="V1282" t="str">
        <f t="shared" si="79"/>
        <v>NORMAL</v>
      </c>
    </row>
    <row r="1283" spans="1:22" x14ac:dyDescent="0.35">
      <c r="A1283" t="s">
        <v>3003</v>
      </c>
      <c r="B1283" t="s">
        <v>16</v>
      </c>
      <c r="C1283">
        <v>1397.59</v>
      </c>
      <c r="D1283" s="1">
        <v>45243.727916666663</v>
      </c>
      <c r="E1283" s="2">
        <f t="shared" si="80"/>
        <v>0.72791666666307719</v>
      </c>
      <c r="F1283" s="3">
        <f t="shared" si="81"/>
        <v>45243</v>
      </c>
      <c r="G1283" t="s">
        <v>46</v>
      </c>
      <c r="H1283" t="s">
        <v>119</v>
      </c>
      <c r="I1283" t="s">
        <v>2106</v>
      </c>
      <c r="J1283" t="s">
        <v>3004</v>
      </c>
      <c r="K1283" t="s">
        <v>68</v>
      </c>
      <c r="L1283" t="s">
        <v>22</v>
      </c>
      <c r="M1283">
        <v>26</v>
      </c>
      <c r="N1283" t="s">
        <v>37</v>
      </c>
      <c r="O1283">
        <v>144</v>
      </c>
      <c r="P1283">
        <v>1</v>
      </c>
      <c r="Q1283">
        <v>1134.79</v>
      </c>
      <c r="R1283" s="4">
        <v>45600</v>
      </c>
      <c r="S1283" s="6">
        <v>0.33793981481481483</v>
      </c>
      <c r="T1283">
        <f t="shared" ref="T1283:T1346" si="82">HOUR(E1283)</f>
        <v>17</v>
      </c>
      <c r="U1283" t="str" cm="1">
        <f t="array" ref="U1283">_xlfn.IFS(M1283&lt;=34,"YOUNG",M1283&lt;=54,"MIDDLE AGE",M1283&gt;=55,"OLD")</f>
        <v>YOUNG</v>
      </c>
      <c r="V1283" t="str">
        <f t="shared" ref="V1283:V1346" si="83">IF(P1283&gt;1,"HIGH","NORMAL")</f>
        <v>NORMAL</v>
      </c>
    </row>
    <row r="1284" spans="1:22" x14ac:dyDescent="0.35">
      <c r="A1284" t="s">
        <v>3005</v>
      </c>
      <c r="B1284" t="s">
        <v>3006</v>
      </c>
      <c r="C1284">
        <v>76.02</v>
      </c>
      <c r="D1284" s="1">
        <v>45119.707141203704</v>
      </c>
      <c r="E1284" s="2">
        <f t="shared" si="80"/>
        <v>0.70714120370394085</v>
      </c>
      <c r="F1284" s="3">
        <f t="shared" si="81"/>
        <v>45119</v>
      </c>
      <c r="G1284" t="s">
        <v>46</v>
      </c>
      <c r="H1284" t="s">
        <v>86</v>
      </c>
      <c r="I1284" t="s">
        <v>2357</v>
      </c>
      <c r="J1284" t="s">
        <v>3007</v>
      </c>
      <c r="K1284" t="s">
        <v>343</v>
      </c>
      <c r="L1284" t="s">
        <v>36</v>
      </c>
      <c r="M1284">
        <v>34</v>
      </c>
      <c r="N1284" t="s">
        <v>23</v>
      </c>
      <c r="O1284">
        <v>189</v>
      </c>
      <c r="P1284">
        <v>1</v>
      </c>
      <c r="Q1284">
        <v>14765.41</v>
      </c>
      <c r="R1284" s="4">
        <v>45600</v>
      </c>
      <c r="S1284" s="6">
        <v>0.34156249999999999</v>
      </c>
      <c r="T1284">
        <f t="shared" si="82"/>
        <v>16</v>
      </c>
      <c r="U1284" t="str" cm="1">
        <f t="array" ref="U1284">_xlfn.IFS(M1284&lt;=34,"YOUNG",M1284&lt;=54,"MIDDLE AGE",M1284&gt;=55,"OLD")</f>
        <v>YOUNG</v>
      </c>
      <c r="V1284" t="str">
        <f t="shared" si="83"/>
        <v>NORMAL</v>
      </c>
    </row>
    <row r="1285" spans="1:22" x14ac:dyDescent="0.35">
      <c r="A1285" t="s">
        <v>3008</v>
      </c>
      <c r="B1285" t="s">
        <v>1385</v>
      </c>
      <c r="C1285">
        <v>170.19</v>
      </c>
      <c r="D1285" s="1">
        <v>45114.73678240741</v>
      </c>
      <c r="E1285" s="2">
        <f t="shared" si="80"/>
        <v>0.73678240740991896</v>
      </c>
      <c r="F1285" s="3">
        <f t="shared" si="81"/>
        <v>45114</v>
      </c>
      <c r="G1285" t="s">
        <v>46</v>
      </c>
      <c r="H1285" t="s">
        <v>140</v>
      </c>
      <c r="I1285" t="s">
        <v>2916</v>
      </c>
      <c r="J1285" t="s">
        <v>751</v>
      </c>
      <c r="K1285" t="s">
        <v>543</v>
      </c>
      <c r="L1285" t="s">
        <v>69</v>
      </c>
      <c r="M1285">
        <v>27</v>
      </c>
      <c r="N1285" t="s">
        <v>37</v>
      </c>
      <c r="O1285">
        <v>156</v>
      </c>
      <c r="P1285">
        <v>5</v>
      </c>
      <c r="Q1285">
        <v>745.87</v>
      </c>
      <c r="R1285" s="4">
        <v>45600</v>
      </c>
      <c r="S1285" s="6">
        <v>0.34185185185185185</v>
      </c>
      <c r="T1285">
        <f t="shared" si="82"/>
        <v>17</v>
      </c>
      <c r="U1285" t="str" cm="1">
        <f t="array" ref="U1285">_xlfn.IFS(M1285&lt;=34,"YOUNG",M1285&lt;=54,"MIDDLE AGE",M1285&gt;=55,"OLD")</f>
        <v>YOUNG</v>
      </c>
      <c r="V1285" t="str">
        <f t="shared" si="83"/>
        <v>HIGH</v>
      </c>
    </row>
    <row r="1286" spans="1:22" x14ac:dyDescent="0.35">
      <c r="A1286" t="s">
        <v>3009</v>
      </c>
      <c r="B1286" t="s">
        <v>1736</v>
      </c>
      <c r="C1286">
        <v>155.51</v>
      </c>
      <c r="D1286" s="1">
        <v>45159.785486111112</v>
      </c>
      <c r="E1286" s="2">
        <f t="shared" si="80"/>
        <v>0.78548611111182254</v>
      </c>
      <c r="F1286" s="3">
        <f t="shared" si="81"/>
        <v>45159</v>
      </c>
      <c r="G1286" t="s">
        <v>17</v>
      </c>
      <c r="H1286" t="s">
        <v>40</v>
      </c>
      <c r="I1286" t="s">
        <v>1429</v>
      </c>
      <c r="J1286" t="s">
        <v>1467</v>
      </c>
      <c r="K1286" t="s">
        <v>427</v>
      </c>
      <c r="L1286" t="s">
        <v>22</v>
      </c>
      <c r="M1286">
        <v>68</v>
      </c>
      <c r="N1286" t="s">
        <v>23</v>
      </c>
      <c r="O1286">
        <v>15</v>
      </c>
      <c r="P1286">
        <v>1</v>
      </c>
      <c r="Q1286">
        <v>5360.19</v>
      </c>
      <c r="R1286" s="4">
        <v>45600</v>
      </c>
      <c r="S1286" s="6">
        <v>0.33915509259259258</v>
      </c>
      <c r="T1286">
        <f t="shared" si="82"/>
        <v>18</v>
      </c>
      <c r="U1286" t="str" cm="1">
        <f t="array" ref="U1286">_xlfn.IFS(M1286&lt;=34,"YOUNG",M1286&lt;=54,"MIDDLE AGE",M1286&gt;=55,"OLD")</f>
        <v>OLD</v>
      </c>
      <c r="V1286" t="str">
        <f t="shared" si="83"/>
        <v>NORMAL</v>
      </c>
    </row>
    <row r="1287" spans="1:22" x14ac:dyDescent="0.35">
      <c r="A1287" t="s">
        <v>3010</v>
      </c>
      <c r="B1287" t="s">
        <v>2297</v>
      </c>
      <c r="C1287">
        <v>135.15</v>
      </c>
      <c r="D1287" s="1">
        <v>45005.717465277776</v>
      </c>
      <c r="E1287" s="2">
        <f t="shared" si="80"/>
        <v>0.71746527777577285</v>
      </c>
      <c r="F1287" s="3">
        <f t="shared" si="81"/>
        <v>45005</v>
      </c>
      <c r="G1287" t="s">
        <v>17</v>
      </c>
      <c r="H1287" t="s">
        <v>521</v>
      </c>
      <c r="I1287" t="s">
        <v>3011</v>
      </c>
      <c r="J1287" t="s">
        <v>261</v>
      </c>
      <c r="K1287" t="s">
        <v>740</v>
      </c>
      <c r="L1287" t="s">
        <v>36</v>
      </c>
      <c r="M1287">
        <v>72</v>
      </c>
      <c r="N1287" t="s">
        <v>70</v>
      </c>
      <c r="O1287">
        <v>50</v>
      </c>
      <c r="P1287">
        <v>1</v>
      </c>
      <c r="Q1287">
        <v>5878.14</v>
      </c>
      <c r="R1287" s="4">
        <v>45600</v>
      </c>
      <c r="S1287" s="6">
        <v>0.34070601851851851</v>
      </c>
      <c r="T1287">
        <f t="shared" si="82"/>
        <v>17</v>
      </c>
      <c r="U1287" t="str" cm="1">
        <f t="array" ref="U1287">_xlfn.IFS(M1287&lt;=34,"YOUNG",M1287&lt;=54,"MIDDLE AGE",M1287&gt;=55,"OLD")</f>
        <v>OLD</v>
      </c>
      <c r="V1287" t="str">
        <f t="shared" si="83"/>
        <v>NORMAL</v>
      </c>
    </row>
    <row r="1288" spans="1:22" x14ac:dyDescent="0.35">
      <c r="A1288" t="s">
        <v>3012</v>
      </c>
      <c r="B1288" t="s">
        <v>801</v>
      </c>
      <c r="C1288">
        <v>39.479999999999997</v>
      </c>
      <c r="D1288" s="1">
        <v>45072.699895833335</v>
      </c>
      <c r="E1288" s="2">
        <f t="shared" si="80"/>
        <v>0.69989583333517658</v>
      </c>
      <c r="F1288" s="3">
        <f t="shared" si="81"/>
        <v>45072</v>
      </c>
      <c r="G1288" t="s">
        <v>17</v>
      </c>
      <c r="H1288" t="s">
        <v>296</v>
      </c>
      <c r="I1288" t="s">
        <v>365</v>
      </c>
      <c r="J1288" t="s">
        <v>185</v>
      </c>
      <c r="K1288" t="s">
        <v>111</v>
      </c>
      <c r="L1288" t="s">
        <v>22</v>
      </c>
      <c r="M1288">
        <v>56</v>
      </c>
      <c r="N1288" t="s">
        <v>70</v>
      </c>
      <c r="O1288">
        <v>38</v>
      </c>
      <c r="P1288">
        <v>1</v>
      </c>
      <c r="Q1288">
        <v>5889.51</v>
      </c>
      <c r="R1288" s="4">
        <v>45600</v>
      </c>
      <c r="S1288" s="6">
        <v>0.34155092592592595</v>
      </c>
      <c r="T1288">
        <f t="shared" si="82"/>
        <v>16</v>
      </c>
      <c r="U1288" t="str" cm="1">
        <f t="array" ref="U1288">_xlfn.IFS(M1288&lt;=34,"YOUNG",M1288&lt;=54,"MIDDLE AGE",M1288&gt;=55,"OLD")</f>
        <v>OLD</v>
      </c>
      <c r="V1288" t="str">
        <f t="shared" si="83"/>
        <v>NORMAL</v>
      </c>
    </row>
    <row r="1289" spans="1:22" x14ac:dyDescent="0.35">
      <c r="A1289" t="s">
        <v>3013</v>
      </c>
      <c r="B1289" t="s">
        <v>1327</v>
      </c>
      <c r="C1289">
        <v>451.68</v>
      </c>
      <c r="D1289" s="1">
        <v>45034.788564814815</v>
      </c>
      <c r="E1289" s="2">
        <f t="shared" si="80"/>
        <v>0.78856481481489027</v>
      </c>
      <c r="F1289" s="3">
        <f t="shared" si="81"/>
        <v>45034</v>
      </c>
      <c r="G1289" t="s">
        <v>17</v>
      </c>
      <c r="H1289" t="s">
        <v>26</v>
      </c>
      <c r="I1289" t="s">
        <v>1379</v>
      </c>
      <c r="J1289" t="s">
        <v>699</v>
      </c>
      <c r="K1289" t="s">
        <v>831</v>
      </c>
      <c r="L1289" t="s">
        <v>36</v>
      </c>
      <c r="M1289">
        <v>33</v>
      </c>
      <c r="N1289" t="s">
        <v>77</v>
      </c>
      <c r="O1289">
        <v>15</v>
      </c>
      <c r="P1289">
        <v>1</v>
      </c>
      <c r="Q1289">
        <v>4381.54</v>
      </c>
      <c r="R1289" s="4">
        <v>45600</v>
      </c>
      <c r="S1289" s="6">
        <v>0.34017361111111111</v>
      </c>
      <c r="T1289">
        <f t="shared" si="82"/>
        <v>18</v>
      </c>
      <c r="U1289" t="str" cm="1">
        <f t="array" ref="U1289">_xlfn.IFS(M1289&lt;=34,"YOUNG",M1289&lt;=54,"MIDDLE AGE",M1289&gt;=55,"OLD")</f>
        <v>YOUNG</v>
      </c>
      <c r="V1289" t="str">
        <f t="shared" si="83"/>
        <v>NORMAL</v>
      </c>
    </row>
    <row r="1290" spans="1:22" x14ac:dyDescent="0.35">
      <c r="A1290" t="s">
        <v>3014</v>
      </c>
      <c r="B1290" t="s">
        <v>561</v>
      </c>
      <c r="C1290">
        <v>19.11</v>
      </c>
      <c r="D1290" s="1">
        <v>45187.68822916667</v>
      </c>
      <c r="E1290" s="2">
        <f t="shared" si="80"/>
        <v>0.68822916666977108</v>
      </c>
      <c r="F1290" s="3">
        <f t="shared" si="81"/>
        <v>45187</v>
      </c>
      <c r="G1290" t="s">
        <v>46</v>
      </c>
      <c r="H1290" t="s">
        <v>521</v>
      </c>
      <c r="I1290" t="s">
        <v>1774</v>
      </c>
      <c r="J1290" t="s">
        <v>1007</v>
      </c>
      <c r="K1290" t="s">
        <v>83</v>
      </c>
      <c r="L1290" t="s">
        <v>36</v>
      </c>
      <c r="M1290">
        <v>49</v>
      </c>
      <c r="N1290" t="s">
        <v>77</v>
      </c>
      <c r="O1290">
        <v>160</v>
      </c>
      <c r="P1290">
        <v>1</v>
      </c>
      <c r="Q1290">
        <v>8478.4599999999991</v>
      </c>
      <c r="R1290" s="4">
        <v>45600</v>
      </c>
      <c r="S1290" s="6">
        <v>0.34149305555555554</v>
      </c>
      <c r="T1290">
        <f t="shared" si="82"/>
        <v>16</v>
      </c>
      <c r="U1290" t="str" cm="1">
        <f t="array" ref="U1290">_xlfn.IFS(M1290&lt;=34,"YOUNG",M1290&lt;=54,"MIDDLE AGE",M1290&gt;=55,"OLD")</f>
        <v>MIDDLE AGE</v>
      </c>
      <c r="V1290" t="str">
        <f t="shared" si="83"/>
        <v>NORMAL</v>
      </c>
    </row>
    <row r="1291" spans="1:22" x14ac:dyDescent="0.35">
      <c r="A1291" t="s">
        <v>3015</v>
      </c>
      <c r="B1291" t="s">
        <v>3016</v>
      </c>
      <c r="C1291">
        <v>355</v>
      </c>
      <c r="D1291" s="1">
        <v>45167.701585648145</v>
      </c>
      <c r="E1291" s="2">
        <f t="shared" si="80"/>
        <v>0.70158564814482816</v>
      </c>
      <c r="F1291" s="3">
        <f t="shared" si="81"/>
        <v>45167</v>
      </c>
      <c r="G1291" t="s">
        <v>46</v>
      </c>
      <c r="H1291" t="s">
        <v>157</v>
      </c>
      <c r="I1291" t="s">
        <v>626</v>
      </c>
      <c r="J1291" t="s">
        <v>2510</v>
      </c>
      <c r="K1291" t="s">
        <v>200</v>
      </c>
      <c r="L1291" t="s">
        <v>36</v>
      </c>
      <c r="M1291">
        <v>26</v>
      </c>
      <c r="N1291" t="s">
        <v>37</v>
      </c>
      <c r="O1291">
        <v>33</v>
      </c>
      <c r="P1291">
        <v>1</v>
      </c>
      <c r="Q1291">
        <v>185.47</v>
      </c>
      <c r="R1291" s="4">
        <v>45600</v>
      </c>
      <c r="S1291" s="6">
        <v>0.34067129629629628</v>
      </c>
      <c r="T1291">
        <f t="shared" si="82"/>
        <v>16</v>
      </c>
      <c r="U1291" t="str" cm="1">
        <f t="array" ref="U1291">_xlfn.IFS(M1291&lt;=34,"YOUNG",M1291&lt;=54,"MIDDLE AGE",M1291&gt;=55,"OLD")</f>
        <v>YOUNG</v>
      </c>
      <c r="V1291" t="str">
        <f t="shared" si="83"/>
        <v>NORMAL</v>
      </c>
    </row>
    <row r="1292" spans="1:22" x14ac:dyDescent="0.35">
      <c r="A1292" t="s">
        <v>3017</v>
      </c>
      <c r="B1292" t="s">
        <v>525</v>
      </c>
      <c r="C1292">
        <v>427.69</v>
      </c>
      <c r="D1292" s="1">
        <v>45013.668090277781</v>
      </c>
      <c r="E1292" s="2">
        <f t="shared" si="80"/>
        <v>0.6680902777807205</v>
      </c>
      <c r="F1292" s="3">
        <f t="shared" si="81"/>
        <v>45013</v>
      </c>
      <c r="G1292" t="s">
        <v>17</v>
      </c>
      <c r="H1292" t="s">
        <v>40</v>
      </c>
      <c r="I1292" t="s">
        <v>2824</v>
      </c>
      <c r="J1292" t="s">
        <v>75</v>
      </c>
      <c r="K1292" t="s">
        <v>769</v>
      </c>
      <c r="L1292" t="s">
        <v>22</v>
      </c>
      <c r="M1292">
        <v>43</v>
      </c>
      <c r="N1292" t="s">
        <v>77</v>
      </c>
      <c r="O1292">
        <v>236</v>
      </c>
      <c r="P1292">
        <v>1</v>
      </c>
      <c r="Q1292">
        <v>2443.54</v>
      </c>
      <c r="R1292" s="4">
        <v>45600</v>
      </c>
      <c r="S1292" s="6">
        <v>0.34158564814814812</v>
      </c>
      <c r="T1292">
        <f t="shared" si="82"/>
        <v>16</v>
      </c>
      <c r="U1292" t="str" cm="1">
        <f t="array" ref="U1292">_xlfn.IFS(M1292&lt;=34,"YOUNG",M1292&lt;=54,"MIDDLE AGE",M1292&gt;=55,"OLD")</f>
        <v>MIDDLE AGE</v>
      </c>
      <c r="V1292" t="str">
        <f t="shared" si="83"/>
        <v>NORMAL</v>
      </c>
    </row>
    <row r="1293" spans="1:22" x14ac:dyDescent="0.35">
      <c r="A1293" t="s">
        <v>3018</v>
      </c>
      <c r="B1293" t="s">
        <v>716</v>
      </c>
      <c r="C1293">
        <v>254.86</v>
      </c>
      <c r="D1293" s="1">
        <v>44952.723449074074</v>
      </c>
      <c r="E1293" s="2">
        <f t="shared" si="80"/>
        <v>0.72344907407386927</v>
      </c>
      <c r="F1293" s="3">
        <f t="shared" si="81"/>
        <v>44952</v>
      </c>
      <c r="G1293" t="s">
        <v>17</v>
      </c>
      <c r="H1293" t="s">
        <v>388</v>
      </c>
      <c r="I1293" t="s">
        <v>3019</v>
      </c>
      <c r="J1293" t="s">
        <v>1523</v>
      </c>
      <c r="K1293" t="s">
        <v>759</v>
      </c>
      <c r="L1293" t="s">
        <v>69</v>
      </c>
      <c r="M1293">
        <v>23</v>
      </c>
      <c r="N1293" t="s">
        <v>37</v>
      </c>
      <c r="O1293">
        <v>102</v>
      </c>
      <c r="P1293">
        <v>1</v>
      </c>
      <c r="Q1293">
        <v>699.9</v>
      </c>
      <c r="R1293" s="4">
        <v>45600</v>
      </c>
      <c r="S1293" s="6">
        <v>0.34142361111111114</v>
      </c>
      <c r="T1293">
        <f t="shared" si="82"/>
        <v>17</v>
      </c>
      <c r="U1293" t="str" cm="1">
        <f t="array" ref="U1293">_xlfn.IFS(M1293&lt;=34,"YOUNG",M1293&lt;=54,"MIDDLE AGE",M1293&gt;=55,"OLD")</f>
        <v>YOUNG</v>
      </c>
      <c r="V1293" t="str">
        <f t="shared" si="83"/>
        <v>NORMAL</v>
      </c>
    </row>
    <row r="1294" spans="1:22" x14ac:dyDescent="0.35">
      <c r="A1294" t="s">
        <v>3020</v>
      </c>
      <c r="B1294" t="s">
        <v>1765</v>
      </c>
      <c r="C1294">
        <v>19.48</v>
      </c>
      <c r="D1294" s="1">
        <v>45117.667395833334</v>
      </c>
      <c r="E1294" s="2">
        <f t="shared" si="80"/>
        <v>0.66739583333401242</v>
      </c>
      <c r="F1294" s="3">
        <f t="shared" si="81"/>
        <v>45117</v>
      </c>
      <c r="G1294" t="s">
        <v>17</v>
      </c>
      <c r="H1294" t="s">
        <v>323</v>
      </c>
      <c r="I1294" t="s">
        <v>2170</v>
      </c>
      <c r="J1294" t="s">
        <v>1669</v>
      </c>
      <c r="K1294" t="s">
        <v>43</v>
      </c>
      <c r="L1294" t="s">
        <v>22</v>
      </c>
      <c r="M1294">
        <v>27</v>
      </c>
      <c r="N1294" t="s">
        <v>77</v>
      </c>
      <c r="O1294">
        <v>114</v>
      </c>
      <c r="P1294">
        <v>1</v>
      </c>
      <c r="Q1294">
        <v>4739.59</v>
      </c>
      <c r="R1294" s="4">
        <v>45600</v>
      </c>
      <c r="S1294" s="6">
        <v>0.3394212962962963</v>
      </c>
      <c r="T1294">
        <f t="shared" si="82"/>
        <v>16</v>
      </c>
      <c r="U1294" t="str" cm="1">
        <f t="array" ref="U1294">_xlfn.IFS(M1294&lt;=34,"YOUNG",M1294&lt;=54,"MIDDLE AGE",M1294&gt;=55,"OLD")</f>
        <v>YOUNG</v>
      </c>
      <c r="V1294" t="str">
        <f t="shared" si="83"/>
        <v>NORMAL</v>
      </c>
    </row>
    <row r="1295" spans="1:22" x14ac:dyDescent="0.35">
      <c r="A1295" t="s">
        <v>3021</v>
      </c>
      <c r="B1295" t="s">
        <v>1221</v>
      </c>
      <c r="C1295">
        <v>190.17</v>
      </c>
      <c r="D1295" s="1">
        <v>45086.736956018518</v>
      </c>
      <c r="E1295" s="2">
        <f t="shared" si="80"/>
        <v>0.736956018517958</v>
      </c>
      <c r="F1295" s="3">
        <f t="shared" si="81"/>
        <v>45086</v>
      </c>
      <c r="G1295" t="s">
        <v>17</v>
      </c>
      <c r="H1295" t="s">
        <v>197</v>
      </c>
      <c r="I1295" t="s">
        <v>1947</v>
      </c>
      <c r="J1295" t="s">
        <v>3022</v>
      </c>
      <c r="K1295" t="s">
        <v>169</v>
      </c>
      <c r="L1295" t="s">
        <v>22</v>
      </c>
      <c r="M1295">
        <v>49</v>
      </c>
      <c r="N1295" t="s">
        <v>23</v>
      </c>
      <c r="O1295">
        <v>265</v>
      </c>
      <c r="P1295">
        <v>1</v>
      </c>
      <c r="Q1295">
        <v>12893.85</v>
      </c>
      <c r="R1295" s="4">
        <v>45600</v>
      </c>
      <c r="S1295" s="6">
        <v>0.33944444444444444</v>
      </c>
      <c r="T1295">
        <f t="shared" si="82"/>
        <v>17</v>
      </c>
      <c r="U1295" t="str" cm="1">
        <f t="array" ref="U1295">_xlfn.IFS(M1295&lt;=34,"YOUNG",M1295&lt;=54,"MIDDLE AGE",M1295&gt;=55,"OLD")</f>
        <v>MIDDLE AGE</v>
      </c>
      <c r="V1295" t="str">
        <f t="shared" si="83"/>
        <v>NORMAL</v>
      </c>
    </row>
    <row r="1296" spans="1:22" x14ac:dyDescent="0.35">
      <c r="A1296" t="s">
        <v>3023</v>
      </c>
      <c r="B1296" t="s">
        <v>1620</v>
      </c>
      <c r="C1296">
        <v>91.38</v>
      </c>
      <c r="D1296" s="1">
        <v>45019.69568287037</v>
      </c>
      <c r="E1296" s="2">
        <f t="shared" si="80"/>
        <v>0.69568287036963739</v>
      </c>
      <c r="F1296" s="3">
        <f t="shared" si="81"/>
        <v>45019</v>
      </c>
      <c r="G1296" t="s">
        <v>17</v>
      </c>
      <c r="H1296" t="s">
        <v>392</v>
      </c>
      <c r="I1296" t="s">
        <v>998</v>
      </c>
      <c r="J1296" t="s">
        <v>673</v>
      </c>
      <c r="K1296" t="s">
        <v>759</v>
      </c>
      <c r="L1296" t="s">
        <v>22</v>
      </c>
      <c r="M1296">
        <v>65</v>
      </c>
      <c r="N1296" t="s">
        <v>70</v>
      </c>
      <c r="O1296">
        <v>179</v>
      </c>
      <c r="P1296">
        <v>1</v>
      </c>
      <c r="Q1296">
        <v>2402.58</v>
      </c>
      <c r="R1296" s="4">
        <v>45600</v>
      </c>
      <c r="S1296" s="6">
        <v>0.33795138888888887</v>
      </c>
      <c r="T1296">
        <f t="shared" si="82"/>
        <v>16</v>
      </c>
      <c r="U1296" t="str" cm="1">
        <f t="array" ref="U1296">_xlfn.IFS(M1296&lt;=34,"YOUNG",M1296&lt;=54,"MIDDLE AGE",M1296&gt;=55,"OLD")</f>
        <v>OLD</v>
      </c>
      <c r="V1296" t="str">
        <f t="shared" si="83"/>
        <v>NORMAL</v>
      </c>
    </row>
    <row r="1297" spans="1:22" x14ac:dyDescent="0.35">
      <c r="A1297" t="s">
        <v>3024</v>
      </c>
      <c r="B1297" t="s">
        <v>777</v>
      </c>
      <c r="C1297">
        <v>206.63</v>
      </c>
      <c r="D1297" s="1">
        <v>45267.674317129633</v>
      </c>
      <c r="E1297" s="2">
        <f t="shared" si="80"/>
        <v>0.67431712963298196</v>
      </c>
      <c r="F1297" s="3">
        <f t="shared" si="81"/>
        <v>45267</v>
      </c>
      <c r="G1297" t="s">
        <v>46</v>
      </c>
      <c r="H1297" t="s">
        <v>53</v>
      </c>
      <c r="I1297" t="s">
        <v>3025</v>
      </c>
      <c r="J1297" t="s">
        <v>1960</v>
      </c>
      <c r="K1297" t="s">
        <v>282</v>
      </c>
      <c r="L1297" t="s">
        <v>36</v>
      </c>
      <c r="M1297">
        <v>59</v>
      </c>
      <c r="N1297" t="s">
        <v>70</v>
      </c>
      <c r="O1297">
        <v>128</v>
      </c>
      <c r="P1297">
        <v>1</v>
      </c>
      <c r="Q1297">
        <v>7626.53</v>
      </c>
      <c r="R1297" s="4">
        <v>45600</v>
      </c>
      <c r="S1297" s="6">
        <v>0.34076388888888887</v>
      </c>
      <c r="T1297">
        <f t="shared" si="82"/>
        <v>16</v>
      </c>
      <c r="U1297" t="str" cm="1">
        <f t="array" ref="U1297">_xlfn.IFS(M1297&lt;=34,"YOUNG",M1297&lt;=54,"MIDDLE AGE",M1297&gt;=55,"OLD")</f>
        <v>OLD</v>
      </c>
      <c r="V1297" t="str">
        <f t="shared" si="83"/>
        <v>NORMAL</v>
      </c>
    </row>
    <row r="1298" spans="1:22" x14ac:dyDescent="0.35">
      <c r="A1298" t="s">
        <v>3026</v>
      </c>
      <c r="B1298" t="s">
        <v>39</v>
      </c>
      <c r="C1298">
        <v>93.22</v>
      </c>
      <c r="D1298" s="1">
        <v>45023.716377314813</v>
      </c>
      <c r="E1298" s="2">
        <f t="shared" si="80"/>
        <v>0.71637731481314404</v>
      </c>
      <c r="F1298" s="3">
        <f t="shared" si="81"/>
        <v>45023</v>
      </c>
      <c r="G1298" t="s">
        <v>17</v>
      </c>
      <c r="H1298" t="s">
        <v>249</v>
      </c>
      <c r="I1298" t="s">
        <v>1526</v>
      </c>
      <c r="J1298" t="s">
        <v>1348</v>
      </c>
      <c r="K1298" t="s">
        <v>95</v>
      </c>
      <c r="L1298" t="s">
        <v>36</v>
      </c>
      <c r="M1298">
        <v>52</v>
      </c>
      <c r="N1298" t="s">
        <v>70</v>
      </c>
      <c r="O1298">
        <v>52</v>
      </c>
      <c r="P1298">
        <v>1</v>
      </c>
      <c r="Q1298">
        <v>1014.63</v>
      </c>
      <c r="R1298" s="4">
        <v>45600</v>
      </c>
      <c r="S1298" s="6">
        <v>0.34005787037037039</v>
      </c>
      <c r="T1298">
        <f t="shared" si="82"/>
        <v>17</v>
      </c>
      <c r="U1298" t="str" cm="1">
        <f t="array" ref="U1298">_xlfn.IFS(M1298&lt;=34,"YOUNG",M1298&lt;=54,"MIDDLE AGE",M1298&gt;=55,"OLD")</f>
        <v>MIDDLE AGE</v>
      </c>
      <c r="V1298" t="str">
        <f t="shared" si="83"/>
        <v>NORMAL</v>
      </c>
    </row>
    <row r="1299" spans="1:22" x14ac:dyDescent="0.35">
      <c r="A1299" t="s">
        <v>3027</v>
      </c>
      <c r="B1299" t="s">
        <v>716</v>
      </c>
      <c r="C1299">
        <v>547.98</v>
      </c>
      <c r="D1299" s="1">
        <v>45223.711793981478</v>
      </c>
      <c r="E1299" s="2">
        <f t="shared" si="80"/>
        <v>0.71179398147796746</v>
      </c>
      <c r="F1299" s="3">
        <f t="shared" si="81"/>
        <v>45223</v>
      </c>
      <c r="G1299" t="s">
        <v>17</v>
      </c>
      <c r="H1299" t="s">
        <v>53</v>
      </c>
      <c r="I1299" t="s">
        <v>1731</v>
      </c>
      <c r="J1299" t="s">
        <v>591</v>
      </c>
      <c r="K1299" t="s">
        <v>272</v>
      </c>
      <c r="L1299" t="s">
        <v>22</v>
      </c>
      <c r="M1299">
        <v>28</v>
      </c>
      <c r="N1299" t="s">
        <v>37</v>
      </c>
      <c r="O1299">
        <v>171</v>
      </c>
      <c r="P1299">
        <v>1</v>
      </c>
      <c r="Q1299">
        <v>1358.54</v>
      </c>
      <c r="R1299" s="4">
        <v>45600</v>
      </c>
      <c r="S1299" s="6">
        <v>0.33980324074074075</v>
      </c>
      <c r="T1299">
        <f t="shared" si="82"/>
        <v>17</v>
      </c>
      <c r="U1299" t="str" cm="1">
        <f t="array" ref="U1299">_xlfn.IFS(M1299&lt;=34,"YOUNG",M1299&lt;=54,"MIDDLE AGE",M1299&gt;=55,"OLD")</f>
        <v>YOUNG</v>
      </c>
      <c r="V1299" t="str">
        <f t="shared" si="83"/>
        <v>NORMAL</v>
      </c>
    </row>
    <row r="1300" spans="1:22" x14ac:dyDescent="0.35">
      <c r="A1300" t="s">
        <v>3028</v>
      </c>
      <c r="B1300" t="s">
        <v>202</v>
      </c>
      <c r="C1300">
        <v>641.05999999999995</v>
      </c>
      <c r="D1300" s="1">
        <v>45271.673009259262</v>
      </c>
      <c r="E1300" s="2">
        <f t="shared" si="80"/>
        <v>0.67300925926247146</v>
      </c>
      <c r="F1300" s="3">
        <f t="shared" si="81"/>
        <v>45271</v>
      </c>
      <c r="G1300" t="s">
        <v>17</v>
      </c>
      <c r="H1300" t="s">
        <v>521</v>
      </c>
      <c r="I1300" t="s">
        <v>2654</v>
      </c>
      <c r="J1300" t="s">
        <v>2738</v>
      </c>
      <c r="K1300" t="s">
        <v>514</v>
      </c>
      <c r="L1300" t="s">
        <v>22</v>
      </c>
      <c r="M1300">
        <v>23</v>
      </c>
      <c r="N1300" t="s">
        <v>37</v>
      </c>
      <c r="O1300">
        <v>25</v>
      </c>
      <c r="P1300">
        <v>1</v>
      </c>
      <c r="Q1300">
        <v>1602.13</v>
      </c>
      <c r="R1300" s="4">
        <v>45600</v>
      </c>
      <c r="S1300" s="6">
        <v>0.3384375</v>
      </c>
      <c r="T1300">
        <f t="shared" si="82"/>
        <v>16</v>
      </c>
      <c r="U1300" t="str" cm="1">
        <f t="array" ref="U1300">_xlfn.IFS(M1300&lt;=34,"YOUNG",M1300&lt;=54,"MIDDLE AGE",M1300&gt;=55,"OLD")</f>
        <v>YOUNG</v>
      </c>
      <c r="V1300" t="str">
        <f t="shared" si="83"/>
        <v>NORMAL</v>
      </c>
    </row>
    <row r="1301" spans="1:22" x14ac:dyDescent="0.35">
      <c r="A1301" t="s">
        <v>3029</v>
      </c>
      <c r="B1301" t="s">
        <v>1027</v>
      </c>
      <c r="C1301">
        <v>314.55</v>
      </c>
      <c r="D1301" s="1">
        <v>45041.7190625</v>
      </c>
      <c r="E1301" s="2">
        <f t="shared" si="80"/>
        <v>0.71906250000029104</v>
      </c>
      <c r="F1301" s="3">
        <f t="shared" si="81"/>
        <v>45041</v>
      </c>
      <c r="G1301" t="s">
        <v>46</v>
      </c>
      <c r="H1301" t="s">
        <v>323</v>
      </c>
      <c r="I1301" t="s">
        <v>2290</v>
      </c>
      <c r="J1301" t="s">
        <v>897</v>
      </c>
      <c r="K1301" t="s">
        <v>353</v>
      </c>
      <c r="L1301" t="s">
        <v>69</v>
      </c>
      <c r="M1301">
        <v>27</v>
      </c>
      <c r="N1301" t="s">
        <v>37</v>
      </c>
      <c r="O1301">
        <v>19</v>
      </c>
      <c r="P1301">
        <v>2</v>
      </c>
      <c r="Q1301">
        <v>1105.8900000000001</v>
      </c>
      <c r="R1301" s="4">
        <v>45600</v>
      </c>
      <c r="S1301" s="6">
        <v>0.33837962962962964</v>
      </c>
      <c r="T1301">
        <f t="shared" si="82"/>
        <v>17</v>
      </c>
      <c r="U1301" t="str" cm="1">
        <f t="array" ref="U1301">_xlfn.IFS(M1301&lt;=34,"YOUNG",M1301&lt;=54,"MIDDLE AGE",M1301&gt;=55,"OLD")</f>
        <v>YOUNG</v>
      </c>
      <c r="V1301" t="str">
        <f t="shared" si="83"/>
        <v>HIGH</v>
      </c>
    </row>
    <row r="1302" spans="1:22" x14ac:dyDescent="0.35">
      <c r="A1302" t="s">
        <v>3030</v>
      </c>
      <c r="B1302" t="s">
        <v>2053</v>
      </c>
      <c r="C1302">
        <v>836.45</v>
      </c>
      <c r="D1302" s="1">
        <v>44984.668055555558</v>
      </c>
      <c r="E1302" s="2">
        <f t="shared" si="80"/>
        <v>0.6680555555576575</v>
      </c>
      <c r="F1302" s="3">
        <f t="shared" si="81"/>
        <v>44984</v>
      </c>
      <c r="G1302" t="s">
        <v>17</v>
      </c>
      <c r="H1302" t="s">
        <v>301</v>
      </c>
      <c r="I1302" t="s">
        <v>1800</v>
      </c>
      <c r="J1302" t="s">
        <v>2588</v>
      </c>
      <c r="K1302" t="s">
        <v>169</v>
      </c>
      <c r="L1302" t="s">
        <v>36</v>
      </c>
      <c r="M1302">
        <v>61</v>
      </c>
      <c r="N1302" t="s">
        <v>70</v>
      </c>
      <c r="O1302">
        <v>63</v>
      </c>
      <c r="P1302">
        <v>1</v>
      </c>
      <c r="Q1302">
        <v>1731.89</v>
      </c>
      <c r="R1302" s="4">
        <v>45600</v>
      </c>
      <c r="S1302" s="6">
        <v>0.34180555555555553</v>
      </c>
      <c r="T1302">
        <f t="shared" si="82"/>
        <v>16</v>
      </c>
      <c r="U1302" t="str" cm="1">
        <f t="array" ref="U1302">_xlfn.IFS(M1302&lt;=34,"YOUNG",M1302&lt;=54,"MIDDLE AGE",M1302&gt;=55,"OLD")</f>
        <v>OLD</v>
      </c>
      <c r="V1302" t="str">
        <f t="shared" si="83"/>
        <v>NORMAL</v>
      </c>
    </row>
    <row r="1303" spans="1:22" x14ac:dyDescent="0.35">
      <c r="A1303" t="s">
        <v>3031</v>
      </c>
      <c r="B1303" t="s">
        <v>569</v>
      </c>
      <c r="C1303">
        <v>1095.0899999999999</v>
      </c>
      <c r="D1303" s="1">
        <v>45033.727256944447</v>
      </c>
      <c r="E1303" s="2">
        <f t="shared" si="80"/>
        <v>0.72725694444670808</v>
      </c>
      <c r="F1303" s="3">
        <f t="shared" si="81"/>
        <v>45033</v>
      </c>
      <c r="G1303" t="s">
        <v>17</v>
      </c>
      <c r="H1303" t="s">
        <v>212</v>
      </c>
      <c r="I1303" t="s">
        <v>250</v>
      </c>
      <c r="J1303" t="s">
        <v>3032</v>
      </c>
      <c r="K1303" t="s">
        <v>592</v>
      </c>
      <c r="L1303" t="s">
        <v>22</v>
      </c>
      <c r="M1303">
        <v>29</v>
      </c>
      <c r="N1303" t="s">
        <v>77</v>
      </c>
      <c r="O1303">
        <v>52</v>
      </c>
      <c r="P1303">
        <v>1</v>
      </c>
      <c r="Q1303">
        <v>8692.4699999999993</v>
      </c>
      <c r="R1303" s="4">
        <v>45600</v>
      </c>
      <c r="S1303" s="6">
        <v>0.34163194444444445</v>
      </c>
      <c r="T1303">
        <f t="shared" si="82"/>
        <v>17</v>
      </c>
      <c r="U1303" t="str" cm="1">
        <f t="array" ref="U1303">_xlfn.IFS(M1303&lt;=34,"YOUNG",M1303&lt;=54,"MIDDLE AGE",M1303&gt;=55,"OLD")</f>
        <v>YOUNG</v>
      </c>
      <c r="V1303" t="str">
        <f t="shared" si="83"/>
        <v>NORMAL</v>
      </c>
    </row>
    <row r="1304" spans="1:22" x14ac:dyDescent="0.35">
      <c r="A1304" t="s">
        <v>3033</v>
      </c>
      <c r="B1304" t="s">
        <v>1796</v>
      </c>
      <c r="C1304">
        <v>189.45</v>
      </c>
      <c r="D1304" s="1">
        <v>45006.71670138889</v>
      </c>
      <c r="E1304" s="2">
        <f t="shared" si="80"/>
        <v>0.71670138889021473</v>
      </c>
      <c r="F1304" s="3">
        <f t="shared" si="81"/>
        <v>45006</v>
      </c>
      <c r="G1304" t="s">
        <v>46</v>
      </c>
      <c r="H1304" t="s">
        <v>388</v>
      </c>
      <c r="I1304" t="s">
        <v>1469</v>
      </c>
      <c r="J1304" t="s">
        <v>1359</v>
      </c>
      <c r="K1304" t="s">
        <v>181</v>
      </c>
      <c r="L1304" t="s">
        <v>69</v>
      </c>
      <c r="M1304">
        <v>53</v>
      </c>
      <c r="N1304" t="s">
        <v>23</v>
      </c>
      <c r="O1304">
        <v>62</v>
      </c>
      <c r="P1304">
        <v>1</v>
      </c>
      <c r="Q1304">
        <v>12578.75</v>
      </c>
      <c r="R1304" s="4">
        <v>45600</v>
      </c>
      <c r="S1304" s="6">
        <v>0.33994212962962961</v>
      </c>
      <c r="T1304">
        <f t="shared" si="82"/>
        <v>17</v>
      </c>
      <c r="U1304" t="str" cm="1">
        <f t="array" ref="U1304">_xlfn.IFS(M1304&lt;=34,"YOUNG",M1304&lt;=54,"MIDDLE AGE",M1304&gt;=55,"OLD")</f>
        <v>MIDDLE AGE</v>
      </c>
      <c r="V1304" t="str">
        <f t="shared" si="83"/>
        <v>NORMAL</v>
      </c>
    </row>
    <row r="1305" spans="1:22" x14ac:dyDescent="0.35">
      <c r="A1305" t="s">
        <v>3034</v>
      </c>
      <c r="B1305" t="s">
        <v>550</v>
      </c>
      <c r="C1305">
        <v>91.84</v>
      </c>
      <c r="D1305" s="1">
        <v>45112.723564814813</v>
      </c>
      <c r="E1305" s="2">
        <f t="shared" si="80"/>
        <v>0.72356481481256196</v>
      </c>
      <c r="F1305" s="3">
        <f t="shared" si="81"/>
        <v>45112</v>
      </c>
      <c r="G1305" t="s">
        <v>46</v>
      </c>
      <c r="H1305" t="s">
        <v>32</v>
      </c>
      <c r="I1305" t="s">
        <v>676</v>
      </c>
      <c r="J1305" t="s">
        <v>3035</v>
      </c>
      <c r="K1305" t="s">
        <v>282</v>
      </c>
      <c r="L1305" t="s">
        <v>69</v>
      </c>
      <c r="M1305">
        <v>67</v>
      </c>
      <c r="N1305" t="s">
        <v>70</v>
      </c>
      <c r="O1305">
        <v>80</v>
      </c>
      <c r="P1305">
        <v>1</v>
      </c>
      <c r="Q1305">
        <v>1712.41</v>
      </c>
      <c r="R1305" s="4">
        <v>45600</v>
      </c>
      <c r="S1305" s="6">
        <v>0.33925925925925926</v>
      </c>
      <c r="T1305">
        <f t="shared" si="82"/>
        <v>17</v>
      </c>
      <c r="U1305" t="str" cm="1">
        <f t="array" ref="U1305">_xlfn.IFS(M1305&lt;=34,"YOUNG",M1305&lt;=54,"MIDDLE AGE",M1305&gt;=55,"OLD")</f>
        <v>OLD</v>
      </c>
      <c r="V1305" t="str">
        <f t="shared" si="83"/>
        <v>NORMAL</v>
      </c>
    </row>
    <row r="1306" spans="1:22" x14ac:dyDescent="0.35">
      <c r="A1306" t="s">
        <v>3036</v>
      </c>
      <c r="B1306" t="s">
        <v>1806</v>
      </c>
      <c r="C1306">
        <v>609.52</v>
      </c>
      <c r="D1306" s="1">
        <v>45135.669062499997</v>
      </c>
      <c r="E1306" s="2">
        <f t="shared" si="80"/>
        <v>0.66906249999738066</v>
      </c>
      <c r="F1306" s="3">
        <f t="shared" si="81"/>
        <v>45135</v>
      </c>
      <c r="G1306" t="s">
        <v>17</v>
      </c>
      <c r="H1306" t="s">
        <v>453</v>
      </c>
      <c r="I1306" t="s">
        <v>1458</v>
      </c>
      <c r="J1306" t="s">
        <v>352</v>
      </c>
      <c r="K1306" t="s">
        <v>592</v>
      </c>
      <c r="L1306" t="s">
        <v>22</v>
      </c>
      <c r="M1306">
        <v>78</v>
      </c>
      <c r="N1306" t="s">
        <v>70</v>
      </c>
      <c r="O1306">
        <v>169</v>
      </c>
      <c r="P1306">
        <v>1</v>
      </c>
      <c r="Q1306">
        <v>3485.03</v>
      </c>
      <c r="R1306" s="4">
        <v>45600</v>
      </c>
      <c r="S1306" s="6">
        <v>0.33910879629629631</v>
      </c>
      <c r="T1306">
        <f t="shared" si="82"/>
        <v>16</v>
      </c>
      <c r="U1306" t="str" cm="1">
        <f t="array" ref="U1306">_xlfn.IFS(M1306&lt;=34,"YOUNG",M1306&lt;=54,"MIDDLE AGE",M1306&gt;=55,"OLD")</f>
        <v>OLD</v>
      </c>
      <c r="V1306" t="str">
        <f t="shared" si="83"/>
        <v>NORMAL</v>
      </c>
    </row>
    <row r="1307" spans="1:22" x14ac:dyDescent="0.35">
      <c r="A1307" t="s">
        <v>3037</v>
      </c>
      <c r="B1307" t="s">
        <v>896</v>
      </c>
      <c r="C1307">
        <v>859.3</v>
      </c>
      <c r="D1307" s="1">
        <v>45139.720879629633</v>
      </c>
      <c r="E1307" s="2">
        <f t="shared" si="80"/>
        <v>0.72087962963269092</v>
      </c>
      <c r="F1307" s="3">
        <f t="shared" si="81"/>
        <v>45139</v>
      </c>
      <c r="G1307" t="s">
        <v>46</v>
      </c>
      <c r="H1307" t="s">
        <v>521</v>
      </c>
      <c r="I1307" t="s">
        <v>2988</v>
      </c>
      <c r="J1307" t="s">
        <v>542</v>
      </c>
      <c r="K1307" t="s">
        <v>386</v>
      </c>
      <c r="L1307" t="s">
        <v>69</v>
      </c>
      <c r="M1307">
        <v>78</v>
      </c>
      <c r="N1307" t="s">
        <v>70</v>
      </c>
      <c r="O1307">
        <v>68</v>
      </c>
      <c r="P1307">
        <v>1</v>
      </c>
      <c r="Q1307">
        <v>1146.78</v>
      </c>
      <c r="R1307" s="4">
        <v>45600</v>
      </c>
      <c r="S1307" s="6">
        <v>0.33814814814814814</v>
      </c>
      <c r="T1307">
        <f t="shared" si="82"/>
        <v>17</v>
      </c>
      <c r="U1307" t="str" cm="1">
        <f t="array" ref="U1307">_xlfn.IFS(M1307&lt;=34,"YOUNG",M1307&lt;=54,"MIDDLE AGE",M1307&gt;=55,"OLD")</f>
        <v>OLD</v>
      </c>
      <c r="V1307" t="str">
        <f t="shared" si="83"/>
        <v>NORMAL</v>
      </c>
    </row>
    <row r="1308" spans="1:22" x14ac:dyDescent="0.35">
      <c r="A1308" t="s">
        <v>3038</v>
      </c>
      <c r="B1308" t="s">
        <v>3039</v>
      </c>
      <c r="C1308">
        <v>100.01</v>
      </c>
      <c r="D1308" s="1">
        <v>45106.671423611115</v>
      </c>
      <c r="E1308" s="2">
        <f t="shared" si="80"/>
        <v>0.67142361111473292</v>
      </c>
      <c r="F1308" s="3">
        <f t="shared" si="81"/>
        <v>45106</v>
      </c>
      <c r="G1308" t="s">
        <v>17</v>
      </c>
      <c r="H1308" t="s">
        <v>243</v>
      </c>
      <c r="I1308" t="s">
        <v>2282</v>
      </c>
      <c r="J1308" t="s">
        <v>2305</v>
      </c>
      <c r="K1308" t="s">
        <v>885</v>
      </c>
      <c r="L1308" t="s">
        <v>22</v>
      </c>
      <c r="M1308">
        <v>50</v>
      </c>
      <c r="N1308" t="s">
        <v>23</v>
      </c>
      <c r="O1308">
        <v>63</v>
      </c>
      <c r="P1308">
        <v>1</v>
      </c>
      <c r="Q1308">
        <v>6393.12</v>
      </c>
      <c r="R1308" s="4">
        <v>45600</v>
      </c>
      <c r="S1308" s="6">
        <v>0.33989583333333334</v>
      </c>
      <c r="T1308">
        <f t="shared" si="82"/>
        <v>16</v>
      </c>
      <c r="U1308" t="str" cm="1">
        <f t="array" ref="U1308">_xlfn.IFS(M1308&lt;=34,"YOUNG",M1308&lt;=54,"MIDDLE AGE",M1308&gt;=55,"OLD")</f>
        <v>MIDDLE AGE</v>
      </c>
      <c r="V1308" t="str">
        <f t="shared" si="83"/>
        <v>NORMAL</v>
      </c>
    </row>
    <row r="1309" spans="1:22" x14ac:dyDescent="0.35">
      <c r="A1309" t="s">
        <v>3040</v>
      </c>
      <c r="B1309" t="s">
        <v>2671</v>
      </c>
      <c r="C1309">
        <v>28.78</v>
      </c>
      <c r="D1309" s="1">
        <v>45145.672268518516</v>
      </c>
      <c r="E1309" s="2">
        <f t="shared" si="80"/>
        <v>0.67226851851592073</v>
      </c>
      <c r="F1309" s="3">
        <f t="shared" si="81"/>
        <v>45145</v>
      </c>
      <c r="G1309" t="s">
        <v>46</v>
      </c>
      <c r="H1309" t="s">
        <v>255</v>
      </c>
      <c r="I1309" t="s">
        <v>2147</v>
      </c>
      <c r="J1309" t="s">
        <v>276</v>
      </c>
      <c r="K1309" t="s">
        <v>1287</v>
      </c>
      <c r="L1309" t="s">
        <v>36</v>
      </c>
      <c r="M1309">
        <v>40</v>
      </c>
      <c r="N1309" t="s">
        <v>23</v>
      </c>
      <c r="O1309">
        <v>51</v>
      </c>
      <c r="P1309">
        <v>1</v>
      </c>
      <c r="Q1309">
        <v>680.55</v>
      </c>
      <c r="R1309" s="4">
        <v>45600</v>
      </c>
      <c r="S1309" s="6">
        <v>0.34142361111111114</v>
      </c>
      <c r="T1309">
        <f t="shared" si="82"/>
        <v>16</v>
      </c>
      <c r="U1309" t="str" cm="1">
        <f t="array" ref="U1309">_xlfn.IFS(M1309&lt;=34,"YOUNG",M1309&lt;=54,"MIDDLE AGE",M1309&gt;=55,"OLD")</f>
        <v>MIDDLE AGE</v>
      </c>
      <c r="V1309" t="str">
        <f t="shared" si="83"/>
        <v>NORMAL</v>
      </c>
    </row>
    <row r="1310" spans="1:22" x14ac:dyDescent="0.35">
      <c r="A1310" t="s">
        <v>3041</v>
      </c>
      <c r="B1310" t="s">
        <v>1066</v>
      </c>
      <c r="C1310">
        <v>111.08</v>
      </c>
      <c r="D1310" s="1">
        <v>45061.740428240744</v>
      </c>
      <c r="E1310" s="2">
        <f t="shared" si="80"/>
        <v>0.74042824074422242</v>
      </c>
      <c r="F1310" s="3">
        <f t="shared" si="81"/>
        <v>45061</v>
      </c>
      <c r="G1310" t="s">
        <v>17</v>
      </c>
      <c r="H1310" t="s">
        <v>265</v>
      </c>
      <c r="I1310" t="s">
        <v>2203</v>
      </c>
      <c r="J1310" t="s">
        <v>490</v>
      </c>
      <c r="K1310" t="s">
        <v>331</v>
      </c>
      <c r="L1310" t="s">
        <v>36</v>
      </c>
      <c r="M1310">
        <v>70</v>
      </c>
      <c r="N1310" t="s">
        <v>23</v>
      </c>
      <c r="O1310">
        <v>83</v>
      </c>
      <c r="P1310">
        <v>1</v>
      </c>
      <c r="Q1310">
        <v>7037.34</v>
      </c>
      <c r="R1310" s="4">
        <v>45600</v>
      </c>
      <c r="S1310" s="6">
        <v>0.34096064814814814</v>
      </c>
      <c r="T1310">
        <f t="shared" si="82"/>
        <v>17</v>
      </c>
      <c r="U1310" t="str" cm="1">
        <f t="array" ref="U1310">_xlfn.IFS(M1310&lt;=34,"YOUNG",M1310&lt;=54,"MIDDLE AGE",M1310&gt;=55,"OLD")</f>
        <v>OLD</v>
      </c>
      <c r="V1310" t="str">
        <f t="shared" si="83"/>
        <v>NORMAL</v>
      </c>
    </row>
    <row r="1311" spans="1:22" x14ac:dyDescent="0.35">
      <c r="A1311" t="s">
        <v>3042</v>
      </c>
      <c r="B1311" t="s">
        <v>1030</v>
      </c>
      <c r="C1311">
        <v>470.96</v>
      </c>
      <c r="D1311" s="1">
        <v>44995.682002314818</v>
      </c>
      <c r="E1311" s="2">
        <f t="shared" si="80"/>
        <v>0.68200231481750961</v>
      </c>
      <c r="F1311" s="3">
        <f t="shared" si="81"/>
        <v>44995</v>
      </c>
      <c r="G1311" t="s">
        <v>46</v>
      </c>
      <c r="H1311" t="s">
        <v>65</v>
      </c>
      <c r="I1311" t="s">
        <v>668</v>
      </c>
      <c r="J1311" t="s">
        <v>2254</v>
      </c>
      <c r="K1311" t="s">
        <v>308</v>
      </c>
      <c r="L1311" t="s">
        <v>36</v>
      </c>
      <c r="M1311">
        <v>69</v>
      </c>
      <c r="N1311" t="s">
        <v>23</v>
      </c>
      <c r="O1311">
        <v>124</v>
      </c>
      <c r="P1311">
        <v>2</v>
      </c>
      <c r="Q1311">
        <v>12991.03</v>
      </c>
      <c r="R1311" s="4">
        <v>45600</v>
      </c>
      <c r="S1311" s="6">
        <v>0.34108796296296295</v>
      </c>
      <c r="T1311">
        <f t="shared" si="82"/>
        <v>16</v>
      </c>
      <c r="U1311" t="str" cm="1">
        <f t="array" ref="U1311">_xlfn.IFS(M1311&lt;=34,"YOUNG",M1311&lt;=54,"MIDDLE AGE",M1311&gt;=55,"OLD")</f>
        <v>OLD</v>
      </c>
      <c r="V1311" t="str">
        <f t="shared" si="83"/>
        <v>HIGH</v>
      </c>
    </row>
    <row r="1312" spans="1:22" x14ac:dyDescent="0.35">
      <c r="A1312" t="s">
        <v>3043</v>
      </c>
      <c r="B1312" t="s">
        <v>1992</v>
      </c>
      <c r="C1312">
        <v>52.23</v>
      </c>
      <c r="D1312" s="1">
        <v>45180.75577546296</v>
      </c>
      <c r="E1312" s="2">
        <f t="shared" si="80"/>
        <v>0.75577546295971842</v>
      </c>
      <c r="F1312" s="3">
        <f t="shared" si="81"/>
        <v>45180</v>
      </c>
      <c r="G1312" t="s">
        <v>46</v>
      </c>
      <c r="H1312" t="s">
        <v>212</v>
      </c>
      <c r="I1312" t="s">
        <v>1941</v>
      </c>
      <c r="J1312" t="s">
        <v>1698</v>
      </c>
      <c r="K1312" t="s">
        <v>1810</v>
      </c>
      <c r="L1312" t="s">
        <v>69</v>
      </c>
      <c r="M1312">
        <v>28</v>
      </c>
      <c r="N1312" t="s">
        <v>37</v>
      </c>
      <c r="O1312">
        <v>96</v>
      </c>
      <c r="P1312">
        <v>1</v>
      </c>
      <c r="Q1312">
        <v>105.01</v>
      </c>
      <c r="R1312" s="4">
        <v>45600</v>
      </c>
      <c r="S1312" s="6">
        <v>0.33901620370370372</v>
      </c>
      <c r="T1312">
        <f t="shared" si="82"/>
        <v>18</v>
      </c>
      <c r="U1312" t="str" cm="1">
        <f t="array" ref="U1312">_xlfn.IFS(M1312&lt;=34,"YOUNG",M1312&lt;=54,"MIDDLE AGE",M1312&gt;=55,"OLD")</f>
        <v>YOUNG</v>
      </c>
      <c r="V1312" t="str">
        <f t="shared" si="83"/>
        <v>NORMAL</v>
      </c>
    </row>
    <row r="1313" spans="1:22" x14ac:dyDescent="0.35">
      <c r="A1313" t="s">
        <v>3044</v>
      </c>
      <c r="B1313" t="s">
        <v>1472</v>
      </c>
      <c r="C1313">
        <v>78.62</v>
      </c>
      <c r="D1313" s="1">
        <v>45138.698946759258</v>
      </c>
      <c r="E1313" s="2">
        <f t="shared" si="80"/>
        <v>0.69894675925752381</v>
      </c>
      <c r="F1313" s="3">
        <f t="shared" si="81"/>
        <v>45138</v>
      </c>
      <c r="G1313" t="s">
        <v>17</v>
      </c>
      <c r="H1313" t="s">
        <v>53</v>
      </c>
      <c r="I1313" t="s">
        <v>3045</v>
      </c>
      <c r="J1313" t="s">
        <v>2404</v>
      </c>
      <c r="K1313" t="s">
        <v>820</v>
      </c>
      <c r="L1313" t="s">
        <v>69</v>
      </c>
      <c r="M1313">
        <v>32</v>
      </c>
      <c r="N1313" t="s">
        <v>23</v>
      </c>
      <c r="O1313">
        <v>52</v>
      </c>
      <c r="P1313">
        <v>1</v>
      </c>
      <c r="Q1313">
        <v>1360.85</v>
      </c>
      <c r="R1313" s="4">
        <v>45600</v>
      </c>
      <c r="S1313" s="6">
        <v>0.33902777777777776</v>
      </c>
      <c r="T1313">
        <f t="shared" si="82"/>
        <v>16</v>
      </c>
      <c r="U1313" t="str" cm="1">
        <f t="array" ref="U1313">_xlfn.IFS(M1313&lt;=34,"YOUNG",M1313&lt;=54,"MIDDLE AGE",M1313&gt;=55,"OLD")</f>
        <v>YOUNG</v>
      </c>
      <c r="V1313" t="str">
        <f t="shared" si="83"/>
        <v>NORMAL</v>
      </c>
    </row>
    <row r="1314" spans="1:22" x14ac:dyDescent="0.35">
      <c r="A1314" t="s">
        <v>3046</v>
      </c>
      <c r="B1314" t="s">
        <v>3047</v>
      </c>
      <c r="C1314">
        <v>47.79</v>
      </c>
      <c r="D1314" s="1">
        <v>45184.708564814813</v>
      </c>
      <c r="E1314" s="2">
        <f t="shared" si="80"/>
        <v>0.70856481481314404</v>
      </c>
      <c r="F1314" s="3">
        <f t="shared" si="81"/>
        <v>45184</v>
      </c>
      <c r="G1314" t="s">
        <v>17</v>
      </c>
      <c r="H1314" t="s">
        <v>114</v>
      </c>
      <c r="I1314" t="s">
        <v>1713</v>
      </c>
      <c r="J1314" t="s">
        <v>1335</v>
      </c>
      <c r="K1314" t="s">
        <v>639</v>
      </c>
      <c r="L1314" t="s">
        <v>69</v>
      </c>
      <c r="M1314">
        <v>25</v>
      </c>
      <c r="N1314" t="s">
        <v>37</v>
      </c>
      <c r="O1314">
        <v>37</v>
      </c>
      <c r="P1314">
        <v>1</v>
      </c>
      <c r="Q1314">
        <v>1649.92</v>
      </c>
      <c r="R1314" s="4">
        <v>45600</v>
      </c>
      <c r="S1314" s="6">
        <v>0.34160879629629631</v>
      </c>
      <c r="T1314">
        <f t="shared" si="82"/>
        <v>17</v>
      </c>
      <c r="U1314" t="str" cm="1">
        <f t="array" ref="U1314">_xlfn.IFS(M1314&lt;=34,"YOUNG",M1314&lt;=54,"MIDDLE AGE",M1314&gt;=55,"OLD")</f>
        <v>YOUNG</v>
      </c>
      <c r="V1314" t="str">
        <f t="shared" si="83"/>
        <v>NORMAL</v>
      </c>
    </row>
    <row r="1315" spans="1:22" x14ac:dyDescent="0.35">
      <c r="A1315" t="s">
        <v>3048</v>
      </c>
      <c r="B1315" t="s">
        <v>1267</v>
      </c>
      <c r="C1315">
        <v>333.97</v>
      </c>
      <c r="D1315" s="1">
        <v>45007.679594907408</v>
      </c>
      <c r="E1315" s="2">
        <f t="shared" si="80"/>
        <v>0.67959490740759065</v>
      </c>
      <c r="F1315" s="3">
        <f t="shared" si="81"/>
        <v>45007</v>
      </c>
      <c r="G1315" t="s">
        <v>17</v>
      </c>
      <c r="H1315" t="s">
        <v>558</v>
      </c>
      <c r="I1315" t="s">
        <v>368</v>
      </c>
      <c r="J1315" t="s">
        <v>1112</v>
      </c>
      <c r="K1315" t="s">
        <v>1349</v>
      </c>
      <c r="L1315" t="s">
        <v>69</v>
      </c>
      <c r="M1315">
        <v>52</v>
      </c>
      <c r="N1315" t="s">
        <v>23</v>
      </c>
      <c r="O1315">
        <v>45</v>
      </c>
      <c r="P1315">
        <v>1</v>
      </c>
      <c r="Q1315">
        <v>5237.3599999999997</v>
      </c>
      <c r="R1315" s="4">
        <v>45600</v>
      </c>
      <c r="S1315" s="6">
        <v>0.34152777777777776</v>
      </c>
      <c r="T1315">
        <f t="shared" si="82"/>
        <v>16</v>
      </c>
      <c r="U1315" t="str" cm="1">
        <f t="array" ref="U1315">_xlfn.IFS(M1315&lt;=34,"YOUNG",M1315&lt;=54,"MIDDLE AGE",M1315&gt;=55,"OLD")</f>
        <v>MIDDLE AGE</v>
      </c>
      <c r="V1315" t="str">
        <f t="shared" si="83"/>
        <v>NORMAL</v>
      </c>
    </row>
    <row r="1316" spans="1:22" x14ac:dyDescent="0.35">
      <c r="A1316" t="s">
        <v>3049</v>
      </c>
      <c r="B1316" t="s">
        <v>872</v>
      </c>
      <c r="C1316">
        <v>30.87</v>
      </c>
      <c r="D1316" s="1">
        <v>45119.701874999999</v>
      </c>
      <c r="E1316" s="2">
        <f t="shared" si="80"/>
        <v>0.70187499999883585</v>
      </c>
      <c r="F1316" s="3">
        <f t="shared" si="81"/>
        <v>45119</v>
      </c>
      <c r="G1316" t="s">
        <v>17</v>
      </c>
      <c r="H1316" t="s">
        <v>558</v>
      </c>
      <c r="I1316" t="s">
        <v>618</v>
      </c>
      <c r="J1316" t="s">
        <v>706</v>
      </c>
      <c r="K1316" t="s">
        <v>105</v>
      </c>
      <c r="L1316" t="s">
        <v>22</v>
      </c>
      <c r="M1316">
        <v>33</v>
      </c>
      <c r="N1316" t="s">
        <v>23</v>
      </c>
      <c r="O1316">
        <v>295</v>
      </c>
      <c r="P1316">
        <v>1</v>
      </c>
      <c r="Q1316">
        <v>14348.65</v>
      </c>
      <c r="R1316" s="4">
        <v>45600</v>
      </c>
      <c r="S1316" s="6">
        <v>0.34077546296296296</v>
      </c>
      <c r="T1316">
        <f t="shared" si="82"/>
        <v>16</v>
      </c>
      <c r="U1316" t="str" cm="1">
        <f t="array" ref="U1316">_xlfn.IFS(M1316&lt;=34,"YOUNG",M1316&lt;=54,"MIDDLE AGE",M1316&gt;=55,"OLD")</f>
        <v>YOUNG</v>
      </c>
      <c r="V1316" t="str">
        <f t="shared" si="83"/>
        <v>NORMAL</v>
      </c>
    </row>
    <row r="1317" spans="1:22" x14ac:dyDescent="0.35">
      <c r="A1317" t="s">
        <v>3050</v>
      </c>
      <c r="B1317" t="s">
        <v>795</v>
      </c>
      <c r="C1317">
        <v>710.43</v>
      </c>
      <c r="D1317" s="1">
        <v>44993.713437500002</v>
      </c>
      <c r="E1317" s="2">
        <f t="shared" si="80"/>
        <v>0.71343750000232831</v>
      </c>
      <c r="F1317" s="3">
        <f t="shared" si="81"/>
        <v>44993</v>
      </c>
      <c r="G1317" t="s">
        <v>17</v>
      </c>
      <c r="H1317" t="s">
        <v>18</v>
      </c>
      <c r="I1317" t="s">
        <v>1273</v>
      </c>
      <c r="J1317" t="s">
        <v>1235</v>
      </c>
      <c r="K1317" t="s">
        <v>83</v>
      </c>
      <c r="L1317" t="s">
        <v>36</v>
      </c>
      <c r="M1317">
        <v>67</v>
      </c>
      <c r="N1317" t="s">
        <v>70</v>
      </c>
      <c r="O1317">
        <v>115</v>
      </c>
      <c r="P1317">
        <v>1</v>
      </c>
      <c r="Q1317">
        <v>5625.55</v>
      </c>
      <c r="R1317" s="4">
        <v>45600</v>
      </c>
      <c r="S1317" s="6">
        <v>0.33937499999999998</v>
      </c>
      <c r="T1317">
        <f t="shared" si="82"/>
        <v>17</v>
      </c>
      <c r="U1317" t="str" cm="1">
        <f t="array" ref="U1317">_xlfn.IFS(M1317&lt;=34,"YOUNG",M1317&lt;=54,"MIDDLE AGE",M1317&gt;=55,"OLD")</f>
        <v>OLD</v>
      </c>
      <c r="V1317" t="str">
        <f t="shared" si="83"/>
        <v>NORMAL</v>
      </c>
    </row>
    <row r="1318" spans="1:22" x14ac:dyDescent="0.35">
      <c r="A1318" t="s">
        <v>3051</v>
      </c>
      <c r="B1318" t="s">
        <v>1765</v>
      </c>
      <c r="C1318">
        <v>220.23</v>
      </c>
      <c r="D1318" s="1">
        <v>45187.774571759262</v>
      </c>
      <c r="E1318" s="2">
        <f t="shared" si="80"/>
        <v>0.77457175926247146</v>
      </c>
      <c r="F1318" s="3">
        <f t="shared" si="81"/>
        <v>45187</v>
      </c>
      <c r="G1318" t="s">
        <v>17</v>
      </c>
      <c r="H1318" t="s">
        <v>178</v>
      </c>
      <c r="I1318" t="s">
        <v>579</v>
      </c>
      <c r="J1318" t="s">
        <v>2327</v>
      </c>
      <c r="K1318" t="s">
        <v>128</v>
      </c>
      <c r="L1318" t="s">
        <v>22</v>
      </c>
      <c r="M1318">
        <v>41</v>
      </c>
      <c r="N1318" t="s">
        <v>77</v>
      </c>
      <c r="O1318">
        <v>48</v>
      </c>
      <c r="P1318">
        <v>1</v>
      </c>
      <c r="Q1318">
        <v>3438.02</v>
      </c>
      <c r="R1318" s="4">
        <v>45600</v>
      </c>
      <c r="S1318" s="6">
        <v>0.33788194444444447</v>
      </c>
      <c r="T1318">
        <f t="shared" si="82"/>
        <v>18</v>
      </c>
      <c r="U1318" t="str" cm="1">
        <f t="array" ref="U1318">_xlfn.IFS(M1318&lt;=34,"YOUNG",M1318&lt;=54,"MIDDLE AGE",M1318&gt;=55,"OLD")</f>
        <v>MIDDLE AGE</v>
      </c>
      <c r="V1318" t="str">
        <f t="shared" si="83"/>
        <v>NORMAL</v>
      </c>
    </row>
    <row r="1319" spans="1:22" x14ac:dyDescent="0.35">
      <c r="A1319" t="s">
        <v>3052</v>
      </c>
      <c r="B1319" t="s">
        <v>657</v>
      </c>
      <c r="C1319">
        <v>27.28</v>
      </c>
      <c r="D1319" s="1">
        <v>45285.688020833331</v>
      </c>
      <c r="E1319" s="2">
        <f t="shared" si="80"/>
        <v>0.68802083333139308</v>
      </c>
      <c r="F1319" s="3">
        <f t="shared" si="81"/>
        <v>45285</v>
      </c>
      <c r="G1319" t="s">
        <v>17</v>
      </c>
      <c r="H1319" t="s">
        <v>47</v>
      </c>
      <c r="I1319" t="s">
        <v>852</v>
      </c>
      <c r="J1319" t="s">
        <v>486</v>
      </c>
      <c r="K1319" t="s">
        <v>272</v>
      </c>
      <c r="L1319" t="s">
        <v>22</v>
      </c>
      <c r="M1319">
        <v>29</v>
      </c>
      <c r="N1319" t="s">
        <v>23</v>
      </c>
      <c r="O1319">
        <v>96</v>
      </c>
      <c r="P1319">
        <v>1</v>
      </c>
      <c r="Q1319">
        <v>10668.24</v>
      </c>
      <c r="R1319" s="4">
        <v>45600</v>
      </c>
      <c r="S1319" s="6">
        <v>0.34006944444444442</v>
      </c>
      <c r="T1319">
        <f t="shared" si="82"/>
        <v>16</v>
      </c>
      <c r="U1319" t="str" cm="1">
        <f t="array" ref="U1319">_xlfn.IFS(M1319&lt;=34,"YOUNG",M1319&lt;=54,"MIDDLE AGE",M1319&gt;=55,"OLD")</f>
        <v>YOUNG</v>
      </c>
      <c r="V1319" t="str">
        <f t="shared" si="83"/>
        <v>NORMAL</v>
      </c>
    </row>
    <row r="1320" spans="1:22" x14ac:dyDescent="0.35">
      <c r="A1320" t="s">
        <v>3053</v>
      </c>
      <c r="B1320" t="s">
        <v>102</v>
      </c>
      <c r="C1320">
        <v>101.52</v>
      </c>
      <c r="D1320" s="1">
        <v>45147.682233796295</v>
      </c>
      <c r="E1320" s="2">
        <f t="shared" si="80"/>
        <v>0.682233796294895</v>
      </c>
      <c r="F1320" s="3">
        <f t="shared" si="81"/>
        <v>45147</v>
      </c>
      <c r="G1320" t="s">
        <v>17</v>
      </c>
      <c r="H1320" t="s">
        <v>255</v>
      </c>
      <c r="I1320" t="s">
        <v>1727</v>
      </c>
      <c r="J1320" t="s">
        <v>3054</v>
      </c>
      <c r="K1320" t="s">
        <v>572</v>
      </c>
      <c r="L1320" t="s">
        <v>22</v>
      </c>
      <c r="M1320">
        <v>49</v>
      </c>
      <c r="N1320" t="s">
        <v>77</v>
      </c>
      <c r="O1320">
        <v>98</v>
      </c>
      <c r="P1320">
        <v>1</v>
      </c>
      <c r="Q1320">
        <v>2018.9</v>
      </c>
      <c r="R1320" s="4">
        <v>45600</v>
      </c>
      <c r="S1320" s="6">
        <v>0.33932870370370372</v>
      </c>
      <c r="T1320">
        <f t="shared" si="82"/>
        <v>16</v>
      </c>
      <c r="U1320" t="str" cm="1">
        <f t="array" ref="U1320">_xlfn.IFS(M1320&lt;=34,"YOUNG",M1320&lt;=54,"MIDDLE AGE",M1320&gt;=55,"OLD")</f>
        <v>MIDDLE AGE</v>
      </c>
      <c r="V1320" t="str">
        <f t="shared" si="83"/>
        <v>NORMAL</v>
      </c>
    </row>
    <row r="1321" spans="1:22" x14ac:dyDescent="0.35">
      <c r="A1321" t="s">
        <v>3055</v>
      </c>
      <c r="B1321" t="s">
        <v>2078</v>
      </c>
      <c r="C1321">
        <v>162.65</v>
      </c>
      <c r="D1321" s="1">
        <v>45057.718865740739</v>
      </c>
      <c r="E1321" s="2">
        <f t="shared" si="80"/>
        <v>0.71886574073869269</v>
      </c>
      <c r="F1321" s="3">
        <f t="shared" si="81"/>
        <v>45057</v>
      </c>
      <c r="G1321" t="s">
        <v>17</v>
      </c>
      <c r="H1321" t="s">
        <v>203</v>
      </c>
      <c r="I1321" t="s">
        <v>1180</v>
      </c>
      <c r="J1321" t="s">
        <v>1315</v>
      </c>
      <c r="K1321" t="s">
        <v>769</v>
      </c>
      <c r="L1321" t="s">
        <v>22</v>
      </c>
      <c r="M1321">
        <v>59</v>
      </c>
      <c r="N1321" t="s">
        <v>77</v>
      </c>
      <c r="O1321">
        <v>147</v>
      </c>
      <c r="P1321">
        <v>1</v>
      </c>
      <c r="Q1321">
        <v>9500.9500000000007</v>
      </c>
      <c r="R1321" s="4">
        <v>45600</v>
      </c>
      <c r="S1321" s="6">
        <v>0.34120370370370373</v>
      </c>
      <c r="T1321">
        <f t="shared" si="82"/>
        <v>17</v>
      </c>
      <c r="U1321" t="str" cm="1">
        <f t="array" ref="U1321">_xlfn.IFS(M1321&lt;=34,"YOUNG",M1321&lt;=54,"MIDDLE AGE",M1321&gt;=55,"OLD")</f>
        <v>OLD</v>
      </c>
      <c r="V1321" t="str">
        <f t="shared" si="83"/>
        <v>NORMAL</v>
      </c>
    </row>
    <row r="1322" spans="1:22" x14ac:dyDescent="0.35">
      <c r="A1322" t="s">
        <v>3056</v>
      </c>
      <c r="B1322" t="s">
        <v>771</v>
      </c>
      <c r="C1322">
        <v>10.52</v>
      </c>
      <c r="D1322" s="1">
        <v>45126.735300925924</v>
      </c>
      <c r="E1322" s="2">
        <f t="shared" si="80"/>
        <v>0.73530092592409346</v>
      </c>
      <c r="F1322" s="3">
        <f t="shared" si="81"/>
        <v>45126</v>
      </c>
      <c r="G1322" t="s">
        <v>17</v>
      </c>
      <c r="H1322" t="s">
        <v>291</v>
      </c>
      <c r="I1322" t="s">
        <v>1486</v>
      </c>
      <c r="J1322" t="s">
        <v>3057</v>
      </c>
      <c r="K1322" t="s">
        <v>62</v>
      </c>
      <c r="L1322" t="s">
        <v>22</v>
      </c>
      <c r="M1322">
        <v>55</v>
      </c>
      <c r="N1322" t="s">
        <v>70</v>
      </c>
      <c r="O1322">
        <v>30</v>
      </c>
      <c r="P1322">
        <v>1</v>
      </c>
      <c r="Q1322">
        <v>2472.9899999999998</v>
      </c>
      <c r="R1322" s="4">
        <v>45600</v>
      </c>
      <c r="S1322" s="6">
        <v>0.34104166666666669</v>
      </c>
      <c r="T1322">
        <f t="shared" si="82"/>
        <v>17</v>
      </c>
      <c r="U1322" t="str" cm="1">
        <f t="array" ref="U1322">_xlfn.IFS(M1322&lt;=34,"YOUNG",M1322&lt;=54,"MIDDLE AGE",M1322&gt;=55,"OLD")</f>
        <v>OLD</v>
      </c>
      <c r="V1322" t="str">
        <f t="shared" si="83"/>
        <v>NORMAL</v>
      </c>
    </row>
    <row r="1323" spans="1:22" x14ac:dyDescent="0.35">
      <c r="A1323" t="s">
        <v>3058</v>
      </c>
      <c r="B1323" t="s">
        <v>520</v>
      </c>
      <c r="C1323">
        <v>270.72000000000003</v>
      </c>
      <c r="D1323" s="1">
        <v>45012.726064814815</v>
      </c>
      <c r="E1323" s="2">
        <f t="shared" si="80"/>
        <v>0.72606481481489027</v>
      </c>
      <c r="F1323" s="3">
        <f t="shared" si="81"/>
        <v>45012</v>
      </c>
      <c r="G1323" t="s">
        <v>17</v>
      </c>
      <c r="H1323" t="s">
        <v>140</v>
      </c>
      <c r="I1323" t="s">
        <v>1045</v>
      </c>
      <c r="J1323" t="s">
        <v>2054</v>
      </c>
      <c r="K1323" t="s">
        <v>1562</v>
      </c>
      <c r="L1323" t="s">
        <v>69</v>
      </c>
      <c r="M1323">
        <v>38</v>
      </c>
      <c r="N1323" t="s">
        <v>23</v>
      </c>
      <c r="O1323">
        <v>37</v>
      </c>
      <c r="P1323">
        <v>1</v>
      </c>
      <c r="Q1323">
        <v>6522.47</v>
      </c>
      <c r="R1323" s="4">
        <v>45600</v>
      </c>
      <c r="S1323" s="6">
        <v>0.3417824074074074</v>
      </c>
      <c r="T1323">
        <f t="shared" si="82"/>
        <v>17</v>
      </c>
      <c r="U1323" t="str" cm="1">
        <f t="array" ref="U1323">_xlfn.IFS(M1323&lt;=34,"YOUNG",M1323&lt;=54,"MIDDLE AGE",M1323&gt;=55,"OLD")</f>
        <v>MIDDLE AGE</v>
      </c>
      <c r="V1323" t="str">
        <f t="shared" si="83"/>
        <v>NORMAL</v>
      </c>
    </row>
    <row r="1324" spans="1:22" x14ac:dyDescent="0.35">
      <c r="A1324" t="s">
        <v>3059</v>
      </c>
      <c r="B1324" t="s">
        <v>3060</v>
      </c>
      <c r="C1324">
        <v>202.34</v>
      </c>
      <c r="D1324" s="1">
        <v>44936.688958333332</v>
      </c>
      <c r="E1324" s="2">
        <f t="shared" si="80"/>
        <v>0.68895833333226619</v>
      </c>
      <c r="F1324" s="3">
        <f t="shared" si="81"/>
        <v>44936</v>
      </c>
      <c r="G1324" t="s">
        <v>17</v>
      </c>
      <c r="H1324" t="s">
        <v>203</v>
      </c>
      <c r="I1324" t="s">
        <v>1855</v>
      </c>
      <c r="J1324" t="s">
        <v>3061</v>
      </c>
      <c r="K1324" t="s">
        <v>474</v>
      </c>
      <c r="L1324" t="s">
        <v>36</v>
      </c>
      <c r="M1324">
        <v>20</v>
      </c>
      <c r="N1324" t="s">
        <v>37</v>
      </c>
      <c r="O1324">
        <v>134</v>
      </c>
      <c r="P1324">
        <v>1</v>
      </c>
      <c r="Q1324">
        <v>1223.45</v>
      </c>
      <c r="R1324" s="4">
        <v>45600</v>
      </c>
      <c r="S1324" s="6">
        <v>0.34126157407407409</v>
      </c>
      <c r="T1324">
        <f t="shared" si="82"/>
        <v>16</v>
      </c>
      <c r="U1324" t="str" cm="1">
        <f t="array" ref="U1324">_xlfn.IFS(M1324&lt;=34,"YOUNG",M1324&lt;=54,"MIDDLE AGE",M1324&gt;=55,"OLD")</f>
        <v>YOUNG</v>
      </c>
      <c r="V1324" t="str">
        <f t="shared" si="83"/>
        <v>NORMAL</v>
      </c>
    </row>
    <row r="1325" spans="1:22" x14ac:dyDescent="0.35">
      <c r="A1325" t="s">
        <v>3062</v>
      </c>
      <c r="B1325" t="s">
        <v>1391</v>
      </c>
      <c r="C1325">
        <v>247.58</v>
      </c>
      <c r="D1325" s="1">
        <v>45075.778148148151</v>
      </c>
      <c r="E1325" s="2">
        <f t="shared" si="80"/>
        <v>0.77814814815064892</v>
      </c>
      <c r="F1325" s="3">
        <f t="shared" si="81"/>
        <v>45075</v>
      </c>
      <c r="G1325" t="s">
        <v>17</v>
      </c>
      <c r="H1325" t="s">
        <v>237</v>
      </c>
      <c r="I1325" t="s">
        <v>605</v>
      </c>
      <c r="J1325" t="s">
        <v>815</v>
      </c>
      <c r="K1325" t="s">
        <v>1524</v>
      </c>
      <c r="L1325" t="s">
        <v>22</v>
      </c>
      <c r="M1325">
        <v>39</v>
      </c>
      <c r="N1325" t="s">
        <v>77</v>
      </c>
      <c r="O1325">
        <v>152</v>
      </c>
      <c r="P1325">
        <v>1</v>
      </c>
      <c r="Q1325">
        <v>778.74</v>
      </c>
      <c r="R1325" s="4">
        <v>45600</v>
      </c>
      <c r="S1325" s="6">
        <v>0.33840277777777777</v>
      </c>
      <c r="T1325">
        <f t="shared" si="82"/>
        <v>18</v>
      </c>
      <c r="U1325" t="str" cm="1">
        <f t="array" ref="U1325">_xlfn.IFS(M1325&lt;=34,"YOUNG",M1325&lt;=54,"MIDDLE AGE",M1325&gt;=55,"OLD")</f>
        <v>MIDDLE AGE</v>
      </c>
      <c r="V1325" t="str">
        <f t="shared" si="83"/>
        <v>NORMAL</v>
      </c>
    </row>
    <row r="1326" spans="1:22" x14ac:dyDescent="0.35">
      <c r="A1326" t="s">
        <v>3063</v>
      </c>
      <c r="B1326" t="s">
        <v>295</v>
      </c>
      <c r="C1326">
        <v>686.17</v>
      </c>
      <c r="D1326" s="1">
        <v>45202.727372685185</v>
      </c>
      <c r="E1326" s="2">
        <f t="shared" si="80"/>
        <v>0.72737268518540077</v>
      </c>
      <c r="F1326" s="3">
        <f t="shared" si="81"/>
        <v>45202</v>
      </c>
      <c r="G1326" t="s">
        <v>17</v>
      </c>
      <c r="H1326" t="s">
        <v>114</v>
      </c>
      <c r="I1326" t="s">
        <v>270</v>
      </c>
      <c r="J1326" t="s">
        <v>3064</v>
      </c>
      <c r="K1326" t="s">
        <v>95</v>
      </c>
      <c r="L1326" t="s">
        <v>22</v>
      </c>
      <c r="M1326">
        <v>61</v>
      </c>
      <c r="N1326" t="s">
        <v>70</v>
      </c>
      <c r="O1326">
        <v>96</v>
      </c>
      <c r="P1326">
        <v>1</v>
      </c>
      <c r="Q1326">
        <v>2246.15</v>
      </c>
      <c r="R1326" s="4">
        <v>45600</v>
      </c>
      <c r="S1326" s="6">
        <v>0.33862268518518518</v>
      </c>
      <c r="T1326">
        <f t="shared" si="82"/>
        <v>17</v>
      </c>
      <c r="U1326" t="str" cm="1">
        <f t="array" ref="U1326">_xlfn.IFS(M1326&lt;=34,"YOUNG",M1326&lt;=54,"MIDDLE AGE",M1326&gt;=55,"OLD")</f>
        <v>OLD</v>
      </c>
      <c r="V1326" t="str">
        <f t="shared" si="83"/>
        <v>NORMAL</v>
      </c>
    </row>
    <row r="1327" spans="1:22" x14ac:dyDescent="0.35">
      <c r="A1327" t="s">
        <v>3065</v>
      </c>
      <c r="B1327" t="s">
        <v>876</v>
      </c>
      <c r="C1327">
        <v>359.65</v>
      </c>
      <c r="D1327" s="1">
        <v>44938.749259259261</v>
      </c>
      <c r="E1327" s="2">
        <f t="shared" si="80"/>
        <v>0.74925925926072523</v>
      </c>
      <c r="F1327" s="3">
        <f t="shared" si="81"/>
        <v>44938</v>
      </c>
      <c r="G1327" t="s">
        <v>46</v>
      </c>
      <c r="H1327" t="s">
        <v>392</v>
      </c>
      <c r="I1327" t="s">
        <v>2318</v>
      </c>
      <c r="J1327" t="s">
        <v>583</v>
      </c>
      <c r="K1327" t="s">
        <v>674</v>
      </c>
      <c r="L1327" t="s">
        <v>36</v>
      </c>
      <c r="M1327">
        <v>25</v>
      </c>
      <c r="N1327" t="s">
        <v>37</v>
      </c>
      <c r="O1327">
        <v>289</v>
      </c>
      <c r="P1327">
        <v>1</v>
      </c>
      <c r="Q1327">
        <v>219.53</v>
      </c>
      <c r="R1327" s="4">
        <v>45600</v>
      </c>
      <c r="S1327" s="6">
        <v>0.33962962962962961</v>
      </c>
      <c r="T1327">
        <f t="shared" si="82"/>
        <v>17</v>
      </c>
      <c r="U1327" t="str" cm="1">
        <f t="array" ref="U1327">_xlfn.IFS(M1327&lt;=34,"YOUNG",M1327&lt;=54,"MIDDLE AGE",M1327&gt;=55,"OLD")</f>
        <v>YOUNG</v>
      </c>
      <c r="V1327" t="str">
        <f t="shared" si="83"/>
        <v>NORMAL</v>
      </c>
    </row>
    <row r="1328" spans="1:22" x14ac:dyDescent="0.35">
      <c r="A1328" t="s">
        <v>3066</v>
      </c>
      <c r="B1328" t="s">
        <v>156</v>
      </c>
      <c r="C1328">
        <v>109.91</v>
      </c>
      <c r="D1328" s="1">
        <v>45047.682893518519</v>
      </c>
      <c r="E1328" s="2">
        <f t="shared" si="80"/>
        <v>0.68289351851854008</v>
      </c>
      <c r="F1328" s="3">
        <f t="shared" si="81"/>
        <v>45047</v>
      </c>
      <c r="G1328" t="s">
        <v>17</v>
      </c>
      <c r="H1328" t="s">
        <v>59</v>
      </c>
      <c r="I1328" t="s">
        <v>914</v>
      </c>
      <c r="J1328" t="s">
        <v>257</v>
      </c>
      <c r="K1328" t="s">
        <v>226</v>
      </c>
      <c r="L1328" t="s">
        <v>69</v>
      </c>
      <c r="M1328">
        <v>38</v>
      </c>
      <c r="N1328" t="s">
        <v>23</v>
      </c>
      <c r="O1328">
        <v>90</v>
      </c>
      <c r="P1328">
        <v>1</v>
      </c>
      <c r="Q1328">
        <v>12896.06</v>
      </c>
      <c r="R1328" s="4">
        <v>45600</v>
      </c>
      <c r="S1328" s="6">
        <v>0.3409375</v>
      </c>
      <c r="T1328">
        <f t="shared" si="82"/>
        <v>16</v>
      </c>
      <c r="U1328" t="str" cm="1">
        <f t="array" ref="U1328">_xlfn.IFS(M1328&lt;=34,"YOUNG",M1328&lt;=54,"MIDDLE AGE",M1328&gt;=55,"OLD")</f>
        <v>MIDDLE AGE</v>
      </c>
      <c r="V1328" t="str">
        <f t="shared" si="83"/>
        <v>NORMAL</v>
      </c>
    </row>
    <row r="1329" spans="1:22" x14ac:dyDescent="0.35">
      <c r="A1329" t="s">
        <v>3067</v>
      </c>
      <c r="B1329" t="s">
        <v>192</v>
      </c>
      <c r="C1329">
        <v>215.72</v>
      </c>
      <c r="D1329" s="1">
        <v>45210.753229166665</v>
      </c>
      <c r="E1329" s="2">
        <f t="shared" si="80"/>
        <v>0.75322916666482342</v>
      </c>
      <c r="F1329" s="3">
        <f t="shared" si="81"/>
        <v>45210</v>
      </c>
      <c r="G1329" t="s">
        <v>46</v>
      </c>
      <c r="H1329" t="s">
        <v>125</v>
      </c>
      <c r="I1329" t="s">
        <v>2295</v>
      </c>
      <c r="J1329" t="s">
        <v>1416</v>
      </c>
      <c r="K1329" t="s">
        <v>418</v>
      </c>
      <c r="L1329" t="s">
        <v>69</v>
      </c>
      <c r="M1329">
        <v>30</v>
      </c>
      <c r="N1329" t="s">
        <v>77</v>
      </c>
      <c r="O1329">
        <v>137</v>
      </c>
      <c r="P1329">
        <v>1</v>
      </c>
      <c r="Q1329">
        <v>8697.11</v>
      </c>
      <c r="R1329" s="4">
        <v>45600</v>
      </c>
      <c r="S1329" s="6">
        <v>0.34159722222222222</v>
      </c>
      <c r="T1329">
        <f t="shared" si="82"/>
        <v>18</v>
      </c>
      <c r="U1329" t="str" cm="1">
        <f t="array" ref="U1329">_xlfn.IFS(M1329&lt;=34,"YOUNG",M1329&lt;=54,"MIDDLE AGE",M1329&gt;=55,"OLD")</f>
        <v>YOUNG</v>
      </c>
      <c r="V1329" t="str">
        <f t="shared" si="83"/>
        <v>NORMAL</v>
      </c>
    </row>
    <row r="1330" spans="1:22" x14ac:dyDescent="0.35">
      <c r="A1330" t="s">
        <v>3068</v>
      </c>
      <c r="B1330" t="s">
        <v>1703</v>
      </c>
      <c r="C1330">
        <v>490.76</v>
      </c>
      <c r="D1330" s="1">
        <v>44945.686203703706</v>
      </c>
      <c r="E1330" s="2">
        <f t="shared" si="80"/>
        <v>0.68620370370626915</v>
      </c>
      <c r="F1330" s="3">
        <f t="shared" si="81"/>
        <v>44945</v>
      </c>
      <c r="G1330" t="s">
        <v>17</v>
      </c>
      <c r="H1330" t="s">
        <v>125</v>
      </c>
      <c r="I1330" t="s">
        <v>2811</v>
      </c>
      <c r="J1330" t="s">
        <v>3069</v>
      </c>
      <c r="K1330" t="s">
        <v>122</v>
      </c>
      <c r="L1330" t="s">
        <v>36</v>
      </c>
      <c r="M1330">
        <v>66</v>
      </c>
      <c r="N1330" t="s">
        <v>70</v>
      </c>
      <c r="O1330">
        <v>156</v>
      </c>
      <c r="P1330">
        <v>1</v>
      </c>
      <c r="Q1330">
        <v>6414.11</v>
      </c>
      <c r="R1330" s="4">
        <v>45600</v>
      </c>
      <c r="S1330" s="6">
        <v>0.34009259259259261</v>
      </c>
      <c r="T1330">
        <f t="shared" si="82"/>
        <v>16</v>
      </c>
      <c r="U1330" t="str" cm="1">
        <f t="array" ref="U1330">_xlfn.IFS(M1330&lt;=34,"YOUNG",M1330&lt;=54,"MIDDLE AGE",M1330&gt;=55,"OLD")</f>
        <v>OLD</v>
      </c>
      <c r="V1330" t="str">
        <f t="shared" si="83"/>
        <v>NORMAL</v>
      </c>
    </row>
    <row r="1331" spans="1:22" x14ac:dyDescent="0.35">
      <c r="A1331" t="s">
        <v>3070</v>
      </c>
      <c r="B1331" t="s">
        <v>391</v>
      </c>
      <c r="C1331">
        <v>224.28</v>
      </c>
      <c r="D1331" s="1">
        <v>44972.701539351852</v>
      </c>
      <c r="E1331" s="2">
        <f t="shared" si="80"/>
        <v>0.70153935185226146</v>
      </c>
      <c r="F1331" s="3">
        <f t="shared" si="81"/>
        <v>44972</v>
      </c>
      <c r="G1331" t="s">
        <v>17</v>
      </c>
      <c r="H1331" t="s">
        <v>265</v>
      </c>
      <c r="I1331" t="s">
        <v>3071</v>
      </c>
      <c r="J1331" t="s">
        <v>1399</v>
      </c>
      <c r="K1331" t="s">
        <v>1524</v>
      </c>
      <c r="L1331" t="s">
        <v>36</v>
      </c>
      <c r="M1331">
        <v>64</v>
      </c>
      <c r="N1331" t="s">
        <v>70</v>
      </c>
      <c r="O1331">
        <v>68</v>
      </c>
      <c r="P1331">
        <v>1</v>
      </c>
      <c r="Q1331">
        <v>5767.51</v>
      </c>
      <c r="R1331" s="4">
        <v>45600</v>
      </c>
      <c r="S1331" s="6">
        <v>0.34087962962962964</v>
      </c>
      <c r="T1331">
        <f t="shared" si="82"/>
        <v>16</v>
      </c>
      <c r="U1331" t="str" cm="1">
        <f t="array" ref="U1331">_xlfn.IFS(M1331&lt;=34,"YOUNG",M1331&lt;=54,"MIDDLE AGE",M1331&gt;=55,"OLD")</f>
        <v>OLD</v>
      </c>
      <c r="V1331" t="str">
        <f t="shared" si="83"/>
        <v>NORMAL</v>
      </c>
    </row>
    <row r="1332" spans="1:22" x14ac:dyDescent="0.35">
      <c r="A1332" t="s">
        <v>3072</v>
      </c>
      <c r="B1332" t="s">
        <v>1927</v>
      </c>
      <c r="C1332">
        <v>614.03</v>
      </c>
      <c r="D1332" s="1">
        <v>45054.692523148151</v>
      </c>
      <c r="E1332" s="2">
        <f t="shared" si="80"/>
        <v>0.69252314815093996</v>
      </c>
      <c r="F1332" s="3">
        <f t="shared" si="81"/>
        <v>45054</v>
      </c>
      <c r="G1332" t="s">
        <v>17</v>
      </c>
      <c r="H1332" t="s">
        <v>323</v>
      </c>
      <c r="I1332" t="s">
        <v>1261</v>
      </c>
      <c r="J1332" t="s">
        <v>2858</v>
      </c>
      <c r="K1332" t="s">
        <v>572</v>
      </c>
      <c r="L1332" t="s">
        <v>22</v>
      </c>
      <c r="M1332">
        <v>68</v>
      </c>
      <c r="N1332" t="s">
        <v>70</v>
      </c>
      <c r="O1332">
        <v>51</v>
      </c>
      <c r="P1332">
        <v>1</v>
      </c>
      <c r="Q1332">
        <v>2815.86</v>
      </c>
      <c r="R1332" s="4">
        <v>45600</v>
      </c>
      <c r="S1332" s="6">
        <v>0.33902777777777776</v>
      </c>
      <c r="T1332">
        <f t="shared" si="82"/>
        <v>16</v>
      </c>
      <c r="U1332" t="str" cm="1">
        <f t="array" ref="U1332">_xlfn.IFS(M1332&lt;=34,"YOUNG",M1332&lt;=54,"MIDDLE AGE",M1332&gt;=55,"OLD")</f>
        <v>OLD</v>
      </c>
      <c r="V1332" t="str">
        <f t="shared" si="83"/>
        <v>NORMAL</v>
      </c>
    </row>
    <row r="1333" spans="1:22" x14ac:dyDescent="0.35">
      <c r="A1333" t="s">
        <v>3073</v>
      </c>
      <c r="B1333" t="s">
        <v>950</v>
      </c>
      <c r="C1333">
        <v>608.79</v>
      </c>
      <c r="D1333" s="1">
        <v>45233.775902777779</v>
      </c>
      <c r="E1333" s="2">
        <f t="shared" si="80"/>
        <v>0.77590277777926531</v>
      </c>
      <c r="F1333" s="3">
        <f t="shared" si="81"/>
        <v>45233</v>
      </c>
      <c r="G1333" t="s">
        <v>17</v>
      </c>
      <c r="H1333" t="s">
        <v>157</v>
      </c>
      <c r="I1333" t="s">
        <v>1265</v>
      </c>
      <c r="J1333" t="s">
        <v>3074</v>
      </c>
      <c r="K1333" t="s">
        <v>21</v>
      </c>
      <c r="L1333" t="s">
        <v>36</v>
      </c>
      <c r="M1333">
        <v>55</v>
      </c>
      <c r="N1333" t="s">
        <v>77</v>
      </c>
      <c r="O1333">
        <v>157</v>
      </c>
      <c r="P1333">
        <v>1</v>
      </c>
      <c r="Q1333">
        <v>2991.17</v>
      </c>
      <c r="R1333" s="4">
        <v>45600</v>
      </c>
      <c r="S1333" s="6">
        <v>0.34187499999999998</v>
      </c>
      <c r="T1333">
        <f t="shared" si="82"/>
        <v>18</v>
      </c>
      <c r="U1333" t="str" cm="1">
        <f t="array" ref="U1333">_xlfn.IFS(M1333&lt;=34,"YOUNG",M1333&lt;=54,"MIDDLE AGE",M1333&gt;=55,"OLD")</f>
        <v>OLD</v>
      </c>
      <c r="V1333" t="str">
        <f t="shared" si="83"/>
        <v>NORMAL</v>
      </c>
    </row>
    <row r="1334" spans="1:22" x14ac:dyDescent="0.35">
      <c r="A1334" t="s">
        <v>3075</v>
      </c>
      <c r="B1334" t="s">
        <v>1889</v>
      </c>
      <c r="C1334">
        <v>186.55</v>
      </c>
      <c r="D1334" s="1">
        <v>45098.700810185182</v>
      </c>
      <c r="E1334" s="2">
        <f t="shared" si="80"/>
        <v>0.70081018518249039</v>
      </c>
      <c r="F1334" s="3">
        <f t="shared" si="81"/>
        <v>45098</v>
      </c>
      <c r="G1334" t="s">
        <v>17</v>
      </c>
      <c r="H1334" t="s">
        <v>243</v>
      </c>
      <c r="I1334" t="s">
        <v>3076</v>
      </c>
      <c r="J1334" t="s">
        <v>1018</v>
      </c>
      <c r="K1334" t="s">
        <v>362</v>
      </c>
      <c r="L1334" t="s">
        <v>69</v>
      </c>
      <c r="M1334">
        <v>48</v>
      </c>
      <c r="N1334" t="s">
        <v>77</v>
      </c>
      <c r="O1334">
        <v>288</v>
      </c>
      <c r="P1334">
        <v>1</v>
      </c>
      <c r="Q1334">
        <v>224.65</v>
      </c>
      <c r="R1334" s="4">
        <v>45600</v>
      </c>
      <c r="S1334" s="6">
        <v>0.33840277777777777</v>
      </c>
      <c r="T1334">
        <f t="shared" si="82"/>
        <v>16</v>
      </c>
      <c r="U1334" t="str" cm="1">
        <f t="array" ref="U1334">_xlfn.IFS(M1334&lt;=34,"YOUNG",M1334&lt;=54,"MIDDLE AGE",M1334&gt;=55,"OLD")</f>
        <v>MIDDLE AGE</v>
      </c>
      <c r="V1334" t="str">
        <f t="shared" si="83"/>
        <v>NORMAL</v>
      </c>
    </row>
    <row r="1335" spans="1:22" x14ac:dyDescent="0.35">
      <c r="A1335" t="s">
        <v>3077</v>
      </c>
      <c r="B1335" t="s">
        <v>3078</v>
      </c>
      <c r="C1335">
        <v>840.16</v>
      </c>
      <c r="D1335" s="1">
        <v>45005.69158564815</v>
      </c>
      <c r="E1335" s="2">
        <f t="shared" si="80"/>
        <v>0.69158564815006685</v>
      </c>
      <c r="F1335" s="3">
        <f t="shared" si="81"/>
        <v>45005</v>
      </c>
      <c r="G1335" t="s">
        <v>46</v>
      </c>
      <c r="H1335" t="s">
        <v>521</v>
      </c>
      <c r="I1335" t="s">
        <v>1906</v>
      </c>
      <c r="J1335" t="s">
        <v>2899</v>
      </c>
      <c r="K1335" t="s">
        <v>240</v>
      </c>
      <c r="L1335" t="s">
        <v>69</v>
      </c>
      <c r="M1335">
        <v>20</v>
      </c>
      <c r="N1335" t="s">
        <v>37</v>
      </c>
      <c r="O1335">
        <v>68</v>
      </c>
      <c r="P1335">
        <v>1</v>
      </c>
      <c r="Q1335">
        <v>1236.76</v>
      </c>
      <c r="R1335" s="4">
        <v>45600</v>
      </c>
      <c r="S1335" s="6">
        <v>0.34180555555555553</v>
      </c>
      <c r="T1335">
        <f t="shared" si="82"/>
        <v>16</v>
      </c>
      <c r="U1335" t="str" cm="1">
        <f t="array" ref="U1335">_xlfn.IFS(M1335&lt;=34,"YOUNG",M1335&lt;=54,"MIDDLE AGE",M1335&gt;=55,"OLD")</f>
        <v>YOUNG</v>
      </c>
      <c r="V1335" t="str">
        <f t="shared" si="83"/>
        <v>NORMAL</v>
      </c>
    </row>
    <row r="1336" spans="1:22" x14ac:dyDescent="0.35">
      <c r="A1336" t="s">
        <v>3079</v>
      </c>
      <c r="B1336" t="s">
        <v>1027</v>
      </c>
      <c r="C1336">
        <v>203.34</v>
      </c>
      <c r="D1336" s="1">
        <v>45280.717939814815</v>
      </c>
      <c r="E1336" s="2">
        <f t="shared" si="80"/>
        <v>0.71793981481459923</v>
      </c>
      <c r="F1336" s="3">
        <f t="shared" si="81"/>
        <v>45280</v>
      </c>
      <c r="G1336" t="s">
        <v>17</v>
      </c>
      <c r="H1336" t="s">
        <v>425</v>
      </c>
      <c r="I1336" t="s">
        <v>2654</v>
      </c>
      <c r="J1336" t="s">
        <v>587</v>
      </c>
      <c r="K1336" t="s">
        <v>885</v>
      </c>
      <c r="L1336" t="s">
        <v>22</v>
      </c>
      <c r="M1336">
        <v>60</v>
      </c>
      <c r="N1336" t="s">
        <v>23</v>
      </c>
      <c r="O1336">
        <v>66</v>
      </c>
      <c r="P1336">
        <v>1</v>
      </c>
      <c r="Q1336">
        <v>13586.99</v>
      </c>
      <c r="R1336" s="4">
        <v>45600</v>
      </c>
      <c r="S1336" s="6">
        <v>0.34008101851851852</v>
      </c>
      <c r="T1336">
        <f t="shared" si="82"/>
        <v>17</v>
      </c>
      <c r="U1336" t="str" cm="1">
        <f t="array" ref="U1336">_xlfn.IFS(M1336&lt;=34,"YOUNG",M1336&lt;=54,"MIDDLE AGE",M1336&gt;=55,"OLD")</f>
        <v>OLD</v>
      </c>
      <c r="V1336" t="str">
        <f t="shared" si="83"/>
        <v>NORMAL</v>
      </c>
    </row>
    <row r="1337" spans="1:22" x14ac:dyDescent="0.35">
      <c r="A1337" t="s">
        <v>3080</v>
      </c>
      <c r="B1337" t="s">
        <v>403</v>
      </c>
      <c r="C1337">
        <v>90.88</v>
      </c>
      <c r="D1337" s="1">
        <v>45250.714270833334</v>
      </c>
      <c r="E1337" s="2">
        <f t="shared" si="80"/>
        <v>0.71427083333401242</v>
      </c>
      <c r="F1337" s="3">
        <f t="shared" si="81"/>
        <v>45250</v>
      </c>
      <c r="G1337" t="s">
        <v>17</v>
      </c>
      <c r="H1337" t="s">
        <v>521</v>
      </c>
      <c r="I1337" t="s">
        <v>2252</v>
      </c>
      <c r="J1337" t="s">
        <v>2391</v>
      </c>
      <c r="K1337" t="s">
        <v>358</v>
      </c>
      <c r="L1337" t="s">
        <v>22</v>
      </c>
      <c r="M1337">
        <v>26</v>
      </c>
      <c r="N1337" t="s">
        <v>77</v>
      </c>
      <c r="O1337">
        <v>284</v>
      </c>
      <c r="P1337">
        <v>1</v>
      </c>
      <c r="Q1337">
        <v>7117.35</v>
      </c>
      <c r="R1337" s="4">
        <v>45600</v>
      </c>
      <c r="S1337" s="6">
        <v>0.34085648148148145</v>
      </c>
      <c r="T1337">
        <f t="shared" si="82"/>
        <v>17</v>
      </c>
      <c r="U1337" t="str" cm="1">
        <f t="array" ref="U1337">_xlfn.IFS(M1337&lt;=34,"YOUNG",M1337&lt;=54,"MIDDLE AGE",M1337&gt;=55,"OLD")</f>
        <v>YOUNG</v>
      </c>
      <c r="V1337" t="str">
        <f t="shared" si="83"/>
        <v>NORMAL</v>
      </c>
    </row>
    <row r="1338" spans="1:22" x14ac:dyDescent="0.35">
      <c r="A1338" t="s">
        <v>3081</v>
      </c>
      <c r="B1338" t="s">
        <v>2532</v>
      </c>
      <c r="C1338">
        <v>60.11</v>
      </c>
      <c r="D1338" s="1">
        <v>45257.735868055555</v>
      </c>
      <c r="E1338" s="2">
        <f t="shared" si="80"/>
        <v>0.73586805555532919</v>
      </c>
      <c r="F1338" s="3">
        <f t="shared" si="81"/>
        <v>45257</v>
      </c>
      <c r="G1338" t="s">
        <v>46</v>
      </c>
      <c r="H1338" t="s">
        <v>86</v>
      </c>
      <c r="I1338" t="s">
        <v>3082</v>
      </c>
      <c r="J1338" t="s">
        <v>455</v>
      </c>
      <c r="K1338" t="s">
        <v>652</v>
      </c>
      <c r="L1338" t="s">
        <v>69</v>
      </c>
      <c r="M1338">
        <v>61</v>
      </c>
      <c r="N1338" t="s">
        <v>70</v>
      </c>
      <c r="O1338">
        <v>122</v>
      </c>
      <c r="P1338">
        <v>1</v>
      </c>
      <c r="Q1338">
        <v>7235.87</v>
      </c>
      <c r="R1338" s="4">
        <v>45600</v>
      </c>
      <c r="S1338" s="6">
        <v>0.33899305555555553</v>
      </c>
      <c r="T1338">
        <f t="shared" si="82"/>
        <v>17</v>
      </c>
      <c r="U1338" t="str" cm="1">
        <f t="array" ref="U1338">_xlfn.IFS(M1338&lt;=34,"YOUNG",M1338&lt;=54,"MIDDLE AGE",M1338&gt;=55,"OLD")</f>
        <v>OLD</v>
      </c>
      <c r="V1338" t="str">
        <f t="shared" si="83"/>
        <v>NORMAL</v>
      </c>
    </row>
    <row r="1339" spans="1:22" x14ac:dyDescent="0.35">
      <c r="A1339" t="s">
        <v>3083</v>
      </c>
      <c r="B1339" t="s">
        <v>1799</v>
      </c>
      <c r="C1339">
        <v>393.92</v>
      </c>
      <c r="D1339" s="1">
        <v>45062.706655092596</v>
      </c>
      <c r="E1339" s="2">
        <f t="shared" si="80"/>
        <v>0.70665509259561077</v>
      </c>
      <c r="F1339" s="3">
        <f t="shared" si="81"/>
        <v>45062</v>
      </c>
      <c r="G1339" t="s">
        <v>17</v>
      </c>
      <c r="H1339" t="s">
        <v>92</v>
      </c>
      <c r="I1339" t="s">
        <v>1314</v>
      </c>
      <c r="J1339" t="s">
        <v>3084</v>
      </c>
      <c r="K1339" t="s">
        <v>885</v>
      </c>
      <c r="L1339" t="s">
        <v>69</v>
      </c>
      <c r="M1339">
        <v>72</v>
      </c>
      <c r="N1339" t="s">
        <v>70</v>
      </c>
      <c r="O1339">
        <v>47</v>
      </c>
      <c r="P1339">
        <v>1</v>
      </c>
      <c r="Q1339">
        <v>7318.64</v>
      </c>
      <c r="R1339" s="4">
        <v>45600</v>
      </c>
      <c r="S1339" s="6">
        <v>0.34174768518518517</v>
      </c>
      <c r="T1339">
        <f t="shared" si="82"/>
        <v>16</v>
      </c>
      <c r="U1339" t="str" cm="1">
        <f t="array" ref="U1339">_xlfn.IFS(M1339&lt;=34,"YOUNG",M1339&lt;=54,"MIDDLE AGE",M1339&gt;=55,"OLD")</f>
        <v>OLD</v>
      </c>
      <c r="V1339" t="str">
        <f t="shared" si="83"/>
        <v>NORMAL</v>
      </c>
    </row>
    <row r="1340" spans="1:22" x14ac:dyDescent="0.35">
      <c r="A1340" t="s">
        <v>3085</v>
      </c>
      <c r="B1340" t="s">
        <v>391</v>
      </c>
      <c r="C1340">
        <v>19.39</v>
      </c>
      <c r="D1340" s="1">
        <v>45247.693981481483</v>
      </c>
      <c r="E1340" s="2">
        <f t="shared" si="80"/>
        <v>0.69398148148320615</v>
      </c>
      <c r="F1340" s="3">
        <f t="shared" si="81"/>
        <v>45247</v>
      </c>
      <c r="G1340" t="s">
        <v>17</v>
      </c>
      <c r="H1340" t="s">
        <v>521</v>
      </c>
      <c r="I1340" t="s">
        <v>2503</v>
      </c>
      <c r="J1340" t="s">
        <v>1953</v>
      </c>
      <c r="K1340" t="s">
        <v>619</v>
      </c>
      <c r="L1340" t="s">
        <v>22</v>
      </c>
      <c r="M1340">
        <v>43</v>
      </c>
      <c r="N1340" t="s">
        <v>23</v>
      </c>
      <c r="O1340">
        <v>45</v>
      </c>
      <c r="P1340">
        <v>1</v>
      </c>
      <c r="Q1340">
        <v>9847.6</v>
      </c>
      <c r="R1340" s="4">
        <v>45600</v>
      </c>
      <c r="S1340" s="6">
        <v>0.34125</v>
      </c>
      <c r="T1340">
        <f t="shared" si="82"/>
        <v>16</v>
      </c>
      <c r="U1340" t="str" cm="1">
        <f t="array" ref="U1340">_xlfn.IFS(M1340&lt;=34,"YOUNG",M1340&lt;=54,"MIDDLE AGE",M1340&gt;=55,"OLD")</f>
        <v>MIDDLE AGE</v>
      </c>
      <c r="V1340" t="str">
        <f t="shared" si="83"/>
        <v>NORMAL</v>
      </c>
    </row>
    <row r="1341" spans="1:22" x14ac:dyDescent="0.35">
      <c r="A1341" t="s">
        <v>3086</v>
      </c>
      <c r="B1341" t="s">
        <v>974</v>
      </c>
      <c r="C1341">
        <v>557.41</v>
      </c>
      <c r="D1341" s="1">
        <v>45030.703043981484</v>
      </c>
      <c r="E1341" s="2">
        <f t="shared" si="80"/>
        <v>0.70304398148437031</v>
      </c>
      <c r="F1341" s="3">
        <f t="shared" si="81"/>
        <v>45030</v>
      </c>
      <c r="G1341" t="s">
        <v>46</v>
      </c>
      <c r="H1341" t="s">
        <v>453</v>
      </c>
      <c r="I1341" t="s">
        <v>389</v>
      </c>
      <c r="J1341" t="s">
        <v>3087</v>
      </c>
      <c r="K1341" t="s">
        <v>343</v>
      </c>
      <c r="L1341" t="s">
        <v>36</v>
      </c>
      <c r="M1341">
        <v>80</v>
      </c>
      <c r="N1341" t="s">
        <v>70</v>
      </c>
      <c r="O1341">
        <v>49</v>
      </c>
      <c r="P1341">
        <v>1</v>
      </c>
      <c r="Q1341">
        <v>2968.75</v>
      </c>
      <c r="R1341" s="4">
        <v>45600</v>
      </c>
      <c r="S1341" s="6">
        <v>0.34020833333333333</v>
      </c>
      <c r="T1341">
        <f t="shared" si="82"/>
        <v>16</v>
      </c>
      <c r="U1341" t="str" cm="1">
        <f t="array" ref="U1341">_xlfn.IFS(M1341&lt;=34,"YOUNG",M1341&lt;=54,"MIDDLE AGE",M1341&gt;=55,"OLD")</f>
        <v>OLD</v>
      </c>
      <c r="V1341" t="str">
        <f t="shared" si="83"/>
        <v>NORMAL</v>
      </c>
    </row>
    <row r="1342" spans="1:22" x14ac:dyDescent="0.35">
      <c r="A1342" t="s">
        <v>3088</v>
      </c>
      <c r="B1342" t="s">
        <v>2978</v>
      </c>
      <c r="C1342">
        <v>57.07</v>
      </c>
      <c r="D1342" s="1">
        <v>45163.687523148146</v>
      </c>
      <c r="E1342" s="2">
        <f t="shared" si="80"/>
        <v>0.68752314814628335</v>
      </c>
      <c r="F1342" s="3">
        <f t="shared" si="81"/>
        <v>45163</v>
      </c>
      <c r="G1342" t="s">
        <v>46</v>
      </c>
      <c r="H1342" t="s">
        <v>388</v>
      </c>
      <c r="I1342" t="s">
        <v>220</v>
      </c>
      <c r="J1342" t="s">
        <v>94</v>
      </c>
      <c r="K1342" t="s">
        <v>1562</v>
      </c>
      <c r="L1342" t="s">
        <v>36</v>
      </c>
      <c r="M1342">
        <v>31</v>
      </c>
      <c r="N1342" t="s">
        <v>23</v>
      </c>
      <c r="O1342">
        <v>99</v>
      </c>
      <c r="P1342">
        <v>1</v>
      </c>
      <c r="Q1342">
        <v>9323.7099999999991</v>
      </c>
      <c r="R1342" s="4">
        <v>45600</v>
      </c>
      <c r="S1342" s="6">
        <v>0.34137731481481481</v>
      </c>
      <c r="T1342">
        <f t="shared" si="82"/>
        <v>16</v>
      </c>
      <c r="U1342" t="str" cm="1">
        <f t="array" ref="U1342">_xlfn.IFS(M1342&lt;=34,"YOUNG",M1342&lt;=54,"MIDDLE AGE",M1342&gt;=55,"OLD")</f>
        <v>YOUNG</v>
      </c>
      <c r="V1342" t="str">
        <f t="shared" si="83"/>
        <v>NORMAL</v>
      </c>
    </row>
    <row r="1343" spans="1:22" x14ac:dyDescent="0.35">
      <c r="A1343" t="s">
        <v>3089</v>
      </c>
      <c r="B1343" t="s">
        <v>657</v>
      </c>
      <c r="C1343">
        <v>395.27</v>
      </c>
      <c r="D1343" s="1">
        <v>45145.693657407406</v>
      </c>
      <c r="E1343" s="2">
        <f t="shared" si="80"/>
        <v>0.69365740740613546</v>
      </c>
      <c r="F1343" s="3">
        <f t="shared" si="81"/>
        <v>45145</v>
      </c>
      <c r="G1343" t="s">
        <v>46</v>
      </c>
      <c r="H1343" t="s">
        <v>172</v>
      </c>
      <c r="I1343" t="s">
        <v>1330</v>
      </c>
      <c r="J1343" t="s">
        <v>1195</v>
      </c>
      <c r="K1343" t="s">
        <v>674</v>
      </c>
      <c r="L1343" t="s">
        <v>36</v>
      </c>
      <c r="M1343">
        <v>18</v>
      </c>
      <c r="N1343" t="s">
        <v>37</v>
      </c>
      <c r="O1343">
        <v>167</v>
      </c>
      <c r="P1343">
        <v>1</v>
      </c>
      <c r="Q1343">
        <v>1764.08</v>
      </c>
      <c r="R1343" s="4">
        <v>45600</v>
      </c>
      <c r="S1343" s="6">
        <v>0.33913194444444444</v>
      </c>
      <c r="T1343">
        <f t="shared" si="82"/>
        <v>16</v>
      </c>
      <c r="U1343" t="str" cm="1">
        <f t="array" ref="U1343">_xlfn.IFS(M1343&lt;=34,"YOUNG",M1343&lt;=54,"MIDDLE AGE",M1343&gt;=55,"OLD")</f>
        <v>YOUNG</v>
      </c>
      <c r="V1343" t="str">
        <f t="shared" si="83"/>
        <v>NORMAL</v>
      </c>
    </row>
    <row r="1344" spans="1:22" x14ac:dyDescent="0.35">
      <c r="A1344" t="s">
        <v>3090</v>
      </c>
      <c r="B1344" t="s">
        <v>2690</v>
      </c>
      <c r="C1344">
        <v>289.05</v>
      </c>
      <c r="D1344" s="1">
        <v>45086.748611111114</v>
      </c>
      <c r="E1344" s="2">
        <f t="shared" si="80"/>
        <v>0.74861111111385981</v>
      </c>
      <c r="F1344" s="3">
        <f t="shared" si="81"/>
        <v>45086</v>
      </c>
      <c r="G1344" t="s">
        <v>17</v>
      </c>
      <c r="H1344" t="s">
        <v>203</v>
      </c>
      <c r="I1344" t="s">
        <v>2203</v>
      </c>
      <c r="J1344" t="s">
        <v>531</v>
      </c>
      <c r="K1344" t="s">
        <v>769</v>
      </c>
      <c r="L1344" t="s">
        <v>22</v>
      </c>
      <c r="M1344">
        <v>75</v>
      </c>
      <c r="N1344" t="s">
        <v>70</v>
      </c>
      <c r="O1344">
        <v>116</v>
      </c>
      <c r="P1344">
        <v>1</v>
      </c>
      <c r="Q1344">
        <v>5683.49</v>
      </c>
      <c r="R1344" s="4">
        <v>45600</v>
      </c>
      <c r="S1344" s="6">
        <v>0.34164351851851854</v>
      </c>
      <c r="T1344">
        <f t="shared" si="82"/>
        <v>17</v>
      </c>
      <c r="U1344" t="str" cm="1">
        <f t="array" ref="U1344">_xlfn.IFS(M1344&lt;=34,"YOUNG",M1344&lt;=54,"MIDDLE AGE",M1344&gt;=55,"OLD")</f>
        <v>OLD</v>
      </c>
      <c r="V1344" t="str">
        <f t="shared" si="83"/>
        <v>NORMAL</v>
      </c>
    </row>
    <row r="1345" spans="1:22" x14ac:dyDescent="0.35">
      <c r="A1345" t="s">
        <v>3091</v>
      </c>
      <c r="B1345" t="s">
        <v>3092</v>
      </c>
      <c r="C1345">
        <v>46.11</v>
      </c>
      <c r="D1345" s="1">
        <v>45012.713425925926</v>
      </c>
      <c r="E1345" s="2">
        <f t="shared" si="80"/>
        <v>0.71342592592554865</v>
      </c>
      <c r="F1345" s="3">
        <f t="shared" si="81"/>
        <v>45012</v>
      </c>
      <c r="G1345" t="s">
        <v>17</v>
      </c>
      <c r="H1345" t="s">
        <v>212</v>
      </c>
      <c r="I1345" t="s">
        <v>2032</v>
      </c>
      <c r="J1345" t="s">
        <v>991</v>
      </c>
      <c r="K1345" t="s">
        <v>122</v>
      </c>
      <c r="L1345" t="s">
        <v>36</v>
      </c>
      <c r="M1345">
        <v>33</v>
      </c>
      <c r="N1345" t="s">
        <v>23</v>
      </c>
      <c r="O1345">
        <v>233</v>
      </c>
      <c r="P1345">
        <v>1</v>
      </c>
      <c r="Q1345">
        <v>5225.7299999999996</v>
      </c>
      <c r="R1345" s="4">
        <v>45600</v>
      </c>
      <c r="S1345" s="6">
        <v>0.34078703703703705</v>
      </c>
      <c r="T1345">
        <f t="shared" si="82"/>
        <v>17</v>
      </c>
      <c r="U1345" t="str" cm="1">
        <f t="array" ref="U1345">_xlfn.IFS(M1345&lt;=34,"YOUNG",M1345&lt;=54,"MIDDLE AGE",M1345&gt;=55,"OLD")</f>
        <v>YOUNG</v>
      </c>
      <c r="V1345" t="str">
        <f t="shared" si="83"/>
        <v>NORMAL</v>
      </c>
    </row>
    <row r="1346" spans="1:22" x14ac:dyDescent="0.35">
      <c r="A1346" t="s">
        <v>3093</v>
      </c>
      <c r="B1346" t="s">
        <v>1172</v>
      </c>
      <c r="C1346">
        <v>335.5</v>
      </c>
      <c r="D1346" s="1">
        <v>45152.667384259257</v>
      </c>
      <c r="E1346" s="2">
        <f t="shared" ref="E1346:E1409" si="84">D1346-INT(D1346)</f>
        <v>0.66738425925723277</v>
      </c>
      <c r="F1346" s="3">
        <f t="shared" ref="F1346:F1409" si="85">INT(D1346)</f>
        <v>45152</v>
      </c>
      <c r="G1346" t="s">
        <v>17</v>
      </c>
      <c r="H1346" t="s">
        <v>285</v>
      </c>
      <c r="I1346" t="s">
        <v>3094</v>
      </c>
      <c r="J1346" t="s">
        <v>979</v>
      </c>
      <c r="K1346" t="s">
        <v>362</v>
      </c>
      <c r="L1346" t="s">
        <v>22</v>
      </c>
      <c r="M1346">
        <v>63</v>
      </c>
      <c r="N1346" t="s">
        <v>70</v>
      </c>
      <c r="O1346">
        <v>47</v>
      </c>
      <c r="P1346">
        <v>1</v>
      </c>
      <c r="Q1346">
        <v>6445.4</v>
      </c>
      <c r="R1346" s="4">
        <v>45600</v>
      </c>
      <c r="S1346" s="6">
        <v>0.34193287037037035</v>
      </c>
      <c r="T1346">
        <f t="shared" si="82"/>
        <v>16</v>
      </c>
      <c r="U1346" t="str" cm="1">
        <f t="array" ref="U1346">_xlfn.IFS(M1346&lt;=34,"YOUNG",M1346&lt;=54,"MIDDLE AGE",M1346&gt;=55,"OLD")</f>
        <v>OLD</v>
      </c>
      <c r="V1346" t="str">
        <f t="shared" si="83"/>
        <v>NORMAL</v>
      </c>
    </row>
    <row r="1347" spans="1:22" x14ac:dyDescent="0.35">
      <c r="A1347" t="s">
        <v>3095</v>
      </c>
      <c r="B1347" t="s">
        <v>2650</v>
      </c>
      <c r="C1347">
        <v>388.07</v>
      </c>
      <c r="D1347" s="1">
        <v>45174.732037037036</v>
      </c>
      <c r="E1347" s="2">
        <f t="shared" si="84"/>
        <v>0.73203703703620704</v>
      </c>
      <c r="F1347" s="3">
        <f t="shared" si="85"/>
        <v>45174</v>
      </c>
      <c r="G1347" t="s">
        <v>17</v>
      </c>
      <c r="H1347" t="s">
        <v>59</v>
      </c>
      <c r="I1347" t="s">
        <v>1622</v>
      </c>
      <c r="J1347" t="s">
        <v>547</v>
      </c>
      <c r="K1347" t="s">
        <v>652</v>
      </c>
      <c r="L1347" t="s">
        <v>36</v>
      </c>
      <c r="M1347">
        <v>24</v>
      </c>
      <c r="N1347" t="s">
        <v>37</v>
      </c>
      <c r="O1347">
        <v>68</v>
      </c>
      <c r="P1347">
        <v>1</v>
      </c>
      <c r="Q1347">
        <v>289.70999999999998</v>
      </c>
      <c r="R1347" s="4">
        <v>45600</v>
      </c>
      <c r="S1347" s="6">
        <v>0.34070601851851851</v>
      </c>
      <c r="T1347">
        <f t="shared" ref="T1347:T1410" si="86">HOUR(E1347)</f>
        <v>17</v>
      </c>
      <c r="U1347" t="str" cm="1">
        <f t="array" ref="U1347">_xlfn.IFS(M1347&lt;=34,"YOUNG",M1347&lt;=54,"MIDDLE AGE",M1347&gt;=55,"OLD")</f>
        <v>YOUNG</v>
      </c>
      <c r="V1347" t="str">
        <f t="shared" ref="V1347:V1410" si="87">IF(P1347&gt;1,"HIGH","NORMAL")</f>
        <v>NORMAL</v>
      </c>
    </row>
    <row r="1348" spans="1:22" x14ac:dyDescent="0.35">
      <c r="A1348" t="s">
        <v>3096</v>
      </c>
      <c r="B1348" t="s">
        <v>1814</v>
      </c>
      <c r="C1348">
        <v>520.86</v>
      </c>
      <c r="D1348" s="1">
        <v>45005.686828703707</v>
      </c>
      <c r="E1348" s="2">
        <f t="shared" si="84"/>
        <v>0.68682870370685123</v>
      </c>
      <c r="F1348" s="3">
        <f t="shared" si="85"/>
        <v>45005</v>
      </c>
      <c r="G1348" t="s">
        <v>46</v>
      </c>
      <c r="H1348" t="s">
        <v>285</v>
      </c>
      <c r="I1348" t="s">
        <v>109</v>
      </c>
      <c r="J1348" t="s">
        <v>2409</v>
      </c>
      <c r="K1348" t="s">
        <v>111</v>
      </c>
      <c r="L1348" t="s">
        <v>36</v>
      </c>
      <c r="M1348">
        <v>51</v>
      </c>
      <c r="N1348" t="s">
        <v>77</v>
      </c>
      <c r="O1348">
        <v>66</v>
      </c>
      <c r="P1348">
        <v>1</v>
      </c>
      <c r="Q1348">
        <v>9200.74</v>
      </c>
      <c r="R1348" s="4">
        <v>45600</v>
      </c>
      <c r="S1348" s="6">
        <v>0.33943287037037034</v>
      </c>
      <c r="T1348">
        <f t="shared" si="86"/>
        <v>16</v>
      </c>
      <c r="U1348" t="str" cm="1">
        <f t="array" ref="U1348">_xlfn.IFS(M1348&lt;=34,"YOUNG",M1348&lt;=54,"MIDDLE AGE",M1348&gt;=55,"OLD")</f>
        <v>MIDDLE AGE</v>
      </c>
      <c r="V1348" t="str">
        <f t="shared" si="87"/>
        <v>NORMAL</v>
      </c>
    </row>
    <row r="1349" spans="1:22" x14ac:dyDescent="0.35">
      <c r="A1349" t="s">
        <v>3097</v>
      </c>
      <c r="B1349" t="s">
        <v>25</v>
      </c>
      <c r="C1349">
        <v>787.41</v>
      </c>
      <c r="D1349" s="1">
        <v>45096.682268518518</v>
      </c>
      <c r="E1349" s="2">
        <f t="shared" si="84"/>
        <v>0.682268518517958</v>
      </c>
      <c r="F1349" s="3">
        <f t="shared" si="85"/>
        <v>45096</v>
      </c>
      <c r="G1349" t="s">
        <v>17</v>
      </c>
      <c r="H1349" t="s">
        <v>92</v>
      </c>
      <c r="I1349" t="s">
        <v>1241</v>
      </c>
      <c r="J1349" t="s">
        <v>3098</v>
      </c>
      <c r="K1349" t="s">
        <v>427</v>
      </c>
      <c r="L1349" t="s">
        <v>36</v>
      </c>
      <c r="M1349">
        <v>25</v>
      </c>
      <c r="N1349" t="s">
        <v>37</v>
      </c>
      <c r="O1349">
        <v>39</v>
      </c>
      <c r="P1349">
        <v>1</v>
      </c>
      <c r="Q1349">
        <v>300.87</v>
      </c>
      <c r="R1349" s="4">
        <v>45600</v>
      </c>
      <c r="S1349" s="6">
        <v>0.33800925925925923</v>
      </c>
      <c r="T1349">
        <f t="shared" si="86"/>
        <v>16</v>
      </c>
      <c r="U1349" t="str" cm="1">
        <f t="array" ref="U1349">_xlfn.IFS(M1349&lt;=34,"YOUNG",M1349&lt;=54,"MIDDLE AGE",M1349&gt;=55,"OLD")</f>
        <v>YOUNG</v>
      </c>
      <c r="V1349" t="str">
        <f t="shared" si="87"/>
        <v>NORMAL</v>
      </c>
    </row>
    <row r="1350" spans="1:22" x14ac:dyDescent="0.35">
      <c r="A1350" t="s">
        <v>3099</v>
      </c>
      <c r="B1350" t="s">
        <v>2420</v>
      </c>
      <c r="C1350">
        <v>31.7</v>
      </c>
      <c r="D1350" s="1">
        <v>45078.705937500003</v>
      </c>
      <c r="E1350" s="2">
        <f t="shared" si="84"/>
        <v>0.70593750000261934</v>
      </c>
      <c r="F1350" s="3">
        <f t="shared" si="85"/>
        <v>45078</v>
      </c>
      <c r="G1350" t="s">
        <v>46</v>
      </c>
      <c r="H1350" t="s">
        <v>40</v>
      </c>
      <c r="I1350" t="s">
        <v>3100</v>
      </c>
      <c r="J1350" t="s">
        <v>3101</v>
      </c>
      <c r="K1350" t="s">
        <v>226</v>
      </c>
      <c r="L1350" t="s">
        <v>22</v>
      </c>
      <c r="M1350">
        <v>48</v>
      </c>
      <c r="N1350" t="s">
        <v>23</v>
      </c>
      <c r="O1350">
        <v>121</v>
      </c>
      <c r="P1350">
        <v>1</v>
      </c>
      <c r="Q1350">
        <v>743.9</v>
      </c>
      <c r="R1350" s="4">
        <v>45600</v>
      </c>
      <c r="S1350" s="6">
        <v>0.33891203703703704</v>
      </c>
      <c r="T1350">
        <f t="shared" si="86"/>
        <v>16</v>
      </c>
      <c r="U1350" t="str" cm="1">
        <f t="array" ref="U1350">_xlfn.IFS(M1350&lt;=34,"YOUNG",M1350&lt;=54,"MIDDLE AGE",M1350&gt;=55,"OLD")</f>
        <v>MIDDLE AGE</v>
      </c>
      <c r="V1350" t="str">
        <f t="shared" si="87"/>
        <v>NORMAL</v>
      </c>
    </row>
    <row r="1351" spans="1:22" x14ac:dyDescent="0.35">
      <c r="A1351" t="s">
        <v>3102</v>
      </c>
      <c r="B1351" t="s">
        <v>2366</v>
      </c>
      <c r="C1351">
        <v>22.3</v>
      </c>
      <c r="D1351" s="1">
        <v>45047.706446759257</v>
      </c>
      <c r="E1351" s="2">
        <f t="shared" si="84"/>
        <v>0.70644675925723277</v>
      </c>
      <c r="F1351" s="3">
        <f t="shared" si="85"/>
        <v>45047</v>
      </c>
      <c r="G1351" t="s">
        <v>17</v>
      </c>
      <c r="H1351" t="s">
        <v>243</v>
      </c>
      <c r="I1351" t="s">
        <v>2461</v>
      </c>
      <c r="J1351" t="s">
        <v>153</v>
      </c>
      <c r="K1351" t="s">
        <v>95</v>
      </c>
      <c r="L1351" t="s">
        <v>22</v>
      </c>
      <c r="M1351">
        <v>21</v>
      </c>
      <c r="N1351" t="s">
        <v>37</v>
      </c>
      <c r="O1351">
        <v>90</v>
      </c>
      <c r="P1351">
        <v>1</v>
      </c>
      <c r="Q1351">
        <v>1200.3499999999999</v>
      </c>
      <c r="R1351" s="4">
        <v>45600</v>
      </c>
      <c r="S1351" s="6">
        <v>0.34187499999999998</v>
      </c>
      <c r="T1351">
        <f t="shared" si="86"/>
        <v>16</v>
      </c>
      <c r="U1351" t="str" cm="1">
        <f t="array" ref="U1351">_xlfn.IFS(M1351&lt;=34,"YOUNG",M1351&lt;=54,"MIDDLE AGE",M1351&gt;=55,"OLD")</f>
        <v>YOUNG</v>
      </c>
      <c r="V1351" t="str">
        <f t="shared" si="87"/>
        <v>NORMAL</v>
      </c>
    </row>
    <row r="1352" spans="1:22" x14ac:dyDescent="0.35">
      <c r="A1352" t="s">
        <v>3103</v>
      </c>
      <c r="B1352" t="s">
        <v>1547</v>
      </c>
      <c r="C1352">
        <v>203.12</v>
      </c>
      <c r="D1352" s="1">
        <v>44944.708194444444</v>
      </c>
      <c r="E1352" s="2">
        <f t="shared" si="84"/>
        <v>0.70819444444350665</v>
      </c>
      <c r="F1352" s="3">
        <f t="shared" si="85"/>
        <v>44944</v>
      </c>
      <c r="G1352" t="s">
        <v>17</v>
      </c>
      <c r="H1352" t="s">
        <v>223</v>
      </c>
      <c r="I1352" t="s">
        <v>1365</v>
      </c>
      <c r="J1352" t="s">
        <v>615</v>
      </c>
      <c r="K1352" t="s">
        <v>303</v>
      </c>
      <c r="L1352" t="s">
        <v>22</v>
      </c>
      <c r="M1352">
        <v>56</v>
      </c>
      <c r="N1352" t="s">
        <v>70</v>
      </c>
      <c r="O1352">
        <v>181</v>
      </c>
      <c r="P1352">
        <v>1</v>
      </c>
      <c r="Q1352">
        <v>1562.39</v>
      </c>
      <c r="R1352" s="4">
        <v>45600</v>
      </c>
      <c r="S1352" s="6">
        <v>0.33975694444444443</v>
      </c>
      <c r="T1352">
        <f t="shared" si="86"/>
        <v>16</v>
      </c>
      <c r="U1352" t="str" cm="1">
        <f t="array" ref="U1352">_xlfn.IFS(M1352&lt;=34,"YOUNG",M1352&lt;=54,"MIDDLE AGE",M1352&gt;=55,"OLD")</f>
        <v>OLD</v>
      </c>
      <c r="V1352" t="str">
        <f t="shared" si="87"/>
        <v>NORMAL</v>
      </c>
    </row>
    <row r="1353" spans="1:22" x14ac:dyDescent="0.35">
      <c r="A1353" t="s">
        <v>3104</v>
      </c>
      <c r="B1353" t="s">
        <v>3105</v>
      </c>
      <c r="C1353">
        <v>315.94</v>
      </c>
      <c r="D1353" s="1">
        <v>44984.713159722225</v>
      </c>
      <c r="E1353" s="2">
        <f t="shared" si="84"/>
        <v>0.71315972222510027</v>
      </c>
      <c r="F1353" s="3">
        <f t="shared" si="85"/>
        <v>44984</v>
      </c>
      <c r="G1353" t="s">
        <v>46</v>
      </c>
      <c r="H1353" t="s">
        <v>40</v>
      </c>
      <c r="I1353" t="s">
        <v>3106</v>
      </c>
      <c r="J1353" t="s">
        <v>882</v>
      </c>
      <c r="K1353" t="s">
        <v>1209</v>
      </c>
      <c r="L1353" t="s">
        <v>69</v>
      </c>
      <c r="M1353">
        <v>49</v>
      </c>
      <c r="N1353" t="s">
        <v>23</v>
      </c>
      <c r="O1353">
        <v>172</v>
      </c>
      <c r="P1353">
        <v>1</v>
      </c>
      <c r="Q1353">
        <v>7719.71</v>
      </c>
      <c r="R1353" s="4">
        <v>45600</v>
      </c>
      <c r="S1353" s="6">
        <v>0.34177083333333336</v>
      </c>
      <c r="T1353">
        <f t="shared" si="86"/>
        <v>17</v>
      </c>
      <c r="U1353" t="str" cm="1">
        <f t="array" ref="U1353">_xlfn.IFS(M1353&lt;=34,"YOUNG",M1353&lt;=54,"MIDDLE AGE",M1353&gt;=55,"OLD")</f>
        <v>MIDDLE AGE</v>
      </c>
      <c r="V1353" t="str">
        <f t="shared" si="87"/>
        <v>NORMAL</v>
      </c>
    </row>
    <row r="1354" spans="1:22" x14ac:dyDescent="0.35">
      <c r="A1354" t="s">
        <v>3107</v>
      </c>
      <c r="B1354" t="s">
        <v>3006</v>
      </c>
      <c r="C1354">
        <v>192.23</v>
      </c>
      <c r="D1354" s="1">
        <v>45288.690879629627</v>
      </c>
      <c r="E1354" s="2">
        <f t="shared" si="84"/>
        <v>0.69087962962657912</v>
      </c>
      <c r="F1354" s="3">
        <f t="shared" si="85"/>
        <v>45288</v>
      </c>
      <c r="G1354" t="s">
        <v>17</v>
      </c>
      <c r="H1354" t="s">
        <v>86</v>
      </c>
      <c r="I1354" t="s">
        <v>2106</v>
      </c>
      <c r="J1354" t="s">
        <v>1503</v>
      </c>
      <c r="K1354" t="s">
        <v>707</v>
      </c>
      <c r="L1354" t="s">
        <v>36</v>
      </c>
      <c r="M1354">
        <v>54</v>
      </c>
      <c r="N1354" t="s">
        <v>77</v>
      </c>
      <c r="O1354">
        <v>39</v>
      </c>
      <c r="P1354">
        <v>3</v>
      </c>
      <c r="Q1354">
        <v>2610.67</v>
      </c>
      <c r="R1354" s="4">
        <v>45600</v>
      </c>
      <c r="S1354" s="6">
        <v>0.33797453703703706</v>
      </c>
      <c r="T1354">
        <f t="shared" si="86"/>
        <v>16</v>
      </c>
      <c r="U1354" t="str" cm="1">
        <f t="array" ref="U1354">_xlfn.IFS(M1354&lt;=34,"YOUNG",M1354&lt;=54,"MIDDLE AGE",M1354&gt;=55,"OLD")</f>
        <v>MIDDLE AGE</v>
      </c>
      <c r="V1354" t="str">
        <f t="shared" si="87"/>
        <v>HIGH</v>
      </c>
    </row>
    <row r="1355" spans="1:22" x14ac:dyDescent="0.35">
      <c r="A1355" t="s">
        <v>3108</v>
      </c>
      <c r="B1355" t="s">
        <v>1915</v>
      </c>
      <c r="C1355">
        <v>1510.71</v>
      </c>
      <c r="D1355" s="1">
        <v>45092.700335648151</v>
      </c>
      <c r="E1355" s="2">
        <f t="shared" si="84"/>
        <v>0.70033564815093996</v>
      </c>
      <c r="F1355" s="3">
        <f t="shared" si="85"/>
        <v>45092</v>
      </c>
      <c r="G1355" t="s">
        <v>17</v>
      </c>
      <c r="H1355" t="s">
        <v>53</v>
      </c>
      <c r="I1355" t="s">
        <v>1395</v>
      </c>
      <c r="J1355" t="s">
        <v>3109</v>
      </c>
      <c r="K1355" t="s">
        <v>406</v>
      </c>
      <c r="L1355" t="s">
        <v>36</v>
      </c>
      <c r="M1355">
        <v>66</v>
      </c>
      <c r="N1355" t="s">
        <v>70</v>
      </c>
      <c r="O1355">
        <v>51</v>
      </c>
      <c r="P1355">
        <v>1</v>
      </c>
      <c r="Q1355">
        <v>2060.02</v>
      </c>
      <c r="R1355" s="4">
        <v>45600</v>
      </c>
      <c r="S1355" s="6">
        <v>0.33971064814814816</v>
      </c>
      <c r="T1355">
        <f t="shared" si="86"/>
        <v>16</v>
      </c>
      <c r="U1355" t="str" cm="1">
        <f t="array" ref="U1355">_xlfn.IFS(M1355&lt;=34,"YOUNG",M1355&lt;=54,"MIDDLE AGE",M1355&gt;=55,"OLD")</f>
        <v>OLD</v>
      </c>
      <c r="V1355" t="str">
        <f t="shared" si="87"/>
        <v>NORMAL</v>
      </c>
    </row>
    <row r="1356" spans="1:22" x14ac:dyDescent="0.35">
      <c r="A1356" t="s">
        <v>3110</v>
      </c>
      <c r="B1356" t="s">
        <v>2914</v>
      </c>
      <c r="C1356">
        <v>0.26</v>
      </c>
      <c r="D1356" s="1">
        <v>45253.676944444444</v>
      </c>
      <c r="E1356" s="2">
        <f t="shared" si="84"/>
        <v>0.67694444444350665</v>
      </c>
      <c r="F1356" s="3">
        <f t="shared" si="85"/>
        <v>45253</v>
      </c>
      <c r="G1356" t="s">
        <v>17</v>
      </c>
      <c r="H1356" t="s">
        <v>53</v>
      </c>
      <c r="I1356" t="s">
        <v>3025</v>
      </c>
      <c r="J1356" t="s">
        <v>3111</v>
      </c>
      <c r="K1356" t="s">
        <v>277</v>
      </c>
      <c r="L1356" t="s">
        <v>36</v>
      </c>
      <c r="M1356">
        <v>20</v>
      </c>
      <c r="N1356" t="s">
        <v>37</v>
      </c>
      <c r="O1356">
        <v>173</v>
      </c>
      <c r="P1356">
        <v>1</v>
      </c>
      <c r="Q1356">
        <v>1833.67</v>
      </c>
      <c r="R1356" s="4">
        <v>45600</v>
      </c>
      <c r="S1356" s="6">
        <v>0.33871527777777777</v>
      </c>
      <c r="T1356">
        <f t="shared" si="86"/>
        <v>16</v>
      </c>
      <c r="U1356" t="str" cm="1">
        <f t="array" ref="U1356">_xlfn.IFS(M1356&lt;=34,"YOUNG",M1356&lt;=54,"MIDDLE AGE",M1356&gt;=55,"OLD")</f>
        <v>YOUNG</v>
      </c>
      <c r="V1356" t="str">
        <f t="shared" si="87"/>
        <v>NORMAL</v>
      </c>
    </row>
    <row r="1357" spans="1:22" x14ac:dyDescent="0.35">
      <c r="A1357" t="s">
        <v>3112</v>
      </c>
      <c r="B1357" t="s">
        <v>2005</v>
      </c>
      <c r="C1357">
        <v>210.77</v>
      </c>
      <c r="D1357" s="1">
        <v>45077.701620370368</v>
      </c>
      <c r="E1357" s="2">
        <f t="shared" si="84"/>
        <v>0.70162037036789116</v>
      </c>
      <c r="F1357" s="3">
        <f t="shared" si="85"/>
        <v>45077</v>
      </c>
      <c r="G1357" t="s">
        <v>17</v>
      </c>
      <c r="H1357" t="s">
        <v>32</v>
      </c>
      <c r="I1357" t="s">
        <v>2163</v>
      </c>
      <c r="J1357" t="s">
        <v>1779</v>
      </c>
      <c r="K1357" t="s">
        <v>209</v>
      </c>
      <c r="L1357" t="s">
        <v>22</v>
      </c>
      <c r="M1357">
        <v>71</v>
      </c>
      <c r="N1357" t="s">
        <v>70</v>
      </c>
      <c r="O1357">
        <v>161</v>
      </c>
      <c r="P1357">
        <v>1</v>
      </c>
      <c r="Q1357">
        <v>5396.65</v>
      </c>
      <c r="R1357" s="4">
        <v>45600</v>
      </c>
      <c r="S1357" s="6">
        <v>0.34121527777777777</v>
      </c>
      <c r="T1357">
        <f t="shared" si="86"/>
        <v>16</v>
      </c>
      <c r="U1357" t="str" cm="1">
        <f t="array" ref="U1357">_xlfn.IFS(M1357&lt;=34,"YOUNG",M1357&lt;=54,"MIDDLE AGE",M1357&gt;=55,"OLD")</f>
        <v>OLD</v>
      </c>
      <c r="V1357" t="str">
        <f t="shared" si="87"/>
        <v>NORMAL</v>
      </c>
    </row>
    <row r="1358" spans="1:22" x14ac:dyDescent="0.35">
      <c r="A1358" t="s">
        <v>3113</v>
      </c>
      <c r="B1358" t="s">
        <v>1554</v>
      </c>
      <c r="C1358">
        <v>406.65</v>
      </c>
      <c r="D1358" s="1">
        <v>45238.772731481484</v>
      </c>
      <c r="E1358" s="2">
        <f t="shared" si="84"/>
        <v>0.77273148148378823</v>
      </c>
      <c r="F1358" s="3">
        <f t="shared" si="85"/>
        <v>45238</v>
      </c>
      <c r="G1358" t="s">
        <v>17</v>
      </c>
      <c r="H1358" t="s">
        <v>32</v>
      </c>
      <c r="I1358" t="s">
        <v>315</v>
      </c>
      <c r="J1358" t="s">
        <v>623</v>
      </c>
      <c r="K1358" t="s">
        <v>619</v>
      </c>
      <c r="L1358" t="s">
        <v>22</v>
      </c>
      <c r="M1358">
        <v>57</v>
      </c>
      <c r="N1358" t="s">
        <v>23</v>
      </c>
      <c r="O1358">
        <v>107</v>
      </c>
      <c r="P1358">
        <v>1</v>
      </c>
      <c r="Q1358">
        <v>12995.7</v>
      </c>
      <c r="R1358" s="4">
        <v>45600</v>
      </c>
      <c r="S1358" s="6">
        <v>0.34098379629629627</v>
      </c>
      <c r="T1358">
        <f t="shared" si="86"/>
        <v>18</v>
      </c>
      <c r="U1358" t="str" cm="1">
        <f t="array" ref="U1358">_xlfn.IFS(M1358&lt;=34,"YOUNG",M1358&lt;=54,"MIDDLE AGE",M1358&gt;=55,"OLD")</f>
        <v>OLD</v>
      </c>
      <c r="V1358" t="str">
        <f t="shared" si="87"/>
        <v>NORMAL</v>
      </c>
    </row>
    <row r="1359" spans="1:22" x14ac:dyDescent="0.35">
      <c r="A1359" t="s">
        <v>3114</v>
      </c>
      <c r="B1359" t="s">
        <v>1085</v>
      </c>
      <c r="C1359">
        <v>422.9</v>
      </c>
      <c r="D1359" s="1">
        <v>44984.67769675926</v>
      </c>
      <c r="E1359" s="2">
        <f t="shared" si="84"/>
        <v>0.67769675925956108</v>
      </c>
      <c r="F1359" s="3">
        <f t="shared" si="85"/>
        <v>44984</v>
      </c>
      <c r="G1359" t="s">
        <v>17</v>
      </c>
      <c r="H1359" t="s">
        <v>255</v>
      </c>
      <c r="I1359" t="s">
        <v>3115</v>
      </c>
      <c r="J1359" t="s">
        <v>1430</v>
      </c>
      <c r="K1359" t="s">
        <v>1562</v>
      </c>
      <c r="L1359" t="s">
        <v>22</v>
      </c>
      <c r="M1359">
        <v>40</v>
      </c>
      <c r="N1359" t="s">
        <v>77</v>
      </c>
      <c r="O1359">
        <v>111</v>
      </c>
      <c r="P1359">
        <v>1</v>
      </c>
      <c r="Q1359">
        <v>7616.43</v>
      </c>
      <c r="R1359" s="4">
        <v>45600</v>
      </c>
      <c r="S1359" s="6">
        <v>0.34087962962962964</v>
      </c>
      <c r="T1359">
        <f t="shared" si="86"/>
        <v>16</v>
      </c>
      <c r="U1359" t="str" cm="1">
        <f t="array" ref="U1359">_xlfn.IFS(M1359&lt;=34,"YOUNG",M1359&lt;=54,"MIDDLE AGE",M1359&gt;=55,"OLD")</f>
        <v>MIDDLE AGE</v>
      </c>
      <c r="V1359" t="str">
        <f t="shared" si="87"/>
        <v>NORMAL</v>
      </c>
    </row>
    <row r="1360" spans="1:22" x14ac:dyDescent="0.35">
      <c r="A1360" t="s">
        <v>3116</v>
      </c>
      <c r="B1360" t="s">
        <v>804</v>
      </c>
      <c r="C1360">
        <v>20.62</v>
      </c>
      <c r="D1360" s="1">
        <v>45098.715486111112</v>
      </c>
      <c r="E1360" s="2">
        <f t="shared" si="84"/>
        <v>0.71548611111211358</v>
      </c>
      <c r="F1360" s="3">
        <f t="shared" si="85"/>
        <v>45098</v>
      </c>
      <c r="G1360" t="s">
        <v>46</v>
      </c>
      <c r="H1360" t="s">
        <v>243</v>
      </c>
      <c r="I1360" t="s">
        <v>244</v>
      </c>
      <c r="J1360" t="s">
        <v>773</v>
      </c>
      <c r="K1360" t="s">
        <v>240</v>
      </c>
      <c r="L1360" t="s">
        <v>22</v>
      </c>
      <c r="M1360">
        <v>35</v>
      </c>
      <c r="N1360" t="s">
        <v>23</v>
      </c>
      <c r="O1360">
        <v>225</v>
      </c>
      <c r="P1360">
        <v>1</v>
      </c>
      <c r="Q1360">
        <v>12500.8</v>
      </c>
      <c r="R1360" s="4">
        <v>45600</v>
      </c>
      <c r="S1360" s="6">
        <v>0.33945601851851853</v>
      </c>
      <c r="T1360">
        <f t="shared" si="86"/>
        <v>17</v>
      </c>
      <c r="U1360" t="str" cm="1">
        <f t="array" ref="U1360">_xlfn.IFS(M1360&lt;=34,"YOUNG",M1360&lt;=54,"MIDDLE AGE",M1360&gt;=55,"OLD")</f>
        <v>MIDDLE AGE</v>
      </c>
      <c r="V1360" t="str">
        <f t="shared" si="87"/>
        <v>NORMAL</v>
      </c>
    </row>
    <row r="1361" spans="1:22" x14ac:dyDescent="0.35">
      <c r="A1361" t="s">
        <v>3117</v>
      </c>
      <c r="B1361" t="s">
        <v>826</v>
      </c>
      <c r="C1361">
        <v>174.39</v>
      </c>
      <c r="D1361" s="1">
        <v>44935.672824074078</v>
      </c>
      <c r="E1361" s="2">
        <f t="shared" si="84"/>
        <v>0.67282407407765277</v>
      </c>
      <c r="F1361" s="3">
        <f t="shared" si="85"/>
        <v>44935</v>
      </c>
      <c r="G1361" t="s">
        <v>17</v>
      </c>
      <c r="H1361" t="s">
        <v>212</v>
      </c>
      <c r="I1361" t="s">
        <v>522</v>
      </c>
      <c r="J1361" t="s">
        <v>575</v>
      </c>
      <c r="K1361" t="s">
        <v>21</v>
      </c>
      <c r="L1361" t="s">
        <v>22</v>
      </c>
      <c r="M1361">
        <v>19</v>
      </c>
      <c r="N1361" t="s">
        <v>37</v>
      </c>
      <c r="O1361">
        <v>36</v>
      </c>
      <c r="P1361">
        <v>1</v>
      </c>
      <c r="Q1361">
        <v>1127.08</v>
      </c>
      <c r="R1361" s="4">
        <v>45600</v>
      </c>
      <c r="S1361" s="6">
        <v>0.34098379629629627</v>
      </c>
      <c r="T1361">
        <f t="shared" si="86"/>
        <v>16</v>
      </c>
      <c r="U1361" t="str" cm="1">
        <f t="array" ref="U1361">_xlfn.IFS(M1361&lt;=34,"YOUNG",M1361&lt;=54,"MIDDLE AGE",M1361&gt;=55,"OLD")</f>
        <v>YOUNG</v>
      </c>
      <c r="V1361" t="str">
        <f t="shared" si="87"/>
        <v>NORMAL</v>
      </c>
    </row>
    <row r="1362" spans="1:22" x14ac:dyDescent="0.35">
      <c r="A1362" t="s">
        <v>3118</v>
      </c>
      <c r="B1362" t="s">
        <v>927</v>
      </c>
      <c r="C1362">
        <v>7.86</v>
      </c>
      <c r="D1362" s="1">
        <v>45215.699479166666</v>
      </c>
      <c r="E1362" s="2">
        <f t="shared" si="84"/>
        <v>0.69947916666569654</v>
      </c>
      <c r="F1362" s="3">
        <f t="shared" si="85"/>
        <v>45215</v>
      </c>
      <c r="G1362" t="s">
        <v>46</v>
      </c>
      <c r="H1362" t="s">
        <v>285</v>
      </c>
      <c r="I1362" t="s">
        <v>1965</v>
      </c>
      <c r="J1362" t="s">
        <v>1246</v>
      </c>
      <c r="K1362" t="s">
        <v>200</v>
      </c>
      <c r="L1362" t="s">
        <v>69</v>
      </c>
      <c r="M1362">
        <v>76</v>
      </c>
      <c r="N1362" t="s">
        <v>70</v>
      </c>
      <c r="O1362">
        <v>91</v>
      </c>
      <c r="P1362">
        <v>1</v>
      </c>
      <c r="Q1362">
        <v>3621.98</v>
      </c>
      <c r="R1362" s="4">
        <v>45600</v>
      </c>
      <c r="S1362" s="6">
        <v>0.33878472222222222</v>
      </c>
      <c r="T1362">
        <f t="shared" si="86"/>
        <v>16</v>
      </c>
      <c r="U1362" t="str" cm="1">
        <f t="array" ref="U1362">_xlfn.IFS(M1362&lt;=34,"YOUNG",M1362&lt;=54,"MIDDLE AGE",M1362&gt;=55,"OLD")</f>
        <v>OLD</v>
      </c>
      <c r="V1362" t="str">
        <f t="shared" si="87"/>
        <v>NORMAL</v>
      </c>
    </row>
    <row r="1363" spans="1:22" x14ac:dyDescent="0.35">
      <c r="A1363" t="s">
        <v>3119</v>
      </c>
      <c r="B1363" t="s">
        <v>1472</v>
      </c>
      <c r="C1363">
        <v>61.98</v>
      </c>
      <c r="D1363" s="1">
        <v>44929.762662037036</v>
      </c>
      <c r="E1363" s="2">
        <f t="shared" si="84"/>
        <v>0.76266203703562496</v>
      </c>
      <c r="F1363" s="3">
        <f t="shared" si="85"/>
        <v>44929</v>
      </c>
      <c r="G1363" t="s">
        <v>17</v>
      </c>
      <c r="H1363" t="s">
        <v>114</v>
      </c>
      <c r="I1363" t="s">
        <v>2604</v>
      </c>
      <c r="J1363" t="s">
        <v>1474</v>
      </c>
      <c r="K1363" t="s">
        <v>858</v>
      </c>
      <c r="L1363" t="s">
        <v>36</v>
      </c>
      <c r="M1363">
        <v>49</v>
      </c>
      <c r="N1363" t="s">
        <v>77</v>
      </c>
      <c r="O1363">
        <v>44</v>
      </c>
      <c r="P1363">
        <v>1</v>
      </c>
      <c r="Q1363">
        <v>5212.28</v>
      </c>
      <c r="R1363" s="4">
        <v>45600</v>
      </c>
      <c r="S1363" s="6">
        <v>0.33952546296296299</v>
      </c>
      <c r="T1363">
        <f t="shared" si="86"/>
        <v>18</v>
      </c>
      <c r="U1363" t="str" cm="1">
        <f t="array" ref="U1363">_xlfn.IFS(M1363&lt;=34,"YOUNG",M1363&lt;=54,"MIDDLE AGE",M1363&gt;=55,"OLD")</f>
        <v>MIDDLE AGE</v>
      </c>
      <c r="V1363" t="str">
        <f t="shared" si="87"/>
        <v>NORMAL</v>
      </c>
    </row>
    <row r="1364" spans="1:22" x14ac:dyDescent="0.35">
      <c r="A1364" t="s">
        <v>3120</v>
      </c>
      <c r="B1364" t="s">
        <v>2650</v>
      </c>
      <c r="C1364">
        <v>54.85</v>
      </c>
      <c r="D1364" s="1">
        <v>45174.670810185184</v>
      </c>
      <c r="E1364" s="2">
        <f t="shared" si="84"/>
        <v>0.67081018518365454</v>
      </c>
      <c r="F1364" s="3">
        <f t="shared" si="85"/>
        <v>45174</v>
      </c>
      <c r="G1364" t="s">
        <v>46</v>
      </c>
      <c r="H1364" t="s">
        <v>212</v>
      </c>
      <c r="I1364" t="s">
        <v>1441</v>
      </c>
      <c r="J1364" t="s">
        <v>1637</v>
      </c>
      <c r="K1364" t="s">
        <v>358</v>
      </c>
      <c r="L1364" t="s">
        <v>69</v>
      </c>
      <c r="M1364">
        <v>58</v>
      </c>
      <c r="N1364" t="s">
        <v>70</v>
      </c>
      <c r="O1364">
        <v>40</v>
      </c>
      <c r="P1364">
        <v>1</v>
      </c>
      <c r="Q1364">
        <v>2727.45</v>
      </c>
      <c r="R1364" s="4">
        <v>45600</v>
      </c>
      <c r="S1364" s="6">
        <v>0.34</v>
      </c>
      <c r="T1364">
        <f t="shared" si="86"/>
        <v>16</v>
      </c>
      <c r="U1364" t="str" cm="1">
        <f t="array" ref="U1364">_xlfn.IFS(M1364&lt;=34,"YOUNG",M1364&lt;=54,"MIDDLE AGE",M1364&gt;=55,"OLD")</f>
        <v>OLD</v>
      </c>
      <c r="V1364" t="str">
        <f t="shared" si="87"/>
        <v>NORMAL</v>
      </c>
    </row>
    <row r="1365" spans="1:22" x14ac:dyDescent="0.35">
      <c r="A1365" t="s">
        <v>3121</v>
      </c>
      <c r="B1365" t="s">
        <v>2707</v>
      </c>
      <c r="C1365">
        <v>204.7</v>
      </c>
      <c r="D1365" s="1">
        <v>45190.672222222223</v>
      </c>
      <c r="E1365" s="2">
        <f t="shared" si="84"/>
        <v>0.67222222222335404</v>
      </c>
      <c r="F1365" s="3">
        <f t="shared" si="85"/>
        <v>45190</v>
      </c>
      <c r="G1365" t="s">
        <v>17</v>
      </c>
      <c r="H1365" t="s">
        <v>53</v>
      </c>
      <c r="I1365" t="s">
        <v>1939</v>
      </c>
      <c r="J1365" t="s">
        <v>1581</v>
      </c>
      <c r="K1365" t="s">
        <v>418</v>
      </c>
      <c r="L1365" t="s">
        <v>69</v>
      </c>
      <c r="M1365">
        <v>49</v>
      </c>
      <c r="N1365" t="s">
        <v>23</v>
      </c>
      <c r="O1365">
        <v>95</v>
      </c>
      <c r="P1365">
        <v>5</v>
      </c>
      <c r="Q1365">
        <v>5117.03</v>
      </c>
      <c r="R1365" s="4">
        <v>45600</v>
      </c>
      <c r="S1365" s="6">
        <v>0.34057870370370369</v>
      </c>
      <c r="T1365">
        <f t="shared" si="86"/>
        <v>16</v>
      </c>
      <c r="U1365" t="str" cm="1">
        <f t="array" ref="U1365">_xlfn.IFS(M1365&lt;=34,"YOUNG",M1365&lt;=54,"MIDDLE AGE",M1365&gt;=55,"OLD")</f>
        <v>MIDDLE AGE</v>
      </c>
      <c r="V1365" t="str">
        <f t="shared" si="87"/>
        <v>HIGH</v>
      </c>
    </row>
    <row r="1366" spans="1:22" x14ac:dyDescent="0.35">
      <c r="A1366" t="s">
        <v>3122</v>
      </c>
      <c r="B1366" t="s">
        <v>1644</v>
      </c>
      <c r="C1366">
        <v>16.55</v>
      </c>
      <c r="D1366" s="1">
        <v>45180.712384259263</v>
      </c>
      <c r="E1366" s="2">
        <f t="shared" si="84"/>
        <v>0.7123842592627625</v>
      </c>
      <c r="F1366" s="3">
        <f t="shared" si="85"/>
        <v>45180</v>
      </c>
      <c r="G1366" t="s">
        <v>17</v>
      </c>
      <c r="H1366" t="s">
        <v>255</v>
      </c>
      <c r="I1366" t="s">
        <v>551</v>
      </c>
      <c r="J1366" t="s">
        <v>2535</v>
      </c>
      <c r="K1366" t="s">
        <v>35</v>
      </c>
      <c r="L1366" t="s">
        <v>69</v>
      </c>
      <c r="M1366">
        <v>26</v>
      </c>
      <c r="N1366" t="s">
        <v>77</v>
      </c>
      <c r="O1366">
        <v>159</v>
      </c>
      <c r="P1366">
        <v>1</v>
      </c>
      <c r="Q1366">
        <v>6089.79</v>
      </c>
      <c r="R1366" s="4">
        <v>45600</v>
      </c>
      <c r="S1366" s="6">
        <v>0.33901620370370372</v>
      </c>
      <c r="T1366">
        <f t="shared" si="86"/>
        <v>17</v>
      </c>
      <c r="U1366" t="str" cm="1">
        <f t="array" ref="U1366">_xlfn.IFS(M1366&lt;=34,"YOUNG",M1366&lt;=54,"MIDDLE AGE",M1366&gt;=55,"OLD")</f>
        <v>YOUNG</v>
      </c>
      <c r="V1366" t="str">
        <f t="shared" si="87"/>
        <v>NORMAL</v>
      </c>
    </row>
    <row r="1367" spans="1:22" x14ac:dyDescent="0.35">
      <c r="A1367" t="s">
        <v>3123</v>
      </c>
      <c r="B1367" t="s">
        <v>1069</v>
      </c>
      <c r="C1367">
        <v>91.32</v>
      </c>
      <c r="D1367" s="1">
        <v>45240.697048611109</v>
      </c>
      <c r="E1367" s="2">
        <f t="shared" si="84"/>
        <v>0.69704861110949423</v>
      </c>
      <c r="F1367" s="3">
        <f t="shared" si="85"/>
        <v>45240</v>
      </c>
      <c r="G1367" t="s">
        <v>17</v>
      </c>
      <c r="H1367" t="s">
        <v>178</v>
      </c>
      <c r="I1367" t="s">
        <v>1871</v>
      </c>
      <c r="J1367" t="s">
        <v>230</v>
      </c>
      <c r="K1367" t="s">
        <v>682</v>
      </c>
      <c r="L1367" t="s">
        <v>69</v>
      </c>
      <c r="M1367">
        <v>58</v>
      </c>
      <c r="N1367" t="s">
        <v>77</v>
      </c>
      <c r="O1367">
        <v>77</v>
      </c>
      <c r="P1367">
        <v>1</v>
      </c>
      <c r="Q1367">
        <v>2618.1</v>
      </c>
      <c r="R1367" s="4">
        <v>45600</v>
      </c>
      <c r="S1367" s="6">
        <v>0.33914351851851854</v>
      </c>
      <c r="T1367">
        <f t="shared" si="86"/>
        <v>16</v>
      </c>
      <c r="U1367" t="str" cm="1">
        <f t="array" ref="U1367">_xlfn.IFS(M1367&lt;=34,"YOUNG",M1367&lt;=54,"MIDDLE AGE",M1367&gt;=55,"OLD")</f>
        <v>OLD</v>
      </c>
      <c r="V1367" t="str">
        <f t="shared" si="87"/>
        <v>NORMAL</v>
      </c>
    </row>
    <row r="1368" spans="1:22" x14ac:dyDescent="0.35">
      <c r="A1368" t="s">
        <v>3124</v>
      </c>
      <c r="B1368" t="s">
        <v>764</v>
      </c>
      <c r="C1368">
        <v>195.49</v>
      </c>
      <c r="D1368" s="1">
        <v>45089.690960648149</v>
      </c>
      <c r="E1368" s="2">
        <f t="shared" si="84"/>
        <v>0.69096064814948477</v>
      </c>
      <c r="F1368" s="3">
        <f t="shared" si="85"/>
        <v>45089</v>
      </c>
      <c r="G1368" t="s">
        <v>17</v>
      </c>
      <c r="H1368" t="s">
        <v>92</v>
      </c>
      <c r="I1368" t="s">
        <v>2361</v>
      </c>
      <c r="J1368" t="s">
        <v>1505</v>
      </c>
      <c r="K1368" t="s">
        <v>1810</v>
      </c>
      <c r="L1368" t="s">
        <v>22</v>
      </c>
      <c r="M1368">
        <v>31</v>
      </c>
      <c r="N1368" t="s">
        <v>23</v>
      </c>
      <c r="O1368">
        <v>212</v>
      </c>
      <c r="P1368">
        <v>1</v>
      </c>
      <c r="Q1368">
        <v>11988.12</v>
      </c>
      <c r="R1368" s="4">
        <v>45600</v>
      </c>
      <c r="S1368" s="6">
        <v>0.33929398148148149</v>
      </c>
      <c r="T1368">
        <f t="shared" si="86"/>
        <v>16</v>
      </c>
      <c r="U1368" t="str" cm="1">
        <f t="array" ref="U1368">_xlfn.IFS(M1368&lt;=34,"YOUNG",M1368&lt;=54,"MIDDLE AGE",M1368&gt;=55,"OLD")</f>
        <v>YOUNG</v>
      </c>
      <c r="V1368" t="str">
        <f t="shared" si="87"/>
        <v>NORMAL</v>
      </c>
    </row>
    <row r="1369" spans="1:22" x14ac:dyDescent="0.35">
      <c r="A1369" t="s">
        <v>3125</v>
      </c>
      <c r="B1369" t="s">
        <v>781</v>
      </c>
      <c r="C1369">
        <v>49.62</v>
      </c>
      <c r="D1369" s="1">
        <v>45267.679942129631</v>
      </c>
      <c r="E1369" s="2">
        <f t="shared" si="84"/>
        <v>0.67994212963094469</v>
      </c>
      <c r="F1369" s="3">
        <f t="shared" si="85"/>
        <v>45267</v>
      </c>
      <c r="G1369" t="s">
        <v>17</v>
      </c>
      <c r="H1369" t="s">
        <v>595</v>
      </c>
      <c r="I1369" t="s">
        <v>3126</v>
      </c>
      <c r="J1369" t="s">
        <v>2111</v>
      </c>
      <c r="K1369" t="s">
        <v>288</v>
      </c>
      <c r="L1369" t="s">
        <v>22</v>
      </c>
      <c r="M1369">
        <v>55</v>
      </c>
      <c r="N1369" t="s">
        <v>77</v>
      </c>
      <c r="O1369">
        <v>111</v>
      </c>
      <c r="P1369">
        <v>1</v>
      </c>
      <c r="Q1369">
        <v>3841.42</v>
      </c>
      <c r="R1369" s="4">
        <v>45600</v>
      </c>
      <c r="S1369" s="6">
        <v>0.33846064814814814</v>
      </c>
      <c r="T1369">
        <f t="shared" si="86"/>
        <v>16</v>
      </c>
      <c r="U1369" t="str" cm="1">
        <f t="array" ref="U1369">_xlfn.IFS(M1369&lt;=34,"YOUNG",M1369&lt;=54,"MIDDLE AGE",M1369&gt;=55,"OLD")</f>
        <v>OLD</v>
      </c>
      <c r="V1369" t="str">
        <f t="shared" si="87"/>
        <v>NORMAL</v>
      </c>
    </row>
    <row r="1370" spans="1:22" x14ac:dyDescent="0.35">
      <c r="A1370" t="s">
        <v>3127</v>
      </c>
      <c r="B1370" t="s">
        <v>1256</v>
      </c>
      <c r="C1370">
        <v>487.16</v>
      </c>
      <c r="D1370" s="1">
        <v>44928.667523148149</v>
      </c>
      <c r="E1370" s="2">
        <f t="shared" si="84"/>
        <v>0.66752314814948477</v>
      </c>
      <c r="F1370" s="3">
        <f t="shared" si="85"/>
        <v>44928</v>
      </c>
      <c r="G1370" t="s">
        <v>46</v>
      </c>
      <c r="H1370" t="s">
        <v>140</v>
      </c>
      <c r="I1370" t="s">
        <v>3128</v>
      </c>
      <c r="J1370" t="s">
        <v>2013</v>
      </c>
      <c r="K1370" t="s">
        <v>543</v>
      </c>
      <c r="L1370" t="s">
        <v>69</v>
      </c>
      <c r="M1370">
        <v>28</v>
      </c>
      <c r="N1370" t="s">
        <v>37</v>
      </c>
      <c r="O1370">
        <v>84</v>
      </c>
      <c r="P1370">
        <v>1</v>
      </c>
      <c r="Q1370">
        <v>321.20999999999998</v>
      </c>
      <c r="R1370" s="4">
        <v>45600</v>
      </c>
      <c r="S1370" s="6">
        <v>0.34192129629629631</v>
      </c>
      <c r="T1370">
        <f t="shared" si="86"/>
        <v>16</v>
      </c>
      <c r="U1370" t="str" cm="1">
        <f t="array" ref="U1370">_xlfn.IFS(M1370&lt;=34,"YOUNG",M1370&lt;=54,"MIDDLE AGE",M1370&gt;=55,"OLD")</f>
        <v>YOUNG</v>
      </c>
      <c r="V1370" t="str">
        <f t="shared" si="87"/>
        <v>NORMAL</v>
      </c>
    </row>
    <row r="1371" spans="1:22" x14ac:dyDescent="0.35">
      <c r="A1371" t="s">
        <v>3129</v>
      </c>
      <c r="B1371" t="s">
        <v>1703</v>
      </c>
      <c r="C1371">
        <v>405.6</v>
      </c>
      <c r="D1371" s="1">
        <v>45146.737280092595</v>
      </c>
      <c r="E1371" s="2">
        <f t="shared" si="84"/>
        <v>0.73728009259502869</v>
      </c>
      <c r="F1371" s="3">
        <f t="shared" si="85"/>
        <v>45146</v>
      </c>
      <c r="G1371" t="s">
        <v>17</v>
      </c>
      <c r="H1371" t="s">
        <v>255</v>
      </c>
      <c r="I1371" t="s">
        <v>1937</v>
      </c>
      <c r="J1371" t="s">
        <v>2822</v>
      </c>
      <c r="K1371" t="s">
        <v>1000</v>
      </c>
      <c r="L1371" t="s">
        <v>36</v>
      </c>
      <c r="M1371">
        <v>37</v>
      </c>
      <c r="N1371" t="s">
        <v>77</v>
      </c>
      <c r="O1371">
        <v>44</v>
      </c>
      <c r="P1371">
        <v>1</v>
      </c>
      <c r="Q1371">
        <v>9754.73</v>
      </c>
      <c r="R1371" s="4">
        <v>45600</v>
      </c>
      <c r="S1371" s="6">
        <v>0.33986111111111111</v>
      </c>
      <c r="T1371">
        <f t="shared" si="86"/>
        <v>17</v>
      </c>
      <c r="U1371" t="str" cm="1">
        <f t="array" ref="U1371">_xlfn.IFS(M1371&lt;=34,"YOUNG",M1371&lt;=54,"MIDDLE AGE",M1371&gt;=55,"OLD")</f>
        <v>MIDDLE AGE</v>
      </c>
      <c r="V1371" t="str">
        <f t="shared" si="87"/>
        <v>NORMAL</v>
      </c>
    </row>
    <row r="1372" spans="1:22" x14ac:dyDescent="0.35">
      <c r="A1372" t="s">
        <v>3130</v>
      </c>
      <c r="B1372" t="s">
        <v>232</v>
      </c>
      <c r="C1372">
        <v>512.95000000000005</v>
      </c>
      <c r="D1372" s="1">
        <v>45215.714305555557</v>
      </c>
      <c r="E1372" s="2">
        <f t="shared" si="84"/>
        <v>0.71430555555707542</v>
      </c>
      <c r="F1372" s="3">
        <f t="shared" si="85"/>
        <v>45215</v>
      </c>
      <c r="G1372" t="s">
        <v>17</v>
      </c>
      <c r="H1372" t="s">
        <v>125</v>
      </c>
      <c r="I1372" t="s">
        <v>2806</v>
      </c>
      <c r="J1372" t="s">
        <v>239</v>
      </c>
      <c r="K1372" t="s">
        <v>386</v>
      </c>
      <c r="L1372" t="s">
        <v>69</v>
      </c>
      <c r="M1372">
        <v>57</v>
      </c>
      <c r="N1372" t="s">
        <v>77</v>
      </c>
      <c r="O1372">
        <v>143</v>
      </c>
      <c r="P1372">
        <v>1</v>
      </c>
      <c r="Q1372">
        <v>9584.52</v>
      </c>
      <c r="R1372" s="4">
        <v>45600</v>
      </c>
      <c r="S1372" s="6">
        <v>0.34033564814814815</v>
      </c>
      <c r="T1372">
        <f t="shared" si="86"/>
        <v>17</v>
      </c>
      <c r="U1372" t="str" cm="1">
        <f t="array" ref="U1372">_xlfn.IFS(M1372&lt;=34,"YOUNG",M1372&lt;=54,"MIDDLE AGE",M1372&gt;=55,"OLD")</f>
        <v>OLD</v>
      </c>
      <c r="V1372" t="str">
        <f t="shared" si="87"/>
        <v>NORMAL</v>
      </c>
    </row>
    <row r="1373" spans="1:22" x14ac:dyDescent="0.35">
      <c r="A1373" t="s">
        <v>3131</v>
      </c>
      <c r="B1373" t="s">
        <v>442</v>
      </c>
      <c r="C1373">
        <v>345.94</v>
      </c>
      <c r="D1373" s="1">
        <v>45208.731215277781</v>
      </c>
      <c r="E1373" s="2">
        <f t="shared" si="84"/>
        <v>0.73121527778130258</v>
      </c>
      <c r="F1373" s="3">
        <f t="shared" si="85"/>
        <v>45208</v>
      </c>
      <c r="G1373" t="s">
        <v>17</v>
      </c>
      <c r="H1373" t="s">
        <v>595</v>
      </c>
      <c r="I1373" t="s">
        <v>1734</v>
      </c>
      <c r="J1373" t="s">
        <v>948</v>
      </c>
      <c r="K1373" t="s">
        <v>740</v>
      </c>
      <c r="L1373" t="s">
        <v>22</v>
      </c>
      <c r="M1373">
        <v>31</v>
      </c>
      <c r="N1373" t="s">
        <v>23</v>
      </c>
      <c r="O1373">
        <v>163</v>
      </c>
      <c r="P1373">
        <v>1</v>
      </c>
      <c r="Q1373">
        <v>7624.56</v>
      </c>
      <c r="R1373" s="4">
        <v>45600</v>
      </c>
      <c r="S1373" s="6">
        <v>0.34143518518518517</v>
      </c>
      <c r="T1373">
        <f t="shared" si="86"/>
        <v>17</v>
      </c>
      <c r="U1373" t="str" cm="1">
        <f t="array" ref="U1373">_xlfn.IFS(M1373&lt;=34,"YOUNG",M1373&lt;=54,"MIDDLE AGE",M1373&gt;=55,"OLD")</f>
        <v>YOUNG</v>
      </c>
      <c r="V1373" t="str">
        <f t="shared" si="87"/>
        <v>NORMAL</v>
      </c>
    </row>
    <row r="1374" spans="1:22" x14ac:dyDescent="0.35">
      <c r="A1374" t="s">
        <v>3132</v>
      </c>
      <c r="B1374" t="s">
        <v>1425</v>
      </c>
      <c r="C1374">
        <v>356.56</v>
      </c>
      <c r="D1374" s="1">
        <v>45208.724548611113</v>
      </c>
      <c r="E1374" s="2">
        <f t="shared" si="84"/>
        <v>0.72454861111327773</v>
      </c>
      <c r="F1374" s="3">
        <f t="shared" si="85"/>
        <v>45208</v>
      </c>
      <c r="G1374" t="s">
        <v>17</v>
      </c>
      <c r="H1374" t="s">
        <v>203</v>
      </c>
      <c r="I1374" t="s">
        <v>1265</v>
      </c>
      <c r="J1374" t="s">
        <v>1259</v>
      </c>
      <c r="K1374" t="s">
        <v>740</v>
      </c>
      <c r="L1374" t="s">
        <v>36</v>
      </c>
      <c r="M1374">
        <v>47</v>
      </c>
      <c r="N1374" t="s">
        <v>77</v>
      </c>
      <c r="O1374">
        <v>52</v>
      </c>
      <c r="P1374">
        <v>1</v>
      </c>
      <c r="Q1374">
        <v>2485.73</v>
      </c>
      <c r="R1374" s="4">
        <v>45600</v>
      </c>
      <c r="S1374" s="6">
        <v>0.34163194444444445</v>
      </c>
      <c r="T1374">
        <f t="shared" si="86"/>
        <v>17</v>
      </c>
      <c r="U1374" t="str" cm="1">
        <f t="array" ref="U1374">_xlfn.IFS(M1374&lt;=34,"YOUNG",M1374&lt;=54,"MIDDLE AGE",M1374&gt;=55,"OLD")</f>
        <v>MIDDLE AGE</v>
      </c>
      <c r="V1374" t="str">
        <f t="shared" si="87"/>
        <v>NORMAL</v>
      </c>
    </row>
    <row r="1375" spans="1:22" x14ac:dyDescent="0.35">
      <c r="A1375" t="s">
        <v>3133</v>
      </c>
      <c r="B1375" t="s">
        <v>215</v>
      </c>
      <c r="C1375">
        <v>10.31</v>
      </c>
      <c r="D1375" s="1">
        <v>44939.683287037034</v>
      </c>
      <c r="E1375" s="2">
        <f t="shared" si="84"/>
        <v>0.68328703703446081</v>
      </c>
      <c r="F1375" s="3">
        <f t="shared" si="85"/>
        <v>44939</v>
      </c>
      <c r="G1375" t="s">
        <v>17</v>
      </c>
      <c r="H1375" t="s">
        <v>108</v>
      </c>
      <c r="I1375" t="s">
        <v>1305</v>
      </c>
      <c r="J1375" t="s">
        <v>1481</v>
      </c>
      <c r="K1375" t="s">
        <v>56</v>
      </c>
      <c r="L1375" t="s">
        <v>36</v>
      </c>
      <c r="M1375">
        <v>36</v>
      </c>
      <c r="N1375" t="s">
        <v>77</v>
      </c>
      <c r="O1375">
        <v>280</v>
      </c>
      <c r="P1375">
        <v>1</v>
      </c>
      <c r="Q1375">
        <v>2137.9</v>
      </c>
      <c r="R1375" s="4">
        <v>45600</v>
      </c>
      <c r="S1375" s="6">
        <v>0.34113425925925928</v>
      </c>
      <c r="T1375">
        <f t="shared" si="86"/>
        <v>16</v>
      </c>
      <c r="U1375" t="str" cm="1">
        <f t="array" ref="U1375">_xlfn.IFS(M1375&lt;=34,"YOUNG",M1375&lt;=54,"MIDDLE AGE",M1375&gt;=55,"OLD")</f>
        <v>MIDDLE AGE</v>
      </c>
      <c r="V1375" t="str">
        <f t="shared" si="87"/>
        <v>NORMAL</v>
      </c>
    </row>
    <row r="1376" spans="1:22" x14ac:dyDescent="0.35">
      <c r="A1376" t="s">
        <v>3134</v>
      </c>
      <c r="B1376" t="s">
        <v>2005</v>
      </c>
      <c r="C1376">
        <v>211.69</v>
      </c>
      <c r="D1376" s="1">
        <v>45219.668136574073</v>
      </c>
      <c r="E1376" s="2">
        <f t="shared" si="84"/>
        <v>0.66813657407328719</v>
      </c>
      <c r="F1376" s="3">
        <f t="shared" si="85"/>
        <v>45219</v>
      </c>
      <c r="G1376" t="s">
        <v>17</v>
      </c>
      <c r="H1376" t="s">
        <v>47</v>
      </c>
      <c r="I1376" t="s">
        <v>2170</v>
      </c>
      <c r="J1376" t="s">
        <v>42</v>
      </c>
      <c r="K1376" t="s">
        <v>386</v>
      </c>
      <c r="L1376" t="s">
        <v>69</v>
      </c>
      <c r="M1376">
        <v>30</v>
      </c>
      <c r="N1376" t="s">
        <v>23</v>
      </c>
      <c r="O1376">
        <v>111</v>
      </c>
      <c r="P1376">
        <v>1</v>
      </c>
      <c r="Q1376">
        <v>6412.85</v>
      </c>
      <c r="R1376" s="4">
        <v>45600</v>
      </c>
      <c r="S1376" s="6">
        <v>0.33877314814814813</v>
      </c>
      <c r="T1376">
        <f t="shared" si="86"/>
        <v>16</v>
      </c>
      <c r="U1376" t="str" cm="1">
        <f t="array" ref="U1376">_xlfn.IFS(M1376&lt;=34,"YOUNG",M1376&lt;=54,"MIDDLE AGE",M1376&gt;=55,"OLD")</f>
        <v>YOUNG</v>
      </c>
      <c r="V1376" t="str">
        <f t="shared" si="87"/>
        <v>NORMAL</v>
      </c>
    </row>
    <row r="1377" spans="1:22" x14ac:dyDescent="0.35">
      <c r="A1377" t="s">
        <v>3135</v>
      </c>
      <c r="B1377" t="s">
        <v>3136</v>
      </c>
      <c r="C1377">
        <v>221.49</v>
      </c>
      <c r="D1377" s="1">
        <v>45182.757893518516</v>
      </c>
      <c r="E1377" s="2">
        <f t="shared" si="84"/>
        <v>0.75789351851562969</v>
      </c>
      <c r="F1377" s="3">
        <f t="shared" si="85"/>
        <v>45182</v>
      </c>
      <c r="G1377" t="s">
        <v>46</v>
      </c>
      <c r="H1377" t="s">
        <v>53</v>
      </c>
      <c r="I1377" t="s">
        <v>928</v>
      </c>
      <c r="J1377" t="s">
        <v>1309</v>
      </c>
      <c r="K1377" t="s">
        <v>29</v>
      </c>
      <c r="L1377" t="s">
        <v>69</v>
      </c>
      <c r="M1377">
        <v>23</v>
      </c>
      <c r="N1377" t="s">
        <v>37</v>
      </c>
      <c r="O1377">
        <v>196</v>
      </c>
      <c r="P1377">
        <v>1</v>
      </c>
      <c r="Q1377">
        <v>707.25</v>
      </c>
      <c r="R1377" s="4">
        <v>45600</v>
      </c>
      <c r="S1377" s="6">
        <v>0.34155092592592595</v>
      </c>
      <c r="T1377">
        <f t="shared" si="86"/>
        <v>18</v>
      </c>
      <c r="U1377" t="str" cm="1">
        <f t="array" ref="U1377">_xlfn.IFS(M1377&lt;=34,"YOUNG",M1377&lt;=54,"MIDDLE AGE",M1377&gt;=55,"OLD")</f>
        <v>YOUNG</v>
      </c>
      <c r="V1377" t="str">
        <f t="shared" si="87"/>
        <v>NORMAL</v>
      </c>
    </row>
    <row r="1378" spans="1:22" x14ac:dyDescent="0.35">
      <c r="A1378" t="s">
        <v>3137</v>
      </c>
      <c r="B1378" t="s">
        <v>1599</v>
      </c>
      <c r="C1378">
        <v>278.23</v>
      </c>
      <c r="D1378" s="1">
        <v>45050.742743055554</v>
      </c>
      <c r="E1378" s="2">
        <f t="shared" si="84"/>
        <v>0.74274305555445608</v>
      </c>
      <c r="F1378" s="3">
        <f t="shared" si="85"/>
        <v>45050</v>
      </c>
      <c r="G1378" t="s">
        <v>17</v>
      </c>
      <c r="H1378" t="s">
        <v>558</v>
      </c>
      <c r="I1378" t="s">
        <v>131</v>
      </c>
      <c r="J1378" t="s">
        <v>2738</v>
      </c>
      <c r="K1378" t="s">
        <v>62</v>
      </c>
      <c r="L1378" t="s">
        <v>36</v>
      </c>
      <c r="M1378">
        <v>48</v>
      </c>
      <c r="N1378" t="s">
        <v>77</v>
      </c>
      <c r="O1378">
        <v>83</v>
      </c>
      <c r="P1378">
        <v>1</v>
      </c>
      <c r="Q1378">
        <v>8300.5400000000009</v>
      </c>
      <c r="R1378" s="4">
        <v>45600</v>
      </c>
      <c r="S1378" s="6">
        <v>0.34011574074074075</v>
      </c>
      <c r="T1378">
        <f t="shared" si="86"/>
        <v>17</v>
      </c>
      <c r="U1378" t="str" cm="1">
        <f t="array" ref="U1378">_xlfn.IFS(M1378&lt;=34,"YOUNG",M1378&lt;=54,"MIDDLE AGE",M1378&gt;=55,"OLD")</f>
        <v>MIDDLE AGE</v>
      </c>
      <c r="V1378" t="str">
        <f t="shared" si="87"/>
        <v>NORMAL</v>
      </c>
    </row>
    <row r="1379" spans="1:22" x14ac:dyDescent="0.35">
      <c r="A1379" t="s">
        <v>3138</v>
      </c>
      <c r="B1379" t="s">
        <v>1343</v>
      </c>
      <c r="C1379">
        <v>116.88</v>
      </c>
      <c r="D1379" s="1">
        <v>45203.715300925927</v>
      </c>
      <c r="E1379" s="2">
        <f t="shared" si="84"/>
        <v>0.71530092592729488</v>
      </c>
      <c r="F1379" s="3">
        <f t="shared" si="85"/>
        <v>45203</v>
      </c>
      <c r="G1379" t="s">
        <v>17</v>
      </c>
      <c r="H1379" t="s">
        <v>92</v>
      </c>
      <c r="I1379" t="s">
        <v>1697</v>
      </c>
      <c r="J1379" t="s">
        <v>2899</v>
      </c>
      <c r="K1379" t="s">
        <v>607</v>
      </c>
      <c r="L1379" t="s">
        <v>22</v>
      </c>
      <c r="M1379">
        <v>45</v>
      </c>
      <c r="N1379" t="s">
        <v>23</v>
      </c>
      <c r="O1379">
        <v>263</v>
      </c>
      <c r="P1379">
        <v>1</v>
      </c>
      <c r="Q1379">
        <v>7717.34</v>
      </c>
      <c r="R1379" s="4">
        <v>45600</v>
      </c>
      <c r="S1379" s="6">
        <v>0.34030092592592592</v>
      </c>
      <c r="T1379">
        <f t="shared" si="86"/>
        <v>17</v>
      </c>
      <c r="U1379" t="str" cm="1">
        <f t="array" ref="U1379">_xlfn.IFS(M1379&lt;=34,"YOUNG",M1379&lt;=54,"MIDDLE AGE",M1379&gt;=55,"OLD")</f>
        <v>MIDDLE AGE</v>
      </c>
      <c r="V1379" t="str">
        <f t="shared" si="87"/>
        <v>NORMAL</v>
      </c>
    </row>
    <row r="1380" spans="1:22" x14ac:dyDescent="0.35">
      <c r="A1380" t="s">
        <v>3139</v>
      </c>
      <c r="B1380" t="s">
        <v>107</v>
      </c>
      <c r="C1380">
        <v>328.77</v>
      </c>
      <c r="D1380" s="1">
        <v>45019.749571759261</v>
      </c>
      <c r="E1380" s="2">
        <f t="shared" si="84"/>
        <v>0.74957175926101627</v>
      </c>
      <c r="F1380" s="3">
        <f t="shared" si="85"/>
        <v>45019</v>
      </c>
      <c r="G1380" t="s">
        <v>46</v>
      </c>
      <c r="H1380" t="s">
        <v>18</v>
      </c>
      <c r="I1380" t="s">
        <v>2318</v>
      </c>
      <c r="J1380" t="s">
        <v>2336</v>
      </c>
      <c r="K1380" t="s">
        <v>450</v>
      </c>
      <c r="L1380" t="s">
        <v>36</v>
      </c>
      <c r="M1380">
        <v>39</v>
      </c>
      <c r="N1380" t="s">
        <v>23</v>
      </c>
      <c r="O1380">
        <v>247</v>
      </c>
      <c r="P1380">
        <v>1</v>
      </c>
      <c r="Q1380">
        <v>6967.03</v>
      </c>
      <c r="R1380" s="4">
        <v>45600</v>
      </c>
      <c r="S1380" s="6">
        <v>0.34024305555555556</v>
      </c>
      <c r="T1380">
        <f t="shared" si="86"/>
        <v>17</v>
      </c>
      <c r="U1380" t="str" cm="1">
        <f t="array" ref="U1380">_xlfn.IFS(M1380&lt;=34,"YOUNG",M1380&lt;=54,"MIDDLE AGE",M1380&gt;=55,"OLD")</f>
        <v>MIDDLE AGE</v>
      </c>
      <c r="V1380" t="str">
        <f t="shared" si="87"/>
        <v>NORMAL</v>
      </c>
    </row>
    <row r="1381" spans="1:22" x14ac:dyDescent="0.35">
      <c r="A1381" t="s">
        <v>3140</v>
      </c>
      <c r="B1381" t="s">
        <v>1023</v>
      </c>
      <c r="C1381">
        <v>77.53</v>
      </c>
      <c r="D1381" s="1">
        <v>45132.750289351854</v>
      </c>
      <c r="E1381" s="2">
        <f t="shared" si="84"/>
        <v>0.75028935185400769</v>
      </c>
      <c r="F1381" s="3">
        <f t="shared" si="85"/>
        <v>45132</v>
      </c>
      <c r="G1381" t="s">
        <v>17</v>
      </c>
      <c r="H1381" t="s">
        <v>108</v>
      </c>
      <c r="I1381" t="s">
        <v>661</v>
      </c>
      <c r="J1381" t="s">
        <v>3141</v>
      </c>
      <c r="K1381" t="s">
        <v>29</v>
      </c>
      <c r="L1381" t="s">
        <v>69</v>
      </c>
      <c r="M1381">
        <v>54</v>
      </c>
      <c r="N1381" t="s">
        <v>70</v>
      </c>
      <c r="O1381">
        <v>55</v>
      </c>
      <c r="P1381">
        <v>1</v>
      </c>
      <c r="Q1381">
        <v>5158.6000000000004</v>
      </c>
      <c r="R1381" s="4">
        <v>45600</v>
      </c>
      <c r="S1381" s="6">
        <v>0.33833333333333332</v>
      </c>
      <c r="T1381">
        <f t="shared" si="86"/>
        <v>18</v>
      </c>
      <c r="U1381" t="str" cm="1">
        <f t="array" ref="U1381">_xlfn.IFS(M1381&lt;=34,"YOUNG",M1381&lt;=54,"MIDDLE AGE",M1381&gt;=55,"OLD")</f>
        <v>MIDDLE AGE</v>
      </c>
      <c r="V1381" t="str">
        <f t="shared" si="87"/>
        <v>NORMAL</v>
      </c>
    </row>
    <row r="1382" spans="1:22" x14ac:dyDescent="0.35">
      <c r="A1382" t="s">
        <v>3142</v>
      </c>
      <c r="B1382" t="s">
        <v>284</v>
      </c>
      <c r="C1382">
        <v>421.74</v>
      </c>
      <c r="D1382" s="1">
        <v>45097.713252314818</v>
      </c>
      <c r="E1382" s="2">
        <f t="shared" si="84"/>
        <v>0.71325231481750961</v>
      </c>
      <c r="F1382" s="3">
        <f t="shared" si="85"/>
        <v>45097</v>
      </c>
      <c r="G1382" t="s">
        <v>17</v>
      </c>
      <c r="H1382" t="s">
        <v>223</v>
      </c>
      <c r="I1382" t="s">
        <v>630</v>
      </c>
      <c r="J1382" t="s">
        <v>225</v>
      </c>
      <c r="K1382" t="s">
        <v>240</v>
      </c>
      <c r="L1382" t="s">
        <v>36</v>
      </c>
      <c r="M1382">
        <v>67</v>
      </c>
      <c r="N1382" t="s">
        <v>23</v>
      </c>
      <c r="O1382">
        <v>103</v>
      </c>
      <c r="P1382">
        <v>1</v>
      </c>
      <c r="Q1382">
        <v>12031.14</v>
      </c>
      <c r="R1382" s="4">
        <v>45600</v>
      </c>
      <c r="S1382" s="6">
        <v>0.3404861111111111</v>
      </c>
      <c r="T1382">
        <f t="shared" si="86"/>
        <v>17</v>
      </c>
      <c r="U1382" t="str" cm="1">
        <f t="array" ref="U1382">_xlfn.IFS(M1382&lt;=34,"YOUNG",M1382&lt;=54,"MIDDLE AGE",M1382&gt;=55,"OLD")</f>
        <v>OLD</v>
      </c>
      <c r="V1382" t="str">
        <f t="shared" si="87"/>
        <v>NORMAL</v>
      </c>
    </row>
    <row r="1383" spans="1:22" x14ac:dyDescent="0.35">
      <c r="A1383" t="s">
        <v>3143</v>
      </c>
      <c r="B1383" t="s">
        <v>1027</v>
      </c>
      <c r="C1383">
        <v>313.69</v>
      </c>
      <c r="D1383" s="1">
        <v>44995.691354166665</v>
      </c>
      <c r="E1383" s="2">
        <f t="shared" si="84"/>
        <v>0.6913541666654055</v>
      </c>
      <c r="F1383" s="3">
        <f t="shared" si="85"/>
        <v>44995</v>
      </c>
      <c r="G1383" t="s">
        <v>17</v>
      </c>
      <c r="H1383" t="s">
        <v>53</v>
      </c>
      <c r="I1383" t="s">
        <v>2548</v>
      </c>
      <c r="J1383" t="s">
        <v>2145</v>
      </c>
      <c r="K1383" t="s">
        <v>639</v>
      </c>
      <c r="L1383" t="s">
        <v>69</v>
      </c>
      <c r="M1383">
        <v>73</v>
      </c>
      <c r="N1383" t="s">
        <v>70</v>
      </c>
      <c r="O1383">
        <v>152</v>
      </c>
      <c r="P1383">
        <v>1</v>
      </c>
      <c r="Q1383">
        <v>7093.68</v>
      </c>
      <c r="R1383" s="4">
        <v>45600</v>
      </c>
      <c r="S1383" s="6">
        <v>0.34054398148148146</v>
      </c>
      <c r="T1383">
        <f t="shared" si="86"/>
        <v>16</v>
      </c>
      <c r="U1383" t="str" cm="1">
        <f t="array" ref="U1383">_xlfn.IFS(M1383&lt;=34,"YOUNG",M1383&lt;=54,"MIDDLE AGE",M1383&gt;=55,"OLD")</f>
        <v>OLD</v>
      </c>
      <c r="V1383" t="str">
        <f t="shared" si="87"/>
        <v>NORMAL</v>
      </c>
    </row>
    <row r="1384" spans="1:22" x14ac:dyDescent="0.35">
      <c r="A1384" t="s">
        <v>3144</v>
      </c>
      <c r="B1384" t="s">
        <v>130</v>
      </c>
      <c r="C1384">
        <v>411.72</v>
      </c>
      <c r="D1384" s="1">
        <v>45097.780451388891</v>
      </c>
      <c r="E1384" s="2">
        <f t="shared" si="84"/>
        <v>0.78045138889137888</v>
      </c>
      <c r="F1384" s="3">
        <f t="shared" si="85"/>
        <v>45097</v>
      </c>
      <c r="G1384" t="s">
        <v>17</v>
      </c>
      <c r="H1384" t="s">
        <v>453</v>
      </c>
      <c r="I1384" t="s">
        <v>2513</v>
      </c>
      <c r="J1384" t="s">
        <v>1571</v>
      </c>
      <c r="K1384" t="s">
        <v>240</v>
      </c>
      <c r="L1384" t="s">
        <v>69</v>
      </c>
      <c r="M1384">
        <v>29</v>
      </c>
      <c r="N1384" t="s">
        <v>23</v>
      </c>
      <c r="O1384">
        <v>153</v>
      </c>
      <c r="P1384">
        <v>1</v>
      </c>
      <c r="Q1384">
        <v>8539.86</v>
      </c>
      <c r="R1384" s="4">
        <v>45600</v>
      </c>
      <c r="S1384" s="6">
        <v>0.3414699074074074</v>
      </c>
      <c r="T1384">
        <f t="shared" si="86"/>
        <v>18</v>
      </c>
      <c r="U1384" t="str" cm="1">
        <f t="array" ref="U1384">_xlfn.IFS(M1384&lt;=34,"YOUNG",M1384&lt;=54,"MIDDLE AGE",M1384&gt;=55,"OLD")</f>
        <v>YOUNG</v>
      </c>
      <c r="V1384" t="str">
        <f t="shared" si="87"/>
        <v>NORMAL</v>
      </c>
    </row>
    <row r="1385" spans="1:22" x14ac:dyDescent="0.35">
      <c r="A1385" t="s">
        <v>3145</v>
      </c>
      <c r="B1385" t="s">
        <v>1327</v>
      </c>
      <c r="C1385">
        <v>508.73</v>
      </c>
      <c r="D1385" s="1">
        <v>45121.682569444441</v>
      </c>
      <c r="E1385" s="2">
        <f t="shared" si="84"/>
        <v>0.68256944444146939</v>
      </c>
      <c r="F1385" s="3">
        <f t="shared" si="85"/>
        <v>45121</v>
      </c>
      <c r="G1385" t="s">
        <v>17</v>
      </c>
      <c r="H1385" t="s">
        <v>265</v>
      </c>
      <c r="I1385" t="s">
        <v>3071</v>
      </c>
      <c r="J1385" t="s">
        <v>3146</v>
      </c>
      <c r="K1385" t="s">
        <v>358</v>
      </c>
      <c r="L1385" t="s">
        <v>69</v>
      </c>
      <c r="M1385">
        <v>59</v>
      </c>
      <c r="N1385" t="s">
        <v>70</v>
      </c>
      <c r="O1385">
        <v>89</v>
      </c>
      <c r="P1385">
        <v>1</v>
      </c>
      <c r="Q1385">
        <v>7640.57</v>
      </c>
      <c r="R1385" s="4">
        <v>45600</v>
      </c>
      <c r="S1385" s="6">
        <v>0.33966435185185184</v>
      </c>
      <c r="T1385">
        <f t="shared" si="86"/>
        <v>16</v>
      </c>
      <c r="U1385" t="str" cm="1">
        <f t="array" ref="U1385">_xlfn.IFS(M1385&lt;=34,"YOUNG",M1385&lt;=54,"MIDDLE AGE",M1385&gt;=55,"OLD")</f>
        <v>OLD</v>
      </c>
      <c r="V1385" t="str">
        <f t="shared" si="87"/>
        <v>NORMAL</v>
      </c>
    </row>
    <row r="1386" spans="1:22" x14ac:dyDescent="0.35">
      <c r="A1386" t="s">
        <v>3147</v>
      </c>
      <c r="B1386" t="s">
        <v>1069</v>
      </c>
      <c r="C1386">
        <v>153.08000000000001</v>
      </c>
      <c r="D1386" s="1">
        <v>45257.706342592595</v>
      </c>
      <c r="E1386" s="2">
        <f t="shared" si="84"/>
        <v>0.70634259259531973</v>
      </c>
      <c r="F1386" s="3">
        <f t="shared" si="85"/>
        <v>45257</v>
      </c>
      <c r="G1386" t="s">
        <v>17</v>
      </c>
      <c r="H1386" t="s">
        <v>296</v>
      </c>
      <c r="I1386" t="s">
        <v>917</v>
      </c>
      <c r="J1386" t="s">
        <v>2729</v>
      </c>
      <c r="K1386" t="s">
        <v>100</v>
      </c>
      <c r="L1386" t="s">
        <v>22</v>
      </c>
      <c r="M1386">
        <v>24</v>
      </c>
      <c r="N1386" t="s">
        <v>37</v>
      </c>
      <c r="O1386">
        <v>201</v>
      </c>
      <c r="P1386">
        <v>1</v>
      </c>
      <c r="Q1386">
        <v>1292.21</v>
      </c>
      <c r="R1386" s="4">
        <v>45600</v>
      </c>
      <c r="S1386" s="6">
        <v>0.33991898148148147</v>
      </c>
      <c r="T1386">
        <f t="shared" si="86"/>
        <v>16</v>
      </c>
      <c r="U1386" t="str" cm="1">
        <f t="array" ref="U1386">_xlfn.IFS(M1386&lt;=34,"YOUNG",M1386&lt;=54,"MIDDLE AGE",M1386&gt;=55,"OLD")</f>
        <v>YOUNG</v>
      </c>
      <c r="V1386" t="str">
        <f t="shared" si="87"/>
        <v>NORMAL</v>
      </c>
    </row>
    <row r="1387" spans="1:22" x14ac:dyDescent="0.35">
      <c r="A1387" t="s">
        <v>3148</v>
      </c>
      <c r="B1387" t="s">
        <v>1452</v>
      </c>
      <c r="C1387">
        <v>23.01</v>
      </c>
      <c r="D1387" s="1">
        <v>45086.772962962961</v>
      </c>
      <c r="E1387" s="2">
        <f t="shared" si="84"/>
        <v>0.77296296296117362</v>
      </c>
      <c r="F1387" s="3">
        <f t="shared" si="85"/>
        <v>45086</v>
      </c>
      <c r="G1387" t="s">
        <v>17</v>
      </c>
      <c r="H1387" t="s">
        <v>146</v>
      </c>
      <c r="I1387" t="s">
        <v>409</v>
      </c>
      <c r="J1387" t="s">
        <v>174</v>
      </c>
      <c r="K1387" t="s">
        <v>277</v>
      </c>
      <c r="L1387" t="s">
        <v>69</v>
      </c>
      <c r="M1387">
        <v>63</v>
      </c>
      <c r="N1387" t="s">
        <v>70</v>
      </c>
      <c r="O1387">
        <v>166</v>
      </c>
      <c r="P1387">
        <v>1</v>
      </c>
      <c r="Q1387">
        <v>5958.75</v>
      </c>
      <c r="R1387" s="4">
        <v>45600</v>
      </c>
      <c r="S1387" s="6">
        <v>0.33974537037037039</v>
      </c>
      <c r="T1387">
        <f t="shared" si="86"/>
        <v>18</v>
      </c>
      <c r="U1387" t="str" cm="1">
        <f t="array" ref="U1387">_xlfn.IFS(M1387&lt;=34,"YOUNG",M1387&lt;=54,"MIDDLE AGE",M1387&gt;=55,"OLD")</f>
        <v>OLD</v>
      </c>
      <c r="V1387" t="str">
        <f t="shared" si="87"/>
        <v>NORMAL</v>
      </c>
    </row>
    <row r="1388" spans="1:22" x14ac:dyDescent="0.35">
      <c r="A1388" t="s">
        <v>3149</v>
      </c>
      <c r="B1388" t="s">
        <v>2671</v>
      </c>
      <c r="C1388">
        <v>69.28</v>
      </c>
      <c r="D1388" s="1">
        <v>45229.691944444443</v>
      </c>
      <c r="E1388" s="2">
        <f t="shared" si="84"/>
        <v>0.69194444444292458</v>
      </c>
      <c r="F1388" s="3">
        <f t="shared" si="85"/>
        <v>45229</v>
      </c>
      <c r="G1388" t="s">
        <v>17</v>
      </c>
      <c r="H1388" t="s">
        <v>140</v>
      </c>
      <c r="I1388" t="s">
        <v>1912</v>
      </c>
      <c r="J1388" t="s">
        <v>2389</v>
      </c>
      <c r="K1388" t="s">
        <v>272</v>
      </c>
      <c r="L1388" t="s">
        <v>36</v>
      </c>
      <c r="M1388">
        <v>25</v>
      </c>
      <c r="N1388" t="s">
        <v>37</v>
      </c>
      <c r="O1388">
        <v>129</v>
      </c>
      <c r="P1388">
        <v>1</v>
      </c>
      <c r="Q1388">
        <v>708.74</v>
      </c>
      <c r="R1388" s="4">
        <v>45600</v>
      </c>
      <c r="S1388" s="6">
        <v>0.34098379629629627</v>
      </c>
      <c r="T1388">
        <f t="shared" si="86"/>
        <v>16</v>
      </c>
      <c r="U1388" t="str" cm="1">
        <f t="array" ref="U1388">_xlfn.IFS(M1388&lt;=34,"YOUNG",M1388&lt;=54,"MIDDLE AGE",M1388&gt;=55,"OLD")</f>
        <v>YOUNG</v>
      </c>
      <c r="V1388" t="str">
        <f t="shared" si="87"/>
        <v>NORMAL</v>
      </c>
    </row>
    <row r="1389" spans="1:22" x14ac:dyDescent="0.35">
      <c r="A1389" t="s">
        <v>3150</v>
      </c>
      <c r="B1389" t="s">
        <v>171</v>
      </c>
      <c r="C1389">
        <v>51.25</v>
      </c>
      <c r="D1389" s="1">
        <v>45167.677951388891</v>
      </c>
      <c r="E1389" s="2">
        <f t="shared" si="84"/>
        <v>0.67795138889050577</v>
      </c>
      <c r="F1389" s="3">
        <f t="shared" si="85"/>
        <v>45167</v>
      </c>
      <c r="G1389" t="s">
        <v>46</v>
      </c>
      <c r="H1389" t="s">
        <v>119</v>
      </c>
      <c r="I1389" t="s">
        <v>1379</v>
      </c>
      <c r="J1389" t="s">
        <v>465</v>
      </c>
      <c r="K1389" t="s">
        <v>252</v>
      </c>
      <c r="L1389" t="s">
        <v>69</v>
      </c>
      <c r="M1389">
        <v>28</v>
      </c>
      <c r="N1389" t="s">
        <v>37</v>
      </c>
      <c r="O1389">
        <v>66</v>
      </c>
      <c r="P1389">
        <v>1</v>
      </c>
      <c r="Q1389">
        <v>1744.4</v>
      </c>
      <c r="R1389" s="4">
        <v>45600</v>
      </c>
      <c r="S1389" s="6">
        <v>0.34157407407407409</v>
      </c>
      <c r="T1389">
        <f t="shared" si="86"/>
        <v>16</v>
      </c>
      <c r="U1389" t="str" cm="1">
        <f t="array" ref="U1389">_xlfn.IFS(M1389&lt;=34,"YOUNG",M1389&lt;=54,"MIDDLE AGE",M1389&gt;=55,"OLD")</f>
        <v>YOUNG</v>
      </c>
      <c r="V1389" t="str">
        <f t="shared" si="87"/>
        <v>NORMAL</v>
      </c>
    </row>
    <row r="1390" spans="1:22" x14ac:dyDescent="0.35">
      <c r="A1390" t="s">
        <v>3151</v>
      </c>
      <c r="B1390" t="s">
        <v>2372</v>
      </c>
      <c r="C1390">
        <v>407.65</v>
      </c>
      <c r="D1390" s="1">
        <v>45145.720532407409</v>
      </c>
      <c r="E1390" s="2">
        <f t="shared" si="84"/>
        <v>0.72053240740933688</v>
      </c>
      <c r="F1390" s="3">
        <f t="shared" si="85"/>
        <v>45145</v>
      </c>
      <c r="G1390" t="s">
        <v>17</v>
      </c>
      <c r="H1390" t="s">
        <v>114</v>
      </c>
      <c r="I1390" t="s">
        <v>315</v>
      </c>
      <c r="J1390" t="s">
        <v>3152</v>
      </c>
      <c r="K1390" t="s">
        <v>312</v>
      </c>
      <c r="L1390" t="s">
        <v>22</v>
      </c>
      <c r="M1390">
        <v>25</v>
      </c>
      <c r="N1390" t="s">
        <v>37</v>
      </c>
      <c r="O1390">
        <v>263</v>
      </c>
      <c r="P1390">
        <v>1</v>
      </c>
      <c r="Q1390">
        <v>273.77999999999997</v>
      </c>
      <c r="R1390" s="4">
        <v>45600</v>
      </c>
      <c r="S1390" s="6">
        <v>0.33931712962962962</v>
      </c>
      <c r="T1390">
        <f t="shared" si="86"/>
        <v>17</v>
      </c>
      <c r="U1390" t="str" cm="1">
        <f t="array" ref="U1390">_xlfn.IFS(M1390&lt;=34,"YOUNG",M1390&lt;=54,"MIDDLE AGE",M1390&gt;=55,"OLD")</f>
        <v>YOUNG</v>
      </c>
      <c r="V1390" t="str">
        <f t="shared" si="87"/>
        <v>NORMAL</v>
      </c>
    </row>
    <row r="1391" spans="1:22" x14ac:dyDescent="0.35">
      <c r="A1391" t="s">
        <v>3153</v>
      </c>
      <c r="B1391" t="s">
        <v>3154</v>
      </c>
      <c r="C1391">
        <v>459.25</v>
      </c>
      <c r="D1391" s="1">
        <v>45069.697604166664</v>
      </c>
      <c r="E1391" s="2">
        <f t="shared" si="84"/>
        <v>0.69760416666395031</v>
      </c>
      <c r="F1391" s="3">
        <f t="shared" si="85"/>
        <v>45069</v>
      </c>
      <c r="G1391" t="s">
        <v>17</v>
      </c>
      <c r="H1391" t="s">
        <v>255</v>
      </c>
      <c r="I1391" t="s">
        <v>906</v>
      </c>
      <c r="J1391" t="s">
        <v>921</v>
      </c>
      <c r="K1391" t="s">
        <v>169</v>
      </c>
      <c r="L1391" t="s">
        <v>69</v>
      </c>
      <c r="M1391">
        <v>25</v>
      </c>
      <c r="N1391" t="s">
        <v>37</v>
      </c>
      <c r="O1391">
        <v>59</v>
      </c>
      <c r="P1391">
        <v>1</v>
      </c>
      <c r="Q1391">
        <v>130.76</v>
      </c>
      <c r="R1391" s="4">
        <v>45600</v>
      </c>
      <c r="S1391" s="6">
        <v>0.34151620370370372</v>
      </c>
      <c r="T1391">
        <f t="shared" si="86"/>
        <v>16</v>
      </c>
      <c r="U1391" t="str" cm="1">
        <f t="array" ref="U1391">_xlfn.IFS(M1391&lt;=34,"YOUNG",M1391&lt;=54,"MIDDLE AGE",M1391&gt;=55,"OLD")</f>
        <v>YOUNG</v>
      </c>
      <c r="V1391" t="str">
        <f t="shared" si="87"/>
        <v>NORMAL</v>
      </c>
    </row>
    <row r="1392" spans="1:22" x14ac:dyDescent="0.35">
      <c r="A1392" t="s">
        <v>3155</v>
      </c>
      <c r="B1392" t="s">
        <v>248</v>
      </c>
      <c r="C1392">
        <v>301.56</v>
      </c>
      <c r="D1392" s="1">
        <v>44966.740844907406</v>
      </c>
      <c r="E1392" s="2">
        <f t="shared" si="84"/>
        <v>0.7408449074064265</v>
      </c>
      <c r="F1392" s="3">
        <f t="shared" si="85"/>
        <v>44966</v>
      </c>
      <c r="G1392" t="s">
        <v>17</v>
      </c>
      <c r="H1392" t="s">
        <v>59</v>
      </c>
      <c r="I1392" t="s">
        <v>862</v>
      </c>
      <c r="J1392" t="s">
        <v>779</v>
      </c>
      <c r="K1392" t="s">
        <v>1349</v>
      </c>
      <c r="L1392" t="s">
        <v>69</v>
      </c>
      <c r="M1392">
        <v>49</v>
      </c>
      <c r="N1392" t="s">
        <v>23</v>
      </c>
      <c r="O1392">
        <v>118</v>
      </c>
      <c r="P1392">
        <v>1</v>
      </c>
      <c r="Q1392">
        <v>10389.6</v>
      </c>
      <c r="R1392" s="4">
        <v>45600</v>
      </c>
      <c r="S1392" s="6">
        <v>0.34054398148148146</v>
      </c>
      <c r="T1392">
        <f t="shared" si="86"/>
        <v>17</v>
      </c>
      <c r="U1392" t="str" cm="1">
        <f t="array" ref="U1392">_xlfn.IFS(M1392&lt;=34,"YOUNG",M1392&lt;=54,"MIDDLE AGE",M1392&gt;=55,"OLD")</f>
        <v>MIDDLE AGE</v>
      </c>
      <c r="V1392" t="str">
        <f t="shared" si="87"/>
        <v>NORMAL</v>
      </c>
    </row>
    <row r="1393" spans="1:22" x14ac:dyDescent="0.35">
      <c r="A1393" t="s">
        <v>3156</v>
      </c>
      <c r="B1393" t="s">
        <v>2128</v>
      </c>
      <c r="C1393">
        <v>17.670000000000002</v>
      </c>
      <c r="D1393" s="1">
        <v>45104.743298611109</v>
      </c>
      <c r="E1393" s="2">
        <f t="shared" si="84"/>
        <v>0.74329861110891216</v>
      </c>
      <c r="F1393" s="3">
        <f t="shared" si="85"/>
        <v>45104</v>
      </c>
      <c r="G1393" t="s">
        <v>17</v>
      </c>
      <c r="H1393" t="s">
        <v>18</v>
      </c>
      <c r="I1393" t="s">
        <v>1253</v>
      </c>
      <c r="J1393" t="s">
        <v>431</v>
      </c>
      <c r="K1393" t="s">
        <v>885</v>
      </c>
      <c r="L1393" t="s">
        <v>36</v>
      </c>
      <c r="M1393">
        <v>63</v>
      </c>
      <c r="N1393" t="s">
        <v>23</v>
      </c>
      <c r="O1393">
        <v>91</v>
      </c>
      <c r="P1393">
        <v>1</v>
      </c>
      <c r="Q1393">
        <v>1048.18</v>
      </c>
      <c r="R1393" s="4">
        <v>45600</v>
      </c>
      <c r="S1393" s="6">
        <v>0.34091435185185187</v>
      </c>
      <c r="T1393">
        <f t="shared" si="86"/>
        <v>17</v>
      </c>
      <c r="U1393" t="str" cm="1">
        <f t="array" ref="U1393">_xlfn.IFS(M1393&lt;=34,"YOUNG",M1393&lt;=54,"MIDDLE AGE",M1393&gt;=55,"OLD")</f>
        <v>OLD</v>
      </c>
      <c r="V1393" t="str">
        <f t="shared" si="87"/>
        <v>NORMAL</v>
      </c>
    </row>
    <row r="1394" spans="1:22" x14ac:dyDescent="0.35">
      <c r="A1394" t="s">
        <v>3157</v>
      </c>
      <c r="B1394" t="s">
        <v>2225</v>
      </c>
      <c r="C1394">
        <v>5.29</v>
      </c>
      <c r="D1394" s="1">
        <v>44998.766898148147</v>
      </c>
      <c r="E1394" s="2">
        <f t="shared" si="84"/>
        <v>0.7668981481474475</v>
      </c>
      <c r="F1394" s="3">
        <f t="shared" si="85"/>
        <v>44998</v>
      </c>
      <c r="G1394" t="s">
        <v>46</v>
      </c>
      <c r="H1394" t="s">
        <v>212</v>
      </c>
      <c r="I1394" t="s">
        <v>3158</v>
      </c>
      <c r="J1394" t="s">
        <v>940</v>
      </c>
      <c r="K1394" t="s">
        <v>181</v>
      </c>
      <c r="L1394" t="s">
        <v>36</v>
      </c>
      <c r="M1394">
        <v>32</v>
      </c>
      <c r="N1394" t="s">
        <v>23</v>
      </c>
      <c r="O1394">
        <v>132</v>
      </c>
      <c r="P1394">
        <v>1</v>
      </c>
      <c r="Q1394">
        <v>12896.68</v>
      </c>
      <c r="R1394" s="4">
        <v>45600</v>
      </c>
      <c r="S1394" s="6">
        <v>0.3410185185185185</v>
      </c>
      <c r="T1394">
        <f t="shared" si="86"/>
        <v>18</v>
      </c>
      <c r="U1394" t="str" cm="1">
        <f t="array" ref="U1394">_xlfn.IFS(M1394&lt;=34,"YOUNG",M1394&lt;=54,"MIDDLE AGE",M1394&gt;=55,"OLD")</f>
        <v>YOUNG</v>
      </c>
      <c r="V1394" t="str">
        <f t="shared" si="87"/>
        <v>NORMAL</v>
      </c>
    </row>
    <row r="1395" spans="1:22" x14ac:dyDescent="0.35">
      <c r="A1395" t="s">
        <v>3159</v>
      </c>
      <c r="B1395" t="s">
        <v>1659</v>
      </c>
      <c r="C1395">
        <v>401.37</v>
      </c>
      <c r="D1395" s="1">
        <v>45187.679386574076</v>
      </c>
      <c r="E1395" s="2">
        <f t="shared" si="84"/>
        <v>0.67938657407648861</v>
      </c>
      <c r="F1395" s="3">
        <f t="shared" si="85"/>
        <v>45187</v>
      </c>
      <c r="G1395" t="s">
        <v>17</v>
      </c>
      <c r="H1395" t="s">
        <v>140</v>
      </c>
      <c r="I1395" t="s">
        <v>1812</v>
      </c>
      <c r="J1395" t="s">
        <v>320</v>
      </c>
      <c r="K1395" t="s">
        <v>1000</v>
      </c>
      <c r="L1395" t="s">
        <v>69</v>
      </c>
      <c r="M1395">
        <v>43</v>
      </c>
      <c r="N1395" t="s">
        <v>77</v>
      </c>
      <c r="O1395">
        <v>251</v>
      </c>
      <c r="P1395">
        <v>1</v>
      </c>
      <c r="Q1395">
        <v>8208.5400000000009</v>
      </c>
      <c r="R1395" s="4">
        <v>45600</v>
      </c>
      <c r="S1395" s="6">
        <v>0.34144675925925927</v>
      </c>
      <c r="T1395">
        <f t="shared" si="86"/>
        <v>16</v>
      </c>
      <c r="U1395" t="str" cm="1">
        <f t="array" ref="U1395">_xlfn.IFS(M1395&lt;=34,"YOUNG",M1395&lt;=54,"MIDDLE AGE",M1395&gt;=55,"OLD")</f>
        <v>MIDDLE AGE</v>
      </c>
      <c r="V1395" t="str">
        <f t="shared" si="87"/>
        <v>NORMAL</v>
      </c>
    </row>
    <row r="1396" spans="1:22" x14ac:dyDescent="0.35">
      <c r="A1396" t="s">
        <v>3160</v>
      </c>
      <c r="B1396" t="s">
        <v>337</v>
      </c>
      <c r="C1396">
        <v>145.4</v>
      </c>
      <c r="D1396" s="1">
        <v>45113.745578703703</v>
      </c>
      <c r="E1396" s="2">
        <f t="shared" si="84"/>
        <v>0.74557870370335877</v>
      </c>
      <c r="F1396" s="3">
        <f t="shared" si="85"/>
        <v>45113</v>
      </c>
      <c r="G1396" t="s">
        <v>17</v>
      </c>
      <c r="H1396" t="s">
        <v>255</v>
      </c>
      <c r="I1396" t="s">
        <v>2399</v>
      </c>
      <c r="J1396" t="s">
        <v>2167</v>
      </c>
      <c r="K1396" t="s">
        <v>252</v>
      </c>
      <c r="L1396" t="s">
        <v>36</v>
      </c>
      <c r="M1396">
        <v>38</v>
      </c>
      <c r="N1396" t="s">
        <v>77</v>
      </c>
      <c r="O1396">
        <v>24</v>
      </c>
      <c r="P1396">
        <v>1</v>
      </c>
      <c r="Q1396">
        <v>5244.49</v>
      </c>
      <c r="R1396" s="4">
        <v>45600</v>
      </c>
      <c r="S1396" s="6">
        <v>0.3401851851851852</v>
      </c>
      <c r="T1396">
        <f t="shared" si="86"/>
        <v>17</v>
      </c>
      <c r="U1396" t="str" cm="1">
        <f t="array" ref="U1396">_xlfn.IFS(M1396&lt;=34,"YOUNG",M1396&lt;=54,"MIDDLE AGE",M1396&gt;=55,"OLD")</f>
        <v>MIDDLE AGE</v>
      </c>
      <c r="V1396" t="str">
        <f t="shared" si="87"/>
        <v>NORMAL</v>
      </c>
    </row>
    <row r="1397" spans="1:22" x14ac:dyDescent="0.35">
      <c r="A1397" t="s">
        <v>3161</v>
      </c>
      <c r="B1397" t="s">
        <v>1405</v>
      </c>
      <c r="C1397">
        <v>556.34</v>
      </c>
      <c r="D1397" s="1">
        <v>45218.690532407411</v>
      </c>
      <c r="E1397" s="2">
        <f t="shared" si="84"/>
        <v>0.69053240741050104</v>
      </c>
      <c r="F1397" s="3">
        <f t="shared" si="85"/>
        <v>45218</v>
      </c>
      <c r="G1397" t="s">
        <v>17</v>
      </c>
      <c r="H1397" t="s">
        <v>59</v>
      </c>
      <c r="I1397" t="s">
        <v>2355</v>
      </c>
      <c r="J1397" t="s">
        <v>1523</v>
      </c>
      <c r="K1397" t="s">
        <v>1000</v>
      </c>
      <c r="L1397" t="s">
        <v>36</v>
      </c>
      <c r="M1397">
        <v>37</v>
      </c>
      <c r="N1397" t="s">
        <v>23</v>
      </c>
      <c r="O1397">
        <v>46</v>
      </c>
      <c r="P1397">
        <v>1</v>
      </c>
      <c r="Q1397">
        <v>11935.14</v>
      </c>
      <c r="R1397" s="4">
        <v>45600</v>
      </c>
      <c r="S1397" s="6">
        <v>0.33833333333333332</v>
      </c>
      <c r="T1397">
        <f t="shared" si="86"/>
        <v>16</v>
      </c>
      <c r="U1397" t="str" cm="1">
        <f t="array" ref="U1397">_xlfn.IFS(M1397&lt;=34,"YOUNG",M1397&lt;=54,"MIDDLE AGE",M1397&gt;=55,"OLD")</f>
        <v>MIDDLE AGE</v>
      </c>
      <c r="V1397" t="str">
        <f t="shared" si="87"/>
        <v>NORMAL</v>
      </c>
    </row>
    <row r="1398" spans="1:22" x14ac:dyDescent="0.35">
      <c r="A1398" t="s">
        <v>3162</v>
      </c>
      <c r="B1398" t="s">
        <v>167</v>
      </c>
      <c r="C1398">
        <v>34.31</v>
      </c>
      <c r="D1398" s="1">
        <v>45044.705185185187</v>
      </c>
      <c r="E1398" s="2">
        <f t="shared" si="84"/>
        <v>0.70518518518656492</v>
      </c>
      <c r="F1398" s="3">
        <f t="shared" si="85"/>
        <v>45044</v>
      </c>
      <c r="G1398" t="s">
        <v>17</v>
      </c>
      <c r="H1398" t="s">
        <v>243</v>
      </c>
      <c r="I1398" t="s">
        <v>1871</v>
      </c>
      <c r="J1398" t="s">
        <v>2378</v>
      </c>
      <c r="K1398" t="s">
        <v>209</v>
      </c>
      <c r="L1398" t="s">
        <v>22</v>
      </c>
      <c r="M1398">
        <v>24</v>
      </c>
      <c r="N1398" t="s">
        <v>37</v>
      </c>
      <c r="O1398">
        <v>251</v>
      </c>
      <c r="P1398">
        <v>1</v>
      </c>
      <c r="Q1398">
        <v>1484.76</v>
      </c>
      <c r="R1398" s="4">
        <v>45600</v>
      </c>
      <c r="S1398" s="6">
        <v>0.34127314814814813</v>
      </c>
      <c r="T1398">
        <f t="shared" si="86"/>
        <v>16</v>
      </c>
      <c r="U1398" t="str" cm="1">
        <f t="array" ref="U1398">_xlfn.IFS(M1398&lt;=34,"YOUNG",M1398&lt;=54,"MIDDLE AGE",M1398&gt;=55,"OLD")</f>
        <v>YOUNG</v>
      </c>
      <c r="V1398" t="str">
        <f t="shared" si="87"/>
        <v>NORMAL</v>
      </c>
    </row>
    <row r="1399" spans="1:22" x14ac:dyDescent="0.35">
      <c r="A1399" t="s">
        <v>3163</v>
      </c>
      <c r="B1399" t="s">
        <v>1272</v>
      </c>
      <c r="C1399">
        <v>780.59</v>
      </c>
      <c r="D1399" s="1">
        <v>45105.749166666668</v>
      </c>
      <c r="E1399" s="2">
        <f t="shared" si="84"/>
        <v>0.74916666666831588</v>
      </c>
      <c r="F1399" s="3">
        <f t="shared" si="85"/>
        <v>45105</v>
      </c>
      <c r="G1399" t="s">
        <v>46</v>
      </c>
      <c r="H1399" t="s">
        <v>255</v>
      </c>
      <c r="I1399" t="s">
        <v>1479</v>
      </c>
      <c r="J1399" t="s">
        <v>2038</v>
      </c>
      <c r="K1399" t="s">
        <v>707</v>
      </c>
      <c r="L1399" t="s">
        <v>36</v>
      </c>
      <c r="M1399">
        <v>23</v>
      </c>
      <c r="N1399" t="s">
        <v>37</v>
      </c>
      <c r="O1399">
        <v>145</v>
      </c>
      <c r="P1399">
        <v>1</v>
      </c>
      <c r="Q1399">
        <v>6513.34</v>
      </c>
      <c r="R1399" s="4">
        <v>45600</v>
      </c>
      <c r="S1399" s="6">
        <v>0.3382060185185185</v>
      </c>
      <c r="T1399">
        <f t="shared" si="86"/>
        <v>17</v>
      </c>
      <c r="U1399" t="str" cm="1">
        <f t="array" ref="U1399">_xlfn.IFS(M1399&lt;=34,"YOUNG",M1399&lt;=54,"MIDDLE AGE",M1399&gt;=55,"OLD")</f>
        <v>YOUNG</v>
      </c>
      <c r="V1399" t="str">
        <f t="shared" si="87"/>
        <v>NORMAL</v>
      </c>
    </row>
    <row r="1400" spans="1:22" x14ac:dyDescent="0.35">
      <c r="A1400" t="s">
        <v>3164</v>
      </c>
      <c r="B1400" t="s">
        <v>1385</v>
      </c>
      <c r="C1400">
        <v>282.64999999999998</v>
      </c>
      <c r="D1400" s="1">
        <v>44993.737916666665</v>
      </c>
      <c r="E1400" s="2">
        <f t="shared" si="84"/>
        <v>0.73791666666511446</v>
      </c>
      <c r="F1400" s="3">
        <f t="shared" si="85"/>
        <v>44993</v>
      </c>
      <c r="G1400" t="s">
        <v>17</v>
      </c>
      <c r="H1400" t="s">
        <v>157</v>
      </c>
      <c r="I1400" t="s">
        <v>807</v>
      </c>
      <c r="J1400" t="s">
        <v>2150</v>
      </c>
      <c r="K1400" t="s">
        <v>445</v>
      </c>
      <c r="L1400" t="s">
        <v>22</v>
      </c>
      <c r="M1400">
        <v>35</v>
      </c>
      <c r="N1400" t="s">
        <v>23</v>
      </c>
      <c r="O1400">
        <v>161</v>
      </c>
      <c r="P1400">
        <v>1</v>
      </c>
      <c r="Q1400">
        <v>13801.15</v>
      </c>
      <c r="R1400" s="4">
        <v>45600</v>
      </c>
      <c r="S1400" s="6">
        <v>0.33947916666666667</v>
      </c>
      <c r="T1400">
        <f t="shared" si="86"/>
        <v>17</v>
      </c>
      <c r="U1400" t="str" cm="1">
        <f t="array" ref="U1400">_xlfn.IFS(M1400&lt;=34,"YOUNG",M1400&lt;=54,"MIDDLE AGE",M1400&gt;=55,"OLD")</f>
        <v>MIDDLE AGE</v>
      </c>
      <c r="V1400" t="str">
        <f t="shared" si="87"/>
        <v>NORMAL</v>
      </c>
    </row>
    <row r="1401" spans="1:22" x14ac:dyDescent="0.35">
      <c r="A1401" t="s">
        <v>3165</v>
      </c>
      <c r="B1401" t="s">
        <v>1114</v>
      </c>
      <c r="C1401">
        <v>305.27</v>
      </c>
      <c r="D1401" s="1">
        <v>45196.684467592589</v>
      </c>
      <c r="E1401" s="2">
        <f t="shared" si="84"/>
        <v>0.68446759258949896</v>
      </c>
      <c r="F1401" s="3">
        <f t="shared" si="85"/>
        <v>45196</v>
      </c>
      <c r="G1401" t="s">
        <v>17</v>
      </c>
      <c r="H1401" t="s">
        <v>146</v>
      </c>
      <c r="I1401" t="s">
        <v>881</v>
      </c>
      <c r="J1401" t="s">
        <v>1375</v>
      </c>
      <c r="K1401" t="s">
        <v>128</v>
      </c>
      <c r="L1401" t="s">
        <v>36</v>
      </c>
      <c r="M1401">
        <v>68</v>
      </c>
      <c r="N1401" t="s">
        <v>23</v>
      </c>
      <c r="O1401">
        <v>147</v>
      </c>
      <c r="P1401">
        <v>1</v>
      </c>
      <c r="Q1401">
        <v>12958.65</v>
      </c>
      <c r="R1401" s="4">
        <v>45600</v>
      </c>
      <c r="S1401" s="6">
        <v>0.33994212962962961</v>
      </c>
      <c r="T1401">
        <f t="shared" si="86"/>
        <v>16</v>
      </c>
      <c r="U1401" t="str" cm="1">
        <f t="array" ref="U1401">_xlfn.IFS(M1401&lt;=34,"YOUNG",M1401&lt;=54,"MIDDLE AGE",M1401&gt;=55,"OLD")</f>
        <v>OLD</v>
      </c>
      <c r="V1401" t="str">
        <f t="shared" si="87"/>
        <v>NORMAL</v>
      </c>
    </row>
    <row r="1402" spans="1:22" x14ac:dyDescent="0.35">
      <c r="A1402" t="s">
        <v>3166</v>
      </c>
      <c r="B1402" t="s">
        <v>3154</v>
      </c>
      <c r="C1402">
        <v>185.81</v>
      </c>
      <c r="D1402" s="1">
        <v>45189.687569444446</v>
      </c>
      <c r="E1402" s="2">
        <f t="shared" si="84"/>
        <v>0.687569444446126</v>
      </c>
      <c r="F1402" s="3">
        <f t="shared" si="85"/>
        <v>45189</v>
      </c>
      <c r="G1402" t="s">
        <v>17</v>
      </c>
      <c r="H1402" t="s">
        <v>119</v>
      </c>
      <c r="I1402" t="s">
        <v>3167</v>
      </c>
      <c r="J1402" t="s">
        <v>1053</v>
      </c>
      <c r="K1402" t="s">
        <v>450</v>
      </c>
      <c r="L1402" t="s">
        <v>36</v>
      </c>
      <c r="M1402">
        <v>32</v>
      </c>
      <c r="N1402" t="s">
        <v>23</v>
      </c>
      <c r="O1402">
        <v>116</v>
      </c>
      <c r="P1402">
        <v>1</v>
      </c>
      <c r="Q1402">
        <v>9588.7099999999991</v>
      </c>
      <c r="R1402" s="4">
        <v>45600</v>
      </c>
      <c r="S1402" s="6">
        <v>0.34045138888888887</v>
      </c>
      <c r="T1402">
        <f t="shared" si="86"/>
        <v>16</v>
      </c>
      <c r="U1402" t="str" cm="1">
        <f t="array" ref="U1402">_xlfn.IFS(M1402&lt;=34,"YOUNG",M1402&lt;=54,"MIDDLE AGE",M1402&gt;=55,"OLD")</f>
        <v>YOUNG</v>
      </c>
      <c r="V1402" t="str">
        <f t="shared" si="87"/>
        <v>NORMAL</v>
      </c>
    </row>
    <row r="1403" spans="1:22" x14ac:dyDescent="0.35">
      <c r="A1403" t="s">
        <v>3168</v>
      </c>
      <c r="B1403" t="s">
        <v>578</v>
      </c>
      <c r="C1403">
        <v>66.010000000000005</v>
      </c>
      <c r="D1403" s="1">
        <v>45205.77753472222</v>
      </c>
      <c r="E1403" s="2">
        <f t="shared" si="84"/>
        <v>0.77753472221957054</v>
      </c>
      <c r="F1403" s="3">
        <f t="shared" si="85"/>
        <v>45205</v>
      </c>
      <c r="G1403" t="s">
        <v>17</v>
      </c>
      <c r="H1403" t="s">
        <v>178</v>
      </c>
      <c r="I1403" t="s">
        <v>1539</v>
      </c>
      <c r="J1403" t="s">
        <v>1515</v>
      </c>
      <c r="K1403" t="s">
        <v>564</v>
      </c>
      <c r="L1403" t="s">
        <v>36</v>
      </c>
      <c r="M1403">
        <v>49</v>
      </c>
      <c r="N1403" t="s">
        <v>77</v>
      </c>
      <c r="O1403">
        <v>179</v>
      </c>
      <c r="P1403">
        <v>1</v>
      </c>
      <c r="Q1403">
        <v>3475.99</v>
      </c>
      <c r="R1403" s="4">
        <v>45600</v>
      </c>
      <c r="S1403" s="6">
        <v>0.33825231481481483</v>
      </c>
      <c r="T1403">
        <f t="shared" si="86"/>
        <v>18</v>
      </c>
      <c r="U1403" t="str" cm="1">
        <f t="array" ref="U1403">_xlfn.IFS(M1403&lt;=34,"YOUNG",M1403&lt;=54,"MIDDLE AGE",M1403&gt;=55,"OLD")</f>
        <v>MIDDLE AGE</v>
      </c>
      <c r="V1403" t="str">
        <f t="shared" si="87"/>
        <v>NORMAL</v>
      </c>
    </row>
    <row r="1404" spans="1:22" x14ac:dyDescent="0.35">
      <c r="A1404" t="s">
        <v>3169</v>
      </c>
      <c r="B1404" t="s">
        <v>1111</v>
      </c>
      <c r="C1404">
        <v>447.95</v>
      </c>
      <c r="D1404" s="1">
        <v>44937.727731481478</v>
      </c>
      <c r="E1404" s="2">
        <f t="shared" si="84"/>
        <v>0.7277314814782585</v>
      </c>
      <c r="F1404" s="3">
        <f t="shared" si="85"/>
        <v>44937</v>
      </c>
      <c r="G1404" t="s">
        <v>17</v>
      </c>
      <c r="H1404" t="s">
        <v>255</v>
      </c>
      <c r="I1404" t="s">
        <v>306</v>
      </c>
      <c r="J1404" t="s">
        <v>2327</v>
      </c>
      <c r="K1404" t="s">
        <v>43</v>
      </c>
      <c r="L1404" t="s">
        <v>69</v>
      </c>
      <c r="M1404">
        <v>29</v>
      </c>
      <c r="N1404" t="s">
        <v>77</v>
      </c>
      <c r="O1404">
        <v>75</v>
      </c>
      <c r="P1404">
        <v>1</v>
      </c>
      <c r="Q1404">
        <v>7544.4</v>
      </c>
      <c r="R1404" s="4">
        <v>45600</v>
      </c>
      <c r="S1404" s="6">
        <v>0.33981481481481479</v>
      </c>
      <c r="T1404">
        <f t="shared" si="86"/>
        <v>17</v>
      </c>
      <c r="U1404" t="str" cm="1">
        <f t="array" ref="U1404">_xlfn.IFS(M1404&lt;=34,"YOUNG",M1404&lt;=54,"MIDDLE AGE",M1404&gt;=55,"OLD")</f>
        <v>YOUNG</v>
      </c>
      <c r="V1404" t="str">
        <f t="shared" si="87"/>
        <v>NORMAL</v>
      </c>
    </row>
    <row r="1405" spans="1:22" x14ac:dyDescent="0.35">
      <c r="A1405" t="s">
        <v>3170</v>
      </c>
      <c r="B1405" t="s">
        <v>64</v>
      </c>
      <c r="C1405">
        <v>279.3</v>
      </c>
      <c r="D1405" s="1">
        <v>45099.727800925924</v>
      </c>
      <c r="E1405" s="2">
        <f t="shared" si="84"/>
        <v>0.7278009259243845</v>
      </c>
      <c r="F1405" s="3">
        <f t="shared" si="85"/>
        <v>45099</v>
      </c>
      <c r="G1405" t="s">
        <v>17</v>
      </c>
      <c r="H1405" t="s">
        <v>53</v>
      </c>
      <c r="I1405" t="s">
        <v>2170</v>
      </c>
      <c r="J1405" t="s">
        <v>615</v>
      </c>
      <c r="K1405" t="s">
        <v>1281</v>
      </c>
      <c r="L1405" t="s">
        <v>22</v>
      </c>
      <c r="M1405">
        <v>19</v>
      </c>
      <c r="N1405" t="s">
        <v>37</v>
      </c>
      <c r="O1405">
        <v>48</v>
      </c>
      <c r="P1405">
        <v>1</v>
      </c>
      <c r="Q1405">
        <v>1193.6099999999999</v>
      </c>
      <c r="R1405" s="4">
        <v>45600</v>
      </c>
      <c r="S1405" s="6">
        <v>0.33842592592592591</v>
      </c>
      <c r="T1405">
        <f t="shared" si="86"/>
        <v>17</v>
      </c>
      <c r="U1405" t="str" cm="1">
        <f t="array" ref="U1405">_xlfn.IFS(M1405&lt;=34,"YOUNG",M1405&lt;=54,"MIDDLE AGE",M1405&gt;=55,"OLD")</f>
        <v>YOUNG</v>
      </c>
      <c r="V1405" t="str">
        <f t="shared" si="87"/>
        <v>NORMAL</v>
      </c>
    </row>
    <row r="1406" spans="1:22" x14ac:dyDescent="0.35">
      <c r="A1406" t="s">
        <v>3171</v>
      </c>
      <c r="B1406" t="s">
        <v>569</v>
      </c>
      <c r="C1406">
        <v>26.75</v>
      </c>
      <c r="D1406" s="1">
        <v>45054.684062499997</v>
      </c>
      <c r="E1406" s="2">
        <f t="shared" si="84"/>
        <v>0.68406249999679858</v>
      </c>
      <c r="F1406" s="3">
        <f t="shared" si="85"/>
        <v>45054</v>
      </c>
      <c r="G1406" t="s">
        <v>17</v>
      </c>
      <c r="H1406" t="s">
        <v>65</v>
      </c>
      <c r="I1406" t="s">
        <v>890</v>
      </c>
      <c r="J1406" t="s">
        <v>369</v>
      </c>
      <c r="K1406" t="s">
        <v>1287</v>
      </c>
      <c r="L1406" t="s">
        <v>36</v>
      </c>
      <c r="M1406">
        <v>33</v>
      </c>
      <c r="N1406" t="s">
        <v>23</v>
      </c>
      <c r="O1406">
        <v>27</v>
      </c>
      <c r="P1406">
        <v>1</v>
      </c>
      <c r="Q1406">
        <v>12063.77</v>
      </c>
      <c r="R1406" s="4">
        <v>45600</v>
      </c>
      <c r="S1406" s="6">
        <v>0.33819444444444446</v>
      </c>
      <c r="T1406">
        <f t="shared" si="86"/>
        <v>16</v>
      </c>
      <c r="U1406" t="str" cm="1">
        <f t="array" ref="U1406">_xlfn.IFS(M1406&lt;=34,"YOUNG",M1406&lt;=54,"MIDDLE AGE",M1406&gt;=55,"OLD")</f>
        <v>YOUNG</v>
      </c>
      <c r="V1406" t="str">
        <f t="shared" si="87"/>
        <v>NORMAL</v>
      </c>
    </row>
    <row r="1407" spans="1:22" x14ac:dyDescent="0.35">
      <c r="A1407" t="s">
        <v>3172</v>
      </c>
      <c r="B1407" t="s">
        <v>909</v>
      </c>
      <c r="C1407">
        <v>611.15</v>
      </c>
      <c r="D1407" s="1">
        <v>45149.717013888891</v>
      </c>
      <c r="E1407" s="2">
        <f t="shared" si="84"/>
        <v>0.71701388889050577</v>
      </c>
      <c r="F1407" s="3">
        <f t="shared" si="85"/>
        <v>45149</v>
      </c>
      <c r="G1407" t="s">
        <v>17</v>
      </c>
      <c r="H1407" t="s">
        <v>73</v>
      </c>
      <c r="I1407" t="s">
        <v>2447</v>
      </c>
      <c r="J1407" t="s">
        <v>2849</v>
      </c>
      <c r="K1407" t="s">
        <v>35</v>
      </c>
      <c r="L1407" t="s">
        <v>22</v>
      </c>
      <c r="M1407">
        <v>27</v>
      </c>
      <c r="N1407" t="s">
        <v>37</v>
      </c>
      <c r="O1407">
        <v>121</v>
      </c>
      <c r="P1407">
        <v>1</v>
      </c>
      <c r="Q1407">
        <v>892.83</v>
      </c>
      <c r="R1407" s="4">
        <v>45600</v>
      </c>
      <c r="S1407" s="6">
        <v>0.33984953703703702</v>
      </c>
      <c r="T1407">
        <f t="shared" si="86"/>
        <v>17</v>
      </c>
      <c r="U1407" t="str" cm="1">
        <f t="array" ref="U1407">_xlfn.IFS(M1407&lt;=34,"YOUNG",M1407&lt;=54,"MIDDLE AGE",M1407&gt;=55,"OLD")</f>
        <v>YOUNG</v>
      </c>
      <c r="V1407" t="str">
        <f t="shared" si="87"/>
        <v>NORMAL</v>
      </c>
    </row>
    <row r="1408" spans="1:22" x14ac:dyDescent="0.35">
      <c r="A1408" t="s">
        <v>3173</v>
      </c>
      <c r="B1408" t="s">
        <v>3174</v>
      </c>
      <c r="C1408">
        <v>275.2</v>
      </c>
      <c r="D1408" s="1">
        <v>45162.717800925922</v>
      </c>
      <c r="E1408" s="2">
        <f t="shared" si="84"/>
        <v>0.71780092592234723</v>
      </c>
      <c r="F1408" s="3">
        <f t="shared" si="85"/>
        <v>45162</v>
      </c>
      <c r="G1408" t="s">
        <v>17</v>
      </c>
      <c r="H1408" t="s">
        <v>203</v>
      </c>
      <c r="I1408" t="s">
        <v>2230</v>
      </c>
      <c r="J1408" t="s">
        <v>1335</v>
      </c>
      <c r="K1408" t="s">
        <v>707</v>
      </c>
      <c r="L1408" t="s">
        <v>36</v>
      </c>
      <c r="M1408">
        <v>54</v>
      </c>
      <c r="N1408" t="s">
        <v>77</v>
      </c>
      <c r="O1408">
        <v>81</v>
      </c>
      <c r="P1408">
        <v>1</v>
      </c>
      <c r="Q1408">
        <v>1230.1199999999999</v>
      </c>
      <c r="R1408" s="4">
        <v>45600</v>
      </c>
      <c r="S1408" s="6">
        <v>0.34016203703703701</v>
      </c>
      <c r="T1408">
        <f t="shared" si="86"/>
        <v>17</v>
      </c>
      <c r="U1408" t="str" cm="1">
        <f t="array" ref="U1408">_xlfn.IFS(M1408&lt;=34,"YOUNG",M1408&lt;=54,"MIDDLE AGE",M1408&gt;=55,"OLD")</f>
        <v>MIDDLE AGE</v>
      </c>
      <c r="V1408" t="str">
        <f t="shared" si="87"/>
        <v>NORMAL</v>
      </c>
    </row>
    <row r="1409" spans="1:22" x14ac:dyDescent="0.35">
      <c r="A1409" t="s">
        <v>3175</v>
      </c>
      <c r="B1409" t="s">
        <v>589</v>
      </c>
      <c r="C1409">
        <v>427.79</v>
      </c>
      <c r="D1409" s="1">
        <v>44978.737986111111</v>
      </c>
      <c r="E1409" s="2">
        <f t="shared" si="84"/>
        <v>0.73798611111124046</v>
      </c>
      <c r="F1409" s="3">
        <f t="shared" si="85"/>
        <v>44978</v>
      </c>
      <c r="G1409" t="s">
        <v>17</v>
      </c>
      <c r="H1409" t="s">
        <v>223</v>
      </c>
      <c r="I1409" t="s">
        <v>454</v>
      </c>
      <c r="J1409" t="s">
        <v>627</v>
      </c>
      <c r="K1409" t="s">
        <v>1810</v>
      </c>
      <c r="L1409" t="s">
        <v>69</v>
      </c>
      <c r="M1409">
        <v>18</v>
      </c>
      <c r="N1409" t="s">
        <v>37</v>
      </c>
      <c r="O1409">
        <v>189</v>
      </c>
      <c r="P1409">
        <v>1</v>
      </c>
      <c r="Q1409">
        <v>1479.67</v>
      </c>
      <c r="R1409" s="4">
        <v>45600</v>
      </c>
      <c r="S1409" s="6">
        <v>0.33951388888888889</v>
      </c>
      <c r="T1409">
        <f t="shared" si="86"/>
        <v>17</v>
      </c>
      <c r="U1409" t="str" cm="1">
        <f t="array" ref="U1409">_xlfn.IFS(M1409&lt;=34,"YOUNG",M1409&lt;=54,"MIDDLE AGE",M1409&gt;=55,"OLD")</f>
        <v>YOUNG</v>
      </c>
      <c r="V1409" t="str">
        <f t="shared" si="87"/>
        <v>NORMAL</v>
      </c>
    </row>
    <row r="1410" spans="1:22" x14ac:dyDescent="0.35">
      <c r="A1410" t="s">
        <v>3176</v>
      </c>
      <c r="B1410" t="s">
        <v>1874</v>
      </c>
      <c r="C1410">
        <v>469.13</v>
      </c>
      <c r="D1410" s="1">
        <v>45264.745798611111</v>
      </c>
      <c r="E1410" s="2">
        <f t="shared" ref="E1410:E1473" si="88">D1410-INT(D1410)</f>
        <v>0.74579861111124046</v>
      </c>
      <c r="F1410" s="3">
        <f t="shared" ref="F1410:F1473" si="89">INT(D1410)</f>
        <v>45264</v>
      </c>
      <c r="G1410" t="s">
        <v>46</v>
      </c>
      <c r="H1410" t="s">
        <v>237</v>
      </c>
      <c r="I1410" t="s">
        <v>1584</v>
      </c>
      <c r="J1410" t="s">
        <v>2091</v>
      </c>
      <c r="K1410" t="s">
        <v>35</v>
      </c>
      <c r="L1410" t="s">
        <v>22</v>
      </c>
      <c r="M1410">
        <v>54</v>
      </c>
      <c r="N1410" t="s">
        <v>23</v>
      </c>
      <c r="O1410">
        <v>139</v>
      </c>
      <c r="P1410">
        <v>1</v>
      </c>
      <c r="Q1410">
        <v>1265.28</v>
      </c>
      <c r="R1410" s="4">
        <v>45600</v>
      </c>
      <c r="S1410" s="6">
        <v>0.33854166666666669</v>
      </c>
      <c r="T1410">
        <f t="shared" si="86"/>
        <v>17</v>
      </c>
      <c r="U1410" t="str" cm="1">
        <f t="array" ref="U1410">_xlfn.IFS(M1410&lt;=34,"YOUNG",M1410&lt;=54,"MIDDLE AGE",M1410&gt;=55,"OLD")</f>
        <v>MIDDLE AGE</v>
      </c>
      <c r="V1410" t="str">
        <f t="shared" si="87"/>
        <v>NORMAL</v>
      </c>
    </row>
    <row r="1411" spans="1:22" x14ac:dyDescent="0.35">
      <c r="A1411" t="s">
        <v>3177</v>
      </c>
      <c r="B1411" t="s">
        <v>2512</v>
      </c>
      <c r="C1411">
        <v>102.81</v>
      </c>
      <c r="D1411" s="1">
        <v>45264.682638888888</v>
      </c>
      <c r="E1411" s="2">
        <f t="shared" si="88"/>
        <v>0.68263888888759539</v>
      </c>
      <c r="F1411" s="3">
        <f t="shared" si="89"/>
        <v>45264</v>
      </c>
      <c r="G1411" t="s">
        <v>17</v>
      </c>
      <c r="H1411" t="s">
        <v>59</v>
      </c>
      <c r="I1411" t="s">
        <v>726</v>
      </c>
      <c r="J1411" t="s">
        <v>180</v>
      </c>
      <c r="K1411" t="s">
        <v>226</v>
      </c>
      <c r="L1411" t="s">
        <v>69</v>
      </c>
      <c r="M1411">
        <v>76</v>
      </c>
      <c r="N1411" t="s">
        <v>70</v>
      </c>
      <c r="O1411">
        <v>47</v>
      </c>
      <c r="P1411">
        <v>1</v>
      </c>
      <c r="Q1411">
        <v>3228.87</v>
      </c>
      <c r="R1411" s="4">
        <v>45600</v>
      </c>
      <c r="S1411" s="6">
        <v>0.3389699074074074</v>
      </c>
      <c r="T1411">
        <f t="shared" ref="T1411:T1474" si="90">HOUR(E1411)</f>
        <v>16</v>
      </c>
      <c r="U1411" t="str" cm="1">
        <f t="array" ref="U1411">_xlfn.IFS(M1411&lt;=34,"YOUNG",M1411&lt;=54,"MIDDLE AGE",M1411&gt;=55,"OLD")</f>
        <v>OLD</v>
      </c>
      <c r="V1411" t="str">
        <f t="shared" ref="V1411:V1474" si="91">IF(P1411&gt;1,"HIGH","NORMAL")</f>
        <v>NORMAL</v>
      </c>
    </row>
    <row r="1412" spans="1:22" x14ac:dyDescent="0.35">
      <c r="A1412" t="s">
        <v>3178</v>
      </c>
      <c r="B1412" t="s">
        <v>1081</v>
      </c>
      <c r="C1412">
        <v>22.61</v>
      </c>
      <c r="D1412" s="1">
        <v>45281.74726851852</v>
      </c>
      <c r="E1412" s="2">
        <f t="shared" si="88"/>
        <v>0.74726851852028631</v>
      </c>
      <c r="F1412" s="3">
        <f t="shared" si="89"/>
        <v>45281</v>
      </c>
      <c r="G1412" t="s">
        <v>17</v>
      </c>
      <c r="H1412" t="s">
        <v>59</v>
      </c>
      <c r="I1412" t="s">
        <v>2916</v>
      </c>
      <c r="J1412" t="s">
        <v>1411</v>
      </c>
      <c r="K1412" t="s">
        <v>514</v>
      </c>
      <c r="L1412" t="s">
        <v>36</v>
      </c>
      <c r="M1412">
        <v>19</v>
      </c>
      <c r="N1412" t="s">
        <v>37</v>
      </c>
      <c r="O1412">
        <v>145</v>
      </c>
      <c r="P1412">
        <v>1</v>
      </c>
      <c r="Q1412">
        <v>1111.67</v>
      </c>
      <c r="R1412" s="4">
        <v>45600</v>
      </c>
      <c r="S1412" s="6">
        <v>0.33804398148148146</v>
      </c>
      <c r="T1412">
        <f t="shared" si="90"/>
        <v>17</v>
      </c>
      <c r="U1412" t="str" cm="1">
        <f t="array" ref="U1412">_xlfn.IFS(M1412&lt;=34,"YOUNG",M1412&lt;=54,"MIDDLE AGE",M1412&gt;=55,"OLD")</f>
        <v>YOUNG</v>
      </c>
      <c r="V1412" t="str">
        <f t="shared" si="91"/>
        <v>NORMAL</v>
      </c>
    </row>
    <row r="1413" spans="1:22" x14ac:dyDescent="0.35">
      <c r="A1413" t="s">
        <v>3179</v>
      </c>
      <c r="B1413" t="s">
        <v>314</v>
      </c>
      <c r="C1413">
        <v>68.28</v>
      </c>
      <c r="D1413" s="1">
        <v>45085.787546296298</v>
      </c>
      <c r="E1413" s="2">
        <f t="shared" si="88"/>
        <v>0.78754629629838746</v>
      </c>
      <c r="F1413" s="3">
        <f t="shared" si="89"/>
        <v>45085</v>
      </c>
      <c r="G1413" t="s">
        <v>17</v>
      </c>
      <c r="H1413" t="s">
        <v>388</v>
      </c>
      <c r="I1413" t="s">
        <v>1713</v>
      </c>
      <c r="J1413" t="s">
        <v>1674</v>
      </c>
      <c r="K1413" t="s">
        <v>740</v>
      </c>
      <c r="L1413" t="s">
        <v>36</v>
      </c>
      <c r="M1413">
        <v>56</v>
      </c>
      <c r="N1413" t="s">
        <v>77</v>
      </c>
      <c r="O1413">
        <v>293</v>
      </c>
      <c r="P1413">
        <v>1</v>
      </c>
      <c r="Q1413">
        <v>3213.16</v>
      </c>
      <c r="R1413" s="4">
        <v>45600</v>
      </c>
      <c r="S1413" s="6">
        <v>0.33916666666666667</v>
      </c>
      <c r="T1413">
        <f t="shared" si="90"/>
        <v>18</v>
      </c>
      <c r="U1413" t="str" cm="1">
        <f t="array" ref="U1413">_xlfn.IFS(M1413&lt;=34,"YOUNG",M1413&lt;=54,"MIDDLE AGE",M1413&gt;=55,"OLD")</f>
        <v>OLD</v>
      </c>
      <c r="V1413" t="str">
        <f t="shared" si="91"/>
        <v>NORMAL</v>
      </c>
    </row>
    <row r="1414" spans="1:22" x14ac:dyDescent="0.35">
      <c r="A1414" t="s">
        <v>3180</v>
      </c>
      <c r="B1414" t="s">
        <v>1206</v>
      </c>
      <c r="C1414">
        <v>33.65</v>
      </c>
      <c r="D1414" s="1">
        <v>45187.720868055556</v>
      </c>
      <c r="E1414" s="2">
        <f t="shared" si="88"/>
        <v>0.72086805555591127</v>
      </c>
      <c r="F1414" s="3">
        <f t="shared" si="89"/>
        <v>45187</v>
      </c>
      <c r="G1414" t="s">
        <v>46</v>
      </c>
      <c r="H1414" t="s">
        <v>203</v>
      </c>
      <c r="I1414" t="s">
        <v>1082</v>
      </c>
      <c r="J1414" t="s">
        <v>2206</v>
      </c>
      <c r="K1414" t="s">
        <v>652</v>
      </c>
      <c r="L1414" t="s">
        <v>36</v>
      </c>
      <c r="M1414">
        <v>63</v>
      </c>
      <c r="N1414" t="s">
        <v>23</v>
      </c>
      <c r="O1414">
        <v>146</v>
      </c>
      <c r="P1414">
        <v>1</v>
      </c>
      <c r="Q1414">
        <v>12719.93</v>
      </c>
      <c r="R1414" s="4">
        <v>45600</v>
      </c>
      <c r="S1414" s="6">
        <v>0.33847222222222223</v>
      </c>
      <c r="T1414">
        <f t="shared" si="90"/>
        <v>17</v>
      </c>
      <c r="U1414" t="str" cm="1">
        <f t="array" ref="U1414">_xlfn.IFS(M1414&lt;=34,"YOUNG",M1414&lt;=54,"MIDDLE AGE",M1414&gt;=55,"OLD")</f>
        <v>OLD</v>
      </c>
      <c r="V1414" t="str">
        <f t="shared" si="91"/>
        <v>NORMAL</v>
      </c>
    </row>
    <row r="1415" spans="1:22" x14ac:dyDescent="0.35">
      <c r="A1415" t="s">
        <v>3181</v>
      </c>
      <c r="B1415" t="s">
        <v>232</v>
      </c>
      <c r="C1415">
        <v>362.68</v>
      </c>
      <c r="D1415" s="1">
        <v>44942.751608796294</v>
      </c>
      <c r="E1415" s="2">
        <f t="shared" si="88"/>
        <v>0.75160879629402189</v>
      </c>
      <c r="F1415" s="3">
        <f t="shared" si="89"/>
        <v>44942</v>
      </c>
      <c r="G1415" t="s">
        <v>46</v>
      </c>
      <c r="H1415" t="s">
        <v>172</v>
      </c>
      <c r="I1415" t="s">
        <v>1269</v>
      </c>
      <c r="J1415" t="s">
        <v>3182</v>
      </c>
      <c r="K1415" t="s">
        <v>240</v>
      </c>
      <c r="L1415" t="s">
        <v>22</v>
      </c>
      <c r="M1415">
        <v>63</v>
      </c>
      <c r="N1415" t="s">
        <v>70</v>
      </c>
      <c r="O1415">
        <v>137</v>
      </c>
      <c r="P1415">
        <v>1</v>
      </c>
      <c r="Q1415">
        <v>2040.77</v>
      </c>
      <c r="R1415" s="4">
        <v>45600</v>
      </c>
      <c r="S1415" s="6">
        <v>0.33784722222222224</v>
      </c>
      <c r="T1415">
        <f t="shared" si="90"/>
        <v>18</v>
      </c>
      <c r="U1415" t="str" cm="1">
        <f t="array" ref="U1415">_xlfn.IFS(M1415&lt;=34,"YOUNG",M1415&lt;=54,"MIDDLE AGE",M1415&gt;=55,"OLD")</f>
        <v>OLD</v>
      </c>
      <c r="V1415" t="str">
        <f t="shared" si="91"/>
        <v>NORMAL</v>
      </c>
    </row>
    <row r="1416" spans="1:22" x14ac:dyDescent="0.35">
      <c r="A1416" t="s">
        <v>3183</v>
      </c>
      <c r="B1416" t="s">
        <v>509</v>
      </c>
      <c r="C1416">
        <v>73.23</v>
      </c>
      <c r="D1416" s="1">
        <v>45100.695451388892</v>
      </c>
      <c r="E1416" s="2">
        <f t="shared" si="88"/>
        <v>0.695451388892252</v>
      </c>
      <c r="F1416" s="3">
        <f t="shared" si="89"/>
        <v>45100</v>
      </c>
      <c r="G1416" t="s">
        <v>17</v>
      </c>
      <c r="H1416" t="s">
        <v>212</v>
      </c>
      <c r="I1416" t="s">
        <v>373</v>
      </c>
      <c r="J1416" t="s">
        <v>3184</v>
      </c>
      <c r="K1416" t="s">
        <v>277</v>
      </c>
      <c r="L1416" t="s">
        <v>69</v>
      </c>
      <c r="M1416">
        <v>20</v>
      </c>
      <c r="N1416" t="s">
        <v>37</v>
      </c>
      <c r="O1416">
        <v>172</v>
      </c>
      <c r="P1416">
        <v>1</v>
      </c>
      <c r="Q1416">
        <v>1309.8499999999999</v>
      </c>
      <c r="R1416" s="4">
        <v>45600</v>
      </c>
      <c r="S1416" s="6">
        <v>0.34192129629629631</v>
      </c>
      <c r="T1416">
        <f t="shared" si="90"/>
        <v>16</v>
      </c>
      <c r="U1416" t="str" cm="1">
        <f t="array" ref="U1416">_xlfn.IFS(M1416&lt;=34,"YOUNG",M1416&lt;=54,"MIDDLE AGE",M1416&gt;=55,"OLD")</f>
        <v>YOUNG</v>
      </c>
      <c r="V1416" t="str">
        <f t="shared" si="91"/>
        <v>NORMAL</v>
      </c>
    </row>
    <row r="1417" spans="1:22" x14ac:dyDescent="0.35">
      <c r="A1417" t="s">
        <v>3185</v>
      </c>
      <c r="B1417" t="s">
        <v>1472</v>
      </c>
      <c r="C1417">
        <v>654.49</v>
      </c>
      <c r="D1417" s="1">
        <v>45250.688611111109</v>
      </c>
      <c r="E1417" s="2">
        <f t="shared" si="88"/>
        <v>0.68861111110891216</v>
      </c>
      <c r="F1417" s="3">
        <f t="shared" si="89"/>
        <v>45250</v>
      </c>
      <c r="G1417" t="s">
        <v>46</v>
      </c>
      <c r="H1417" t="s">
        <v>119</v>
      </c>
      <c r="I1417" t="s">
        <v>19</v>
      </c>
      <c r="J1417" t="s">
        <v>440</v>
      </c>
      <c r="K1417" t="s">
        <v>406</v>
      </c>
      <c r="L1417" t="s">
        <v>36</v>
      </c>
      <c r="M1417">
        <v>25</v>
      </c>
      <c r="N1417" t="s">
        <v>37</v>
      </c>
      <c r="O1417">
        <v>104</v>
      </c>
      <c r="P1417">
        <v>1</v>
      </c>
      <c r="Q1417">
        <v>164.61</v>
      </c>
      <c r="R1417" s="4">
        <v>45600</v>
      </c>
      <c r="S1417" s="6">
        <v>0.33934027777777775</v>
      </c>
      <c r="T1417">
        <f t="shared" si="90"/>
        <v>16</v>
      </c>
      <c r="U1417" t="str" cm="1">
        <f t="array" ref="U1417">_xlfn.IFS(M1417&lt;=34,"YOUNG",M1417&lt;=54,"MIDDLE AGE",M1417&gt;=55,"OLD")</f>
        <v>YOUNG</v>
      </c>
      <c r="V1417" t="str">
        <f t="shared" si="91"/>
        <v>NORMAL</v>
      </c>
    </row>
    <row r="1418" spans="1:22" x14ac:dyDescent="0.35">
      <c r="A1418" t="s">
        <v>3186</v>
      </c>
      <c r="B1418" t="s">
        <v>2000</v>
      </c>
      <c r="C1418">
        <v>18.559999999999999</v>
      </c>
      <c r="D1418" s="1">
        <v>45040.711354166669</v>
      </c>
      <c r="E1418" s="2">
        <f t="shared" si="88"/>
        <v>0.71135416666948004</v>
      </c>
      <c r="F1418" s="3">
        <f t="shared" si="89"/>
        <v>45040</v>
      </c>
      <c r="G1418" t="s">
        <v>46</v>
      </c>
      <c r="H1418" t="s">
        <v>92</v>
      </c>
      <c r="I1418" t="s">
        <v>3187</v>
      </c>
      <c r="J1418" t="s">
        <v>2268</v>
      </c>
      <c r="K1418" t="s">
        <v>209</v>
      </c>
      <c r="L1418" t="s">
        <v>69</v>
      </c>
      <c r="M1418">
        <v>49</v>
      </c>
      <c r="N1418" t="s">
        <v>77</v>
      </c>
      <c r="O1418">
        <v>161</v>
      </c>
      <c r="P1418">
        <v>1</v>
      </c>
      <c r="Q1418">
        <v>4230.37</v>
      </c>
      <c r="R1418" s="4">
        <v>45600</v>
      </c>
      <c r="S1418" s="6">
        <v>0.33865740740740741</v>
      </c>
      <c r="T1418">
        <f t="shared" si="90"/>
        <v>17</v>
      </c>
      <c r="U1418" t="str" cm="1">
        <f t="array" ref="U1418">_xlfn.IFS(M1418&lt;=34,"YOUNG",M1418&lt;=54,"MIDDLE AGE",M1418&gt;=55,"OLD")</f>
        <v>MIDDLE AGE</v>
      </c>
      <c r="V1418" t="str">
        <f t="shared" si="91"/>
        <v>NORMAL</v>
      </c>
    </row>
    <row r="1419" spans="1:22" x14ac:dyDescent="0.35">
      <c r="A1419" t="s">
        <v>3188</v>
      </c>
      <c r="B1419" t="s">
        <v>2601</v>
      </c>
      <c r="C1419">
        <v>389.05</v>
      </c>
      <c r="D1419" s="1">
        <v>44932.732731481483</v>
      </c>
      <c r="E1419" s="2">
        <f t="shared" si="88"/>
        <v>0.73273148148291511</v>
      </c>
      <c r="F1419" s="3">
        <f t="shared" si="89"/>
        <v>44932</v>
      </c>
      <c r="G1419" t="s">
        <v>17</v>
      </c>
      <c r="H1419" t="s">
        <v>323</v>
      </c>
      <c r="I1419" t="s">
        <v>1912</v>
      </c>
      <c r="J1419" t="s">
        <v>765</v>
      </c>
      <c r="K1419" t="s">
        <v>326</v>
      </c>
      <c r="L1419" t="s">
        <v>22</v>
      </c>
      <c r="M1419">
        <v>27</v>
      </c>
      <c r="N1419" t="s">
        <v>37</v>
      </c>
      <c r="O1419">
        <v>41</v>
      </c>
      <c r="P1419">
        <v>1</v>
      </c>
      <c r="Q1419">
        <v>761</v>
      </c>
      <c r="R1419" s="4">
        <v>45600</v>
      </c>
      <c r="S1419" s="6">
        <v>0.34129629629629632</v>
      </c>
      <c r="T1419">
        <f t="shared" si="90"/>
        <v>17</v>
      </c>
      <c r="U1419" t="str" cm="1">
        <f t="array" ref="U1419">_xlfn.IFS(M1419&lt;=34,"YOUNG",M1419&lt;=54,"MIDDLE AGE",M1419&gt;=55,"OLD")</f>
        <v>YOUNG</v>
      </c>
      <c r="V1419" t="str">
        <f t="shared" si="91"/>
        <v>NORMAL</v>
      </c>
    </row>
    <row r="1420" spans="1:22" x14ac:dyDescent="0.35">
      <c r="A1420" t="s">
        <v>3189</v>
      </c>
      <c r="B1420" t="s">
        <v>1327</v>
      </c>
      <c r="C1420">
        <v>7.38</v>
      </c>
      <c r="D1420" s="1">
        <v>45000.699826388889</v>
      </c>
      <c r="E1420" s="2">
        <f t="shared" si="88"/>
        <v>0.69982638888905058</v>
      </c>
      <c r="F1420" s="3">
        <f t="shared" si="89"/>
        <v>45000</v>
      </c>
      <c r="G1420" t="s">
        <v>17</v>
      </c>
      <c r="H1420" t="s">
        <v>26</v>
      </c>
      <c r="I1420" t="s">
        <v>3190</v>
      </c>
      <c r="J1420" t="s">
        <v>2013</v>
      </c>
      <c r="K1420" t="s">
        <v>592</v>
      </c>
      <c r="L1420" t="s">
        <v>36</v>
      </c>
      <c r="M1420">
        <v>67</v>
      </c>
      <c r="N1420" t="s">
        <v>70</v>
      </c>
      <c r="O1420">
        <v>105</v>
      </c>
      <c r="P1420">
        <v>1</v>
      </c>
      <c r="Q1420">
        <v>2923.83</v>
      </c>
      <c r="R1420" s="4">
        <v>45600</v>
      </c>
      <c r="S1420" s="6">
        <v>0.3404861111111111</v>
      </c>
      <c r="T1420">
        <f t="shared" si="90"/>
        <v>16</v>
      </c>
      <c r="U1420" t="str" cm="1">
        <f t="array" ref="U1420">_xlfn.IFS(M1420&lt;=34,"YOUNG",M1420&lt;=54,"MIDDLE AGE",M1420&gt;=55,"OLD")</f>
        <v>OLD</v>
      </c>
      <c r="V1420" t="str">
        <f t="shared" si="91"/>
        <v>NORMAL</v>
      </c>
    </row>
    <row r="1421" spans="1:22" x14ac:dyDescent="0.35">
      <c r="A1421" t="s">
        <v>3191</v>
      </c>
      <c r="B1421" t="s">
        <v>1405</v>
      </c>
      <c r="C1421">
        <v>109.48</v>
      </c>
      <c r="D1421" s="1">
        <v>45103.734976851854</v>
      </c>
      <c r="E1421" s="2">
        <f t="shared" si="88"/>
        <v>0.73497685185429873</v>
      </c>
      <c r="F1421" s="3">
        <f t="shared" si="89"/>
        <v>45103</v>
      </c>
      <c r="G1421" t="s">
        <v>17</v>
      </c>
      <c r="H1421" t="s">
        <v>197</v>
      </c>
      <c r="I1421" t="s">
        <v>2230</v>
      </c>
      <c r="J1421" t="s">
        <v>3069</v>
      </c>
      <c r="K1421" t="s">
        <v>181</v>
      </c>
      <c r="L1421" t="s">
        <v>36</v>
      </c>
      <c r="M1421">
        <v>61</v>
      </c>
      <c r="N1421" t="s">
        <v>70</v>
      </c>
      <c r="O1421">
        <v>93</v>
      </c>
      <c r="P1421">
        <v>1</v>
      </c>
      <c r="Q1421">
        <v>7372.47</v>
      </c>
      <c r="R1421" s="4">
        <v>45600</v>
      </c>
      <c r="S1421" s="6">
        <v>0.33849537037037036</v>
      </c>
      <c r="T1421">
        <f t="shared" si="90"/>
        <v>17</v>
      </c>
      <c r="U1421" t="str" cm="1">
        <f t="array" ref="U1421">_xlfn.IFS(M1421&lt;=34,"YOUNG",M1421&lt;=54,"MIDDLE AGE",M1421&gt;=55,"OLD")</f>
        <v>OLD</v>
      </c>
      <c r="V1421" t="str">
        <f t="shared" si="91"/>
        <v>NORMAL</v>
      </c>
    </row>
    <row r="1422" spans="1:22" x14ac:dyDescent="0.35">
      <c r="A1422" t="s">
        <v>3192</v>
      </c>
      <c r="B1422" t="s">
        <v>2133</v>
      </c>
      <c r="C1422">
        <v>66.91</v>
      </c>
      <c r="D1422" s="1">
        <v>44956.782835648148</v>
      </c>
      <c r="E1422" s="2">
        <f t="shared" si="88"/>
        <v>0.78283564814773854</v>
      </c>
      <c r="F1422" s="3">
        <f t="shared" si="89"/>
        <v>44956</v>
      </c>
      <c r="G1422" t="s">
        <v>17</v>
      </c>
      <c r="H1422" t="s">
        <v>59</v>
      </c>
      <c r="I1422" t="s">
        <v>3193</v>
      </c>
      <c r="J1422" t="s">
        <v>1717</v>
      </c>
      <c r="K1422" t="s">
        <v>478</v>
      </c>
      <c r="L1422" t="s">
        <v>22</v>
      </c>
      <c r="M1422">
        <v>39</v>
      </c>
      <c r="N1422" t="s">
        <v>23</v>
      </c>
      <c r="O1422">
        <v>85</v>
      </c>
      <c r="P1422">
        <v>1</v>
      </c>
      <c r="Q1422">
        <v>871.1</v>
      </c>
      <c r="R1422" s="4">
        <v>45600</v>
      </c>
      <c r="S1422" s="6">
        <v>0.34049768518518519</v>
      </c>
      <c r="T1422">
        <f t="shared" si="90"/>
        <v>18</v>
      </c>
      <c r="U1422" t="str" cm="1">
        <f t="array" ref="U1422">_xlfn.IFS(M1422&lt;=34,"YOUNG",M1422&lt;=54,"MIDDLE AGE",M1422&gt;=55,"OLD")</f>
        <v>MIDDLE AGE</v>
      </c>
      <c r="V1422" t="str">
        <f t="shared" si="91"/>
        <v>NORMAL</v>
      </c>
    </row>
    <row r="1423" spans="1:22" x14ac:dyDescent="0.35">
      <c r="A1423" t="s">
        <v>3194</v>
      </c>
      <c r="B1423" t="s">
        <v>1874</v>
      </c>
      <c r="C1423">
        <v>335.48</v>
      </c>
      <c r="D1423" s="1">
        <v>44987.671041666668</v>
      </c>
      <c r="E1423" s="2">
        <f t="shared" si="88"/>
        <v>0.67104166666831588</v>
      </c>
      <c r="F1423" s="3">
        <f t="shared" si="89"/>
        <v>44987</v>
      </c>
      <c r="G1423" t="s">
        <v>17</v>
      </c>
      <c r="H1423" t="s">
        <v>53</v>
      </c>
      <c r="I1423" t="s">
        <v>2548</v>
      </c>
      <c r="J1423" t="s">
        <v>979</v>
      </c>
      <c r="K1423" t="s">
        <v>143</v>
      </c>
      <c r="L1423" t="s">
        <v>69</v>
      </c>
      <c r="M1423">
        <v>45</v>
      </c>
      <c r="N1423" t="s">
        <v>77</v>
      </c>
      <c r="O1423">
        <v>155</v>
      </c>
      <c r="P1423">
        <v>1</v>
      </c>
      <c r="Q1423">
        <v>3023.16</v>
      </c>
      <c r="R1423" s="4">
        <v>45600</v>
      </c>
      <c r="S1423" s="6">
        <v>0.33802083333333333</v>
      </c>
      <c r="T1423">
        <f t="shared" si="90"/>
        <v>16</v>
      </c>
      <c r="U1423" t="str" cm="1">
        <f t="array" ref="U1423">_xlfn.IFS(M1423&lt;=34,"YOUNG",M1423&lt;=54,"MIDDLE AGE",M1423&gt;=55,"OLD")</f>
        <v>MIDDLE AGE</v>
      </c>
      <c r="V1423" t="str">
        <f t="shared" si="91"/>
        <v>NORMAL</v>
      </c>
    </row>
    <row r="1424" spans="1:22" x14ac:dyDescent="0.35">
      <c r="A1424" t="s">
        <v>3195</v>
      </c>
      <c r="B1424" t="s">
        <v>3196</v>
      </c>
      <c r="C1424">
        <v>38.14</v>
      </c>
      <c r="D1424" s="1">
        <v>45288.702314814815</v>
      </c>
      <c r="E1424" s="2">
        <f t="shared" si="88"/>
        <v>0.70231481481459923</v>
      </c>
      <c r="F1424" s="3">
        <f t="shared" si="89"/>
        <v>45288</v>
      </c>
      <c r="G1424" t="s">
        <v>17</v>
      </c>
      <c r="H1424" t="s">
        <v>86</v>
      </c>
      <c r="I1424" t="s">
        <v>3197</v>
      </c>
      <c r="J1424" t="s">
        <v>3101</v>
      </c>
      <c r="K1424" t="s">
        <v>607</v>
      </c>
      <c r="L1424" t="s">
        <v>36</v>
      </c>
      <c r="M1424">
        <v>19</v>
      </c>
      <c r="N1424" t="s">
        <v>37</v>
      </c>
      <c r="O1424">
        <v>174</v>
      </c>
      <c r="P1424">
        <v>1</v>
      </c>
      <c r="Q1424">
        <v>1119.21</v>
      </c>
      <c r="R1424" s="4">
        <v>45600</v>
      </c>
      <c r="S1424" s="6">
        <v>0.3402662037037037</v>
      </c>
      <c r="T1424">
        <f t="shared" si="90"/>
        <v>16</v>
      </c>
      <c r="U1424" t="str" cm="1">
        <f t="array" ref="U1424">_xlfn.IFS(M1424&lt;=34,"YOUNG",M1424&lt;=54,"MIDDLE AGE",M1424&gt;=55,"OLD")</f>
        <v>YOUNG</v>
      </c>
      <c r="V1424" t="str">
        <f t="shared" si="91"/>
        <v>NORMAL</v>
      </c>
    </row>
    <row r="1425" spans="1:22" x14ac:dyDescent="0.35">
      <c r="A1425" t="s">
        <v>3198</v>
      </c>
      <c r="B1425" t="s">
        <v>1520</v>
      </c>
      <c r="C1425">
        <v>1076.98</v>
      </c>
      <c r="D1425" s="1">
        <v>45280.758622685185</v>
      </c>
      <c r="E1425" s="2">
        <f t="shared" si="88"/>
        <v>0.75862268518540077</v>
      </c>
      <c r="F1425" s="3">
        <f t="shared" si="89"/>
        <v>45280</v>
      </c>
      <c r="G1425" t="s">
        <v>17</v>
      </c>
      <c r="H1425" t="s">
        <v>73</v>
      </c>
      <c r="I1425" t="s">
        <v>1692</v>
      </c>
      <c r="J1425" t="s">
        <v>2206</v>
      </c>
      <c r="K1425" t="s">
        <v>277</v>
      </c>
      <c r="L1425" t="s">
        <v>69</v>
      </c>
      <c r="M1425">
        <v>60</v>
      </c>
      <c r="N1425" t="s">
        <v>23</v>
      </c>
      <c r="O1425">
        <v>173</v>
      </c>
      <c r="P1425">
        <v>1</v>
      </c>
      <c r="Q1425">
        <v>11833.73</v>
      </c>
      <c r="R1425" s="4">
        <v>45600</v>
      </c>
      <c r="S1425" s="6">
        <v>0.3399652777777778</v>
      </c>
      <c r="T1425">
        <f t="shared" si="90"/>
        <v>18</v>
      </c>
      <c r="U1425" t="str" cm="1">
        <f t="array" ref="U1425">_xlfn.IFS(M1425&lt;=34,"YOUNG",M1425&lt;=54,"MIDDLE AGE",M1425&gt;=55,"OLD")</f>
        <v>OLD</v>
      </c>
      <c r="V1425" t="str">
        <f t="shared" si="91"/>
        <v>NORMAL</v>
      </c>
    </row>
    <row r="1426" spans="1:22" x14ac:dyDescent="0.35">
      <c r="A1426" t="s">
        <v>3199</v>
      </c>
      <c r="B1426" t="s">
        <v>2467</v>
      </c>
      <c r="C1426">
        <v>360.02</v>
      </c>
      <c r="D1426" s="1">
        <v>44966.686874999999</v>
      </c>
      <c r="E1426" s="2">
        <f t="shared" si="88"/>
        <v>0.68687499999941792</v>
      </c>
      <c r="F1426" s="3">
        <f t="shared" si="89"/>
        <v>44966</v>
      </c>
      <c r="G1426" t="s">
        <v>17</v>
      </c>
      <c r="H1426" t="s">
        <v>323</v>
      </c>
      <c r="I1426" t="s">
        <v>1305</v>
      </c>
      <c r="J1426" t="s">
        <v>2206</v>
      </c>
      <c r="K1426" t="s">
        <v>432</v>
      </c>
      <c r="L1426" t="s">
        <v>36</v>
      </c>
      <c r="M1426">
        <v>68</v>
      </c>
      <c r="N1426" t="s">
        <v>70</v>
      </c>
      <c r="O1426">
        <v>68</v>
      </c>
      <c r="P1426">
        <v>1</v>
      </c>
      <c r="Q1426">
        <v>6400.59</v>
      </c>
      <c r="R1426" s="4">
        <v>45600</v>
      </c>
      <c r="S1426" s="6">
        <v>0.3395023148148148</v>
      </c>
      <c r="T1426">
        <f t="shared" si="90"/>
        <v>16</v>
      </c>
      <c r="U1426" t="str" cm="1">
        <f t="array" ref="U1426">_xlfn.IFS(M1426&lt;=34,"YOUNG",M1426&lt;=54,"MIDDLE AGE",M1426&gt;=55,"OLD")</f>
        <v>OLD</v>
      </c>
      <c r="V1426" t="str">
        <f t="shared" si="91"/>
        <v>NORMAL</v>
      </c>
    </row>
    <row r="1427" spans="1:22" x14ac:dyDescent="0.35">
      <c r="A1427" t="s">
        <v>3200</v>
      </c>
      <c r="B1427" t="s">
        <v>974</v>
      </c>
      <c r="C1427">
        <v>567.71</v>
      </c>
      <c r="D1427" s="1">
        <v>44963.777349537035</v>
      </c>
      <c r="E1427" s="2">
        <f t="shared" si="88"/>
        <v>0.77734953703475185</v>
      </c>
      <c r="F1427" s="3">
        <f t="shared" si="89"/>
        <v>44963</v>
      </c>
      <c r="G1427" t="s">
        <v>17</v>
      </c>
      <c r="H1427" t="s">
        <v>92</v>
      </c>
      <c r="I1427" t="s">
        <v>695</v>
      </c>
      <c r="J1427" t="s">
        <v>2193</v>
      </c>
      <c r="K1427" t="s">
        <v>572</v>
      </c>
      <c r="L1427" t="s">
        <v>36</v>
      </c>
      <c r="M1427">
        <v>63</v>
      </c>
      <c r="N1427" t="s">
        <v>23</v>
      </c>
      <c r="O1427">
        <v>80</v>
      </c>
      <c r="P1427">
        <v>1</v>
      </c>
      <c r="Q1427">
        <v>13884.24</v>
      </c>
      <c r="R1427" s="4">
        <v>45600</v>
      </c>
      <c r="S1427" s="6">
        <v>0.34074074074074073</v>
      </c>
      <c r="T1427">
        <f t="shared" si="90"/>
        <v>18</v>
      </c>
      <c r="U1427" t="str" cm="1">
        <f t="array" ref="U1427">_xlfn.IFS(M1427&lt;=34,"YOUNG",M1427&lt;=54,"MIDDLE AGE",M1427&gt;=55,"OLD")</f>
        <v>OLD</v>
      </c>
      <c r="V1427" t="str">
        <f t="shared" si="91"/>
        <v>NORMAL</v>
      </c>
    </row>
    <row r="1428" spans="1:22" x14ac:dyDescent="0.35">
      <c r="A1428" t="s">
        <v>3201</v>
      </c>
      <c r="B1428" t="s">
        <v>1200</v>
      </c>
      <c r="C1428">
        <v>218.19</v>
      </c>
      <c r="D1428" s="1">
        <v>45069.687164351853</v>
      </c>
      <c r="E1428" s="2">
        <f t="shared" si="88"/>
        <v>0.68716435185342561</v>
      </c>
      <c r="F1428" s="3">
        <f t="shared" si="89"/>
        <v>45069</v>
      </c>
      <c r="G1428" t="s">
        <v>17</v>
      </c>
      <c r="H1428" t="s">
        <v>119</v>
      </c>
      <c r="I1428" t="s">
        <v>807</v>
      </c>
      <c r="J1428" t="s">
        <v>2030</v>
      </c>
      <c r="K1428" t="s">
        <v>303</v>
      </c>
      <c r="L1428" t="s">
        <v>22</v>
      </c>
      <c r="M1428">
        <v>19</v>
      </c>
      <c r="N1428" t="s">
        <v>37</v>
      </c>
      <c r="O1428">
        <v>185</v>
      </c>
      <c r="P1428">
        <v>1</v>
      </c>
      <c r="Q1428">
        <v>620.83000000000004</v>
      </c>
      <c r="R1428" s="4">
        <v>45600</v>
      </c>
      <c r="S1428" s="6">
        <v>0.34059027777777778</v>
      </c>
      <c r="T1428">
        <f t="shared" si="90"/>
        <v>16</v>
      </c>
      <c r="U1428" t="str" cm="1">
        <f t="array" ref="U1428">_xlfn.IFS(M1428&lt;=34,"YOUNG",M1428&lt;=54,"MIDDLE AGE",M1428&gt;=55,"OLD")</f>
        <v>YOUNG</v>
      </c>
      <c r="V1428" t="str">
        <f t="shared" si="91"/>
        <v>NORMAL</v>
      </c>
    </row>
    <row r="1429" spans="1:22" x14ac:dyDescent="0.35">
      <c r="A1429" t="s">
        <v>3202</v>
      </c>
      <c r="B1429" t="s">
        <v>1193</v>
      </c>
      <c r="C1429">
        <v>209.99</v>
      </c>
      <c r="D1429" s="1">
        <v>45176.721770833334</v>
      </c>
      <c r="E1429" s="2">
        <f t="shared" si="88"/>
        <v>0.72177083333372138</v>
      </c>
      <c r="F1429" s="3">
        <f t="shared" si="89"/>
        <v>45176</v>
      </c>
      <c r="G1429" t="s">
        <v>17</v>
      </c>
      <c r="H1429" t="s">
        <v>114</v>
      </c>
      <c r="I1429" t="s">
        <v>3203</v>
      </c>
      <c r="J1429" t="s">
        <v>378</v>
      </c>
      <c r="K1429" t="s">
        <v>240</v>
      </c>
      <c r="L1429" t="s">
        <v>22</v>
      </c>
      <c r="M1429">
        <v>19</v>
      </c>
      <c r="N1429" t="s">
        <v>37</v>
      </c>
      <c r="O1429">
        <v>40</v>
      </c>
      <c r="P1429">
        <v>1</v>
      </c>
      <c r="Q1429">
        <v>1938.01</v>
      </c>
      <c r="R1429" s="4">
        <v>45600</v>
      </c>
      <c r="S1429" s="6">
        <v>0.34142361111111114</v>
      </c>
      <c r="T1429">
        <f t="shared" si="90"/>
        <v>17</v>
      </c>
      <c r="U1429" t="str" cm="1">
        <f t="array" ref="U1429">_xlfn.IFS(M1429&lt;=34,"YOUNG",M1429&lt;=54,"MIDDLE AGE",M1429&gt;=55,"OLD")</f>
        <v>YOUNG</v>
      </c>
      <c r="V1429" t="str">
        <f t="shared" si="91"/>
        <v>NORMAL</v>
      </c>
    </row>
    <row r="1430" spans="1:22" x14ac:dyDescent="0.35">
      <c r="A1430" t="s">
        <v>3204</v>
      </c>
      <c r="B1430" t="s">
        <v>1753</v>
      </c>
      <c r="C1430">
        <v>11.02</v>
      </c>
      <c r="D1430" s="1">
        <v>45243.689502314817</v>
      </c>
      <c r="E1430" s="2">
        <f t="shared" si="88"/>
        <v>0.68950231481721858</v>
      </c>
      <c r="F1430" s="3">
        <f t="shared" si="89"/>
        <v>45243</v>
      </c>
      <c r="G1430" t="s">
        <v>17</v>
      </c>
      <c r="H1430" t="s">
        <v>255</v>
      </c>
      <c r="I1430" t="s">
        <v>1160</v>
      </c>
      <c r="J1430" t="s">
        <v>2868</v>
      </c>
      <c r="K1430" t="s">
        <v>181</v>
      </c>
      <c r="L1430" t="s">
        <v>69</v>
      </c>
      <c r="M1430">
        <v>19</v>
      </c>
      <c r="N1430" t="s">
        <v>37</v>
      </c>
      <c r="O1430">
        <v>280</v>
      </c>
      <c r="P1430">
        <v>1</v>
      </c>
      <c r="Q1430">
        <v>964.79</v>
      </c>
      <c r="R1430" s="4">
        <v>45600</v>
      </c>
      <c r="S1430" s="6">
        <v>0.33814814814814814</v>
      </c>
      <c r="T1430">
        <f t="shared" si="90"/>
        <v>16</v>
      </c>
      <c r="U1430" t="str" cm="1">
        <f t="array" ref="U1430">_xlfn.IFS(M1430&lt;=34,"YOUNG",M1430&lt;=54,"MIDDLE AGE",M1430&gt;=55,"OLD")</f>
        <v>YOUNG</v>
      </c>
      <c r="V1430" t="str">
        <f t="shared" si="91"/>
        <v>NORMAL</v>
      </c>
    </row>
    <row r="1431" spans="1:22" x14ac:dyDescent="0.35">
      <c r="A1431" t="s">
        <v>3205</v>
      </c>
      <c r="B1431" t="s">
        <v>729</v>
      </c>
      <c r="C1431">
        <v>83.43</v>
      </c>
      <c r="D1431" s="1">
        <v>45076.686666666668</v>
      </c>
      <c r="E1431" s="2">
        <f t="shared" si="88"/>
        <v>0.68666666666831588</v>
      </c>
      <c r="F1431" s="3">
        <f t="shared" si="89"/>
        <v>45076</v>
      </c>
      <c r="G1431" t="s">
        <v>17</v>
      </c>
      <c r="H1431" t="s">
        <v>203</v>
      </c>
      <c r="I1431" t="s">
        <v>244</v>
      </c>
      <c r="J1431" t="s">
        <v>1742</v>
      </c>
      <c r="K1431" t="s">
        <v>445</v>
      </c>
      <c r="L1431" t="s">
        <v>36</v>
      </c>
      <c r="M1431">
        <v>56</v>
      </c>
      <c r="N1431" t="s">
        <v>70</v>
      </c>
      <c r="O1431">
        <v>109</v>
      </c>
      <c r="P1431">
        <v>1</v>
      </c>
      <c r="Q1431">
        <v>1870.16</v>
      </c>
      <c r="R1431" s="4">
        <v>45600</v>
      </c>
      <c r="S1431" s="6">
        <v>0.34143518518518517</v>
      </c>
      <c r="T1431">
        <f t="shared" si="90"/>
        <v>16</v>
      </c>
      <c r="U1431" t="str" cm="1">
        <f t="array" ref="U1431">_xlfn.IFS(M1431&lt;=34,"YOUNG",M1431&lt;=54,"MIDDLE AGE",M1431&gt;=55,"OLD")</f>
        <v>OLD</v>
      </c>
      <c r="V1431" t="str">
        <f t="shared" si="91"/>
        <v>NORMAL</v>
      </c>
    </row>
    <row r="1432" spans="1:22" x14ac:dyDescent="0.35">
      <c r="A1432" t="s">
        <v>3206</v>
      </c>
      <c r="B1432" t="s">
        <v>3207</v>
      </c>
      <c r="C1432">
        <v>344.97</v>
      </c>
      <c r="D1432" s="1">
        <v>45005.729768518519</v>
      </c>
      <c r="E1432" s="2">
        <f t="shared" si="88"/>
        <v>0.72976851851854008</v>
      </c>
      <c r="F1432" s="3">
        <f t="shared" si="89"/>
        <v>45005</v>
      </c>
      <c r="G1432" t="s">
        <v>17</v>
      </c>
      <c r="H1432" t="s">
        <v>119</v>
      </c>
      <c r="I1432" t="s">
        <v>1548</v>
      </c>
      <c r="J1432" t="s">
        <v>1637</v>
      </c>
      <c r="K1432" t="s">
        <v>1345</v>
      </c>
      <c r="L1432" t="s">
        <v>36</v>
      </c>
      <c r="M1432">
        <v>34</v>
      </c>
      <c r="N1432" t="s">
        <v>23</v>
      </c>
      <c r="O1432">
        <v>106</v>
      </c>
      <c r="P1432">
        <v>1</v>
      </c>
      <c r="Q1432">
        <v>5577.94</v>
      </c>
      <c r="R1432" s="4">
        <v>45600</v>
      </c>
      <c r="S1432" s="6">
        <v>0.3400347222222222</v>
      </c>
      <c r="T1432">
        <f t="shared" si="90"/>
        <v>17</v>
      </c>
      <c r="U1432" t="str" cm="1">
        <f t="array" ref="U1432">_xlfn.IFS(M1432&lt;=34,"YOUNG",M1432&lt;=54,"MIDDLE AGE",M1432&gt;=55,"OLD")</f>
        <v>YOUNG</v>
      </c>
      <c r="V1432" t="str">
        <f t="shared" si="91"/>
        <v>NORMAL</v>
      </c>
    </row>
    <row r="1433" spans="1:22" x14ac:dyDescent="0.35">
      <c r="A1433" t="s">
        <v>3208</v>
      </c>
      <c r="B1433" t="s">
        <v>1401</v>
      </c>
      <c r="C1433">
        <v>172.29</v>
      </c>
      <c r="D1433" s="1">
        <v>44956.724062499998</v>
      </c>
      <c r="E1433" s="2">
        <f t="shared" si="88"/>
        <v>0.72406249999767169</v>
      </c>
      <c r="F1433" s="3">
        <f t="shared" si="89"/>
        <v>44956</v>
      </c>
      <c r="G1433" t="s">
        <v>17</v>
      </c>
      <c r="H1433" t="s">
        <v>506</v>
      </c>
      <c r="I1433" t="s">
        <v>1692</v>
      </c>
      <c r="J1433" t="s">
        <v>1455</v>
      </c>
      <c r="K1433" t="s">
        <v>639</v>
      </c>
      <c r="L1433" t="s">
        <v>22</v>
      </c>
      <c r="M1433">
        <v>36</v>
      </c>
      <c r="N1433" t="s">
        <v>77</v>
      </c>
      <c r="O1433">
        <v>283</v>
      </c>
      <c r="P1433">
        <v>1</v>
      </c>
      <c r="Q1433">
        <v>8700.7999999999993</v>
      </c>
      <c r="R1433" s="4">
        <v>45600</v>
      </c>
      <c r="S1433" s="6">
        <v>0.33937499999999998</v>
      </c>
      <c r="T1433">
        <f t="shared" si="90"/>
        <v>17</v>
      </c>
      <c r="U1433" t="str" cm="1">
        <f t="array" ref="U1433">_xlfn.IFS(M1433&lt;=34,"YOUNG",M1433&lt;=54,"MIDDLE AGE",M1433&gt;=55,"OLD")</f>
        <v>MIDDLE AGE</v>
      </c>
      <c r="V1433" t="str">
        <f t="shared" si="91"/>
        <v>NORMAL</v>
      </c>
    </row>
    <row r="1434" spans="1:22" x14ac:dyDescent="0.35">
      <c r="A1434" t="s">
        <v>3209</v>
      </c>
      <c r="B1434" t="s">
        <v>1517</v>
      </c>
      <c r="C1434">
        <v>195.54</v>
      </c>
      <c r="D1434" s="1">
        <v>45124.670405092591</v>
      </c>
      <c r="E1434" s="2">
        <f t="shared" si="88"/>
        <v>0.67040509259095415</v>
      </c>
      <c r="F1434" s="3">
        <f t="shared" si="89"/>
        <v>45124</v>
      </c>
      <c r="G1434" t="s">
        <v>17</v>
      </c>
      <c r="H1434" t="s">
        <v>296</v>
      </c>
      <c r="I1434" t="s">
        <v>2851</v>
      </c>
      <c r="J1434" t="s">
        <v>3210</v>
      </c>
      <c r="K1434" t="s">
        <v>137</v>
      </c>
      <c r="L1434" t="s">
        <v>36</v>
      </c>
      <c r="M1434">
        <v>60</v>
      </c>
      <c r="N1434" t="s">
        <v>70</v>
      </c>
      <c r="O1434">
        <v>255</v>
      </c>
      <c r="P1434">
        <v>1</v>
      </c>
      <c r="Q1434">
        <v>2794.66</v>
      </c>
      <c r="R1434" s="4">
        <v>45600</v>
      </c>
      <c r="S1434" s="6">
        <v>0.33959490740740739</v>
      </c>
      <c r="T1434">
        <f t="shared" si="90"/>
        <v>16</v>
      </c>
      <c r="U1434" t="str" cm="1">
        <f t="array" ref="U1434">_xlfn.IFS(M1434&lt;=34,"YOUNG",M1434&lt;=54,"MIDDLE AGE",M1434&gt;=55,"OLD")</f>
        <v>OLD</v>
      </c>
      <c r="V1434" t="str">
        <f t="shared" si="91"/>
        <v>NORMAL</v>
      </c>
    </row>
    <row r="1435" spans="1:22" x14ac:dyDescent="0.35">
      <c r="A1435" t="s">
        <v>3211</v>
      </c>
      <c r="B1435" t="s">
        <v>25</v>
      </c>
      <c r="C1435">
        <v>101.23</v>
      </c>
      <c r="D1435" s="1">
        <v>45142.773622685185</v>
      </c>
      <c r="E1435" s="2">
        <f t="shared" si="88"/>
        <v>0.77362268518481869</v>
      </c>
      <c r="F1435" s="3">
        <f t="shared" si="89"/>
        <v>45142</v>
      </c>
      <c r="G1435" t="s">
        <v>17</v>
      </c>
      <c r="H1435" t="s">
        <v>521</v>
      </c>
      <c r="I1435" t="s">
        <v>3167</v>
      </c>
      <c r="J1435" t="s">
        <v>1181</v>
      </c>
      <c r="K1435" t="s">
        <v>21</v>
      </c>
      <c r="L1435" t="s">
        <v>36</v>
      </c>
      <c r="M1435">
        <v>45</v>
      </c>
      <c r="N1435" t="s">
        <v>77</v>
      </c>
      <c r="O1435">
        <v>87</v>
      </c>
      <c r="P1435">
        <v>1</v>
      </c>
      <c r="Q1435">
        <v>6169.71</v>
      </c>
      <c r="R1435" s="4">
        <v>45600</v>
      </c>
      <c r="S1435" s="6">
        <v>0.3379861111111111</v>
      </c>
      <c r="T1435">
        <f t="shared" si="90"/>
        <v>18</v>
      </c>
      <c r="U1435" t="str" cm="1">
        <f t="array" ref="U1435">_xlfn.IFS(M1435&lt;=34,"YOUNG",M1435&lt;=54,"MIDDLE AGE",M1435&gt;=55,"OLD")</f>
        <v>MIDDLE AGE</v>
      </c>
      <c r="V1435" t="str">
        <f t="shared" si="91"/>
        <v>NORMAL</v>
      </c>
    </row>
    <row r="1436" spans="1:22" x14ac:dyDescent="0.35">
      <c r="A1436" t="s">
        <v>3212</v>
      </c>
      <c r="B1436" t="s">
        <v>3213</v>
      </c>
      <c r="C1436">
        <v>180.46</v>
      </c>
      <c r="D1436" s="1">
        <v>44998.685069444444</v>
      </c>
      <c r="E1436" s="2">
        <f t="shared" si="88"/>
        <v>0.68506944444379769</v>
      </c>
      <c r="F1436" s="3">
        <f t="shared" si="89"/>
        <v>44998</v>
      </c>
      <c r="G1436" t="s">
        <v>17</v>
      </c>
      <c r="H1436" t="s">
        <v>558</v>
      </c>
      <c r="I1436" t="s">
        <v>730</v>
      </c>
      <c r="J1436" t="s">
        <v>1370</v>
      </c>
      <c r="K1436" t="s">
        <v>353</v>
      </c>
      <c r="L1436" t="s">
        <v>22</v>
      </c>
      <c r="M1436">
        <v>25</v>
      </c>
      <c r="N1436" t="s">
        <v>37</v>
      </c>
      <c r="O1436">
        <v>34</v>
      </c>
      <c r="P1436">
        <v>1</v>
      </c>
      <c r="Q1436">
        <v>831.75</v>
      </c>
      <c r="R1436" s="4">
        <v>45600</v>
      </c>
      <c r="S1436" s="6">
        <v>0.3412384259259259</v>
      </c>
      <c r="T1436">
        <f t="shared" si="90"/>
        <v>16</v>
      </c>
      <c r="U1436" t="str" cm="1">
        <f t="array" ref="U1436">_xlfn.IFS(M1436&lt;=34,"YOUNG",M1436&lt;=54,"MIDDLE AGE",M1436&gt;=55,"OLD")</f>
        <v>YOUNG</v>
      </c>
      <c r="V1436" t="str">
        <f t="shared" si="91"/>
        <v>NORMAL</v>
      </c>
    </row>
    <row r="1437" spans="1:22" x14ac:dyDescent="0.35">
      <c r="A1437" t="s">
        <v>3214</v>
      </c>
      <c r="B1437" t="s">
        <v>3215</v>
      </c>
      <c r="C1437">
        <v>692.55</v>
      </c>
      <c r="D1437" s="1">
        <v>44992.702511574076</v>
      </c>
      <c r="E1437" s="2">
        <f t="shared" si="88"/>
        <v>0.70251157407619758</v>
      </c>
      <c r="F1437" s="3">
        <f t="shared" si="89"/>
        <v>44992</v>
      </c>
      <c r="G1437" t="s">
        <v>17</v>
      </c>
      <c r="H1437" t="s">
        <v>249</v>
      </c>
      <c r="I1437" t="s">
        <v>2119</v>
      </c>
      <c r="J1437" t="s">
        <v>1430</v>
      </c>
      <c r="K1437" t="s">
        <v>707</v>
      </c>
      <c r="L1437" t="s">
        <v>69</v>
      </c>
      <c r="M1437">
        <v>53</v>
      </c>
      <c r="N1437" t="s">
        <v>70</v>
      </c>
      <c r="O1437">
        <v>109</v>
      </c>
      <c r="P1437">
        <v>1</v>
      </c>
      <c r="Q1437">
        <v>2451.56</v>
      </c>
      <c r="R1437" s="4">
        <v>45600</v>
      </c>
      <c r="S1437" s="6">
        <v>0.34186342592592595</v>
      </c>
      <c r="T1437">
        <f t="shared" si="90"/>
        <v>16</v>
      </c>
      <c r="U1437" t="str" cm="1">
        <f t="array" ref="U1437">_xlfn.IFS(M1437&lt;=34,"YOUNG",M1437&lt;=54,"MIDDLE AGE",M1437&gt;=55,"OLD")</f>
        <v>MIDDLE AGE</v>
      </c>
      <c r="V1437" t="str">
        <f t="shared" si="91"/>
        <v>NORMAL</v>
      </c>
    </row>
    <row r="1438" spans="1:22" x14ac:dyDescent="0.35">
      <c r="A1438" t="s">
        <v>3216</v>
      </c>
      <c r="B1438" t="s">
        <v>716</v>
      </c>
      <c r="C1438">
        <v>147.31</v>
      </c>
      <c r="D1438" s="1">
        <v>45089.715590277781</v>
      </c>
      <c r="E1438" s="2">
        <f t="shared" si="88"/>
        <v>0.71559027778130258</v>
      </c>
      <c r="F1438" s="3">
        <f t="shared" si="89"/>
        <v>45089</v>
      </c>
      <c r="G1438" t="s">
        <v>46</v>
      </c>
      <c r="H1438" t="s">
        <v>32</v>
      </c>
      <c r="I1438" t="s">
        <v>778</v>
      </c>
      <c r="J1438" t="s">
        <v>651</v>
      </c>
      <c r="K1438" t="s">
        <v>262</v>
      </c>
      <c r="L1438" t="s">
        <v>36</v>
      </c>
      <c r="M1438">
        <v>34</v>
      </c>
      <c r="N1438" t="s">
        <v>23</v>
      </c>
      <c r="O1438">
        <v>92</v>
      </c>
      <c r="P1438">
        <v>1</v>
      </c>
      <c r="Q1438">
        <v>13625.52</v>
      </c>
      <c r="R1438" s="4">
        <v>45600</v>
      </c>
      <c r="S1438" s="6">
        <v>0.33886574074074072</v>
      </c>
      <c r="T1438">
        <f t="shared" si="90"/>
        <v>17</v>
      </c>
      <c r="U1438" t="str" cm="1">
        <f t="array" ref="U1438">_xlfn.IFS(M1438&lt;=34,"YOUNG",M1438&lt;=54,"MIDDLE AGE",M1438&gt;=55,"OLD")</f>
        <v>YOUNG</v>
      </c>
      <c r="V1438" t="str">
        <f t="shared" si="91"/>
        <v>NORMAL</v>
      </c>
    </row>
    <row r="1439" spans="1:22" x14ac:dyDescent="0.35">
      <c r="A1439" t="s">
        <v>3217</v>
      </c>
      <c r="B1439" t="s">
        <v>3218</v>
      </c>
      <c r="C1439">
        <v>107.48</v>
      </c>
      <c r="D1439" s="1">
        <v>44964.734930555554</v>
      </c>
      <c r="E1439" s="2">
        <f t="shared" si="88"/>
        <v>0.73493055555445608</v>
      </c>
      <c r="F1439" s="3">
        <f t="shared" si="89"/>
        <v>44964</v>
      </c>
      <c r="G1439" t="s">
        <v>17</v>
      </c>
      <c r="H1439" t="s">
        <v>140</v>
      </c>
      <c r="I1439" t="s">
        <v>2657</v>
      </c>
      <c r="J1439" t="s">
        <v>1464</v>
      </c>
      <c r="K1439" t="s">
        <v>707</v>
      </c>
      <c r="L1439" t="s">
        <v>69</v>
      </c>
      <c r="M1439">
        <v>20</v>
      </c>
      <c r="N1439" t="s">
        <v>37</v>
      </c>
      <c r="O1439">
        <v>103</v>
      </c>
      <c r="P1439">
        <v>1</v>
      </c>
      <c r="Q1439">
        <v>1379.39</v>
      </c>
      <c r="R1439" s="4">
        <v>45600</v>
      </c>
      <c r="S1439" s="6">
        <v>0.34174768518518517</v>
      </c>
      <c r="T1439">
        <f t="shared" si="90"/>
        <v>17</v>
      </c>
      <c r="U1439" t="str" cm="1">
        <f t="array" ref="U1439">_xlfn.IFS(M1439&lt;=34,"YOUNG",M1439&lt;=54,"MIDDLE AGE",M1439&gt;=55,"OLD")</f>
        <v>YOUNG</v>
      </c>
      <c r="V1439" t="str">
        <f t="shared" si="91"/>
        <v>NORMAL</v>
      </c>
    </row>
    <row r="1440" spans="1:22" x14ac:dyDescent="0.35">
      <c r="A1440" t="s">
        <v>3219</v>
      </c>
      <c r="B1440" t="s">
        <v>2467</v>
      </c>
      <c r="C1440">
        <v>1831.02</v>
      </c>
      <c r="D1440" s="1">
        <v>45184.730347222219</v>
      </c>
      <c r="E1440" s="2">
        <f t="shared" si="88"/>
        <v>0.7303472222192795</v>
      </c>
      <c r="F1440" s="3">
        <f t="shared" si="89"/>
        <v>45184</v>
      </c>
      <c r="G1440" t="s">
        <v>46</v>
      </c>
      <c r="H1440" t="s">
        <v>125</v>
      </c>
      <c r="I1440" t="s">
        <v>2892</v>
      </c>
      <c r="J1440" t="s">
        <v>747</v>
      </c>
      <c r="K1440" t="s">
        <v>445</v>
      </c>
      <c r="L1440" t="s">
        <v>36</v>
      </c>
      <c r="M1440">
        <v>62</v>
      </c>
      <c r="N1440" t="s">
        <v>23</v>
      </c>
      <c r="O1440">
        <v>83</v>
      </c>
      <c r="P1440">
        <v>1</v>
      </c>
      <c r="Q1440">
        <v>11498.01</v>
      </c>
      <c r="R1440" s="4">
        <v>45600</v>
      </c>
      <c r="S1440" s="6">
        <v>0.34087962962962964</v>
      </c>
      <c r="T1440">
        <f t="shared" si="90"/>
        <v>17</v>
      </c>
      <c r="U1440" t="str" cm="1">
        <f t="array" ref="U1440">_xlfn.IFS(M1440&lt;=34,"YOUNG",M1440&lt;=54,"MIDDLE AGE",M1440&gt;=55,"OLD")</f>
        <v>OLD</v>
      </c>
      <c r="V1440" t="str">
        <f t="shared" si="91"/>
        <v>NORMAL</v>
      </c>
    </row>
    <row r="1441" spans="1:22" x14ac:dyDescent="0.35">
      <c r="A1441" t="s">
        <v>3220</v>
      </c>
      <c r="B1441" t="s">
        <v>1405</v>
      </c>
      <c r="C1441">
        <v>81.510000000000005</v>
      </c>
      <c r="D1441" s="1">
        <v>45148.67386574074</v>
      </c>
      <c r="E1441" s="2">
        <f t="shared" si="88"/>
        <v>0.67386574074043892</v>
      </c>
      <c r="F1441" s="3">
        <f t="shared" si="89"/>
        <v>45148</v>
      </c>
      <c r="G1441" t="s">
        <v>17</v>
      </c>
      <c r="H1441" t="s">
        <v>453</v>
      </c>
      <c r="I1441" t="s">
        <v>1575</v>
      </c>
      <c r="J1441" t="s">
        <v>874</v>
      </c>
      <c r="K1441" t="s">
        <v>128</v>
      </c>
      <c r="L1441" t="s">
        <v>69</v>
      </c>
      <c r="M1441">
        <v>25</v>
      </c>
      <c r="N1441" t="s">
        <v>37</v>
      </c>
      <c r="O1441">
        <v>97</v>
      </c>
      <c r="P1441">
        <v>1</v>
      </c>
      <c r="Q1441">
        <v>865.49</v>
      </c>
      <c r="R1441" s="4">
        <v>45600</v>
      </c>
      <c r="S1441" s="6">
        <v>0.33836805555555555</v>
      </c>
      <c r="T1441">
        <f t="shared" si="90"/>
        <v>16</v>
      </c>
      <c r="U1441" t="str" cm="1">
        <f t="array" ref="U1441">_xlfn.IFS(M1441&lt;=34,"YOUNG",M1441&lt;=54,"MIDDLE AGE",M1441&gt;=55,"OLD")</f>
        <v>YOUNG</v>
      </c>
      <c r="V1441" t="str">
        <f t="shared" si="91"/>
        <v>NORMAL</v>
      </c>
    </row>
    <row r="1442" spans="1:22" x14ac:dyDescent="0.35">
      <c r="A1442" t="s">
        <v>3221</v>
      </c>
      <c r="B1442" t="s">
        <v>192</v>
      </c>
      <c r="C1442">
        <v>365.48</v>
      </c>
      <c r="D1442" s="1">
        <v>45068.749328703707</v>
      </c>
      <c r="E1442" s="2">
        <f t="shared" si="88"/>
        <v>0.74932870370685123</v>
      </c>
      <c r="F1442" s="3">
        <f t="shared" si="89"/>
        <v>45068</v>
      </c>
      <c r="G1442" t="s">
        <v>46</v>
      </c>
      <c r="H1442" t="s">
        <v>59</v>
      </c>
      <c r="I1442" t="s">
        <v>179</v>
      </c>
      <c r="J1442" t="s">
        <v>547</v>
      </c>
      <c r="K1442" t="s">
        <v>984</v>
      </c>
      <c r="L1442" t="s">
        <v>36</v>
      </c>
      <c r="M1442">
        <v>76</v>
      </c>
      <c r="N1442" t="s">
        <v>70</v>
      </c>
      <c r="O1442">
        <v>216</v>
      </c>
      <c r="P1442">
        <v>1</v>
      </c>
      <c r="Q1442">
        <v>7147.4</v>
      </c>
      <c r="R1442" s="4">
        <v>45600</v>
      </c>
      <c r="S1442" s="6">
        <v>0.3407175925925926</v>
      </c>
      <c r="T1442">
        <f t="shared" si="90"/>
        <v>17</v>
      </c>
      <c r="U1442" t="str" cm="1">
        <f t="array" ref="U1442">_xlfn.IFS(M1442&lt;=34,"YOUNG",M1442&lt;=54,"MIDDLE AGE",M1442&gt;=55,"OLD")</f>
        <v>OLD</v>
      </c>
      <c r="V1442" t="str">
        <f t="shared" si="91"/>
        <v>NORMAL</v>
      </c>
    </row>
    <row r="1443" spans="1:22" x14ac:dyDescent="0.35">
      <c r="A1443" t="s">
        <v>3222</v>
      </c>
      <c r="B1443" t="s">
        <v>171</v>
      </c>
      <c r="C1443">
        <v>491.1</v>
      </c>
      <c r="D1443" s="1">
        <v>45082.672650462962</v>
      </c>
      <c r="E1443" s="2">
        <f t="shared" si="88"/>
        <v>0.67265046296233777</v>
      </c>
      <c r="F1443" s="3">
        <f t="shared" si="89"/>
        <v>45082</v>
      </c>
      <c r="G1443" t="s">
        <v>46</v>
      </c>
      <c r="H1443" t="s">
        <v>26</v>
      </c>
      <c r="I1443" t="s">
        <v>2265</v>
      </c>
      <c r="J1443" t="s">
        <v>2391</v>
      </c>
      <c r="K1443" t="s">
        <v>652</v>
      </c>
      <c r="L1443" t="s">
        <v>36</v>
      </c>
      <c r="M1443">
        <v>35</v>
      </c>
      <c r="N1443" t="s">
        <v>77</v>
      </c>
      <c r="O1443">
        <v>125</v>
      </c>
      <c r="P1443">
        <v>1</v>
      </c>
      <c r="Q1443">
        <v>7833.85</v>
      </c>
      <c r="R1443" s="4">
        <v>45600</v>
      </c>
      <c r="S1443" s="6">
        <v>0.33856481481481482</v>
      </c>
      <c r="T1443">
        <f t="shared" si="90"/>
        <v>16</v>
      </c>
      <c r="U1443" t="str" cm="1">
        <f t="array" ref="U1443">_xlfn.IFS(M1443&lt;=34,"YOUNG",M1443&lt;=54,"MIDDLE AGE",M1443&gt;=55,"OLD")</f>
        <v>MIDDLE AGE</v>
      </c>
      <c r="V1443" t="str">
        <f t="shared" si="91"/>
        <v>NORMAL</v>
      </c>
    </row>
    <row r="1444" spans="1:22" x14ac:dyDescent="0.35">
      <c r="A1444" t="s">
        <v>3223</v>
      </c>
      <c r="B1444" t="s">
        <v>1700</v>
      </c>
      <c r="C1444">
        <v>452.8</v>
      </c>
      <c r="D1444" s="1">
        <v>45254.69804398148</v>
      </c>
      <c r="E1444" s="2">
        <f t="shared" si="88"/>
        <v>0.69804398147971369</v>
      </c>
      <c r="F1444" s="3">
        <f t="shared" si="89"/>
        <v>45254</v>
      </c>
      <c r="G1444" t="s">
        <v>17</v>
      </c>
      <c r="H1444" t="s">
        <v>140</v>
      </c>
      <c r="I1444" t="s">
        <v>2437</v>
      </c>
      <c r="J1444" t="s">
        <v>2131</v>
      </c>
      <c r="K1444" t="s">
        <v>639</v>
      </c>
      <c r="L1444" t="s">
        <v>69</v>
      </c>
      <c r="M1444">
        <v>80</v>
      </c>
      <c r="N1444" t="s">
        <v>70</v>
      </c>
      <c r="O1444">
        <v>151</v>
      </c>
      <c r="P1444">
        <v>1</v>
      </c>
      <c r="Q1444">
        <v>4840.67</v>
      </c>
      <c r="R1444" s="4">
        <v>45600</v>
      </c>
      <c r="S1444" s="6">
        <v>0.33858796296296295</v>
      </c>
      <c r="T1444">
        <f t="shared" si="90"/>
        <v>16</v>
      </c>
      <c r="U1444" t="str" cm="1">
        <f t="array" ref="U1444">_xlfn.IFS(M1444&lt;=34,"YOUNG",M1444&lt;=54,"MIDDLE AGE",M1444&gt;=55,"OLD")</f>
        <v>OLD</v>
      </c>
      <c r="V1444" t="str">
        <f t="shared" si="91"/>
        <v>NORMAL</v>
      </c>
    </row>
    <row r="1445" spans="1:22" x14ac:dyDescent="0.35">
      <c r="A1445" t="s">
        <v>3224</v>
      </c>
      <c r="B1445" t="s">
        <v>691</v>
      </c>
      <c r="C1445">
        <v>645.04</v>
      </c>
      <c r="D1445" s="1">
        <v>45282.714525462965</v>
      </c>
      <c r="E1445" s="2">
        <f t="shared" si="88"/>
        <v>0.71452546296495711</v>
      </c>
      <c r="F1445" s="3">
        <f t="shared" si="89"/>
        <v>45282</v>
      </c>
      <c r="G1445" t="s">
        <v>17</v>
      </c>
      <c r="H1445" t="s">
        <v>92</v>
      </c>
      <c r="I1445" t="s">
        <v>2312</v>
      </c>
      <c r="J1445" t="s">
        <v>824</v>
      </c>
      <c r="K1445" t="s">
        <v>240</v>
      </c>
      <c r="L1445" t="s">
        <v>69</v>
      </c>
      <c r="M1445">
        <v>70</v>
      </c>
      <c r="N1445" t="s">
        <v>70</v>
      </c>
      <c r="O1445">
        <v>78</v>
      </c>
      <c r="P1445">
        <v>1</v>
      </c>
      <c r="Q1445">
        <v>7361.47</v>
      </c>
      <c r="R1445" s="4">
        <v>45600</v>
      </c>
      <c r="S1445" s="6">
        <v>0.33853009259259259</v>
      </c>
      <c r="T1445">
        <f t="shared" si="90"/>
        <v>17</v>
      </c>
      <c r="U1445" t="str" cm="1">
        <f t="array" ref="U1445">_xlfn.IFS(M1445&lt;=34,"YOUNG",M1445&lt;=54,"MIDDLE AGE",M1445&gt;=55,"OLD")</f>
        <v>OLD</v>
      </c>
      <c r="V1445" t="str">
        <f t="shared" si="91"/>
        <v>NORMAL</v>
      </c>
    </row>
    <row r="1446" spans="1:22" x14ac:dyDescent="0.35">
      <c r="A1446" t="s">
        <v>3225</v>
      </c>
      <c r="B1446" t="s">
        <v>2779</v>
      </c>
      <c r="C1446">
        <v>169.28</v>
      </c>
      <c r="D1446" s="1">
        <v>45012.755624999998</v>
      </c>
      <c r="E1446" s="2">
        <f t="shared" si="88"/>
        <v>0.75562499999796273</v>
      </c>
      <c r="F1446" s="3">
        <f t="shared" si="89"/>
        <v>45012</v>
      </c>
      <c r="G1446" t="s">
        <v>17</v>
      </c>
      <c r="H1446" t="s">
        <v>243</v>
      </c>
      <c r="I1446" t="s">
        <v>2247</v>
      </c>
      <c r="J1446" t="s">
        <v>983</v>
      </c>
      <c r="K1446" t="s">
        <v>100</v>
      </c>
      <c r="L1446" t="s">
        <v>69</v>
      </c>
      <c r="M1446">
        <v>45</v>
      </c>
      <c r="N1446" t="s">
        <v>23</v>
      </c>
      <c r="O1446">
        <v>114</v>
      </c>
      <c r="P1446">
        <v>1</v>
      </c>
      <c r="Q1446">
        <v>5128.4399999999996</v>
      </c>
      <c r="R1446" s="4">
        <v>45600</v>
      </c>
      <c r="S1446" s="6">
        <v>0.34159722222222222</v>
      </c>
      <c r="T1446">
        <f t="shared" si="90"/>
        <v>18</v>
      </c>
      <c r="U1446" t="str" cm="1">
        <f t="array" ref="U1446">_xlfn.IFS(M1446&lt;=34,"YOUNG",M1446&lt;=54,"MIDDLE AGE",M1446&gt;=55,"OLD")</f>
        <v>MIDDLE AGE</v>
      </c>
      <c r="V1446" t="str">
        <f t="shared" si="91"/>
        <v>NORMAL</v>
      </c>
    </row>
    <row r="1447" spans="1:22" x14ac:dyDescent="0.35">
      <c r="A1447" t="s">
        <v>3226</v>
      </c>
      <c r="B1447" t="s">
        <v>1167</v>
      </c>
      <c r="C1447">
        <v>88.42</v>
      </c>
      <c r="D1447" s="1">
        <v>45217.686331018522</v>
      </c>
      <c r="E1447" s="2">
        <f t="shared" si="88"/>
        <v>0.6863310185217415</v>
      </c>
      <c r="F1447" s="3">
        <f t="shared" si="89"/>
        <v>45217</v>
      </c>
      <c r="G1447" t="s">
        <v>17</v>
      </c>
      <c r="H1447" t="s">
        <v>506</v>
      </c>
      <c r="I1447" t="s">
        <v>1187</v>
      </c>
      <c r="J1447" t="s">
        <v>3227</v>
      </c>
      <c r="K1447" t="s">
        <v>1287</v>
      </c>
      <c r="L1447" t="s">
        <v>22</v>
      </c>
      <c r="M1447">
        <v>62</v>
      </c>
      <c r="N1447" t="s">
        <v>23</v>
      </c>
      <c r="O1447">
        <v>91</v>
      </c>
      <c r="P1447">
        <v>1</v>
      </c>
      <c r="Q1447">
        <v>12381.45</v>
      </c>
      <c r="R1447" s="4">
        <v>45600</v>
      </c>
      <c r="S1447" s="6">
        <v>0.33975694444444443</v>
      </c>
      <c r="T1447">
        <f t="shared" si="90"/>
        <v>16</v>
      </c>
      <c r="U1447" t="str" cm="1">
        <f t="array" ref="U1447">_xlfn.IFS(M1447&lt;=34,"YOUNG",M1447&lt;=54,"MIDDLE AGE",M1447&gt;=55,"OLD")</f>
        <v>OLD</v>
      </c>
      <c r="V1447" t="str">
        <f t="shared" si="91"/>
        <v>NORMAL</v>
      </c>
    </row>
    <row r="1448" spans="1:22" x14ac:dyDescent="0.35">
      <c r="A1448" t="s">
        <v>3228</v>
      </c>
      <c r="B1448" t="s">
        <v>2238</v>
      </c>
      <c r="C1448">
        <v>155.53</v>
      </c>
      <c r="D1448" s="1">
        <v>45009.711481481485</v>
      </c>
      <c r="E1448" s="2">
        <f t="shared" si="88"/>
        <v>0.71148148148495238</v>
      </c>
      <c r="F1448" s="3">
        <f t="shared" si="89"/>
        <v>45009</v>
      </c>
      <c r="G1448" t="s">
        <v>17</v>
      </c>
      <c r="H1448" t="s">
        <v>197</v>
      </c>
      <c r="I1448" t="s">
        <v>1010</v>
      </c>
      <c r="J1448" t="s">
        <v>615</v>
      </c>
      <c r="K1448" t="s">
        <v>576</v>
      </c>
      <c r="L1448" t="s">
        <v>22</v>
      </c>
      <c r="M1448">
        <v>29</v>
      </c>
      <c r="N1448" t="s">
        <v>77</v>
      </c>
      <c r="O1448">
        <v>66</v>
      </c>
      <c r="P1448">
        <v>1</v>
      </c>
      <c r="Q1448">
        <v>4008.05</v>
      </c>
      <c r="R1448" s="4">
        <v>45600</v>
      </c>
      <c r="S1448" s="6">
        <v>0.33930555555555558</v>
      </c>
      <c r="T1448">
        <f t="shared" si="90"/>
        <v>17</v>
      </c>
      <c r="U1448" t="str" cm="1">
        <f t="array" ref="U1448">_xlfn.IFS(M1448&lt;=34,"YOUNG",M1448&lt;=54,"MIDDLE AGE",M1448&gt;=55,"OLD")</f>
        <v>YOUNG</v>
      </c>
      <c r="V1448" t="str">
        <f t="shared" si="91"/>
        <v>NORMAL</v>
      </c>
    </row>
    <row r="1449" spans="1:22" x14ac:dyDescent="0.35">
      <c r="A1449" t="s">
        <v>3229</v>
      </c>
      <c r="B1449" t="s">
        <v>1536</v>
      </c>
      <c r="C1449">
        <v>991.82</v>
      </c>
      <c r="D1449" s="1">
        <v>45264.677997685183</v>
      </c>
      <c r="E1449" s="2">
        <f t="shared" si="88"/>
        <v>0.67799768518307246</v>
      </c>
      <c r="F1449" s="3">
        <f t="shared" si="89"/>
        <v>45264</v>
      </c>
      <c r="G1449" t="s">
        <v>17</v>
      </c>
      <c r="H1449" t="s">
        <v>178</v>
      </c>
      <c r="I1449" t="s">
        <v>2433</v>
      </c>
      <c r="J1449" t="s">
        <v>493</v>
      </c>
      <c r="K1449" t="s">
        <v>564</v>
      </c>
      <c r="L1449" t="s">
        <v>36</v>
      </c>
      <c r="M1449">
        <v>43</v>
      </c>
      <c r="N1449" t="s">
        <v>77</v>
      </c>
      <c r="O1449">
        <v>300</v>
      </c>
      <c r="P1449">
        <v>1</v>
      </c>
      <c r="Q1449">
        <v>3493.13</v>
      </c>
      <c r="R1449" s="4">
        <v>45600</v>
      </c>
      <c r="S1449" s="6">
        <v>0.34040509259259261</v>
      </c>
      <c r="T1449">
        <f t="shared" si="90"/>
        <v>16</v>
      </c>
      <c r="U1449" t="str" cm="1">
        <f t="array" ref="U1449">_xlfn.IFS(M1449&lt;=34,"YOUNG",M1449&lt;=54,"MIDDLE AGE",M1449&gt;=55,"OLD")</f>
        <v>MIDDLE AGE</v>
      </c>
      <c r="V1449" t="str">
        <f t="shared" si="91"/>
        <v>NORMAL</v>
      </c>
    </row>
    <row r="1450" spans="1:22" x14ac:dyDescent="0.35">
      <c r="A1450" t="s">
        <v>3230</v>
      </c>
      <c r="B1450" t="s">
        <v>2500</v>
      </c>
      <c r="C1450">
        <v>39.24</v>
      </c>
      <c r="D1450" s="1">
        <v>45244.773287037038</v>
      </c>
      <c r="E1450" s="2">
        <f t="shared" si="88"/>
        <v>0.77328703703824431</v>
      </c>
      <c r="F1450" s="3">
        <f t="shared" si="89"/>
        <v>45244</v>
      </c>
      <c r="G1450" t="s">
        <v>17</v>
      </c>
      <c r="H1450" t="s">
        <v>323</v>
      </c>
      <c r="I1450" t="s">
        <v>512</v>
      </c>
      <c r="J1450" t="s">
        <v>1637</v>
      </c>
      <c r="K1450" t="s">
        <v>312</v>
      </c>
      <c r="L1450" t="s">
        <v>22</v>
      </c>
      <c r="M1450">
        <v>77</v>
      </c>
      <c r="N1450" t="s">
        <v>70</v>
      </c>
      <c r="O1450">
        <v>106</v>
      </c>
      <c r="P1450">
        <v>1</v>
      </c>
      <c r="Q1450">
        <v>6462.41</v>
      </c>
      <c r="R1450" s="4">
        <v>45600</v>
      </c>
      <c r="S1450" s="6">
        <v>0.34118055555555554</v>
      </c>
      <c r="T1450">
        <f t="shared" si="90"/>
        <v>18</v>
      </c>
      <c r="U1450" t="str" cm="1">
        <f t="array" ref="U1450">_xlfn.IFS(M1450&lt;=34,"YOUNG",M1450&lt;=54,"MIDDLE AGE",M1450&gt;=55,"OLD")</f>
        <v>OLD</v>
      </c>
      <c r="V1450" t="str">
        <f t="shared" si="91"/>
        <v>NORMAL</v>
      </c>
    </row>
    <row r="1451" spans="1:22" x14ac:dyDescent="0.35">
      <c r="A1451" t="s">
        <v>3231</v>
      </c>
      <c r="B1451" t="s">
        <v>1612</v>
      </c>
      <c r="C1451">
        <v>152.01</v>
      </c>
      <c r="D1451" s="1">
        <v>44980.695775462962</v>
      </c>
      <c r="E1451" s="2">
        <f t="shared" si="88"/>
        <v>0.69577546296204673</v>
      </c>
      <c r="F1451" s="3">
        <f t="shared" si="89"/>
        <v>44980</v>
      </c>
      <c r="G1451" t="s">
        <v>17</v>
      </c>
      <c r="H1451" t="s">
        <v>157</v>
      </c>
      <c r="I1451" t="s">
        <v>1145</v>
      </c>
      <c r="J1451" t="s">
        <v>2555</v>
      </c>
      <c r="K1451" t="s">
        <v>312</v>
      </c>
      <c r="L1451" t="s">
        <v>22</v>
      </c>
      <c r="M1451">
        <v>42</v>
      </c>
      <c r="N1451" t="s">
        <v>77</v>
      </c>
      <c r="O1451">
        <v>111</v>
      </c>
      <c r="P1451">
        <v>3</v>
      </c>
      <c r="Q1451">
        <v>4625.12</v>
      </c>
      <c r="R1451" s="4">
        <v>45600</v>
      </c>
      <c r="S1451" s="6">
        <v>0.34113425925925928</v>
      </c>
      <c r="T1451">
        <f t="shared" si="90"/>
        <v>16</v>
      </c>
      <c r="U1451" t="str" cm="1">
        <f t="array" ref="U1451">_xlfn.IFS(M1451&lt;=34,"YOUNG",M1451&lt;=54,"MIDDLE AGE",M1451&gt;=55,"OLD")</f>
        <v>MIDDLE AGE</v>
      </c>
      <c r="V1451" t="str">
        <f t="shared" si="91"/>
        <v>HIGH</v>
      </c>
    </row>
    <row r="1452" spans="1:22" x14ac:dyDescent="0.35">
      <c r="A1452" t="s">
        <v>3232</v>
      </c>
      <c r="B1452" t="s">
        <v>764</v>
      </c>
      <c r="C1452">
        <v>78.77</v>
      </c>
      <c r="D1452" s="1">
        <v>45054.775682870371</v>
      </c>
      <c r="E1452" s="2">
        <f t="shared" si="88"/>
        <v>0.77568287037138361</v>
      </c>
      <c r="F1452" s="3">
        <f t="shared" si="89"/>
        <v>45054</v>
      </c>
      <c r="G1452" t="s">
        <v>46</v>
      </c>
      <c r="H1452" t="s">
        <v>146</v>
      </c>
      <c r="I1452" t="s">
        <v>810</v>
      </c>
      <c r="J1452" t="s">
        <v>1772</v>
      </c>
      <c r="K1452" t="s">
        <v>674</v>
      </c>
      <c r="L1452" t="s">
        <v>22</v>
      </c>
      <c r="M1452">
        <v>48</v>
      </c>
      <c r="N1452" t="s">
        <v>77</v>
      </c>
      <c r="O1452">
        <v>50</v>
      </c>
      <c r="P1452">
        <v>1</v>
      </c>
      <c r="Q1452">
        <v>6470.57</v>
      </c>
      <c r="R1452" s="4">
        <v>45600</v>
      </c>
      <c r="S1452" s="6">
        <v>0.33797453703703706</v>
      </c>
      <c r="T1452">
        <f t="shared" si="90"/>
        <v>18</v>
      </c>
      <c r="U1452" t="str" cm="1">
        <f t="array" ref="U1452">_xlfn.IFS(M1452&lt;=34,"YOUNG",M1452&lt;=54,"MIDDLE AGE",M1452&gt;=55,"OLD")</f>
        <v>MIDDLE AGE</v>
      </c>
      <c r="V1452" t="str">
        <f t="shared" si="91"/>
        <v>NORMAL</v>
      </c>
    </row>
    <row r="1453" spans="1:22" x14ac:dyDescent="0.35">
      <c r="A1453" t="s">
        <v>3233</v>
      </c>
      <c r="B1453" t="s">
        <v>367</v>
      </c>
      <c r="C1453">
        <v>26.5</v>
      </c>
      <c r="D1453" s="1">
        <v>44965.696516203701</v>
      </c>
      <c r="E1453" s="2">
        <f t="shared" si="88"/>
        <v>0.6965162037013215</v>
      </c>
      <c r="F1453" s="3">
        <f t="shared" si="89"/>
        <v>44965</v>
      </c>
      <c r="G1453" t="s">
        <v>17</v>
      </c>
      <c r="H1453" t="s">
        <v>65</v>
      </c>
      <c r="I1453" t="s">
        <v>1640</v>
      </c>
      <c r="J1453" t="s">
        <v>347</v>
      </c>
      <c r="K1453" t="s">
        <v>370</v>
      </c>
      <c r="L1453" t="s">
        <v>36</v>
      </c>
      <c r="M1453">
        <v>48</v>
      </c>
      <c r="N1453" t="s">
        <v>77</v>
      </c>
      <c r="O1453">
        <v>179</v>
      </c>
      <c r="P1453">
        <v>1</v>
      </c>
      <c r="Q1453">
        <v>4854.83</v>
      </c>
      <c r="R1453" s="4">
        <v>45600</v>
      </c>
      <c r="S1453" s="6">
        <v>0.33847222222222223</v>
      </c>
      <c r="T1453">
        <f t="shared" si="90"/>
        <v>16</v>
      </c>
      <c r="U1453" t="str" cm="1">
        <f t="array" ref="U1453">_xlfn.IFS(M1453&lt;=34,"YOUNG",M1453&lt;=54,"MIDDLE AGE",M1453&gt;=55,"OLD")</f>
        <v>MIDDLE AGE</v>
      </c>
      <c r="V1453" t="str">
        <f t="shared" si="91"/>
        <v>NORMAL</v>
      </c>
    </row>
    <row r="1454" spans="1:22" x14ac:dyDescent="0.35">
      <c r="A1454" t="s">
        <v>3234</v>
      </c>
      <c r="B1454" t="s">
        <v>729</v>
      </c>
      <c r="C1454">
        <v>83.62</v>
      </c>
      <c r="D1454" s="1">
        <v>45099.720937500002</v>
      </c>
      <c r="E1454" s="2">
        <f t="shared" si="88"/>
        <v>0.72093750000203727</v>
      </c>
      <c r="F1454" s="3">
        <f t="shared" si="89"/>
        <v>45099</v>
      </c>
      <c r="G1454" t="s">
        <v>17</v>
      </c>
      <c r="H1454" t="s">
        <v>40</v>
      </c>
      <c r="I1454" t="s">
        <v>2116</v>
      </c>
      <c r="J1454" t="s">
        <v>3235</v>
      </c>
      <c r="K1454" t="s">
        <v>853</v>
      </c>
      <c r="L1454" t="s">
        <v>22</v>
      </c>
      <c r="M1454">
        <v>48</v>
      </c>
      <c r="N1454" t="s">
        <v>23</v>
      </c>
      <c r="O1454">
        <v>146</v>
      </c>
      <c r="P1454">
        <v>1</v>
      </c>
      <c r="Q1454">
        <v>12652.22</v>
      </c>
      <c r="R1454" s="4">
        <v>45600</v>
      </c>
      <c r="S1454" s="6">
        <v>0.34173611111111113</v>
      </c>
      <c r="T1454">
        <f t="shared" si="90"/>
        <v>17</v>
      </c>
      <c r="U1454" t="str" cm="1">
        <f t="array" ref="U1454">_xlfn.IFS(M1454&lt;=34,"YOUNG",M1454&lt;=54,"MIDDLE AGE",M1454&gt;=55,"OLD")</f>
        <v>MIDDLE AGE</v>
      </c>
      <c r="V1454" t="str">
        <f t="shared" si="91"/>
        <v>NORMAL</v>
      </c>
    </row>
    <row r="1455" spans="1:22" x14ac:dyDescent="0.35">
      <c r="A1455" t="s">
        <v>3236</v>
      </c>
      <c r="B1455" t="s">
        <v>1617</v>
      </c>
      <c r="C1455">
        <v>142.78</v>
      </c>
      <c r="D1455" s="1">
        <v>45055.6950462963</v>
      </c>
      <c r="E1455" s="2">
        <f t="shared" si="88"/>
        <v>0.69504629629955161</v>
      </c>
      <c r="F1455" s="3">
        <f t="shared" si="89"/>
        <v>45055</v>
      </c>
      <c r="G1455" t="s">
        <v>17</v>
      </c>
      <c r="H1455" t="s">
        <v>18</v>
      </c>
      <c r="I1455" t="s">
        <v>2282</v>
      </c>
      <c r="J1455" t="s">
        <v>2555</v>
      </c>
      <c r="K1455" t="s">
        <v>1037</v>
      </c>
      <c r="L1455" t="s">
        <v>69</v>
      </c>
      <c r="M1455">
        <v>68</v>
      </c>
      <c r="N1455" t="s">
        <v>23</v>
      </c>
      <c r="O1455">
        <v>150</v>
      </c>
      <c r="P1455">
        <v>1</v>
      </c>
      <c r="Q1455">
        <v>11705.88</v>
      </c>
      <c r="R1455" s="4">
        <v>45600</v>
      </c>
      <c r="S1455" s="6">
        <v>0.34192129629629631</v>
      </c>
      <c r="T1455">
        <f t="shared" si="90"/>
        <v>16</v>
      </c>
      <c r="U1455" t="str" cm="1">
        <f t="array" ref="U1455">_xlfn.IFS(M1455&lt;=34,"YOUNG",M1455&lt;=54,"MIDDLE AGE",M1455&gt;=55,"OLD")</f>
        <v>OLD</v>
      </c>
      <c r="V1455" t="str">
        <f t="shared" si="91"/>
        <v>NORMAL</v>
      </c>
    </row>
    <row r="1456" spans="1:22" x14ac:dyDescent="0.35">
      <c r="A1456" t="s">
        <v>3237</v>
      </c>
      <c r="B1456" t="s">
        <v>3238</v>
      </c>
      <c r="C1456">
        <v>55.99</v>
      </c>
      <c r="D1456" s="1">
        <v>45243.678055555552</v>
      </c>
      <c r="E1456" s="2">
        <f t="shared" si="88"/>
        <v>0.67805555555241881</v>
      </c>
      <c r="F1456" s="3">
        <f t="shared" si="89"/>
        <v>45243</v>
      </c>
      <c r="G1456" t="s">
        <v>17</v>
      </c>
      <c r="H1456" t="s">
        <v>506</v>
      </c>
      <c r="I1456" t="s">
        <v>3239</v>
      </c>
      <c r="J1456" t="s">
        <v>34</v>
      </c>
      <c r="K1456" t="s">
        <v>980</v>
      </c>
      <c r="L1456" t="s">
        <v>22</v>
      </c>
      <c r="M1456">
        <v>35</v>
      </c>
      <c r="N1456" t="s">
        <v>23</v>
      </c>
      <c r="O1456">
        <v>95</v>
      </c>
      <c r="P1456">
        <v>1</v>
      </c>
      <c r="Q1456">
        <v>932.61</v>
      </c>
      <c r="R1456" s="4">
        <v>45600</v>
      </c>
      <c r="S1456" s="6">
        <v>0.33842592592592591</v>
      </c>
      <c r="T1456">
        <f t="shared" si="90"/>
        <v>16</v>
      </c>
      <c r="U1456" t="str" cm="1">
        <f t="array" ref="U1456">_xlfn.IFS(M1456&lt;=34,"YOUNG",M1456&lt;=54,"MIDDLE AGE",M1456&gt;=55,"OLD")</f>
        <v>MIDDLE AGE</v>
      </c>
      <c r="V1456" t="str">
        <f t="shared" si="91"/>
        <v>NORMAL</v>
      </c>
    </row>
    <row r="1457" spans="1:22" x14ac:dyDescent="0.35">
      <c r="A1457" t="s">
        <v>3240</v>
      </c>
      <c r="B1457" t="s">
        <v>3241</v>
      </c>
      <c r="C1457">
        <v>774.48</v>
      </c>
      <c r="D1457" s="1">
        <v>44991.675520833334</v>
      </c>
      <c r="E1457" s="2">
        <f t="shared" si="88"/>
        <v>0.67552083333430346</v>
      </c>
      <c r="F1457" s="3">
        <f t="shared" si="89"/>
        <v>44991</v>
      </c>
      <c r="G1457" t="s">
        <v>17</v>
      </c>
      <c r="H1457" t="s">
        <v>108</v>
      </c>
      <c r="I1457" t="s">
        <v>338</v>
      </c>
      <c r="J1457" t="s">
        <v>1411</v>
      </c>
      <c r="K1457" t="s">
        <v>759</v>
      </c>
      <c r="L1457" t="s">
        <v>69</v>
      </c>
      <c r="M1457">
        <v>61</v>
      </c>
      <c r="N1457" t="s">
        <v>23</v>
      </c>
      <c r="O1457">
        <v>31</v>
      </c>
      <c r="P1457">
        <v>1</v>
      </c>
      <c r="Q1457">
        <v>11613.58</v>
      </c>
      <c r="R1457" s="4">
        <v>45600</v>
      </c>
      <c r="S1457" s="6">
        <v>0.33927083333333335</v>
      </c>
      <c r="T1457">
        <f t="shared" si="90"/>
        <v>16</v>
      </c>
      <c r="U1457" t="str" cm="1">
        <f t="array" ref="U1457">_xlfn.IFS(M1457&lt;=34,"YOUNG",M1457&lt;=54,"MIDDLE AGE",M1457&gt;=55,"OLD")</f>
        <v>OLD</v>
      </c>
      <c r="V1457" t="str">
        <f t="shared" si="91"/>
        <v>NORMAL</v>
      </c>
    </row>
    <row r="1458" spans="1:22" x14ac:dyDescent="0.35">
      <c r="A1458" t="s">
        <v>3242</v>
      </c>
      <c r="B1458" t="s">
        <v>2128</v>
      </c>
      <c r="C1458">
        <v>105.37</v>
      </c>
      <c r="D1458" s="1">
        <v>45057.77175925926</v>
      </c>
      <c r="E1458" s="2">
        <f t="shared" si="88"/>
        <v>0.77175925925985212</v>
      </c>
      <c r="F1458" s="3">
        <f t="shared" si="89"/>
        <v>45057</v>
      </c>
      <c r="G1458" t="s">
        <v>17</v>
      </c>
      <c r="H1458" t="s">
        <v>285</v>
      </c>
      <c r="I1458" t="s">
        <v>772</v>
      </c>
      <c r="J1458" t="s">
        <v>1104</v>
      </c>
      <c r="K1458" t="s">
        <v>169</v>
      </c>
      <c r="L1458" t="s">
        <v>22</v>
      </c>
      <c r="M1458">
        <v>25</v>
      </c>
      <c r="N1458" t="s">
        <v>37</v>
      </c>
      <c r="O1458">
        <v>160</v>
      </c>
      <c r="P1458">
        <v>1</v>
      </c>
      <c r="Q1458">
        <v>1068.55</v>
      </c>
      <c r="R1458" s="4">
        <v>45600</v>
      </c>
      <c r="S1458" s="6">
        <v>0.34009259259259261</v>
      </c>
      <c r="T1458">
        <f t="shared" si="90"/>
        <v>18</v>
      </c>
      <c r="U1458" t="str" cm="1">
        <f t="array" ref="U1458">_xlfn.IFS(M1458&lt;=34,"YOUNG",M1458&lt;=54,"MIDDLE AGE",M1458&gt;=55,"OLD")</f>
        <v>YOUNG</v>
      </c>
      <c r="V1458" t="str">
        <f t="shared" si="91"/>
        <v>NORMAL</v>
      </c>
    </row>
    <row r="1459" spans="1:22" x14ac:dyDescent="0.35">
      <c r="A1459" t="s">
        <v>3243</v>
      </c>
      <c r="B1459" t="s">
        <v>1612</v>
      </c>
      <c r="C1459">
        <v>118.83</v>
      </c>
      <c r="D1459" s="1">
        <v>45103.673900462964</v>
      </c>
      <c r="E1459" s="2">
        <f t="shared" si="88"/>
        <v>0.67390046296350192</v>
      </c>
      <c r="F1459" s="3">
        <f t="shared" si="89"/>
        <v>45103</v>
      </c>
      <c r="G1459" t="s">
        <v>17</v>
      </c>
      <c r="H1459" t="s">
        <v>301</v>
      </c>
      <c r="I1459" t="s">
        <v>502</v>
      </c>
      <c r="J1459" t="s">
        <v>1589</v>
      </c>
      <c r="K1459" t="s">
        <v>137</v>
      </c>
      <c r="L1459" t="s">
        <v>36</v>
      </c>
      <c r="M1459">
        <v>28</v>
      </c>
      <c r="N1459" t="s">
        <v>37</v>
      </c>
      <c r="O1459">
        <v>295</v>
      </c>
      <c r="P1459">
        <v>1</v>
      </c>
      <c r="Q1459">
        <v>1616.3</v>
      </c>
      <c r="R1459" s="4">
        <v>45600</v>
      </c>
      <c r="S1459" s="6">
        <v>0.33921296296296294</v>
      </c>
      <c r="T1459">
        <f t="shared" si="90"/>
        <v>16</v>
      </c>
      <c r="U1459" t="str" cm="1">
        <f t="array" ref="U1459">_xlfn.IFS(M1459&lt;=34,"YOUNG",M1459&lt;=54,"MIDDLE AGE",M1459&gt;=55,"OLD")</f>
        <v>YOUNG</v>
      </c>
      <c r="V1459" t="str">
        <f t="shared" si="91"/>
        <v>NORMAL</v>
      </c>
    </row>
    <row r="1460" spans="1:22" x14ac:dyDescent="0.35">
      <c r="A1460" t="s">
        <v>3244</v>
      </c>
      <c r="B1460" t="s">
        <v>380</v>
      </c>
      <c r="C1460">
        <v>46.22</v>
      </c>
      <c r="D1460" s="1">
        <v>45243.695243055554</v>
      </c>
      <c r="E1460" s="2">
        <f t="shared" si="88"/>
        <v>0.695243055553874</v>
      </c>
      <c r="F1460" s="3">
        <f t="shared" si="89"/>
        <v>45243</v>
      </c>
      <c r="G1460" t="s">
        <v>17</v>
      </c>
      <c r="H1460" t="s">
        <v>223</v>
      </c>
      <c r="I1460" t="s">
        <v>2270</v>
      </c>
      <c r="J1460" t="s">
        <v>2206</v>
      </c>
      <c r="K1460" t="s">
        <v>474</v>
      </c>
      <c r="L1460" t="s">
        <v>69</v>
      </c>
      <c r="M1460">
        <v>23</v>
      </c>
      <c r="N1460" t="s">
        <v>37</v>
      </c>
      <c r="O1460">
        <v>217</v>
      </c>
      <c r="P1460">
        <v>1</v>
      </c>
      <c r="Q1460">
        <v>471.28</v>
      </c>
      <c r="R1460" s="4">
        <v>45600</v>
      </c>
      <c r="S1460" s="6">
        <v>0.33957175925925925</v>
      </c>
      <c r="T1460">
        <f t="shared" si="90"/>
        <v>16</v>
      </c>
      <c r="U1460" t="str" cm="1">
        <f t="array" ref="U1460">_xlfn.IFS(M1460&lt;=34,"YOUNG",M1460&lt;=54,"MIDDLE AGE",M1460&gt;=55,"OLD")</f>
        <v>YOUNG</v>
      </c>
      <c r="V1460" t="str">
        <f t="shared" si="91"/>
        <v>NORMAL</v>
      </c>
    </row>
    <row r="1461" spans="1:22" x14ac:dyDescent="0.35">
      <c r="A1461" t="s">
        <v>3245</v>
      </c>
      <c r="B1461" t="s">
        <v>367</v>
      </c>
      <c r="C1461">
        <v>659.71</v>
      </c>
      <c r="D1461" s="1">
        <v>45051.673888888887</v>
      </c>
      <c r="E1461" s="2">
        <f t="shared" si="88"/>
        <v>0.67388888888672227</v>
      </c>
      <c r="F1461" s="3">
        <f t="shared" si="89"/>
        <v>45051</v>
      </c>
      <c r="G1461" t="s">
        <v>46</v>
      </c>
      <c r="H1461" t="s">
        <v>223</v>
      </c>
      <c r="I1461" t="s">
        <v>1328</v>
      </c>
      <c r="J1461" t="s">
        <v>1195</v>
      </c>
      <c r="K1461" t="s">
        <v>29</v>
      </c>
      <c r="L1461" t="s">
        <v>69</v>
      </c>
      <c r="M1461">
        <v>21</v>
      </c>
      <c r="N1461" t="s">
        <v>37</v>
      </c>
      <c r="O1461">
        <v>148</v>
      </c>
      <c r="P1461">
        <v>1</v>
      </c>
      <c r="Q1461">
        <v>106.86</v>
      </c>
      <c r="R1461" s="4">
        <v>45600</v>
      </c>
      <c r="S1461" s="6">
        <v>0.3399537037037037</v>
      </c>
      <c r="T1461">
        <f t="shared" si="90"/>
        <v>16</v>
      </c>
      <c r="U1461" t="str" cm="1">
        <f t="array" ref="U1461">_xlfn.IFS(M1461&lt;=34,"YOUNG",M1461&lt;=54,"MIDDLE AGE",M1461&gt;=55,"OLD")</f>
        <v>YOUNG</v>
      </c>
      <c r="V1461" t="str">
        <f t="shared" si="91"/>
        <v>NORMAL</v>
      </c>
    </row>
    <row r="1462" spans="1:22" x14ac:dyDescent="0.35">
      <c r="A1462" t="s">
        <v>3246</v>
      </c>
      <c r="B1462" t="s">
        <v>540</v>
      </c>
      <c r="C1462">
        <v>377.97</v>
      </c>
      <c r="D1462" s="1">
        <v>45247.701481481483</v>
      </c>
      <c r="E1462" s="2">
        <f t="shared" si="88"/>
        <v>0.70148148148291511</v>
      </c>
      <c r="F1462" s="3">
        <f t="shared" si="89"/>
        <v>45247</v>
      </c>
      <c r="G1462" t="s">
        <v>17</v>
      </c>
      <c r="H1462" t="s">
        <v>172</v>
      </c>
      <c r="I1462" t="s">
        <v>1645</v>
      </c>
      <c r="J1462" t="s">
        <v>646</v>
      </c>
      <c r="K1462" t="s">
        <v>165</v>
      </c>
      <c r="L1462" t="s">
        <v>36</v>
      </c>
      <c r="M1462">
        <v>72</v>
      </c>
      <c r="N1462" t="s">
        <v>70</v>
      </c>
      <c r="O1462">
        <v>160</v>
      </c>
      <c r="P1462">
        <v>1</v>
      </c>
      <c r="Q1462">
        <v>2457.1</v>
      </c>
      <c r="R1462" s="4">
        <v>45600</v>
      </c>
      <c r="S1462" s="6">
        <v>0.3410185185185185</v>
      </c>
      <c r="T1462">
        <f t="shared" si="90"/>
        <v>16</v>
      </c>
      <c r="U1462" t="str" cm="1">
        <f t="array" ref="U1462">_xlfn.IFS(M1462&lt;=34,"YOUNG",M1462&lt;=54,"MIDDLE AGE",M1462&gt;=55,"OLD")</f>
        <v>OLD</v>
      </c>
      <c r="V1462" t="str">
        <f t="shared" si="91"/>
        <v>NORMAL</v>
      </c>
    </row>
    <row r="1463" spans="1:22" x14ac:dyDescent="0.35">
      <c r="A1463" t="s">
        <v>3247</v>
      </c>
      <c r="B1463" t="s">
        <v>2648</v>
      </c>
      <c r="C1463">
        <v>114.1</v>
      </c>
      <c r="D1463" s="1">
        <v>45068.739606481482</v>
      </c>
      <c r="E1463" s="2">
        <f t="shared" si="88"/>
        <v>0.739606481482042</v>
      </c>
      <c r="F1463" s="3">
        <f t="shared" si="89"/>
        <v>45068</v>
      </c>
      <c r="G1463" t="s">
        <v>17</v>
      </c>
      <c r="H1463" t="s">
        <v>388</v>
      </c>
      <c r="I1463" t="s">
        <v>1671</v>
      </c>
      <c r="J1463" t="s">
        <v>3248</v>
      </c>
      <c r="K1463" t="s">
        <v>1209</v>
      </c>
      <c r="L1463" t="s">
        <v>69</v>
      </c>
      <c r="M1463">
        <v>69</v>
      </c>
      <c r="N1463" t="s">
        <v>70</v>
      </c>
      <c r="O1463">
        <v>148</v>
      </c>
      <c r="P1463">
        <v>1</v>
      </c>
      <c r="Q1463">
        <v>5882.12</v>
      </c>
      <c r="R1463" s="4">
        <v>45600</v>
      </c>
      <c r="S1463" s="6">
        <v>0.34119212962962964</v>
      </c>
      <c r="T1463">
        <f t="shared" si="90"/>
        <v>17</v>
      </c>
      <c r="U1463" t="str" cm="1">
        <f t="array" ref="U1463">_xlfn.IFS(M1463&lt;=34,"YOUNG",M1463&lt;=54,"MIDDLE AGE",M1463&gt;=55,"OLD")</f>
        <v>OLD</v>
      </c>
      <c r="V1463" t="str">
        <f t="shared" si="91"/>
        <v>NORMAL</v>
      </c>
    </row>
    <row r="1464" spans="1:22" x14ac:dyDescent="0.35">
      <c r="A1464" t="s">
        <v>3249</v>
      </c>
      <c r="B1464" t="s">
        <v>1700</v>
      </c>
      <c r="C1464">
        <v>11.3</v>
      </c>
      <c r="D1464" s="1">
        <v>45261.690081018518</v>
      </c>
      <c r="E1464" s="2">
        <f t="shared" si="88"/>
        <v>0.690081018517958</v>
      </c>
      <c r="F1464" s="3">
        <f t="shared" si="89"/>
        <v>45261</v>
      </c>
      <c r="G1464" t="s">
        <v>46</v>
      </c>
      <c r="H1464" t="s">
        <v>108</v>
      </c>
      <c r="I1464" t="s">
        <v>499</v>
      </c>
      <c r="J1464" t="s">
        <v>824</v>
      </c>
      <c r="K1464" t="s">
        <v>252</v>
      </c>
      <c r="L1464" t="s">
        <v>36</v>
      </c>
      <c r="M1464">
        <v>55</v>
      </c>
      <c r="N1464" t="s">
        <v>70</v>
      </c>
      <c r="O1464">
        <v>41</v>
      </c>
      <c r="P1464">
        <v>1</v>
      </c>
      <c r="Q1464">
        <v>1938.99</v>
      </c>
      <c r="R1464" s="4">
        <v>45600</v>
      </c>
      <c r="S1464" s="6">
        <v>0.33987268518518521</v>
      </c>
      <c r="T1464">
        <f t="shared" si="90"/>
        <v>16</v>
      </c>
      <c r="U1464" t="str" cm="1">
        <f t="array" ref="U1464">_xlfn.IFS(M1464&lt;=34,"YOUNG",M1464&lt;=54,"MIDDLE AGE",M1464&gt;=55,"OLD")</f>
        <v>OLD</v>
      </c>
      <c r="V1464" t="str">
        <f t="shared" si="91"/>
        <v>NORMAL</v>
      </c>
    </row>
    <row r="1465" spans="1:22" x14ac:dyDescent="0.35">
      <c r="A1465" t="s">
        <v>3250</v>
      </c>
      <c r="B1465" t="s">
        <v>3251</v>
      </c>
      <c r="C1465">
        <v>95.5</v>
      </c>
      <c r="D1465" s="1">
        <v>45068.683356481481</v>
      </c>
      <c r="E1465" s="2">
        <f t="shared" si="88"/>
        <v>0.68335648148058681</v>
      </c>
      <c r="F1465" s="3">
        <f t="shared" si="89"/>
        <v>45068</v>
      </c>
      <c r="G1465" t="s">
        <v>17</v>
      </c>
      <c r="H1465" t="s">
        <v>296</v>
      </c>
      <c r="I1465" t="s">
        <v>1891</v>
      </c>
      <c r="J1465" t="s">
        <v>793</v>
      </c>
      <c r="K1465" t="s">
        <v>1000</v>
      </c>
      <c r="L1465" t="s">
        <v>36</v>
      </c>
      <c r="M1465">
        <v>57</v>
      </c>
      <c r="N1465" t="s">
        <v>70</v>
      </c>
      <c r="O1465">
        <v>17</v>
      </c>
      <c r="P1465">
        <v>1</v>
      </c>
      <c r="Q1465">
        <v>4079.09</v>
      </c>
      <c r="R1465" s="4">
        <v>45600</v>
      </c>
      <c r="S1465" s="6">
        <v>0.33910879629629631</v>
      </c>
      <c r="T1465">
        <f t="shared" si="90"/>
        <v>16</v>
      </c>
      <c r="U1465" t="str" cm="1">
        <f t="array" ref="U1465">_xlfn.IFS(M1465&lt;=34,"YOUNG",M1465&lt;=54,"MIDDLE AGE",M1465&gt;=55,"OLD")</f>
        <v>OLD</v>
      </c>
      <c r="V1465" t="str">
        <f t="shared" si="91"/>
        <v>NORMAL</v>
      </c>
    </row>
    <row r="1466" spans="1:22" x14ac:dyDescent="0.35">
      <c r="A1466" t="s">
        <v>3252</v>
      </c>
      <c r="B1466" t="s">
        <v>822</v>
      </c>
      <c r="C1466">
        <v>130.93</v>
      </c>
      <c r="D1466" s="1">
        <v>44965.702881944446</v>
      </c>
      <c r="E1466" s="2">
        <f t="shared" si="88"/>
        <v>0.70288194444583496</v>
      </c>
      <c r="F1466" s="3">
        <f t="shared" si="89"/>
        <v>44965</v>
      </c>
      <c r="G1466" t="s">
        <v>46</v>
      </c>
      <c r="H1466" t="s">
        <v>26</v>
      </c>
      <c r="I1466" t="s">
        <v>987</v>
      </c>
      <c r="J1466" t="s">
        <v>2044</v>
      </c>
      <c r="K1466" t="s">
        <v>885</v>
      </c>
      <c r="L1466" t="s">
        <v>69</v>
      </c>
      <c r="M1466">
        <v>28</v>
      </c>
      <c r="N1466" t="s">
        <v>77</v>
      </c>
      <c r="O1466">
        <v>149</v>
      </c>
      <c r="P1466">
        <v>1</v>
      </c>
      <c r="Q1466">
        <v>860.12</v>
      </c>
      <c r="R1466" s="4">
        <v>45600</v>
      </c>
      <c r="S1466" s="6">
        <v>0.34118055555555554</v>
      </c>
      <c r="T1466">
        <f t="shared" si="90"/>
        <v>16</v>
      </c>
      <c r="U1466" t="str" cm="1">
        <f t="array" ref="U1466">_xlfn.IFS(M1466&lt;=34,"YOUNG",M1466&lt;=54,"MIDDLE AGE",M1466&gt;=55,"OLD")</f>
        <v>YOUNG</v>
      </c>
      <c r="V1466" t="str">
        <f t="shared" si="91"/>
        <v>NORMAL</v>
      </c>
    </row>
    <row r="1467" spans="1:22" x14ac:dyDescent="0.35">
      <c r="A1467" t="s">
        <v>3253</v>
      </c>
      <c r="B1467" t="s">
        <v>162</v>
      </c>
      <c r="C1467">
        <v>272.97000000000003</v>
      </c>
      <c r="D1467" s="1">
        <v>45033.77921296296</v>
      </c>
      <c r="E1467" s="2">
        <f t="shared" si="88"/>
        <v>0.77921296295971842</v>
      </c>
      <c r="F1467" s="3">
        <f t="shared" si="89"/>
        <v>45033</v>
      </c>
      <c r="G1467" t="s">
        <v>17</v>
      </c>
      <c r="H1467" t="s">
        <v>388</v>
      </c>
      <c r="I1467" t="s">
        <v>2270</v>
      </c>
      <c r="J1467" t="s">
        <v>3184</v>
      </c>
      <c r="K1467" t="s">
        <v>450</v>
      </c>
      <c r="L1467" t="s">
        <v>36</v>
      </c>
      <c r="M1467">
        <v>68</v>
      </c>
      <c r="N1467" t="s">
        <v>70</v>
      </c>
      <c r="O1467">
        <v>174</v>
      </c>
      <c r="P1467">
        <v>1</v>
      </c>
      <c r="Q1467">
        <v>7811.31</v>
      </c>
      <c r="R1467" s="4">
        <v>45600</v>
      </c>
      <c r="S1467" s="6">
        <v>0.3409490740740741</v>
      </c>
      <c r="T1467">
        <f t="shared" si="90"/>
        <v>18</v>
      </c>
      <c r="U1467" t="str" cm="1">
        <f t="array" ref="U1467">_xlfn.IFS(M1467&lt;=34,"YOUNG",M1467&lt;=54,"MIDDLE AGE",M1467&gt;=55,"OLD")</f>
        <v>OLD</v>
      </c>
      <c r="V1467" t="str">
        <f t="shared" si="91"/>
        <v>NORMAL</v>
      </c>
    </row>
    <row r="1468" spans="1:22" x14ac:dyDescent="0.35">
      <c r="A1468" t="s">
        <v>3254</v>
      </c>
      <c r="B1468" t="s">
        <v>3241</v>
      </c>
      <c r="C1468">
        <v>73.349999999999994</v>
      </c>
      <c r="D1468" s="1">
        <v>44998.690150462964</v>
      </c>
      <c r="E1468" s="2">
        <f t="shared" si="88"/>
        <v>0.690150462964084</v>
      </c>
      <c r="F1468" s="3">
        <f t="shared" si="89"/>
        <v>44998</v>
      </c>
      <c r="G1468" t="s">
        <v>17</v>
      </c>
      <c r="H1468" t="s">
        <v>212</v>
      </c>
      <c r="I1468" t="s">
        <v>3255</v>
      </c>
      <c r="J1468" t="s">
        <v>347</v>
      </c>
      <c r="K1468" t="s">
        <v>482</v>
      </c>
      <c r="L1468" t="s">
        <v>69</v>
      </c>
      <c r="M1468">
        <v>24</v>
      </c>
      <c r="N1468" t="s">
        <v>37</v>
      </c>
      <c r="O1468">
        <v>47</v>
      </c>
      <c r="P1468">
        <v>1</v>
      </c>
      <c r="Q1468">
        <v>1181.8399999999999</v>
      </c>
      <c r="R1468" s="4">
        <v>45600</v>
      </c>
      <c r="S1468" s="6">
        <v>0.34024305555555556</v>
      </c>
      <c r="T1468">
        <f t="shared" si="90"/>
        <v>16</v>
      </c>
      <c r="U1468" t="str" cm="1">
        <f t="array" ref="U1468">_xlfn.IFS(M1468&lt;=34,"YOUNG",M1468&lt;=54,"MIDDLE AGE",M1468&gt;=55,"OLD")</f>
        <v>YOUNG</v>
      </c>
      <c r="V1468" t="str">
        <f t="shared" si="91"/>
        <v>NORMAL</v>
      </c>
    </row>
    <row r="1469" spans="1:22" x14ac:dyDescent="0.35">
      <c r="A1469" t="s">
        <v>3256</v>
      </c>
      <c r="B1469" t="s">
        <v>2481</v>
      </c>
      <c r="C1469">
        <v>29.94</v>
      </c>
      <c r="D1469" s="1">
        <v>45212.682037037041</v>
      </c>
      <c r="E1469" s="2">
        <f t="shared" si="88"/>
        <v>0.68203703704057261</v>
      </c>
      <c r="F1469" s="3">
        <f t="shared" si="89"/>
        <v>45212</v>
      </c>
      <c r="G1469" t="s">
        <v>17</v>
      </c>
      <c r="H1469" t="s">
        <v>212</v>
      </c>
      <c r="I1469" t="s">
        <v>566</v>
      </c>
      <c r="J1469" t="s">
        <v>1686</v>
      </c>
      <c r="K1469" t="s">
        <v>370</v>
      </c>
      <c r="L1469" t="s">
        <v>22</v>
      </c>
      <c r="M1469">
        <v>58</v>
      </c>
      <c r="N1469" t="s">
        <v>23</v>
      </c>
      <c r="O1469">
        <v>243</v>
      </c>
      <c r="P1469">
        <v>1</v>
      </c>
      <c r="Q1469">
        <v>10915.54</v>
      </c>
      <c r="R1469" s="4">
        <v>45600</v>
      </c>
      <c r="S1469" s="6">
        <v>0.34167824074074077</v>
      </c>
      <c r="T1469">
        <f t="shared" si="90"/>
        <v>16</v>
      </c>
      <c r="U1469" t="str" cm="1">
        <f t="array" ref="U1469">_xlfn.IFS(M1469&lt;=34,"YOUNG",M1469&lt;=54,"MIDDLE AGE",M1469&gt;=55,"OLD")</f>
        <v>OLD</v>
      </c>
      <c r="V1469" t="str">
        <f t="shared" si="91"/>
        <v>NORMAL</v>
      </c>
    </row>
    <row r="1470" spans="1:22" x14ac:dyDescent="0.35">
      <c r="A1470" t="s">
        <v>3257</v>
      </c>
      <c r="B1470" t="s">
        <v>550</v>
      </c>
      <c r="C1470">
        <v>307.24</v>
      </c>
      <c r="D1470" s="1">
        <v>45232.670706018522</v>
      </c>
      <c r="E1470" s="2">
        <f t="shared" si="88"/>
        <v>0.6707060185217415</v>
      </c>
      <c r="F1470" s="3">
        <f t="shared" si="89"/>
        <v>45232</v>
      </c>
      <c r="G1470" t="s">
        <v>17</v>
      </c>
      <c r="H1470" t="s">
        <v>223</v>
      </c>
      <c r="I1470" t="s">
        <v>2063</v>
      </c>
      <c r="J1470" t="s">
        <v>1768</v>
      </c>
      <c r="K1470" t="s">
        <v>1287</v>
      </c>
      <c r="L1470" t="s">
        <v>22</v>
      </c>
      <c r="M1470">
        <v>19</v>
      </c>
      <c r="N1470" t="s">
        <v>37</v>
      </c>
      <c r="O1470">
        <v>136</v>
      </c>
      <c r="P1470">
        <v>2</v>
      </c>
      <c r="Q1470">
        <v>1670.72</v>
      </c>
      <c r="R1470" s="4">
        <v>45600</v>
      </c>
      <c r="S1470" s="6">
        <v>0.34016203703703701</v>
      </c>
      <c r="T1470">
        <f t="shared" si="90"/>
        <v>16</v>
      </c>
      <c r="U1470" t="str" cm="1">
        <f t="array" ref="U1470">_xlfn.IFS(M1470&lt;=34,"YOUNG",M1470&lt;=54,"MIDDLE AGE",M1470&gt;=55,"OLD")</f>
        <v>YOUNG</v>
      </c>
      <c r="V1470" t="str">
        <f t="shared" si="91"/>
        <v>HIGH</v>
      </c>
    </row>
    <row r="1471" spans="1:22" x14ac:dyDescent="0.35">
      <c r="A1471" t="s">
        <v>3258</v>
      </c>
      <c r="B1471" t="s">
        <v>704</v>
      </c>
      <c r="C1471">
        <v>50.52</v>
      </c>
      <c r="D1471" s="1">
        <v>45215.687256944446</v>
      </c>
      <c r="E1471" s="2">
        <f t="shared" si="88"/>
        <v>0.68725694444583496</v>
      </c>
      <c r="F1471" s="3">
        <f t="shared" si="89"/>
        <v>45215</v>
      </c>
      <c r="G1471" t="s">
        <v>17</v>
      </c>
      <c r="H1471" t="s">
        <v>388</v>
      </c>
      <c r="I1471" t="s">
        <v>2355</v>
      </c>
      <c r="J1471" t="s">
        <v>1689</v>
      </c>
      <c r="K1471" t="s">
        <v>175</v>
      </c>
      <c r="L1471" t="s">
        <v>36</v>
      </c>
      <c r="M1471">
        <v>20</v>
      </c>
      <c r="N1471" t="s">
        <v>37</v>
      </c>
      <c r="O1471">
        <v>140</v>
      </c>
      <c r="P1471">
        <v>1</v>
      </c>
      <c r="Q1471">
        <v>1121.19</v>
      </c>
      <c r="R1471" s="4">
        <v>45600</v>
      </c>
      <c r="S1471" s="6">
        <v>0.3397222222222222</v>
      </c>
      <c r="T1471">
        <f t="shared" si="90"/>
        <v>16</v>
      </c>
      <c r="U1471" t="str" cm="1">
        <f t="array" ref="U1471">_xlfn.IFS(M1471&lt;=34,"YOUNG",M1471&lt;=54,"MIDDLE AGE",M1471&gt;=55,"OLD")</f>
        <v>YOUNG</v>
      </c>
      <c r="V1471" t="str">
        <f t="shared" si="91"/>
        <v>NORMAL</v>
      </c>
    </row>
    <row r="1472" spans="1:22" x14ac:dyDescent="0.35">
      <c r="A1472" t="s">
        <v>3259</v>
      </c>
      <c r="B1472" t="s">
        <v>2671</v>
      </c>
      <c r="C1472">
        <v>820.46</v>
      </c>
      <c r="D1472" s="1">
        <v>45019.682500000003</v>
      </c>
      <c r="E1472" s="2">
        <f t="shared" si="88"/>
        <v>0.68250000000261934</v>
      </c>
      <c r="F1472" s="3">
        <f t="shared" si="89"/>
        <v>45019</v>
      </c>
      <c r="G1472" t="s">
        <v>46</v>
      </c>
      <c r="H1472" t="s">
        <v>157</v>
      </c>
      <c r="I1472" t="s">
        <v>2302</v>
      </c>
      <c r="J1472" t="s">
        <v>1092</v>
      </c>
      <c r="K1472" t="s">
        <v>576</v>
      </c>
      <c r="L1472" t="s">
        <v>36</v>
      </c>
      <c r="M1472">
        <v>53</v>
      </c>
      <c r="N1472" t="s">
        <v>77</v>
      </c>
      <c r="O1472">
        <v>243</v>
      </c>
      <c r="P1472">
        <v>1</v>
      </c>
      <c r="Q1472">
        <v>5621.86</v>
      </c>
      <c r="R1472" s="4">
        <v>45600</v>
      </c>
      <c r="S1472" s="6">
        <v>0.34054398148148146</v>
      </c>
      <c r="T1472">
        <f t="shared" si="90"/>
        <v>16</v>
      </c>
      <c r="U1472" t="str" cm="1">
        <f t="array" ref="U1472">_xlfn.IFS(M1472&lt;=34,"YOUNG",M1472&lt;=54,"MIDDLE AGE",M1472&gt;=55,"OLD")</f>
        <v>MIDDLE AGE</v>
      </c>
      <c r="V1472" t="str">
        <f t="shared" si="91"/>
        <v>NORMAL</v>
      </c>
    </row>
    <row r="1473" spans="1:22" x14ac:dyDescent="0.35">
      <c r="A1473" t="s">
        <v>3260</v>
      </c>
      <c r="B1473" t="s">
        <v>3078</v>
      </c>
      <c r="C1473">
        <v>153.07</v>
      </c>
      <c r="D1473" s="1">
        <v>45019.776354166665</v>
      </c>
      <c r="E1473" s="2">
        <f t="shared" si="88"/>
        <v>0.77635416666453239</v>
      </c>
      <c r="F1473" s="3">
        <f t="shared" si="89"/>
        <v>45019</v>
      </c>
      <c r="G1473" t="s">
        <v>17</v>
      </c>
      <c r="H1473" t="s">
        <v>73</v>
      </c>
      <c r="I1473" t="s">
        <v>823</v>
      </c>
      <c r="J1473" t="s">
        <v>67</v>
      </c>
      <c r="K1473" t="s">
        <v>639</v>
      </c>
      <c r="L1473" t="s">
        <v>22</v>
      </c>
      <c r="M1473">
        <v>56</v>
      </c>
      <c r="N1473" t="s">
        <v>77</v>
      </c>
      <c r="O1473">
        <v>116</v>
      </c>
      <c r="P1473">
        <v>1</v>
      </c>
      <c r="Q1473">
        <v>8873.43</v>
      </c>
      <c r="R1473" s="4">
        <v>45600</v>
      </c>
      <c r="S1473" s="6">
        <v>0.34173611111111113</v>
      </c>
      <c r="T1473">
        <f t="shared" si="90"/>
        <v>18</v>
      </c>
      <c r="U1473" t="str" cm="1">
        <f t="array" ref="U1473">_xlfn.IFS(M1473&lt;=34,"YOUNG",M1473&lt;=54,"MIDDLE AGE",M1473&gt;=55,"OLD")</f>
        <v>OLD</v>
      </c>
      <c r="V1473" t="str">
        <f t="shared" si="91"/>
        <v>NORMAL</v>
      </c>
    </row>
    <row r="1474" spans="1:22" x14ac:dyDescent="0.35">
      <c r="A1474" t="s">
        <v>3261</v>
      </c>
      <c r="B1474" t="s">
        <v>452</v>
      </c>
      <c r="C1474">
        <v>52.94</v>
      </c>
      <c r="D1474" s="1">
        <v>45089.733622685184</v>
      </c>
      <c r="E1474" s="2">
        <f t="shared" ref="E1474:E1537" si="92">D1474-INT(D1474)</f>
        <v>0.73362268518394558</v>
      </c>
      <c r="F1474" s="3">
        <f t="shared" ref="F1474:F1537" si="93">INT(D1474)</f>
        <v>45089</v>
      </c>
      <c r="G1474" t="s">
        <v>17</v>
      </c>
      <c r="H1474" t="s">
        <v>255</v>
      </c>
      <c r="I1474" t="s">
        <v>1543</v>
      </c>
      <c r="J1474" t="s">
        <v>575</v>
      </c>
      <c r="K1474" t="s">
        <v>29</v>
      </c>
      <c r="L1474" t="s">
        <v>69</v>
      </c>
      <c r="M1474">
        <v>41</v>
      </c>
      <c r="N1474" t="s">
        <v>23</v>
      </c>
      <c r="O1474">
        <v>146</v>
      </c>
      <c r="P1474">
        <v>1</v>
      </c>
      <c r="Q1474">
        <v>6990.92</v>
      </c>
      <c r="R1474" s="4">
        <v>45600</v>
      </c>
      <c r="S1474" s="6">
        <v>0.34106481481481482</v>
      </c>
      <c r="T1474">
        <f t="shared" si="90"/>
        <v>17</v>
      </c>
      <c r="U1474" t="str" cm="1">
        <f t="array" ref="U1474">_xlfn.IFS(M1474&lt;=34,"YOUNG",M1474&lt;=54,"MIDDLE AGE",M1474&gt;=55,"OLD")</f>
        <v>MIDDLE AGE</v>
      </c>
      <c r="V1474" t="str">
        <f t="shared" si="91"/>
        <v>NORMAL</v>
      </c>
    </row>
    <row r="1475" spans="1:22" x14ac:dyDescent="0.35">
      <c r="A1475" t="s">
        <v>3262</v>
      </c>
      <c r="B1475" t="s">
        <v>1814</v>
      </c>
      <c r="C1475">
        <v>384.41</v>
      </c>
      <c r="D1475" s="1">
        <v>45033.70380787037</v>
      </c>
      <c r="E1475" s="2">
        <f t="shared" si="92"/>
        <v>0.70380787036992842</v>
      </c>
      <c r="F1475" s="3">
        <f t="shared" si="93"/>
        <v>45033</v>
      </c>
      <c r="G1475" t="s">
        <v>17</v>
      </c>
      <c r="H1475" t="s">
        <v>392</v>
      </c>
      <c r="I1475" t="s">
        <v>3263</v>
      </c>
      <c r="J1475" t="s">
        <v>2751</v>
      </c>
      <c r="K1475" t="s">
        <v>482</v>
      </c>
      <c r="L1475" t="s">
        <v>22</v>
      </c>
      <c r="M1475">
        <v>60</v>
      </c>
      <c r="N1475" t="s">
        <v>77</v>
      </c>
      <c r="O1475">
        <v>65</v>
      </c>
      <c r="P1475">
        <v>1</v>
      </c>
      <c r="Q1475">
        <v>7831.56</v>
      </c>
      <c r="R1475" s="4">
        <v>45600</v>
      </c>
      <c r="S1475" s="6">
        <v>0.34042824074074074</v>
      </c>
      <c r="T1475">
        <f t="shared" ref="T1475:T1538" si="94">HOUR(E1475)</f>
        <v>16</v>
      </c>
      <c r="U1475" t="str" cm="1">
        <f t="array" ref="U1475">_xlfn.IFS(M1475&lt;=34,"YOUNG",M1475&lt;=54,"MIDDLE AGE",M1475&gt;=55,"OLD")</f>
        <v>OLD</v>
      </c>
      <c r="V1475" t="str">
        <f t="shared" ref="V1475:V1538" si="95">IF(P1475&gt;1,"HIGH","NORMAL")</f>
        <v>NORMAL</v>
      </c>
    </row>
    <row r="1476" spans="1:22" x14ac:dyDescent="0.35">
      <c r="A1476" t="s">
        <v>3264</v>
      </c>
      <c r="B1476" t="s">
        <v>2297</v>
      </c>
      <c r="C1476">
        <v>235.42</v>
      </c>
      <c r="D1476" s="1">
        <v>45117.773865740739</v>
      </c>
      <c r="E1476" s="2">
        <f t="shared" si="92"/>
        <v>0.77386574073898373</v>
      </c>
      <c r="F1476" s="3">
        <f t="shared" si="93"/>
        <v>45117</v>
      </c>
      <c r="G1476" t="s">
        <v>17</v>
      </c>
      <c r="H1476" t="s">
        <v>425</v>
      </c>
      <c r="I1476" t="s">
        <v>786</v>
      </c>
      <c r="J1476" t="s">
        <v>2346</v>
      </c>
      <c r="K1476" t="s">
        <v>406</v>
      </c>
      <c r="L1476" t="s">
        <v>69</v>
      </c>
      <c r="M1476">
        <v>51</v>
      </c>
      <c r="N1476" t="s">
        <v>70</v>
      </c>
      <c r="O1476">
        <v>175</v>
      </c>
      <c r="P1476">
        <v>1</v>
      </c>
      <c r="Q1476">
        <v>6173.23</v>
      </c>
      <c r="R1476" s="4">
        <v>45600</v>
      </c>
      <c r="S1476" s="6">
        <v>0.34104166666666669</v>
      </c>
      <c r="T1476">
        <f t="shared" si="94"/>
        <v>18</v>
      </c>
      <c r="U1476" t="str" cm="1">
        <f t="array" ref="U1476">_xlfn.IFS(M1476&lt;=34,"YOUNG",M1476&lt;=54,"MIDDLE AGE",M1476&gt;=55,"OLD")</f>
        <v>MIDDLE AGE</v>
      </c>
      <c r="V1476" t="str">
        <f t="shared" si="95"/>
        <v>NORMAL</v>
      </c>
    </row>
    <row r="1477" spans="1:22" x14ac:dyDescent="0.35">
      <c r="A1477" t="s">
        <v>3265</v>
      </c>
      <c r="B1477" t="s">
        <v>1457</v>
      </c>
      <c r="C1477">
        <v>114.23</v>
      </c>
      <c r="D1477" s="1">
        <v>45084.733217592591</v>
      </c>
      <c r="E1477" s="2">
        <f t="shared" si="92"/>
        <v>0.73321759259124519</v>
      </c>
      <c r="F1477" s="3">
        <f t="shared" si="93"/>
        <v>45084</v>
      </c>
      <c r="G1477" t="s">
        <v>17</v>
      </c>
      <c r="H1477" t="s">
        <v>323</v>
      </c>
      <c r="I1477" t="s">
        <v>782</v>
      </c>
      <c r="J1477" t="s">
        <v>2254</v>
      </c>
      <c r="K1477" t="s">
        <v>548</v>
      </c>
      <c r="L1477" t="s">
        <v>22</v>
      </c>
      <c r="M1477">
        <v>56</v>
      </c>
      <c r="N1477" t="s">
        <v>23</v>
      </c>
      <c r="O1477">
        <v>64</v>
      </c>
      <c r="P1477">
        <v>1</v>
      </c>
      <c r="Q1477">
        <v>9523.7199999999993</v>
      </c>
      <c r="R1477" s="4">
        <v>45600</v>
      </c>
      <c r="S1477" s="6">
        <v>0.3379050925925926</v>
      </c>
      <c r="T1477">
        <f t="shared" si="94"/>
        <v>17</v>
      </c>
      <c r="U1477" t="str" cm="1">
        <f t="array" ref="U1477">_xlfn.IFS(M1477&lt;=34,"YOUNG",M1477&lt;=54,"MIDDLE AGE",M1477&gt;=55,"OLD")</f>
        <v>OLD</v>
      </c>
      <c r="V1477" t="str">
        <f t="shared" si="95"/>
        <v>NORMAL</v>
      </c>
    </row>
    <row r="1478" spans="1:22" x14ac:dyDescent="0.35">
      <c r="A1478" t="s">
        <v>3266</v>
      </c>
      <c r="B1478" t="s">
        <v>139</v>
      </c>
      <c r="C1478">
        <v>12.62</v>
      </c>
      <c r="D1478" s="1">
        <v>45051.691481481481</v>
      </c>
      <c r="E1478" s="2">
        <f t="shared" si="92"/>
        <v>0.69148148148087785</v>
      </c>
      <c r="F1478" s="3">
        <f t="shared" si="93"/>
        <v>45051</v>
      </c>
      <c r="G1478" t="s">
        <v>17</v>
      </c>
      <c r="H1478" t="s">
        <v>506</v>
      </c>
      <c r="I1478" t="s">
        <v>2997</v>
      </c>
      <c r="J1478" t="s">
        <v>2838</v>
      </c>
      <c r="K1478" t="s">
        <v>1524</v>
      </c>
      <c r="L1478" t="s">
        <v>69</v>
      </c>
      <c r="M1478">
        <v>33</v>
      </c>
      <c r="N1478" t="s">
        <v>23</v>
      </c>
      <c r="O1478">
        <v>61</v>
      </c>
      <c r="P1478">
        <v>1</v>
      </c>
      <c r="Q1478">
        <v>6420.47</v>
      </c>
      <c r="R1478" s="4">
        <v>45600</v>
      </c>
      <c r="S1478" s="6">
        <v>0.33961805555555558</v>
      </c>
      <c r="T1478">
        <f t="shared" si="94"/>
        <v>16</v>
      </c>
      <c r="U1478" t="str" cm="1">
        <f t="array" ref="U1478">_xlfn.IFS(M1478&lt;=34,"YOUNG",M1478&lt;=54,"MIDDLE AGE",M1478&gt;=55,"OLD")</f>
        <v>YOUNG</v>
      </c>
      <c r="V1478" t="str">
        <f t="shared" si="95"/>
        <v>NORMAL</v>
      </c>
    </row>
    <row r="1479" spans="1:22" x14ac:dyDescent="0.35">
      <c r="A1479" t="s">
        <v>3267</v>
      </c>
      <c r="B1479" t="s">
        <v>725</v>
      </c>
      <c r="C1479">
        <v>997.37</v>
      </c>
      <c r="D1479" s="1">
        <v>45282.76667824074</v>
      </c>
      <c r="E1479" s="2">
        <f t="shared" si="92"/>
        <v>0.76667824073956581</v>
      </c>
      <c r="F1479" s="3">
        <f t="shared" si="93"/>
        <v>45282</v>
      </c>
      <c r="G1479" t="s">
        <v>17</v>
      </c>
      <c r="H1479" t="s">
        <v>157</v>
      </c>
      <c r="I1479" t="s">
        <v>2022</v>
      </c>
      <c r="J1479" t="s">
        <v>1518</v>
      </c>
      <c r="K1479" t="s">
        <v>200</v>
      </c>
      <c r="L1479" t="s">
        <v>22</v>
      </c>
      <c r="M1479">
        <v>23</v>
      </c>
      <c r="N1479" t="s">
        <v>37</v>
      </c>
      <c r="O1479">
        <v>145</v>
      </c>
      <c r="P1479">
        <v>1</v>
      </c>
      <c r="Q1479">
        <v>1146.0899999999999</v>
      </c>
      <c r="R1479" s="4">
        <v>45600</v>
      </c>
      <c r="S1479" s="6">
        <v>0.33846064814814814</v>
      </c>
      <c r="T1479">
        <f t="shared" si="94"/>
        <v>18</v>
      </c>
      <c r="U1479" t="str" cm="1">
        <f t="array" ref="U1479">_xlfn.IFS(M1479&lt;=34,"YOUNG",M1479&lt;=54,"MIDDLE AGE",M1479&gt;=55,"OLD")</f>
        <v>YOUNG</v>
      </c>
      <c r="V1479" t="str">
        <f t="shared" si="95"/>
        <v>NORMAL</v>
      </c>
    </row>
    <row r="1480" spans="1:22" x14ac:dyDescent="0.35">
      <c r="A1480" t="s">
        <v>3268</v>
      </c>
      <c r="B1480" t="s">
        <v>52</v>
      </c>
      <c r="C1480">
        <v>373.52</v>
      </c>
      <c r="D1480" s="1">
        <v>45194.682905092595</v>
      </c>
      <c r="E1480" s="2">
        <f t="shared" si="92"/>
        <v>0.68290509259531973</v>
      </c>
      <c r="F1480" s="3">
        <f t="shared" si="93"/>
        <v>45194</v>
      </c>
      <c r="G1480" t="s">
        <v>17</v>
      </c>
      <c r="H1480" t="s">
        <v>521</v>
      </c>
      <c r="I1480" t="s">
        <v>562</v>
      </c>
      <c r="J1480" t="s">
        <v>1830</v>
      </c>
      <c r="K1480" t="s">
        <v>607</v>
      </c>
      <c r="L1480" t="s">
        <v>22</v>
      </c>
      <c r="M1480">
        <v>35</v>
      </c>
      <c r="N1480" t="s">
        <v>77</v>
      </c>
      <c r="O1480">
        <v>235</v>
      </c>
      <c r="P1480">
        <v>1</v>
      </c>
      <c r="Q1480">
        <v>6430.41</v>
      </c>
      <c r="R1480" s="4">
        <v>45600</v>
      </c>
      <c r="S1480" s="6">
        <v>0.34115740740740741</v>
      </c>
      <c r="T1480">
        <f t="shared" si="94"/>
        <v>16</v>
      </c>
      <c r="U1480" t="str" cm="1">
        <f t="array" ref="U1480">_xlfn.IFS(M1480&lt;=34,"YOUNG",M1480&lt;=54,"MIDDLE AGE",M1480&gt;=55,"OLD")</f>
        <v>MIDDLE AGE</v>
      </c>
      <c r="V1480" t="str">
        <f t="shared" si="95"/>
        <v>NORMAL</v>
      </c>
    </row>
    <row r="1481" spans="1:22" x14ac:dyDescent="0.35">
      <c r="A1481" t="s">
        <v>3269</v>
      </c>
      <c r="B1481" t="s">
        <v>3136</v>
      </c>
      <c r="C1481">
        <v>336.05</v>
      </c>
      <c r="D1481" s="1">
        <v>45040.721041666664</v>
      </c>
      <c r="E1481" s="2">
        <f t="shared" si="92"/>
        <v>0.72104166666395031</v>
      </c>
      <c r="F1481" s="3">
        <f t="shared" si="93"/>
        <v>45040</v>
      </c>
      <c r="G1481" t="s">
        <v>17</v>
      </c>
      <c r="H1481" t="s">
        <v>237</v>
      </c>
      <c r="I1481" t="s">
        <v>2447</v>
      </c>
      <c r="J1481" t="s">
        <v>1676</v>
      </c>
      <c r="K1481" t="s">
        <v>62</v>
      </c>
      <c r="L1481" t="s">
        <v>69</v>
      </c>
      <c r="M1481">
        <v>28</v>
      </c>
      <c r="N1481" t="s">
        <v>37</v>
      </c>
      <c r="O1481">
        <v>164</v>
      </c>
      <c r="P1481">
        <v>1</v>
      </c>
      <c r="Q1481">
        <v>1635.05</v>
      </c>
      <c r="R1481" s="4">
        <v>45600</v>
      </c>
      <c r="S1481" s="6">
        <v>0.34181712962962962</v>
      </c>
      <c r="T1481">
        <f t="shared" si="94"/>
        <v>17</v>
      </c>
      <c r="U1481" t="str" cm="1">
        <f t="array" ref="U1481">_xlfn.IFS(M1481&lt;=34,"YOUNG",M1481&lt;=54,"MIDDLE AGE",M1481&gt;=55,"OLD")</f>
        <v>YOUNG</v>
      </c>
      <c r="V1481" t="str">
        <f t="shared" si="95"/>
        <v>NORMAL</v>
      </c>
    </row>
    <row r="1482" spans="1:22" x14ac:dyDescent="0.35">
      <c r="A1482" t="s">
        <v>3270</v>
      </c>
      <c r="B1482" t="s">
        <v>712</v>
      </c>
      <c r="C1482">
        <v>366.93</v>
      </c>
      <c r="D1482" s="1">
        <v>45271.779861111114</v>
      </c>
      <c r="E1482" s="2">
        <f t="shared" si="92"/>
        <v>0.77986111111385981</v>
      </c>
      <c r="F1482" s="3">
        <f t="shared" si="93"/>
        <v>45271</v>
      </c>
      <c r="G1482" t="s">
        <v>17</v>
      </c>
      <c r="H1482" t="s">
        <v>26</v>
      </c>
      <c r="I1482" t="s">
        <v>1633</v>
      </c>
      <c r="J1482" t="s">
        <v>655</v>
      </c>
      <c r="K1482" t="s">
        <v>303</v>
      </c>
      <c r="L1482" t="s">
        <v>36</v>
      </c>
      <c r="M1482">
        <v>66</v>
      </c>
      <c r="N1482" t="s">
        <v>70</v>
      </c>
      <c r="O1482">
        <v>33</v>
      </c>
      <c r="P1482">
        <v>1</v>
      </c>
      <c r="Q1482">
        <v>6697.79</v>
      </c>
      <c r="R1482" s="4">
        <v>45600</v>
      </c>
      <c r="S1482" s="6">
        <v>0.34135416666666668</v>
      </c>
      <c r="T1482">
        <f t="shared" si="94"/>
        <v>18</v>
      </c>
      <c r="U1482" t="str" cm="1">
        <f t="array" ref="U1482">_xlfn.IFS(M1482&lt;=34,"YOUNG",M1482&lt;=54,"MIDDLE AGE",M1482&gt;=55,"OLD")</f>
        <v>OLD</v>
      </c>
      <c r="V1482" t="str">
        <f t="shared" si="95"/>
        <v>NORMAL</v>
      </c>
    </row>
    <row r="1483" spans="1:22" x14ac:dyDescent="0.35">
      <c r="A1483" t="s">
        <v>3271</v>
      </c>
      <c r="B1483" t="s">
        <v>498</v>
      </c>
      <c r="C1483">
        <v>112.27</v>
      </c>
      <c r="D1483" s="1">
        <v>45218.732557870368</v>
      </c>
      <c r="E1483" s="2">
        <f t="shared" si="92"/>
        <v>0.73255787036760012</v>
      </c>
      <c r="F1483" s="3">
        <f t="shared" si="93"/>
        <v>45218</v>
      </c>
      <c r="G1483" t="s">
        <v>17</v>
      </c>
      <c r="H1483" t="s">
        <v>59</v>
      </c>
      <c r="I1483" t="s">
        <v>74</v>
      </c>
      <c r="J1483" t="s">
        <v>1985</v>
      </c>
      <c r="K1483" t="s">
        <v>83</v>
      </c>
      <c r="L1483" t="s">
        <v>69</v>
      </c>
      <c r="M1483">
        <v>58</v>
      </c>
      <c r="N1483" t="s">
        <v>23</v>
      </c>
      <c r="O1483">
        <v>102</v>
      </c>
      <c r="P1483">
        <v>1</v>
      </c>
      <c r="Q1483">
        <v>7369.89</v>
      </c>
      <c r="R1483" s="4">
        <v>45600</v>
      </c>
      <c r="S1483" s="6">
        <v>0.3412384259259259</v>
      </c>
      <c r="T1483">
        <f t="shared" si="94"/>
        <v>17</v>
      </c>
      <c r="U1483" t="str" cm="1">
        <f t="array" ref="U1483">_xlfn.IFS(M1483&lt;=34,"YOUNG",M1483&lt;=54,"MIDDLE AGE",M1483&gt;=55,"OLD")</f>
        <v>OLD</v>
      </c>
      <c r="V1483" t="str">
        <f t="shared" si="95"/>
        <v>NORMAL</v>
      </c>
    </row>
    <row r="1484" spans="1:22" x14ac:dyDescent="0.35">
      <c r="A1484" t="s">
        <v>3272</v>
      </c>
      <c r="B1484" t="s">
        <v>1612</v>
      </c>
      <c r="C1484">
        <v>494.96</v>
      </c>
      <c r="D1484" s="1">
        <v>45016.690717592595</v>
      </c>
      <c r="E1484" s="2">
        <f t="shared" si="92"/>
        <v>0.69071759259531973</v>
      </c>
      <c r="F1484" s="3">
        <f t="shared" si="93"/>
        <v>45016</v>
      </c>
      <c r="G1484" t="s">
        <v>17</v>
      </c>
      <c r="H1484" t="s">
        <v>285</v>
      </c>
      <c r="I1484" t="s">
        <v>1160</v>
      </c>
      <c r="J1484" t="s">
        <v>655</v>
      </c>
      <c r="K1484" t="s">
        <v>652</v>
      </c>
      <c r="L1484" t="s">
        <v>22</v>
      </c>
      <c r="M1484">
        <v>40</v>
      </c>
      <c r="N1484" t="s">
        <v>77</v>
      </c>
      <c r="O1484">
        <v>132</v>
      </c>
      <c r="P1484">
        <v>1</v>
      </c>
      <c r="Q1484">
        <v>6903.68</v>
      </c>
      <c r="R1484" s="4">
        <v>45600</v>
      </c>
      <c r="S1484" s="6">
        <v>0.33928240740740739</v>
      </c>
      <c r="T1484">
        <f t="shared" si="94"/>
        <v>16</v>
      </c>
      <c r="U1484" t="str" cm="1">
        <f t="array" ref="U1484">_xlfn.IFS(M1484&lt;=34,"YOUNG",M1484&lt;=54,"MIDDLE AGE",M1484&gt;=55,"OLD")</f>
        <v>MIDDLE AGE</v>
      </c>
      <c r="V1484" t="str">
        <f t="shared" si="95"/>
        <v>NORMAL</v>
      </c>
    </row>
    <row r="1485" spans="1:22" x14ac:dyDescent="0.35">
      <c r="A1485" t="s">
        <v>3273</v>
      </c>
      <c r="B1485" t="s">
        <v>942</v>
      </c>
      <c r="C1485">
        <v>561.58000000000004</v>
      </c>
      <c r="D1485" s="1">
        <v>45100.735023148147</v>
      </c>
      <c r="E1485" s="2">
        <f t="shared" si="92"/>
        <v>0.73502314814686542</v>
      </c>
      <c r="F1485" s="3">
        <f t="shared" si="93"/>
        <v>45100</v>
      </c>
      <c r="G1485" t="s">
        <v>17</v>
      </c>
      <c r="H1485" t="s">
        <v>285</v>
      </c>
      <c r="I1485" t="s">
        <v>1594</v>
      </c>
      <c r="J1485" t="s">
        <v>3274</v>
      </c>
      <c r="K1485" t="s">
        <v>154</v>
      </c>
      <c r="L1485" t="s">
        <v>36</v>
      </c>
      <c r="M1485">
        <v>65</v>
      </c>
      <c r="N1485" t="s">
        <v>23</v>
      </c>
      <c r="O1485">
        <v>23</v>
      </c>
      <c r="P1485">
        <v>1</v>
      </c>
      <c r="Q1485">
        <v>11748.86</v>
      </c>
      <c r="R1485" s="4">
        <v>45600</v>
      </c>
      <c r="S1485" s="6">
        <v>0.33787037037037038</v>
      </c>
      <c r="T1485">
        <f t="shared" si="94"/>
        <v>17</v>
      </c>
      <c r="U1485" t="str" cm="1">
        <f t="array" ref="U1485">_xlfn.IFS(M1485&lt;=34,"YOUNG",M1485&lt;=54,"MIDDLE AGE",M1485&gt;=55,"OLD")</f>
        <v>OLD</v>
      </c>
      <c r="V1485" t="str">
        <f t="shared" si="95"/>
        <v>NORMAL</v>
      </c>
    </row>
    <row r="1486" spans="1:22" x14ac:dyDescent="0.35">
      <c r="A1486" t="s">
        <v>3275</v>
      </c>
      <c r="B1486" t="s">
        <v>202</v>
      </c>
      <c r="C1486">
        <v>440.94</v>
      </c>
      <c r="D1486" s="1">
        <v>45182.776701388888</v>
      </c>
      <c r="E1486" s="2">
        <f t="shared" si="92"/>
        <v>0.77670138888788642</v>
      </c>
      <c r="F1486" s="3">
        <f t="shared" si="93"/>
        <v>45182</v>
      </c>
      <c r="G1486" t="s">
        <v>17</v>
      </c>
      <c r="H1486" t="s">
        <v>237</v>
      </c>
      <c r="I1486" t="s">
        <v>2318</v>
      </c>
      <c r="J1486" t="s">
        <v>1399</v>
      </c>
      <c r="K1486" t="s">
        <v>181</v>
      </c>
      <c r="L1486" t="s">
        <v>36</v>
      </c>
      <c r="M1486">
        <v>42</v>
      </c>
      <c r="N1486" t="s">
        <v>23</v>
      </c>
      <c r="O1486">
        <v>148</v>
      </c>
      <c r="P1486">
        <v>1</v>
      </c>
      <c r="Q1486">
        <v>7303.23</v>
      </c>
      <c r="R1486" s="4">
        <v>45600</v>
      </c>
      <c r="S1486" s="6">
        <v>0.34122685185185186</v>
      </c>
      <c r="T1486">
        <f t="shared" si="94"/>
        <v>18</v>
      </c>
      <c r="U1486" t="str" cm="1">
        <f t="array" ref="U1486">_xlfn.IFS(M1486&lt;=34,"YOUNG",M1486&lt;=54,"MIDDLE AGE",M1486&gt;=55,"OLD")</f>
        <v>MIDDLE AGE</v>
      </c>
      <c r="V1486" t="str">
        <f t="shared" si="95"/>
        <v>NORMAL</v>
      </c>
    </row>
    <row r="1487" spans="1:22" x14ac:dyDescent="0.35">
      <c r="A1487" t="s">
        <v>3276</v>
      </c>
      <c r="B1487" t="s">
        <v>529</v>
      </c>
      <c r="C1487">
        <v>71.900000000000006</v>
      </c>
      <c r="D1487" s="1">
        <v>44977.686562499999</v>
      </c>
      <c r="E1487" s="2">
        <f t="shared" si="92"/>
        <v>0.68656249999912689</v>
      </c>
      <c r="F1487" s="3">
        <f t="shared" si="93"/>
        <v>44977</v>
      </c>
      <c r="G1487" t="s">
        <v>17</v>
      </c>
      <c r="H1487" t="s">
        <v>140</v>
      </c>
      <c r="I1487" t="s">
        <v>654</v>
      </c>
      <c r="J1487" t="s">
        <v>2416</v>
      </c>
      <c r="K1487" t="s">
        <v>759</v>
      </c>
      <c r="L1487" t="s">
        <v>69</v>
      </c>
      <c r="M1487">
        <v>29</v>
      </c>
      <c r="N1487" t="s">
        <v>23</v>
      </c>
      <c r="O1487">
        <v>51</v>
      </c>
      <c r="P1487">
        <v>1</v>
      </c>
      <c r="Q1487">
        <v>10619.35</v>
      </c>
      <c r="R1487" s="4">
        <v>45600</v>
      </c>
      <c r="S1487" s="6">
        <v>0.34174768518518517</v>
      </c>
      <c r="T1487">
        <f t="shared" si="94"/>
        <v>16</v>
      </c>
      <c r="U1487" t="str" cm="1">
        <f t="array" ref="U1487">_xlfn.IFS(M1487&lt;=34,"YOUNG",M1487&lt;=54,"MIDDLE AGE",M1487&gt;=55,"OLD")</f>
        <v>YOUNG</v>
      </c>
      <c r="V1487" t="str">
        <f t="shared" si="95"/>
        <v>NORMAL</v>
      </c>
    </row>
    <row r="1488" spans="1:22" x14ac:dyDescent="0.35">
      <c r="A1488" t="s">
        <v>3277</v>
      </c>
      <c r="B1488" t="s">
        <v>1069</v>
      </c>
      <c r="C1488">
        <v>256.66000000000003</v>
      </c>
      <c r="D1488" s="1">
        <v>45124.713923611111</v>
      </c>
      <c r="E1488" s="2">
        <f t="shared" si="92"/>
        <v>0.71392361111065838</v>
      </c>
      <c r="F1488" s="3">
        <f t="shared" si="93"/>
        <v>45124</v>
      </c>
      <c r="G1488" t="s">
        <v>46</v>
      </c>
      <c r="H1488" t="s">
        <v>40</v>
      </c>
      <c r="I1488" t="s">
        <v>2355</v>
      </c>
      <c r="J1488" t="s">
        <v>465</v>
      </c>
      <c r="K1488" t="s">
        <v>414</v>
      </c>
      <c r="L1488" t="s">
        <v>36</v>
      </c>
      <c r="M1488">
        <v>54</v>
      </c>
      <c r="N1488" t="s">
        <v>70</v>
      </c>
      <c r="O1488">
        <v>137</v>
      </c>
      <c r="P1488">
        <v>1</v>
      </c>
      <c r="Q1488">
        <v>1794.5</v>
      </c>
      <c r="R1488" s="4">
        <v>45600</v>
      </c>
      <c r="S1488" s="6">
        <v>0.33813657407407405</v>
      </c>
      <c r="T1488">
        <f t="shared" si="94"/>
        <v>17</v>
      </c>
      <c r="U1488" t="str" cm="1">
        <f t="array" ref="U1488">_xlfn.IFS(M1488&lt;=34,"YOUNG",M1488&lt;=54,"MIDDLE AGE",M1488&gt;=55,"OLD")</f>
        <v>MIDDLE AGE</v>
      </c>
      <c r="V1488" t="str">
        <f t="shared" si="95"/>
        <v>NORMAL</v>
      </c>
    </row>
    <row r="1489" spans="1:22" x14ac:dyDescent="0.35">
      <c r="A1489" t="s">
        <v>3278</v>
      </c>
      <c r="B1489" t="s">
        <v>2070</v>
      </c>
      <c r="C1489">
        <v>166.55</v>
      </c>
      <c r="D1489" s="1">
        <v>45120.744259259256</v>
      </c>
      <c r="E1489" s="2">
        <f t="shared" si="92"/>
        <v>0.74425925925606862</v>
      </c>
      <c r="F1489" s="3">
        <f t="shared" si="93"/>
        <v>45120</v>
      </c>
      <c r="G1489" t="s">
        <v>46</v>
      </c>
      <c r="H1489" t="s">
        <v>26</v>
      </c>
      <c r="I1489" t="s">
        <v>1510</v>
      </c>
      <c r="J1489" t="s">
        <v>1007</v>
      </c>
      <c r="K1489" t="s">
        <v>149</v>
      </c>
      <c r="L1489" t="s">
        <v>69</v>
      </c>
      <c r="M1489">
        <v>59</v>
      </c>
      <c r="N1489" t="s">
        <v>23</v>
      </c>
      <c r="O1489">
        <v>99</v>
      </c>
      <c r="P1489">
        <v>1</v>
      </c>
      <c r="Q1489">
        <v>12970.21</v>
      </c>
      <c r="R1489" s="4">
        <v>45600</v>
      </c>
      <c r="S1489" s="6">
        <v>0.34</v>
      </c>
      <c r="T1489">
        <f t="shared" si="94"/>
        <v>17</v>
      </c>
      <c r="U1489" t="str" cm="1">
        <f t="array" ref="U1489">_xlfn.IFS(M1489&lt;=34,"YOUNG",M1489&lt;=54,"MIDDLE AGE",M1489&gt;=55,"OLD")</f>
        <v>OLD</v>
      </c>
      <c r="V1489" t="str">
        <f t="shared" si="95"/>
        <v>NORMAL</v>
      </c>
    </row>
    <row r="1490" spans="1:22" x14ac:dyDescent="0.35">
      <c r="A1490" t="s">
        <v>3279</v>
      </c>
      <c r="B1490" t="s">
        <v>625</v>
      </c>
      <c r="C1490">
        <v>276.26</v>
      </c>
      <c r="D1490" s="1">
        <v>44970.711689814816</v>
      </c>
      <c r="E1490" s="2">
        <f t="shared" si="92"/>
        <v>0.71168981481605442</v>
      </c>
      <c r="F1490" s="3">
        <f t="shared" si="93"/>
        <v>44970</v>
      </c>
      <c r="G1490" t="s">
        <v>17</v>
      </c>
      <c r="H1490" t="s">
        <v>108</v>
      </c>
      <c r="I1490" t="s">
        <v>2139</v>
      </c>
      <c r="J1490" t="s">
        <v>2620</v>
      </c>
      <c r="K1490" t="s">
        <v>1209</v>
      </c>
      <c r="L1490" t="s">
        <v>69</v>
      </c>
      <c r="M1490">
        <v>56</v>
      </c>
      <c r="N1490" t="s">
        <v>23</v>
      </c>
      <c r="O1490">
        <v>143</v>
      </c>
      <c r="P1490">
        <v>1</v>
      </c>
      <c r="Q1490">
        <v>120.89</v>
      </c>
      <c r="R1490" s="4">
        <v>45600</v>
      </c>
      <c r="S1490" s="6">
        <v>0.34151620370370372</v>
      </c>
      <c r="T1490">
        <f t="shared" si="94"/>
        <v>17</v>
      </c>
      <c r="U1490" t="str" cm="1">
        <f t="array" ref="U1490">_xlfn.IFS(M1490&lt;=34,"YOUNG",M1490&lt;=54,"MIDDLE AGE",M1490&gt;=55,"OLD")</f>
        <v>OLD</v>
      </c>
      <c r="V1490" t="str">
        <f t="shared" si="95"/>
        <v>NORMAL</v>
      </c>
    </row>
    <row r="1491" spans="1:22" x14ac:dyDescent="0.35">
      <c r="A1491" t="s">
        <v>3280</v>
      </c>
      <c r="B1491" t="s">
        <v>2601</v>
      </c>
      <c r="C1491">
        <v>35.46</v>
      </c>
      <c r="D1491" s="1">
        <v>45125.693182870367</v>
      </c>
      <c r="E1491" s="2">
        <f t="shared" si="92"/>
        <v>0.69318287036730908</v>
      </c>
      <c r="F1491" s="3">
        <f t="shared" si="93"/>
        <v>45125</v>
      </c>
      <c r="G1491" t="s">
        <v>17</v>
      </c>
      <c r="H1491" t="s">
        <v>65</v>
      </c>
      <c r="I1491" t="s">
        <v>2170</v>
      </c>
      <c r="J1491" t="s">
        <v>1427</v>
      </c>
      <c r="K1491" t="s">
        <v>89</v>
      </c>
      <c r="L1491" t="s">
        <v>22</v>
      </c>
      <c r="M1491">
        <v>67</v>
      </c>
      <c r="N1491" t="s">
        <v>23</v>
      </c>
      <c r="O1491">
        <v>164</v>
      </c>
      <c r="P1491">
        <v>1</v>
      </c>
      <c r="Q1491">
        <v>5692.31</v>
      </c>
      <c r="R1491" s="4">
        <v>45600</v>
      </c>
      <c r="S1491" s="6">
        <v>0.34041666666666665</v>
      </c>
      <c r="T1491">
        <f t="shared" si="94"/>
        <v>16</v>
      </c>
      <c r="U1491" t="str" cm="1">
        <f t="array" ref="U1491">_xlfn.IFS(M1491&lt;=34,"YOUNG",M1491&lt;=54,"MIDDLE AGE",M1491&gt;=55,"OLD")</f>
        <v>OLD</v>
      </c>
      <c r="V1491" t="str">
        <f t="shared" si="95"/>
        <v>NORMAL</v>
      </c>
    </row>
    <row r="1492" spans="1:22" x14ac:dyDescent="0.35">
      <c r="A1492" t="s">
        <v>3281</v>
      </c>
      <c r="B1492" t="s">
        <v>1186</v>
      </c>
      <c r="C1492">
        <v>38.14</v>
      </c>
      <c r="D1492" s="1">
        <v>45023.677777777775</v>
      </c>
      <c r="E1492" s="2">
        <f t="shared" si="92"/>
        <v>0.67777777777519077</v>
      </c>
      <c r="F1492" s="3">
        <f t="shared" si="93"/>
        <v>45023</v>
      </c>
      <c r="G1492" t="s">
        <v>17</v>
      </c>
      <c r="H1492" t="s">
        <v>595</v>
      </c>
      <c r="I1492" t="s">
        <v>1337</v>
      </c>
      <c r="J1492" t="s">
        <v>2094</v>
      </c>
      <c r="K1492" t="s">
        <v>831</v>
      </c>
      <c r="L1492" t="s">
        <v>69</v>
      </c>
      <c r="M1492">
        <v>50</v>
      </c>
      <c r="N1492" t="s">
        <v>77</v>
      </c>
      <c r="O1492">
        <v>165</v>
      </c>
      <c r="P1492">
        <v>1</v>
      </c>
      <c r="Q1492">
        <v>9879.8700000000008</v>
      </c>
      <c r="R1492" s="4">
        <v>45600</v>
      </c>
      <c r="S1492" s="6">
        <v>0.33837962962962964</v>
      </c>
      <c r="T1492">
        <f t="shared" si="94"/>
        <v>16</v>
      </c>
      <c r="U1492" t="str" cm="1">
        <f t="array" ref="U1492">_xlfn.IFS(M1492&lt;=34,"YOUNG",M1492&lt;=54,"MIDDLE AGE",M1492&gt;=55,"OLD")</f>
        <v>MIDDLE AGE</v>
      </c>
      <c r="V1492" t="str">
        <f t="shared" si="95"/>
        <v>NORMAL</v>
      </c>
    </row>
    <row r="1493" spans="1:22" x14ac:dyDescent="0.35">
      <c r="A1493" t="s">
        <v>3282</v>
      </c>
      <c r="B1493" t="s">
        <v>1301</v>
      </c>
      <c r="C1493">
        <v>506.26</v>
      </c>
      <c r="D1493" s="1">
        <v>45278.768136574072</v>
      </c>
      <c r="E1493" s="2">
        <f t="shared" si="92"/>
        <v>0.768136574071832</v>
      </c>
      <c r="F1493" s="3">
        <f t="shared" si="93"/>
        <v>45278</v>
      </c>
      <c r="G1493" t="s">
        <v>46</v>
      </c>
      <c r="H1493" t="s">
        <v>197</v>
      </c>
      <c r="I1493" t="s">
        <v>1522</v>
      </c>
      <c r="J1493" t="s">
        <v>1414</v>
      </c>
      <c r="K1493" t="s">
        <v>240</v>
      </c>
      <c r="L1493" t="s">
        <v>22</v>
      </c>
      <c r="M1493">
        <v>64</v>
      </c>
      <c r="N1493" t="s">
        <v>70</v>
      </c>
      <c r="O1493">
        <v>86</v>
      </c>
      <c r="P1493">
        <v>1</v>
      </c>
      <c r="Q1493">
        <v>6266.65</v>
      </c>
      <c r="R1493" s="4">
        <v>45600</v>
      </c>
      <c r="S1493" s="6">
        <v>0.34158564814814812</v>
      </c>
      <c r="T1493">
        <f t="shared" si="94"/>
        <v>18</v>
      </c>
      <c r="U1493" t="str" cm="1">
        <f t="array" ref="U1493">_xlfn.IFS(M1493&lt;=34,"YOUNG",M1493&lt;=54,"MIDDLE AGE",M1493&gt;=55,"OLD")</f>
        <v>OLD</v>
      </c>
      <c r="V1493" t="str">
        <f t="shared" si="95"/>
        <v>NORMAL</v>
      </c>
    </row>
    <row r="1494" spans="1:22" x14ac:dyDescent="0.35">
      <c r="A1494" t="s">
        <v>3283</v>
      </c>
      <c r="B1494" t="s">
        <v>2102</v>
      </c>
      <c r="C1494">
        <v>736.32</v>
      </c>
      <c r="D1494" s="1">
        <v>45028.712569444448</v>
      </c>
      <c r="E1494" s="2">
        <f t="shared" si="92"/>
        <v>0.71256944444758119</v>
      </c>
      <c r="F1494" s="3">
        <f t="shared" si="93"/>
        <v>45028</v>
      </c>
      <c r="G1494" t="s">
        <v>17</v>
      </c>
      <c r="H1494" t="s">
        <v>65</v>
      </c>
      <c r="I1494" t="s">
        <v>823</v>
      </c>
      <c r="J1494" t="s">
        <v>1772</v>
      </c>
      <c r="K1494" t="s">
        <v>56</v>
      </c>
      <c r="L1494" t="s">
        <v>36</v>
      </c>
      <c r="M1494">
        <v>31</v>
      </c>
      <c r="N1494" t="s">
        <v>23</v>
      </c>
      <c r="O1494">
        <v>28</v>
      </c>
      <c r="P1494">
        <v>1</v>
      </c>
      <c r="Q1494">
        <v>14268.95</v>
      </c>
      <c r="R1494" s="4">
        <v>45600</v>
      </c>
      <c r="S1494" s="6">
        <v>0.34054398148148146</v>
      </c>
      <c r="T1494">
        <f t="shared" si="94"/>
        <v>17</v>
      </c>
      <c r="U1494" t="str" cm="1">
        <f t="array" ref="U1494">_xlfn.IFS(M1494&lt;=34,"YOUNG",M1494&lt;=54,"MIDDLE AGE",M1494&gt;=55,"OLD")</f>
        <v>YOUNG</v>
      </c>
      <c r="V1494" t="str">
        <f t="shared" si="95"/>
        <v>NORMAL</v>
      </c>
    </row>
    <row r="1495" spans="1:22" x14ac:dyDescent="0.35">
      <c r="A1495" t="s">
        <v>3284</v>
      </c>
      <c r="B1495" t="s">
        <v>222</v>
      </c>
      <c r="C1495">
        <v>389.43</v>
      </c>
      <c r="D1495" s="1">
        <v>45257.751238425924</v>
      </c>
      <c r="E1495" s="2">
        <f t="shared" si="92"/>
        <v>0.7512384259243845</v>
      </c>
      <c r="F1495" s="3">
        <f t="shared" si="93"/>
        <v>45257</v>
      </c>
      <c r="G1495" t="s">
        <v>46</v>
      </c>
      <c r="H1495" t="s">
        <v>119</v>
      </c>
      <c r="I1495" t="s">
        <v>966</v>
      </c>
      <c r="J1495" t="s">
        <v>731</v>
      </c>
      <c r="K1495" t="s">
        <v>262</v>
      </c>
      <c r="L1495" t="s">
        <v>22</v>
      </c>
      <c r="M1495">
        <v>52</v>
      </c>
      <c r="N1495" t="s">
        <v>77</v>
      </c>
      <c r="O1495">
        <v>151</v>
      </c>
      <c r="P1495">
        <v>1</v>
      </c>
      <c r="Q1495">
        <v>6449.83</v>
      </c>
      <c r="R1495" s="4">
        <v>45600</v>
      </c>
      <c r="S1495" s="6">
        <v>0.3409375</v>
      </c>
      <c r="T1495">
        <f t="shared" si="94"/>
        <v>18</v>
      </c>
      <c r="U1495" t="str" cm="1">
        <f t="array" ref="U1495">_xlfn.IFS(M1495&lt;=34,"YOUNG",M1495&lt;=54,"MIDDLE AGE",M1495&gt;=55,"OLD")</f>
        <v>MIDDLE AGE</v>
      </c>
      <c r="V1495" t="str">
        <f t="shared" si="95"/>
        <v>NORMAL</v>
      </c>
    </row>
    <row r="1496" spans="1:22" x14ac:dyDescent="0.35">
      <c r="A1496" t="s">
        <v>3285</v>
      </c>
      <c r="B1496" t="s">
        <v>3286</v>
      </c>
      <c r="C1496">
        <v>25.58</v>
      </c>
      <c r="D1496" s="1">
        <v>45246.689837962964</v>
      </c>
      <c r="E1496" s="2">
        <f t="shared" si="92"/>
        <v>0.68983796296379296</v>
      </c>
      <c r="F1496" s="3">
        <f t="shared" si="93"/>
        <v>45246</v>
      </c>
      <c r="G1496" t="s">
        <v>17</v>
      </c>
      <c r="H1496" t="s">
        <v>296</v>
      </c>
      <c r="I1496" t="s">
        <v>1469</v>
      </c>
      <c r="J1496" t="s">
        <v>3087</v>
      </c>
      <c r="K1496" t="s">
        <v>122</v>
      </c>
      <c r="L1496" t="s">
        <v>22</v>
      </c>
      <c r="M1496">
        <v>60</v>
      </c>
      <c r="N1496" t="s">
        <v>77</v>
      </c>
      <c r="O1496">
        <v>166</v>
      </c>
      <c r="P1496">
        <v>1</v>
      </c>
      <c r="Q1496">
        <v>6741.41</v>
      </c>
      <c r="R1496" s="4">
        <v>45600</v>
      </c>
      <c r="S1496" s="6">
        <v>0.33783564814814815</v>
      </c>
      <c r="T1496">
        <f t="shared" si="94"/>
        <v>16</v>
      </c>
      <c r="U1496" t="str" cm="1">
        <f t="array" ref="U1496">_xlfn.IFS(M1496&lt;=34,"YOUNG",M1496&lt;=54,"MIDDLE AGE",M1496&gt;=55,"OLD")</f>
        <v>OLD</v>
      </c>
      <c r="V1496" t="str">
        <f t="shared" si="95"/>
        <v>NORMAL</v>
      </c>
    </row>
    <row r="1497" spans="1:22" x14ac:dyDescent="0.35">
      <c r="A1497" t="s">
        <v>3287</v>
      </c>
      <c r="B1497" t="s">
        <v>498</v>
      </c>
      <c r="C1497">
        <v>446.1</v>
      </c>
      <c r="D1497" s="1">
        <v>45188.739803240744</v>
      </c>
      <c r="E1497" s="2">
        <f t="shared" si="92"/>
        <v>0.73980324074364034</v>
      </c>
      <c r="F1497" s="3">
        <f t="shared" si="93"/>
        <v>45188</v>
      </c>
      <c r="G1497" t="s">
        <v>17</v>
      </c>
      <c r="H1497" t="s">
        <v>59</v>
      </c>
      <c r="I1497" t="s">
        <v>1550</v>
      </c>
      <c r="J1497" t="s">
        <v>2027</v>
      </c>
      <c r="K1497" t="s">
        <v>1524</v>
      </c>
      <c r="L1497" t="s">
        <v>22</v>
      </c>
      <c r="M1497">
        <v>25</v>
      </c>
      <c r="N1497" t="s">
        <v>37</v>
      </c>
      <c r="O1497">
        <v>243</v>
      </c>
      <c r="P1497">
        <v>1</v>
      </c>
      <c r="Q1497">
        <v>1008.44</v>
      </c>
      <c r="R1497" s="4">
        <v>45600</v>
      </c>
      <c r="S1497" s="6">
        <v>0.33923611111111113</v>
      </c>
      <c r="T1497">
        <f t="shared" si="94"/>
        <v>17</v>
      </c>
      <c r="U1497" t="str" cm="1">
        <f t="array" ref="U1497">_xlfn.IFS(M1497&lt;=34,"YOUNG",M1497&lt;=54,"MIDDLE AGE",M1497&gt;=55,"OLD")</f>
        <v>YOUNG</v>
      </c>
      <c r="V1497" t="str">
        <f t="shared" si="95"/>
        <v>NORMAL</v>
      </c>
    </row>
    <row r="1498" spans="1:22" x14ac:dyDescent="0.35">
      <c r="A1498" t="s">
        <v>3288</v>
      </c>
      <c r="B1498" t="s">
        <v>905</v>
      </c>
      <c r="C1498">
        <v>147.74</v>
      </c>
      <c r="D1498" s="1">
        <v>45174.702847222223</v>
      </c>
      <c r="E1498" s="2">
        <f t="shared" si="92"/>
        <v>0.70284722222277196</v>
      </c>
      <c r="F1498" s="3">
        <f t="shared" si="93"/>
        <v>45174</v>
      </c>
      <c r="G1498" t="s">
        <v>17</v>
      </c>
      <c r="H1498" t="s">
        <v>40</v>
      </c>
      <c r="I1498" t="s">
        <v>2613</v>
      </c>
      <c r="J1498" t="s">
        <v>958</v>
      </c>
      <c r="K1498" t="s">
        <v>639</v>
      </c>
      <c r="L1498" t="s">
        <v>69</v>
      </c>
      <c r="M1498">
        <v>23</v>
      </c>
      <c r="N1498" t="s">
        <v>37</v>
      </c>
      <c r="O1498">
        <v>15</v>
      </c>
      <c r="P1498">
        <v>1</v>
      </c>
      <c r="Q1498">
        <v>1711.78</v>
      </c>
      <c r="R1498" s="4">
        <v>45600</v>
      </c>
      <c r="S1498" s="6">
        <v>0.34187499999999998</v>
      </c>
      <c r="T1498">
        <f t="shared" si="94"/>
        <v>16</v>
      </c>
      <c r="U1498" t="str" cm="1">
        <f t="array" ref="U1498">_xlfn.IFS(M1498&lt;=34,"YOUNG",M1498&lt;=54,"MIDDLE AGE",M1498&gt;=55,"OLD")</f>
        <v>YOUNG</v>
      </c>
      <c r="V1498" t="str">
        <f t="shared" si="95"/>
        <v>NORMAL</v>
      </c>
    </row>
    <row r="1499" spans="1:22" x14ac:dyDescent="0.35">
      <c r="A1499" t="s">
        <v>3289</v>
      </c>
      <c r="B1499" t="s">
        <v>505</v>
      </c>
      <c r="C1499">
        <v>1228.81</v>
      </c>
      <c r="D1499" s="1">
        <v>44977.692083333335</v>
      </c>
      <c r="E1499" s="2">
        <f t="shared" si="92"/>
        <v>0.69208333333517658</v>
      </c>
      <c r="F1499" s="3">
        <f t="shared" si="93"/>
        <v>44977</v>
      </c>
      <c r="G1499" t="s">
        <v>17</v>
      </c>
      <c r="H1499" t="s">
        <v>212</v>
      </c>
      <c r="I1499" t="s">
        <v>3203</v>
      </c>
      <c r="J1499" t="s">
        <v>2091</v>
      </c>
      <c r="K1499" t="s">
        <v>639</v>
      </c>
      <c r="L1499" t="s">
        <v>22</v>
      </c>
      <c r="M1499">
        <v>26</v>
      </c>
      <c r="N1499" t="s">
        <v>37</v>
      </c>
      <c r="O1499">
        <v>254</v>
      </c>
      <c r="P1499">
        <v>1</v>
      </c>
      <c r="Q1499">
        <v>1821</v>
      </c>
      <c r="R1499" s="4">
        <v>45600</v>
      </c>
      <c r="S1499" s="6">
        <v>0.33964120370370371</v>
      </c>
      <c r="T1499">
        <f t="shared" si="94"/>
        <v>16</v>
      </c>
      <c r="U1499" t="str" cm="1">
        <f t="array" ref="U1499">_xlfn.IFS(M1499&lt;=34,"YOUNG",M1499&lt;=54,"MIDDLE AGE",M1499&gt;=55,"OLD")</f>
        <v>YOUNG</v>
      </c>
      <c r="V1499" t="str">
        <f t="shared" si="95"/>
        <v>NORMAL</v>
      </c>
    </row>
    <row r="1500" spans="1:22" x14ac:dyDescent="0.35">
      <c r="A1500" t="s">
        <v>3290</v>
      </c>
      <c r="B1500" t="s">
        <v>1440</v>
      </c>
      <c r="C1500">
        <v>46.23</v>
      </c>
      <c r="D1500" s="1">
        <v>45075.739884259259</v>
      </c>
      <c r="E1500" s="2">
        <f t="shared" si="92"/>
        <v>0.73988425925927004</v>
      </c>
      <c r="F1500" s="3">
        <f t="shared" si="93"/>
        <v>45075</v>
      </c>
      <c r="G1500" t="s">
        <v>17</v>
      </c>
      <c r="H1500" t="s">
        <v>558</v>
      </c>
      <c r="I1500" t="s">
        <v>1761</v>
      </c>
      <c r="J1500" t="s">
        <v>1629</v>
      </c>
      <c r="K1500" t="s">
        <v>21</v>
      </c>
      <c r="L1500" t="s">
        <v>36</v>
      </c>
      <c r="M1500">
        <v>77</v>
      </c>
      <c r="N1500" t="s">
        <v>70</v>
      </c>
      <c r="O1500">
        <v>282</v>
      </c>
      <c r="P1500">
        <v>1</v>
      </c>
      <c r="Q1500">
        <v>5107.75</v>
      </c>
      <c r="R1500" s="4">
        <v>45600</v>
      </c>
      <c r="S1500" s="6">
        <v>0.34011574074074075</v>
      </c>
      <c r="T1500">
        <f t="shared" si="94"/>
        <v>17</v>
      </c>
      <c r="U1500" t="str" cm="1">
        <f t="array" ref="U1500">_xlfn.IFS(M1500&lt;=34,"YOUNG",M1500&lt;=54,"MIDDLE AGE",M1500&gt;=55,"OLD")</f>
        <v>OLD</v>
      </c>
      <c r="V1500" t="str">
        <f t="shared" si="95"/>
        <v>NORMAL</v>
      </c>
    </row>
    <row r="1501" spans="1:22" x14ac:dyDescent="0.35">
      <c r="A1501" t="s">
        <v>3291</v>
      </c>
      <c r="B1501" t="s">
        <v>1878</v>
      </c>
      <c r="C1501">
        <v>265.37</v>
      </c>
      <c r="D1501" s="1">
        <v>45072.747418981482</v>
      </c>
      <c r="E1501" s="2">
        <f t="shared" si="92"/>
        <v>0.747418981482042</v>
      </c>
      <c r="F1501" s="3">
        <f t="shared" si="93"/>
        <v>45072</v>
      </c>
      <c r="G1501" t="s">
        <v>17</v>
      </c>
      <c r="H1501" t="s">
        <v>453</v>
      </c>
      <c r="I1501" t="s">
        <v>1708</v>
      </c>
      <c r="J1501" t="s">
        <v>1318</v>
      </c>
      <c r="K1501" t="s">
        <v>759</v>
      </c>
      <c r="L1501" t="s">
        <v>69</v>
      </c>
      <c r="M1501">
        <v>33</v>
      </c>
      <c r="N1501" t="s">
        <v>77</v>
      </c>
      <c r="O1501">
        <v>77</v>
      </c>
      <c r="P1501">
        <v>1</v>
      </c>
      <c r="Q1501">
        <v>5229.95</v>
      </c>
      <c r="R1501" s="4">
        <v>45600</v>
      </c>
      <c r="S1501" s="6">
        <v>0.33981481481481479</v>
      </c>
      <c r="T1501">
        <f t="shared" si="94"/>
        <v>17</v>
      </c>
      <c r="U1501" t="str" cm="1">
        <f t="array" ref="U1501">_xlfn.IFS(M1501&lt;=34,"YOUNG",M1501&lt;=54,"MIDDLE AGE",M1501&gt;=55,"OLD")</f>
        <v>YOUNG</v>
      </c>
      <c r="V1501" t="str">
        <f t="shared" si="95"/>
        <v>NORMAL</v>
      </c>
    </row>
    <row r="1502" spans="1:22" x14ac:dyDescent="0.35">
      <c r="A1502" t="s">
        <v>3292</v>
      </c>
      <c r="B1502" t="s">
        <v>2564</v>
      </c>
      <c r="C1502">
        <v>342.57</v>
      </c>
      <c r="D1502" s="1">
        <v>44960.715277777781</v>
      </c>
      <c r="E1502" s="2">
        <f t="shared" si="92"/>
        <v>0.71527777778101154</v>
      </c>
      <c r="F1502" s="3">
        <f t="shared" si="93"/>
        <v>44960</v>
      </c>
      <c r="G1502" t="s">
        <v>17</v>
      </c>
      <c r="H1502" t="s">
        <v>388</v>
      </c>
      <c r="I1502" t="s">
        <v>2682</v>
      </c>
      <c r="J1502" t="s">
        <v>1772</v>
      </c>
      <c r="K1502" t="s">
        <v>740</v>
      </c>
      <c r="L1502" t="s">
        <v>36</v>
      </c>
      <c r="M1502">
        <v>20</v>
      </c>
      <c r="N1502" t="s">
        <v>37</v>
      </c>
      <c r="O1502">
        <v>91</v>
      </c>
      <c r="P1502">
        <v>1</v>
      </c>
      <c r="Q1502">
        <v>339.16</v>
      </c>
      <c r="R1502" s="4">
        <v>45600</v>
      </c>
      <c r="S1502" s="6">
        <v>0.34017361111111111</v>
      </c>
      <c r="T1502">
        <f t="shared" si="94"/>
        <v>17</v>
      </c>
      <c r="U1502" t="str" cm="1">
        <f t="array" ref="U1502">_xlfn.IFS(M1502&lt;=34,"YOUNG",M1502&lt;=54,"MIDDLE AGE",M1502&gt;=55,"OLD")</f>
        <v>YOUNG</v>
      </c>
      <c r="V1502" t="str">
        <f t="shared" si="95"/>
        <v>NORMAL</v>
      </c>
    </row>
    <row r="1503" spans="1:22" x14ac:dyDescent="0.35">
      <c r="A1503" t="s">
        <v>3293</v>
      </c>
      <c r="B1503" t="s">
        <v>884</v>
      </c>
      <c r="C1503">
        <v>417.26</v>
      </c>
      <c r="D1503" s="1">
        <v>44984.709305555552</v>
      </c>
      <c r="E1503" s="2">
        <f t="shared" si="92"/>
        <v>0.70930555555241881</v>
      </c>
      <c r="F1503" s="3">
        <f t="shared" si="93"/>
        <v>44984</v>
      </c>
      <c r="G1503" t="s">
        <v>46</v>
      </c>
      <c r="H1503" t="s">
        <v>203</v>
      </c>
      <c r="I1503" t="s">
        <v>936</v>
      </c>
      <c r="J1503" t="s">
        <v>3069</v>
      </c>
      <c r="K1503" t="s">
        <v>474</v>
      </c>
      <c r="L1503" t="s">
        <v>36</v>
      </c>
      <c r="M1503">
        <v>32</v>
      </c>
      <c r="N1503" t="s">
        <v>23</v>
      </c>
      <c r="O1503">
        <v>45</v>
      </c>
      <c r="P1503">
        <v>1</v>
      </c>
      <c r="Q1503">
        <v>10442.48</v>
      </c>
      <c r="R1503" s="4">
        <v>45600</v>
      </c>
      <c r="S1503" s="6">
        <v>0.34158564814814812</v>
      </c>
      <c r="T1503">
        <f t="shared" si="94"/>
        <v>17</v>
      </c>
      <c r="U1503" t="str" cm="1">
        <f t="array" ref="U1503">_xlfn.IFS(M1503&lt;=34,"YOUNG",M1503&lt;=54,"MIDDLE AGE",M1503&gt;=55,"OLD")</f>
        <v>YOUNG</v>
      </c>
      <c r="V1503" t="str">
        <f t="shared" si="95"/>
        <v>NORMAL</v>
      </c>
    </row>
    <row r="1504" spans="1:22" x14ac:dyDescent="0.35">
      <c r="A1504" t="s">
        <v>3294</v>
      </c>
      <c r="B1504" t="s">
        <v>1401</v>
      </c>
      <c r="C1504">
        <v>33.630000000000003</v>
      </c>
      <c r="D1504" s="1">
        <v>45233.701481481483</v>
      </c>
      <c r="E1504" s="2">
        <f t="shared" si="92"/>
        <v>0.70148148148291511</v>
      </c>
      <c r="F1504" s="3">
        <f t="shared" si="93"/>
        <v>45233</v>
      </c>
      <c r="G1504" t="s">
        <v>17</v>
      </c>
      <c r="H1504" t="s">
        <v>125</v>
      </c>
      <c r="I1504" t="s">
        <v>658</v>
      </c>
      <c r="J1504" t="s">
        <v>1605</v>
      </c>
      <c r="K1504" t="s">
        <v>1209</v>
      </c>
      <c r="L1504" t="s">
        <v>36</v>
      </c>
      <c r="M1504">
        <v>63</v>
      </c>
      <c r="N1504" t="s">
        <v>70</v>
      </c>
      <c r="O1504">
        <v>76</v>
      </c>
      <c r="P1504">
        <v>1</v>
      </c>
      <c r="Q1504">
        <v>4324.3999999999996</v>
      </c>
      <c r="R1504" s="4">
        <v>45600</v>
      </c>
      <c r="S1504" s="6">
        <v>0.34087962962962964</v>
      </c>
      <c r="T1504">
        <f t="shared" si="94"/>
        <v>16</v>
      </c>
      <c r="U1504" t="str" cm="1">
        <f t="array" ref="U1504">_xlfn.IFS(M1504&lt;=34,"YOUNG",M1504&lt;=54,"MIDDLE AGE",M1504&gt;=55,"OLD")</f>
        <v>OLD</v>
      </c>
      <c r="V1504" t="str">
        <f t="shared" si="95"/>
        <v>NORMAL</v>
      </c>
    </row>
    <row r="1505" spans="1:22" x14ac:dyDescent="0.35">
      <c r="A1505" t="s">
        <v>3295</v>
      </c>
      <c r="B1505" t="s">
        <v>1004</v>
      </c>
      <c r="C1505">
        <v>64.58</v>
      </c>
      <c r="D1505" s="1">
        <v>45264.754513888889</v>
      </c>
      <c r="E1505" s="2">
        <f t="shared" si="92"/>
        <v>0.75451388888905058</v>
      </c>
      <c r="F1505" s="3">
        <f t="shared" si="93"/>
        <v>45264</v>
      </c>
      <c r="G1505" t="s">
        <v>17</v>
      </c>
      <c r="H1505" t="s">
        <v>506</v>
      </c>
      <c r="I1505" t="s">
        <v>517</v>
      </c>
      <c r="J1505" t="s">
        <v>894</v>
      </c>
      <c r="K1505" t="s">
        <v>682</v>
      </c>
      <c r="L1505" t="s">
        <v>69</v>
      </c>
      <c r="M1505">
        <v>55</v>
      </c>
      <c r="N1505" t="s">
        <v>70</v>
      </c>
      <c r="O1505">
        <v>173</v>
      </c>
      <c r="P1505">
        <v>1</v>
      </c>
      <c r="Q1505">
        <v>6292.29</v>
      </c>
      <c r="R1505" s="4">
        <v>45600</v>
      </c>
      <c r="S1505" s="6">
        <v>0.34128472222222223</v>
      </c>
      <c r="T1505">
        <f t="shared" si="94"/>
        <v>18</v>
      </c>
      <c r="U1505" t="str" cm="1">
        <f t="array" ref="U1505">_xlfn.IFS(M1505&lt;=34,"YOUNG",M1505&lt;=54,"MIDDLE AGE",M1505&gt;=55,"OLD")</f>
        <v>OLD</v>
      </c>
      <c r="V1505" t="str">
        <f t="shared" si="95"/>
        <v>NORMAL</v>
      </c>
    </row>
    <row r="1506" spans="1:22" x14ac:dyDescent="0.35">
      <c r="A1506" t="s">
        <v>3296</v>
      </c>
      <c r="B1506" t="s">
        <v>899</v>
      </c>
      <c r="C1506">
        <v>23.23</v>
      </c>
      <c r="D1506" s="1">
        <v>45036.690960648149</v>
      </c>
      <c r="E1506" s="2">
        <f t="shared" si="92"/>
        <v>0.69096064814948477</v>
      </c>
      <c r="F1506" s="3">
        <f t="shared" si="93"/>
        <v>45036</v>
      </c>
      <c r="G1506" t="s">
        <v>46</v>
      </c>
      <c r="H1506" t="s">
        <v>172</v>
      </c>
      <c r="I1506" t="s">
        <v>1453</v>
      </c>
      <c r="J1506" t="s">
        <v>2013</v>
      </c>
      <c r="K1506" t="s">
        <v>331</v>
      </c>
      <c r="L1506" t="s">
        <v>69</v>
      </c>
      <c r="M1506">
        <v>21</v>
      </c>
      <c r="N1506" t="s">
        <v>37</v>
      </c>
      <c r="O1506">
        <v>122</v>
      </c>
      <c r="P1506">
        <v>1</v>
      </c>
      <c r="Q1506">
        <v>269.01</v>
      </c>
      <c r="R1506" s="4">
        <v>45600</v>
      </c>
      <c r="S1506" s="6">
        <v>0.34020833333333333</v>
      </c>
      <c r="T1506">
        <f t="shared" si="94"/>
        <v>16</v>
      </c>
      <c r="U1506" t="str" cm="1">
        <f t="array" ref="U1506">_xlfn.IFS(M1506&lt;=34,"YOUNG",M1506&lt;=54,"MIDDLE AGE",M1506&gt;=55,"OLD")</f>
        <v>YOUNG</v>
      </c>
      <c r="V1506" t="str">
        <f t="shared" si="95"/>
        <v>NORMAL</v>
      </c>
    </row>
    <row r="1507" spans="1:22" x14ac:dyDescent="0.35">
      <c r="A1507" t="s">
        <v>3297</v>
      </c>
      <c r="B1507" t="s">
        <v>892</v>
      </c>
      <c r="C1507">
        <v>160.52000000000001</v>
      </c>
      <c r="D1507" s="1">
        <v>45145.677141203705</v>
      </c>
      <c r="E1507" s="2">
        <f t="shared" si="92"/>
        <v>0.677141203705105</v>
      </c>
      <c r="F1507" s="3">
        <f t="shared" si="93"/>
        <v>45145</v>
      </c>
      <c r="G1507" t="s">
        <v>46</v>
      </c>
      <c r="H1507" t="s">
        <v>392</v>
      </c>
      <c r="I1507" t="s">
        <v>3298</v>
      </c>
      <c r="J1507" t="s">
        <v>575</v>
      </c>
      <c r="K1507" t="s">
        <v>639</v>
      </c>
      <c r="L1507" t="s">
        <v>22</v>
      </c>
      <c r="M1507">
        <v>78</v>
      </c>
      <c r="N1507" t="s">
        <v>70</v>
      </c>
      <c r="O1507">
        <v>112</v>
      </c>
      <c r="P1507">
        <v>1</v>
      </c>
      <c r="Q1507">
        <v>5379.25</v>
      </c>
      <c r="R1507" s="4">
        <v>45600</v>
      </c>
      <c r="S1507" s="6">
        <v>0.33887731481481481</v>
      </c>
      <c r="T1507">
        <f t="shared" si="94"/>
        <v>16</v>
      </c>
      <c r="U1507" t="str" cm="1">
        <f t="array" ref="U1507">_xlfn.IFS(M1507&lt;=34,"YOUNG",M1507&lt;=54,"MIDDLE AGE",M1507&gt;=55,"OLD")</f>
        <v>OLD</v>
      </c>
      <c r="V1507" t="str">
        <f t="shared" si="95"/>
        <v>NORMAL</v>
      </c>
    </row>
    <row r="1508" spans="1:22" x14ac:dyDescent="0.35">
      <c r="A1508" t="s">
        <v>3299</v>
      </c>
      <c r="B1508" t="s">
        <v>399</v>
      </c>
      <c r="C1508">
        <v>278.88</v>
      </c>
      <c r="D1508" s="1">
        <v>45198.703634259262</v>
      </c>
      <c r="E1508" s="2">
        <f t="shared" si="92"/>
        <v>0.70363425926188938</v>
      </c>
      <c r="F1508" s="3">
        <f t="shared" si="93"/>
        <v>45198</v>
      </c>
      <c r="G1508" t="s">
        <v>17</v>
      </c>
      <c r="H1508" t="s">
        <v>291</v>
      </c>
      <c r="I1508" t="s">
        <v>1761</v>
      </c>
      <c r="J1508" t="s">
        <v>2353</v>
      </c>
      <c r="K1508" t="s">
        <v>353</v>
      </c>
      <c r="L1508" t="s">
        <v>69</v>
      </c>
      <c r="M1508">
        <v>64</v>
      </c>
      <c r="N1508" t="s">
        <v>23</v>
      </c>
      <c r="O1508">
        <v>179</v>
      </c>
      <c r="P1508">
        <v>2</v>
      </c>
      <c r="Q1508">
        <v>1334.09</v>
      </c>
      <c r="R1508" s="4">
        <v>45600</v>
      </c>
      <c r="S1508" s="6">
        <v>0.34009259259259261</v>
      </c>
      <c r="T1508">
        <f t="shared" si="94"/>
        <v>16</v>
      </c>
      <c r="U1508" t="str" cm="1">
        <f t="array" ref="U1508">_xlfn.IFS(M1508&lt;=34,"YOUNG",M1508&lt;=54,"MIDDLE AGE",M1508&gt;=55,"OLD")</f>
        <v>OLD</v>
      </c>
      <c r="V1508" t="str">
        <f t="shared" si="95"/>
        <v>HIGH</v>
      </c>
    </row>
    <row r="1509" spans="1:22" x14ac:dyDescent="0.35">
      <c r="A1509" t="s">
        <v>3300</v>
      </c>
      <c r="B1509" t="s">
        <v>310</v>
      </c>
      <c r="C1509">
        <v>285.49</v>
      </c>
      <c r="D1509" s="1">
        <v>45149.779282407406</v>
      </c>
      <c r="E1509" s="2">
        <f t="shared" si="92"/>
        <v>0.77928240740584442</v>
      </c>
      <c r="F1509" s="3">
        <f t="shared" si="93"/>
        <v>45149</v>
      </c>
      <c r="G1509" t="s">
        <v>46</v>
      </c>
      <c r="H1509" t="s">
        <v>249</v>
      </c>
      <c r="I1509" t="s">
        <v>2029</v>
      </c>
      <c r="J1509" t="s">
        <v>2268</v>
      </c>
      <c r="K1509" t="s">
        <v>358</v>
      </c>
      <c r="L1509" t="s">
        <v>69</v>
      </c>
      <c r="M1509">
        <v>53</v>
      </c>
      <c r="N1509" t="s">
        <v>23</v>
      </c>
      <c r="O1509">
        <v>109</v>
      </c>
      <c r="P1509">
        <v>1</v>
      </c>
      <c r="Q1509">
        <v>6366.84</v>
      </c>
      <c r="R1509" s="4">
        <v>45600</v>
      </c>
      <c r="S1509" s="6">
        <v>0.34182870370370372</v>
      </c>
      <c r="T1509">
        <f t="shared" si="94"/>
        <v>18</v>
      </c>
      <c r="U1509" t="str" cm="1">
        <f t="array" ref="U1509">_xlfn.IFS(M1509&lt;=34,"YOUNG",M1509&lt;=54,"MIDDLE AGE",M1509&gt;=55,"OLD")</f>
        <v>MIDDLE AGE</v>
      </c>
      <c r="V1509" t="str">
        <f t="shared" si="95"/>
        <v>NORMAL</v>
      </c>
    </row>
    <row r="1510" spans="1:22" x14ac:dyDescent="0.35">
      <c r="A1510" t="s">
        <v>3301</v>
      </c>
      <c r="B1510" t="s">
        <v>3302</v>
      </c>
      <c r="C1510">
        <v>71.87</v>
      </c>
      <c r="D1510" s="1">
        <v>44942.752106481479</v>
      </c>
      <c r="E1510" s="2">
        <f t="shared" si="92"/>
        <v>0.75210648147913162</v>
      </c>
      <c r="F1510" s="3">
        <f t="shared" si="93"/>
        <v>44942</v>
      </c>
      <c r="G1510" t="s">
        <v>17</v>
      </c>
      <c r="H1510" t="s">
        <v>80</v>
      </c>
      <c r="I1510" t="s">
        <v>135</v>
      </c>
      <c r="J1510" t="s">
        <v>2630</v>
      </c>
      <c r="K1510" t="s">
        <v>100</v>
      </c>
      <c r="L1510" t="s">
        <v>22</v>
      </c>
      <c r="M1510">
        <v>22</v>
      </c>
      <c r="N1510" t="s">
        <v>37</v>
      </c>
      <c r="O1510">
        <v>258</v>
      </c>
      <c r="P1510">
        <v>1</v>
      </c>
      <c r="Q1510">
        <v>1839.1</v>
      </c>
      <c r="R1510" s="4">
        <v>45600</v>
      </c>
      <c r="S1510" s="6">
        <v>0.34174768518518517</v>
      </c>
      <c r="T1510">
        <f t="shared" si="94"/>
        <v>18</v>
      </c>
      <c r="U1510" t="str" cm="1">
        <f t="array" ref="U1510">_xlfn.IFS(M1510&lt;=34,"YOUNG",M1510&lt;=54,"MIDDLE AGE",M1510&gt;=55,"OLD")</f>
        <v>YOUNG</v>
      </c>
      <c r="V1510" t="str">
        <f t="shared" si="95"/>
        <v>NORMAL</v>
      </c>
    </row>
    <row r="1511" spans="1:22" x14ac:dyDescent="0.35">
      <c r="A1511" t="s">
        <v>3303</v>
      </c>
      <c r="B1511" t="s">
        <v>1710</v>
      </c>
      <c r="C1511">
        <v>308.8</v>
      </c>
      <c r="D1511" s="1">
        <v>45286.672812500001</v>
      </c>
      <c r="E1511" s="2">
        <f t="shared" si="92"/>
        <v>0.67281250000087311</v>
      </c>
      <c r="F1511" s="3">
        <f t="shared" si="93"/>
        <v>45286</v>
      </c>
      <c r="G1511" t="s">
        <v>17</v>
      </c>
      <c r="H1511" t="s">
        <v>197</v>
      </c>
      <c r="I1511" t="s">
        <v>570</v>
      </c>
      <c r="J1511" t="s">
        <v>49</v>
      </c>
      <c r="K1511" t="s">
        <v>762</v>
      </c>
      <c r="L1511" t="s">
        <v>22</v>
      </c>
      <c r="M1511">
        <v>53</v>
      </c>
      <c r="N1511" t="s">
        <v>70</v>
      </c>
      <c r="O1511">
        <v>41</v>
      </c>
      <c r="P1511">
        <v>1</v>
      </c>
      <c r="Q1511">
        <v>3966.54</v>
      </c>
      <c r="R1511" s="4">
        <v>45600</v>
      </c>
      <c r="S1511" s="6">
        <v>0.3402662037037037</v>
      </c>
      <c r="T1511">
        <f t="shared" si="94"/>
        <v>16</v>
      </c>
      <c r="U1511" t="str" cm="1">
        <f t="array" ref="U1511">_xlfn.IFS(M1511&lt;=34,"YOUNG",M1511&lt;=54,"MIDDLE AGE",M1511&gt;=55,"OLD")</f>
        <v>MIDDLE AGE</v>
      </c>
      <c r="V1511" t="str">
        <f t="shared" si="95"/>
        <v>NORMAL</v>
      </c>
    </row>
    <row r="1512" spans="1:22" x14ac:dyDescent="0.35">
      <c r="A1512" t="s">
        <v>3304</v>
      </c>
      <c r="B1512" t="s">
        <v>337</v>
      </c>
      <c r="C1512">
        <v>135.35</v>
      </c>
      <c r="D1512" s="1">
        <v>45135.779756944445</v>
      </c>
      <c r="E1512" s="2">
        <f t="shared" si="92"/>
        <v>0.77975694444467081</v>
      </c>
      <c r="F1512" s="3">
        <f t="shared" si="93"/>
        <v>45135</v>
      </c>
      <c r="G1512" t="s">
        <v>17</v>
      </c>
      <c r="H1512" t="s">
        <v>26</v>
      </c>
      <c r="I1512" t="s">
        <v>2611</v>
      </c>
      <c r="J1512" t="s">
        <v>1864</v>
      </c>
      <c r="K1512" t="s">
        <v>634</v>
      </c>
      <c r="L1512" t="s">
        <v>69</v>
      </c>
      <c r="M1512">
        <v>33</v>
      </c>
      <c r="N1512" t="s">
        <v>77</v>
      </c>
      <c r="O1512">
        <v>82</v>
      </c>
      <c r="P1512">
        <v>1</v>
      </c>
      <c r="Q1512">
        <v>9983.36</v>
      </c>
      <c r="R1512" s="4">
        <v>45600</v>
      </c>
      <c r="S1512" s="6">
        <v>0.33847222222222223</v>
      </c>
      <c r="T1512">
        <f t="shared" si="94"/>
        <v>18</v>
      </c>
      <c r="U1512" t="str" cm="1">
        <f t="array" ref="U1512">_xlfn.IFS(M1512&lt;=34,"YOUNG",M1512&lt;=54,"MIDDLE AGE",M1512&gt;=55,"OLD")</f>
        <v>YOUNG</v>
      </c>
      <c r="V1512" t="str">
        <f t="shared" si="95"/>
        <v>NORMAL</v>
      </c>
    </row>
    <row r="1513" spans="1:22" x14ac:dyDescent="0.35">
      <c r="A1513" t="s">
        <v>3305</v>
      </c>
      <c r="B1513" t="s">
        <v>968</v>
      </c>
      <c r="C1513">
        <v>288.43</v>
      </c>
      <c r="D1513" s="1">
        <v>45054.692974537036</v>
      </c>
      <c r="E1513" s="2">
        <f t="shared" si="92"/>
        <v>0.69297453703620704</v>
      </c>
      <c r="F1513" s="3">
        <f t="shared" si="93"/>
        <v>45054</v>
      </c>
      <c r="G1513" t="s">
        <v>17</v>
      </c>
      <c r="H1513" t="s">
        <v>425</v>
      </c>
      <c r="I1513" t="s">
        <v>1050</v>
      </c>
      <c r="J1513" t="s">
        <v>765</v>
      </c>
      <c r="K1513" t="s">
        <v>326</v>
      </c>
      <c r="L1513" t="s">
        <v>69</v>
      </c>
      <c r="M1513">
        <v>66</v>
      </c>
      <c r="N1513" t="s">
        <v>70</v>
      </c>
      <c r="O1513">
        <v>72</v>
      </c>
      <c r="P1513">
        <v>1</v>
      </c>
      <c r="Q1513">
        <v>4577.09</v>
      </c>
      <c r="R1513" s="4">
        <v>45600</v>
      </c>
      <c r="S1513" s="6">
        <v>0.33958333333333335</v>
      </c>
      <c r="T1513">
        <f t="shared" si="94"/>
        <v>16</v>
      </c>
      <c r="U1513" t="str" cm="1">
        <f t="array" ref="U1513">_xlfn.IFS(M1513&lt;=34,"YOUNG",M1513&lt;=54,"MIDDLE AGE",M1513&gt;=55,"OLD")</f>
        <v>OLD</v>
      </c>
      <c r="V1513" t="str">
        <f t="shared" si="95"/>
        <v>NORMAL</v>
      </c>
    </row>
    <row r="1514" spans="1:22" x14ac:dyDescent="0.35">
      <c r="A1514" t="s">
        <v>3306</v>
      </c>
      <c r="B1514" t="s">
        <v>989</v>
      </c>
      <c r="C1514">
        <v>147.46</v>
      </c>
      <c r="D1514" s="1">
        <v>45211.707233796296</v>
      </c>
      <c r="E1514" s="2">
        <f t="shared" si="92"/>
        <v>0.70723379629635019</v>
      </c>
      <c r="F1514" s="3">
        <f t="shared" si="93"/>
        <v>45211</v>
      </c>
      <c r="G1514" t="s">
        <v>46</v>
      </c>
      <c r="H1514" t="s">
        <v>86</v>
      </c>
      <c r="I1514" t="s">
        <v>19</v>
      </c>
      <c r="J1514" t="s">
        <v>2027</v>
      </c>
      <c r="K1514" t="s">
        <v>358</v>
      </c>
      <c r="L1514" t="s">
        <v>36</v>
      </c>
      <c r="M1514">
        <v>65</v>
      </c>
      <c r="N1514" t="s">
        <v>23</v>
      </c>
      <c r="O1514">
        <v>205</v>
      </c>
      <c r="P1514">
        <v>1</v>
      </c>
      <c r="Q1514">
        <v>7458.03</v>
      </c>
      <c r="R1514" s="4">
        <v>45600</v>
      </c>
      <c r="S1514" s="6">
        <v>0.34133101851851849</v>
      </c>
      <c r="T1514">
        <f t="shared" si="94"/>
        <v>16</v>
      </c>
      <c r="U1514" t="str" cm="1">
        <f t="array" ref="U1514">_xlfn.IFS(M1514&lt;=34,"YOUNG",M1514&lt;=54,"MIDDLE AGE",M1514&gt;=55,"OLD")</f>
        <v>OLD</v>
      </c>
      <c r="V1514" t="str">
        <f t="shared" si="95"/>
        <v>NORMAL</v>
      </c>
    </row>
    <row r="1515" spans="1:22" x14ac:dyDescent="0.35">
      <c r="A1515" t="s">
        <v>3307</v>
      </c>
      <c r="B1515" t="s">
        <v>1982</v>
      </c>
      <c r="C1515">
        <v>214.15</v>
      </c>
      <c r="D1515" s="1">
        <v>45229.713819444441</v>
      </c>
      <c r="E1515" s="2">
        <f t="shared" si="92"/>
        <v>0.71381944444146939</v>
      </c>
      <c r="F1515" s="3">
        <f t="shared" si="93"/>
        <v>45229</v>
      </c>
      <c r="G1515" t="s">
        <v>17</v>
      </c>
      <c r="H1515" t="s">
        <v>73</v>
      </c>
      <c r="I1515" t="s">
        <v>902</v>
      </c>
      <c r="J1515" t="s">
        <v>2705</v>
      </c>
      <c r="K1515" t="s">
        <v>331</v>
      </c>
      <c r="L1515" t="s">
        <v>69</v>
      </c>
      <c r="M1515">
        <v>32</v>
      </c>
      <c r="N1515" t="s">
        <v>77</v>
      </c>
      <c r="O1515">
        <v>217</v>
      </c>
      <c r="P1515">
        <v>1</v>
      </c>
      <c r="Q1515">
        <v>6397.29</v>
      </c>
      <c r="R1515" s="4">
        <v>45600</v>
      </c>
      <c r="S1515" s="6">
        <v>0.34096064814814814</v>
      </c>
      <c r="T1515">
        <f t="shared" si="94"/>
        <v>17</v>
      </c>
      <c r="U1515" t="str" cm="1">
        <f t="array" ref="U1515">_xlfn.IFS(M1515&lt;=34,"YOUNG",M1515&lt;=54,"MIDDLE AGE",M1515&gt;=55,"OLD")</f>
        <v>YOUNG</v>
      </c>
      <c r="V1515" t="str">
        <f t="shared" si="95"/>
        <v>NORMAL</v>
      </c>
    </row>
    <row r="1516" spans="1:22" x14ac:dyDescent="0.35">
      <c r="A1516" t="s">
        <v>3308</v>
      </c>
      <c r="B1516" t="s">
        <v>648</v>
      </c>
      <c r="C1516">
        <v>71.34</v>
      </c>
      <c r="D1516" s="1">
        <v>45166.666666666664</v>
      </c>
      <c r="E1516" s="2">
        <f t="shared" si="92"/>
        <v>0.66666666666424135</v>
      </c>
      <c r="F1516" s="3">
        <f t="shared" si="93"/>
        <v>45166</v>
      </c>
      <c r="G1516" t="s">
        <v>17</v>
      </c>
      <c r="H1516" t="s">
        <v>172</v>
      </c>
      <c r="I1516" t="s">
        <v>570</v>
      </c>
      <c r="J1516" t="s">
        <v>1595</v>
      </c>
      <c r="K1516" t="s">
        <v>1037</v>
      </c>
      <c r="L1516" t="s">
        <v>36</v>
      </c>
      <c r="M1516">
        <v>49</v>
      </c>
      <c r="N1516" t="s">
        <v>77</v>
      </c>
      <c r="O1516">
        <v>144</v>
      </c>
      <c r="P1516">
        <v>3</v>
      </c>
      <c r="Q1516">
        <v>6345.03</v>
      </c>
      <c r="R1516" s="4">
        <v>45600</v>
      </c>
      <c r="S1516" s="6">
        <v>0.34008101851851852</v>
      </c>
      <c r="T1516">
        <f t="shared" si="94"/>
        <v>16</v>
      </c>
      <c r="U1516" t="str" cm="1">
        <f t="array" ref="U1516">_xlfn.IFS(M1516&lt;=34,"YOUNG",M1516&lt;=54,"MIDDLE AGE",M1516&gt;=55,"OLD")</f>
        <v>MIDDLE AGE</v>
      </c>
      <c r="V1516" t="str">
        <f t="shared" si="95"/>
        <v>HIGH</v>
      </c>
    </row>
    <row r="1517" spans="1:22" x14ac:dyDescent="0.35">
      <c r="A1517" t="s">
        <v>3309</v>
      </c>
      <c r="B1517" t="s">
        <v>561</v>
      </c>
      <c r="C1517">
        <v>170.36</v>
      </c>
      <c r="D1517" s="1">
        <v>45012.705891203703</v>
      </c>
      <c r="E1517" s="2">
        <f t="shared" si="92"/>
        <v>0.70589120370277669</v>
      </c>
      <c r="F1517" s="3">
        <f t="shared" si="93"/>
        <v>45012</v>
      </c>
      <c r="G1517" t="s">
        <v>17</v>
      </c>
      <c r="H1517" t="s">
        <v>65</v>
      </c>
      <c r="I1517" t="s">
        <v>1861</v>
      </c>
      <c r="J1517" t="s">
        <v>153</v>
      </c>
      <c r="K1517" t="s">
        <v>50</v>
      </c>
      <c r="L1517" t="s">
        <v>22</v>
      </c>
      <c r="M1517">
        <v>30</v>
      </c>
      <c r="N1517" t="s">
        <v>23</v>
      </c>
      <c r="O1517">
        <v>118</v>
      </c>
      <c r="P1517">
        <v>1</v>
      </c>
      <c r="Q1517">
        <v>6034.73</v>
      </c>
      <c r="R1517" s="4">
        <v>45600</v>
      </c>
      <c r="S1517" s="6">
        <v>0.33986111111111111</v>
      </c>
      <c r="T1517">
        <f t="shared" si="94"/>
        <v>16</v>
      </c>
      <c r="U1517" t="str" cm="1">
        <f t="array" ref="U1517">_xlfn.IFS(M1517&lt;=34,"YOUNG",M1517&lt;=54,"MIDDLE AGE",M1517&gt;=55,"OLD")</f>
        <v>YOUNG</v>
      </c>
      <c r="V1517" t="str">
        <f t="shared" si="95"/>
        <v>NORMAL</v>
      </c>
    </row>
    <row r="1518" spans="1:22" x14ac:dyDescent="0.35">
      <c r="A1518" t="s">
        <v>3310</v>
      </c>
      <c r="B1518" t="s">
        <v>1313</v>
      </c>
      <c r="C1518">
        <v>965.66</v>
      </c>
      <c r="D1518" s="1">
        <v>45278.723796296297</v>
      </c>
      <c r="E1518" s="2">
        <f t="shared" si="92"/>
        <v>0.72379629629722331</v>
      </c>
      <c r="F1518" s="3">
        <f t="shared" si="93"/>
        <v>45278</v>
      </c>
      <c r="G1518" t="s">
        <v>17</v>
      </c>
      <c r="H1518" t="s">
        <v>40</v>
      </c>
      <c r="I1518" t="s">
        <v>1369</v>
      </c>
      <c r="J1518" t="s">
        <v>316</v>
      </c>
      <c r="K1518" t="s">
        <v>35</v>
      </c>
      <c r="L1518" t="s">
        <v>22</v>
      </c>
      <c r="M1518">
        <v>53</v>
      </c>
      <c r="N1518" t="s">
        <v>77</v>
      </c>
      <c r="O1518">
        <v>32</v>
      </c>
      <c r="P1518">
        <v>1</v>
      </c>
      <c r="Q1518">
        <v>765.81</v>
      </c>
      <c r="R1518" s="4">
        <v>45600</v>
      </c>
      <c r="S1518" s="6">
        <v>0.33956018518518516</v>
      </c>
      <c r="T1518">
        <f t="shared" si="94"/>
        <v>17</v>
      </c>
      <c r="U1518" t="str" cm="1">
        <f t="array" ref="U1518">_xlfn.IFS(M1518&lt;=34,"YOUNG",M1518&lt;=54,"MIDDLE AGE",M1518&gt;=55,"OLD")</f>
        <v>MIDDLE AGE</v>
      </c>
      <c r="V1518" t="str">
        <f t="shared" si="95"/>
        <v>NORMAL</v>
      </c>
    </row>
    <row r="1519" spans="1:22" x14ac:dyDescent="0.35">
      <c r="A1519" t="s">
        <v>3311</v>
      </c>
      <c r="B1519" t="s">
        <v>2376</v>
      </c>
      <c r="C1519">
        <v>736.53</v>
      </c>
      <c r="D1519" s="1">
        <v>45056.711898148147</v>
      </c>
      <c r="E1519" s="2">
        <f t="shared" si="92"/>
        <v>0.71189814814715646</v>
      </c>
      <c r="F1519" s="3">
        <f t="shared" si="93"/>
        <v>45056</v>
      </c>
      <c r="G1519" t="s">
        <v>17</v>
      </c>
      <c r="H1519" t="s">
        <v>243</v>
      </c>
      <c r="I1519" t="s">
        <v>351</v>
      </c>
      <c r="J1519" t="s">
        <v>758</v>
      </c>
      <c r="K1519" t="s">
        <v>149</v>
      </c>
      <c r="L1519" t="s">
        <v>22</v>
      </c>
      <c r="M1519">
        <v>55</v>
      </c>
      <c r="N1519" t="s">
        <v>77</v>
      </c>
      <c r="O1519">
        <v>120</v>
      </c>
      <c r="P1519">
        <v>1</v>
      </c>
      <c r="Q1519">
        <v>9826.26</v>
      </c>
      <c r="R1519" s="4">
        <v>45600</v>
      </c>
      <c r="S1519" s="6">
        <v>0.34002314814814816</v>
      </c>
      <c r="T1519">
        <f t="shared" si="94"/>
        <v>17</v>
      </c>
      <c r="U1519" t="str" cm="1">
        <f t="array" ref="U1519">_xlfn.IFS(M1519&lt;=34,"YOUNG",M1519&lt;=54,"MIDDLE AGE",M1519&gt;=55,"OLD")</f>
        <v>OLD</v>
      </c>
      <c r="V1519" t="str">
        <f t="shared" si="95"/>
        <v>NORMAL</v>
      </c>
    </row>
    <row r="1520" spans="1:22" x14ac:dyDescent="0.35">
      <c r="A1520" t="s">
        <v>3312</v>
      </c>
      <c r="B1520" t="s">
        <v>318</v>
      </c>
      <c r="C1520">
        <v>213.42</v>
      </c>
      <c r="D1520" s="1">
        <v>45134.729328703703</v>
      </c>
      <c r="E1520" s="2">
        <f t="shared" si="92"/>
        <v>0.72932870370277669</v>
      </c>
      <c r="F1520" s="3">
        <f t="shared" si="93"/>
        <v>45134</v>
      </c>
      <c r="G1520" t="s">
        <v>17</v>
      </c>
      <c r="H1520" t="s">
        <v>125</v>
      </c>
      <c r="I1520" t="s">
        <v>546</v>
      </c>
      <c r="J1520" t="s">
        <v>205</v>
      </c>
      <c r="K1520" t="s">
        <v>29</v>
      </c>
      <c r="L1520" t="s">
        <v>22</v>
      </c>
      <c r="M1520">
        <v>45</v>
      </c>
      <c r="N1520" t="s">
        <v>77</v>
      </c>
      <c r="O1520">
        <v>17</v>
      </c>
      <c r="P1520">
        <v>1</v>
      </c>
      <c r="Q1520">
        <v>3736.38</v>
      </c>
      <c r="R1520" s="4">
        <v>45600</v>
      </c>
      <c r="S1520" s="6">
        <v>0.34127314814814813</v>
      </c>
      <c r="T1520">
        <f t="shared" si="94"/>
        <v>17</v>
      </c>
      <c r="U1520" t="str" cm="1">
        <f t="array" ref="U1520">_xlfn.IFS(M1520&lt;=34,"YOUNG",M1520&lt;=54,"MIDDLE AGE",M1520&gt;=55,"OLD")</f>
        <v>MIDDLE AGE</v>
      </c>
      <c r="V1520" t="str">
        <f t="shared" si="95"/>
        <v>NORMAL</v>
      </c>
    </row>
    <row r="1521" spans="1:22" x14ac:dyDescent="0.35">
      <c r="A1521" t="s">
        <v>3313</v>
      </c>
      <c r="B1521" t="s">
        <v>1147</v>
      </c>
      <c r="C1521">
        <v>94.09</v>
      </c>
      <c r="D1521" s="1">
        <v>45181.688993055555</v>
      </c>
      <c r="E1521" s="2">
        <f t="shared" si="92"/>
        <v>0.68899305555532919</v>
      </c>
      <c r="F1521" s="3">
        <f t="shared" si="93"/>
        <v>45181</v>
      </c>
      <c r="G1521" t="s">
        <v>17</v>
      </c>
      <c r="H1521" t="s">
        <v>172</v>
      </c>
      <c r="I1521" t="s">
        <v>2413</v>
      </c>
      <c r="J1521" t="s">
        <v>1321</v>
      </c>
      <c r="K1521" t="s">
        <v>564</v>
      </c>
      <c r="L1521" t="s">
        <v>69</v>
      </c>
      <c r="M1521">
        <v>27</v>
      </c>
      <c r="N1521" t="s">
        <v>37</v>
      </c>
      <c r="O1521">
        <v>203</v>
      </c>
      <c r="P1521">
        <v>1</v>
      </c>
      <c r="Q1521">
        <v>646.85</v>
      </c>
      <c r="R1521" s="4">
        <v>45600</v>
      </c>
      <c r="S1521" s="6">
        <v>0.34061342592592592</v>
      </c>
      <c r="T1521">
        <f t="shared" si="94"/>
        <v>16</v>
      </c>
      <c r="U1521" t="str" cm="1">
        <f t="array" ref="U1521">_xlfn.IFS(M1521&lt;=34,"YOUNG",M1521&lt;=54,"MIDDLE AGE",M1521&gt;=55,"OLD")</f>
        <v>YOUNG</v>
      </c>
      <c r="V1521" t="str">
        <f t="shared" si="95"/>
        <v>NORMAL</v>
      </c>
    </row>
    <row r="1522" spans="1:22" x14ac:dyDescent="0.35">
      <c r="A1522" t="s">
        <v>3314</v>
      </c>
      <c r="B1522" t="s">
        <v>2643</v>
      </c>
      <c r="C1522">
        <v>91.23</v>
      </c>
      <c r="D1522" s="1">
        <v>45061.676319444443</v>
      </c>
      <c r="E1522" s="2">
        <f t="shared" si="92"/>
        <v>0.67631944444292458</v>
      </c>
      <c r="F1522" s="3">
        <f t="shared" si="93"/>
        <v>45061</v>
      </c>
      <c r="G1522" t="s">
        <v>17</v>
      </c>
      <c r="H1522" t="s">
        <v>388</v>
      </c>
      <c r="I1522" t="s">
        <v>2032</v>
      </c>
      <c r="J1522" t="s">
        <v>815</v>
      </c>
      <c r="K1522" t="s">
        <v>362</v>
      </c>
      <c r="L1522" t="s">
        <v>22</v>
      </c>
      <c r="M1522">
        <v>72</v>
      </c>
      <c r="N1522" t="s">
        <v>70</v>
      </c>
      <c r="O1522">
        <v>86</v>
      </c>
      <c r="P1522">
        <v>1</v>
      </c>
      <c r="Q1522">
        <v>6385.12</v>
      </c>
      <c r="R1522" s="4">
        <v>45600</v>
      </c>
      <c r="S1522" s="6">
        <v>0.33922453703703703</v>
      </c>
      <c r="T1522">
        <f t="shared" si="94"/>
        <v>16</v>
      </c>
      <c r="U1522" t="str" cm="1">
        <f t="array" ref="U1522">_xlfn.IFS(M1522&lt;=34,"YOUNG",M1522&lt;=54,"MIDDLE AGE",M1522&gt;=55,"OLD")</f>
        <v>OLD</v>
      </c>
      <c r="V1522" t="str">
        <f t="shared" si="95"/>
        <v>NORMAL</v>
      </c>
    </row>
    <row r="1523" spans="1:22" x14ac:dyDescent="0.35">
      <c r="A1523" t="s">
        <v>3315</v>
      </c>
      <c r="B1523" t="s">
        <v>1998</v>
      </c>
      <c r="C1523">
        <v>263.92</v>
      </c>
      <c r="D1523" s="1">
        <v>45133.747847222221</v>
      </c>
      <c r="E1523" s="2">
        <f t="shared" si="92"/>
        <v>0.74784722222102573</v>
      </c>
      <c r="F1523" s="3">
        <f t="shared" si="93"/>
        <v>45133</v>
      </c>
      <c r="G1523" t="s">
        <v>46</v>
      </c>
      <c r="H1523" t="s">
        <v>18</v>
      </c>
      <c r="I1523" t="s">
        <v>3316</v>
      </c>
      <c r="J1523" t="s">
        <v>815</v>
      </c>
      <c r="K1523" t="s">
        <v>226</v>
      </c>
      <c r="L1523" t="s">
        <v>69</v>
      </c>
      <c r="M1523">
        <v>57</v>
      </c>
      <c r="N1523" t="s">
        <v>70</v>
      </c>
      <c r="O1523">
        <v>233</v>
      </c>
      <c r="P1523">
        <v>1</v>
      </c>
      <c r="Q1523">
        <v>4161.71</v>
      </c>
      <c r="R1523" s="4">
        <v>45600</v>
      </c>
      <c r="S1523" s="6">
        <v>0.34077546296296296</v>
      </c>
      <c r="T1523">
        <f t="shared" si="94"/>
        <v>17</v>
      </c>
      <c r="U1523" t="str" cm="1">
        <f t="array" ref="U1523">_xlfn.IFS(M1523&lt;=34,"YOUNG",M1523&lt;=54,"MIDDLE AGE",M1523&gt;=55,"OLD")</f>
        <v>OLD</v>
      </c>
      <c r="V1523" t="str">
        <f t="shared" si="95"/>
        <v>NORMAL</v>
      </c>
    </row>
    <row r="1524" spans="1:22" x14ac:dyDescent="0.35">
      <c r="A1524" t="s">
        <v>3317</v>
      </c>
      <c r="B1524" t="s">
        <v>771</v>
      </c>
      <c r="C1524">
        <v>77.5</v>
      </c>
      <c r="D1524" s="1">
        <v>45069.697858796295</v>
      </c>
      <c r="E1524" s="2">
        <f t="shared" si="92"/>
        <v>0.697858796294895</v>
      </c>
      <c r="F1524" s="3">
        <f t="shared" si="93"/>
        <v>45069</v>
      </c>
      <c r="G1524" t="s">
        <v>46</v>
      </c>
      <c r="H1524" t="s">
        <v>157</v>
      </c>
      <c r="I1524" t="s">
        <v>3318</v>
      </c>
      <c r="J1524" t="s">
        <v>335</v>
      </c>
      <c r="K1524" t="s">
        <v>885</v>
      </c>
      <c r="L1524" t="s">
        <v>36</v>
      </c>
      <c r="M1524">
        <v>51</v>
      </c>
      <c r="N1524" t="s">
        <v>23</v>
      </c>
      <c r="O1524">
        <v>201</v>
      </c>
      <c r="P1524">
        <v>1</v>
      </c>
      <c r="Q1524">
        <v>11079.77</v>
      </c>
      <c r="R1524" s="4">
        <v>45600</v>
      </c>
      <c r="S1524" s="6">
        <v>0.33906249999999999</v>
      </c>
      <c r="T1524">
        <f t="shared" si="94"/>
        <v>16</v>
      </c>
      <c r="U1524" t="str" cm="1">
        <f t="array" ref="U1524">_xlfn.IFS(M1524&lt;=34,"YOUNG",M1524&lt;=54,"MIDDLE AGE",M1524&gt;=55,"OLD")</f>
        <v>MIDDLE AGE</v>
      </c>
      <c r="V1524" t="str">
        <f t="shared" si="95"/>
        <v>NORMAL</v>
      </c>
    </row>
    <row r="1525" spans="1:22" x14ac:dyDescent="0.35">
      <c r="A1525" t="s">
        <v>3319</v>
      </c>
      <c r="B1525" t="s">
        <v>2643</v>
      </c>
      <c r="C1525">
        <v>3.65</v>
      </c>
      <c r="D1525" s="1">
        <v>44970.742083333331</v>
      </c>
      <c r="E1525" s="2">
        <f t="shared" si="92"/>
        <v>0.742083333330811</v>
      </c>
      <c r="F1525" s="3">
        <f t="shared" si="93"/>
        <v>44970</v>
      </c>
      <c r="G1525" t="s">
        <v>17</v>
      </c>
      <c r="H1525" t="s">
        <v>172</v>
      </c>
      <c r="I1525" t="s">
        <v>734</v>
      </c>
      <c r="J1525" t="s">
        <v>180</v>
      </c>
      <c r="K1525" t="s">
        <v>634</v>
      </c>
      <c r="L1525" t="s">
        <v>36</v>
      </c>
      <c r="M1525">
        <v>69</v>
      </c>
      <c r="N1525" t="s">
        <v>23</v>
      </c>
      <c r="O1525">
        <v>146</v>
      </c>
      <c r="P1525">
        <v>1</v>
      </c>
      <c r="Q1525">
        <v>10017.11</v>
      </c>
      <c r="R1525" s="4">
        <v>45600</v>
      </c>
      <c r="S1525" s="6">
        <v>0.34098379629629627</v>
      </c>
      <c r="T1525">
        <f t="shared" si="94"/>
        <v>17</v>
      </c>
      <c r="U1525" t="str" cm="1">
        <f t="array" ref="U1525">_xlfn.IFS(M1525&lt;=34,"YOUNG",M1525&lt;=54,"MIDDLE AGE",M1525&gt;=55,"OLD")</f>
        <v>OLD</v>
      </c>
      <c r="V1525" t="str">
        <f t="shared" si="95"/>
        <v>NORMAL</v>
      </c>
    </row>
    <row r="1526" spans="1:22" x14ac:dyDescent="0.35">
      <c r="A1526" t="s">
        <v>3320</v>
      </c>
      <c r="B1526" t="s">
        <v>2050</v>
      </c>
      <c r="C1526">
        <v>43.88</v>
      </c>
      <c r="D1526" s="1">
        <v>45243.738622685189</v>
      </c>
      <c r="E1526" s="2">
        <f t="shared" si="92"/>
        <v>0.73862268518860219</v>
      </c>
      <c r="F1526" s="3">
        <f t="shared" si="93"/>
        <v>45243</v>
      </c>
      <c r="G1526" t="s">
        <v>46</v>
      </c>
      <c r="H1526" t="s">
        <v>59</v>
      </c>
      <c r="I1526" t="s">
        <v>3321</v>
      </c>
      <c r="J1526" t="s">
        <v>293</v>
      </c>
      <c r="K1526" t="s">
        <v>858</v>
      </c>
      <c r="L1526" t="s">
        <v>36</v>
      </c>
      <c r="M1526">
        <v>26</v>
      </c>
      <c r="N1526" t="s">
        <v>37</v>
      </c>
      <c r="O1526">
        <v>251</v>
      </c>
      <c r="P1526">
        <v>1</v>
      </c>
      <c r="Q1526">
        <v>1644.09</v>
      </c>
      <c r="R1526" s="4">
        <v>45600</v>
      </c>
      <c r="S1526" s="6">
        <v>0.33913194444444444</v>
      </c>
      <c r="T1526">
        <f t="shared" si="94"/>
        <v>17</v>
      </c>
      <c r="U1526" t="str" cm="1">
        <f t="array" ref="U1526">_xlfn.IFS(M1526&lt;=34,"YOUNG",M1526&lt;=54,"MIDDLE AGE",M1526&gt;=55,"OLD")</f>
        <v>YOUNG</v>
      </c>
      <c r="V1526" t="str">
        <f t="shared" si="95"/>
        <v>NORMAL</v>
      </c>
    </row>
    <row r="1527" spans="1:22" x14ac:dyDescent="0.35">
      <c r="A1527" t="s">
        <v>3322</v>
      </c>
      <c r="B1527" t="s">
        <v>467</v>
      </c>
      <c r="C1527">
        <v>591.98</v>
      </c>
      <c r="D1527" s="1">
        <v>45044.689004629632</v>
      </c>
      <c r="E1527" s="2">
        <f t="shared" si="92"/>
        <v>0.68900462963210884</v>
      </c>
      <c r="F1527" s="3">
        <f t="shared" si="93"/>
        <v>45044</v>
      </c>
      <c r="G1527" t="s">
        <v>17</v>
      </c>
      <c r="H1527" t="s">
        <v>506</v>
      </c>
      <c r="I1527" t="s">
        <v>1859</v>
      </c>
      <c r="J1527" t="s">
        <v>342</v>
      </c>
      <c r="K1527" t="s">
        <v>853</v>
      </c>
      <c r="L1527" t="s">
        <v>22</v>
      </c>
      <c r="M1527">
        <v>28</v>
      </c>
      <c r="N1527" t="s">
        <v>37</v>
      </c>
      <c r="O1527">
        <v>132</v>
      </c>
      <c r="P1527">
        <v>1</v>
      </c>
      <c r="Q1527">
        <v>387.65</v>
      </c>
      <c r="R1527" s="4">
        <v>45600</v>
      </c>
      <c r="S1527" s="6">
        <v>0.33870370370370373</v>
      </c>
      <c r="T1527">
        <f t="shared" si="94"/>
        <v>16</v>
      </c>
      <c r="U1527" t="str" cm="1">
        <f t="array" ref="U1527">_xlfn.IFS(M1527&lt;=34,"YOUNG",M1527&lt;=54,"MIDDLE AGE",M1527&gt;=55,"OLD")</f>
        <v>YOUNG</v>
      </c>
      <c r="V1527" t="str">
        <f t="shared" si="95"/>
        <v>NORMAL</v>
      </c>
    </row>
    <row r="1528" spans="1:22" x14ac:dyDescent="0.35">
      <c r="A1528" t="s">
        <v>3323</v>
      </c>
      <c r="B1528" t="s">
        <v>1806</v>
      </c>
      <c r="C1528">
        <v>224.79</v>
      </c>
      <c r="D1528" s="1">
        <v>45160.690671296295</v>
      </c>
      <c r="E1528" s="2">
        <f t="shared" si="92"/>
        <v>0.69067129629547708</v>
      </c>
      <c r="F1528" s="3">
        <f t="shared" si="93"/>
        <v>45160</v>
      </c>
      <c r="G1528" t="s">
        <v>17</v>
      </c>
      <c r="H1528" t="s">
        <v>388</v>
      </c>
      <c r="I1528" t="s">
        <v>814</v>
      </c>
      <c r="J1528" t="s">
        <v>3324</v>
      </c>
      <c r="K1528" t="s">
        <v>370</v>
      </c>
      <c r="L1528" t="s">
        <v>36</v>
      </c>
      <c r="M1528">
        <v>18</v>
      </c>
      <c r="N1528" t="s">
        <v>37</v>
      </c>
      <c r="O1528">
        <v>129</v>
      </c>
      <c r="P1528">
        <v>1</v>
      </c>
      <c r="Q1528">
        <v>528.38</v>
      </c>
      <c r="R1528" s="4">
        <v>45600</v>
      </c>
      <c r="S1528" s="6">
        <v>0.34056712962962965</v>
      </c>
      <c r="T1528">
        <f t="shared" si="94"/>
        <v>16</v>
      </c>
      <c r="U1528" t="str" cm="1">
        <f t="array" ref="U1528">_xlfn.IFS(M1528&lt;=34,"YOUNG",M1528&lt;=54,"MIDDLE AGE",M1528&gt;=55,"OLD")</f>
        <v>YOUNG</v>
      </c>
      <c r="V1528" t="str">
        <f t="shared" si="95"/>
        <v>NORMAL</v>
      </c>
    </row>
    <row r="1529" spans="1:22" x14ac:dyDescent="0.35">
      <c r="A1529" t="s">
        <v>3325</v>
      </c>
      <c r="B1529" t="s">
        <v>2464</v>
      </c>
      <c r="C1529">
        <v>64.3</v>
      </c>
      <c r="D1529" s="1">
        <v>45173.733796296299</v>
      </c>
      <c r="E1529" s="2">
        <f t="shared" si="92"/>
        <v>0.73379629629926058</v>
      </c>
      <c r="F1529" s="3">
        <f t="shared" si="93"/>
        <v>45173</v>
      </c>
      <c r="G1529" t="s">
        <v>17</v>
      </c>
      <c r="H1529" t="s">
        <v>108</v>
      </c>
      <c r="I1529" t="s">
        <v>1173</v>
      </c>
      <c r="J1529" t="s">
        <v>1477</v>
      </c>
      <c r="K1529" t="s">
        <v>21</v>
      </c>
      <c r="L1529" t="s">
        <v>22</v>
      </c>
      <c r="M1529">
        <v>55</v>
      </c>
      <c r="N1529" t="s">
        <v>70</v>
      </c>
      <c r="O1529">
        <v>67</v>
      </c>
      <c r="P1529">
        <v>1</v>
      </c>
      <c r="Q1529">
        <v>7530.3</v>
      </c>
      <c r="R1529" s="4">
        <v>45600</v>
      </c>
      <c r="S1529" s="6">
        <v>0.34164351851851854</v>
      </c>
      <c r="T1529">
        <f t="shared" si="94"/>
        <v>17</v>
      </c>
      <c r="U1529" t="str" cm="1">
        <f t="array" ref="U1529">_xlfn.IFS(M1529&lt;=34,"YOUNG",M1529&lt;=54,"MIDDLE AGE",M1529&gt;=55,"OLD")</f>
        <v>OLD</v>
      </c>
      <c r="V1529" t="str">
        <f t="shared" si="95"/>
        <v>NORMAL</v>
      </c>
    </row>
    <row r="1530" spans="1:22" x14ac:dyDescent="0.35">
      <c r="A1530" t="s">
        <v>3326</v>
      </c>
      <c r="B1530" t="s">
        <v>91</v>
      </c>
      <c r="C1530">
        <v>111.79</v>
      </c>
      <c r="D1530" s="1">
        <v>45286.736377314817</v>
      </c>
      <c r="E1530" s="2">
        <f t="shared" si="92"/>
        <v>0.73637731481721858</v>
      </c>
      <c r="F1530" s="3">
        <f t="shared" si="93"/>
        <v>45286</v>
      </c>
      <c r="G1530" t="s">
        <v>17</v>
      </c>
      <c r="H1530" t="s">
        <v>392</v>
      </c>
      <c r="I1530" t="s">
        <v>131</v>
      </c>
      <c r="J1530" t="s">
        <v>787</v>
      </c>
      <c r="K1530" t="s">
        <v>682</v>
      </c>
      <c r="L1530" t="s">
        <v>36</v>
      </c>
      <c r="M1530">
        <v>62</v>
      </c>
      <c r="N1530" t="s">
        <v>23</v>
      </c>
      <c r="O1530">
        <v>49</v>
      </c>
      <c r="P1530">
        <v>1</v>
      </c>
      <c r="Q1530">
        <v>10887.59</v>
      </c>
      <c r="R1530" s="4">
        <v>45600</v>
      </c>
      <c r="S1530" s="6">
        <v>0.34136574074074072</v>
      </c>
      <c r="T1530">
        <f t="shared" si="94"/>
        <v>17</v>
      </c>
      <c r="U1530" t="str" cm="1">
        <f t="array" ref="U1530">_xlfn.IFS(M1530&lt;=34,"YOUNG",M1530&lt;=54,"MIDDLE AGE",M1530&gt;=55,"OLD")</f>
        <v>OLD</v>
      </c>
      <c r="V1530" t="str">
        <f t="shared" si="95"/>
        <v>NORMAL</v>
      </c>
    </row>
    <row r="1531" spans="1:22" x14ac:dyDescent="0.35">
      <c r="A1531" t="s">
        <v>3327</v>
      </c>
      <c r="B1531" t="s">
        <v>3039</v>
      </c>
      <c r="C1531">
        <v>927.16</v>
      </c>
      <c r="D1531" s="1">
        <v>45005.7</v>
      </c>
      <c r="E1531" s="2">
        <f t="shared" si="92"/>
        <v>0.69999999999708962</v>
      </c>
      <c r="F1531" s="3">
        <f t="shared" si="93"/>
        <v>45005</v>
      </c>
      <c r="G1531" t="s">
        <v>17</v>
      </c>
      <c r="H1531" t="s">
        <v>212</v>
      </c>
      <c r="I1531" t="s">
        <v>1058</v>
      </c>
      <c r="J1531" t="s">
        <v>1603</v>
      </c>
      <c r="K1531" t="s">
        <v>759</v>
      </c>
      <c r="L1531" t="s">
        <v>22</v>
      </c>
      <c r="M1531">
        <v>59</v>
      </c>
      <c r="N1531" t="s">
        <v>70</v>
      </c>
      <c r="O1531">
        <v>153</v>
      </c>
      <c r="P1531">
        <v>1</v>
      </c>
      <c r="Q1531">
        <v>7104.61</v>
      </c>
      <c r="R1531" s="4">
        <v>45600</v>
      </c>
      <c r="S1531" s="6">
        <v>0.34050925925925923</v>
      </c>
      <c r="T1531">
        <f t="shared" si="94"/>
        <v>16</v>
      </c>
      <c r="U1531" t="str" cm="1">
        <f t="array" ref="U1531">_xlfn.IFS(M1531&lt;=34,"YOUNG",M1531&lt;=54,"MIDDLE AGE",M1531&gt;=55,"OLD")</f>
        <v>OLD</v>
      </c>
      <c r="V1531" t="str">
        <f t="shared" si="95"/>
        <v>NORMAL</v>
      </c>
    </row>
    <row r="1532" spans="1:22" x14ac:dyDescent="0.35">
      <c r="A1532" t="s">
        <v>3328</v>
      </c>
      <c r="B1532" t="s">
        <v>1561</v>
      </c>
      <c r="C1532">
        <v>613.70000000000005</v>
      </c>
      <c r="D1532" s="1">
        <v>44979.731898148151</v>
      </c>
      <c r="E1532" s="2">
        <f t="shared" si="92"/>
        <v>0.731898148151231</v>
      </c>
      <c r="F1532" s="3">
        <f t="shared" si="93"/>
        <v>44979</v>
      </c>
      <c r="G1532" t="s">
        <v>46</v>
      </c>
      <c r="H1532" t="s">
        <v>157</v>
      </c>
      <c r="I1532" t="s">
        <v>1522</v>
      </c>
      <c r="J1532" t="s">
        <v>2981</v>
      </c>
      <c r="K1532" t="s">
        <v>288</v>
      </c>
      <c r="L1532" t="s">
        <v>69</v>
      </c>
      <c r="M1532">
        <v>61</v>
      </c>
      <c r="N1532" t="s">
        <v>70</v>
      </c>
      <c r="O1532">
        <v>37</v>
      </c>
      <c r="P1532">
        <v>1</v>
      </c>
      <c r="Q1532">
        <v>7307.11</v>
      </c>
      <c r="R1532" s="4">
        <v>45600</v>
      </c>
      <c r="S1532" s="6">
        <v>0.34089120370370368</v>
      </c>
      <c r="T1532">
        <f t="shared" si="94"/>
        <v>17</v>
      </c>
      <c r="U1532" t="str" cm="1">
        <f t="array" ref="U1532">_xlfn.IFS(M1532&lt;=34,"YOUNG",M1532&lt;=54,"MIDDLE AGE",M1532&gt;=55,"OLD")</f>
        <v>OLD</v>
      </c>
      <c r="V1532" t="str">
        <f t="shared" si="95"/>
        <v>NORMAL</v>
      </c>
    </row>
    <row r="1533" spans="1:22" x14ac:dyDescent="0.35">
      <c r="A1533" t="s">
        <v>3329</v>
      </c>
      <c r="B1533" t="s">
        <v>2097</v>
      </c>
      <c r="C1533">
        <v>26.07</v>
      </c>
      <c r="D1533" s="1">
        <v>45001.708668981482</v>
      </c>
      <c r="E1533" s="2">
        <f t="shared" si="92"/>
        <v>0.70866898148233304</v>
      </c>
      <c r="F1533" s="3">
        <f t="shared" si="93"/>
        <v>45001</v>
      </c>
      <c r="G1533" t="s">
        <v>17</v>
      </c>
      <c r="H1533" t="s">
        <v>197</v>
      </c>
      <c r="I1533" t="s">
        <v>2675</v>
      </c>
      <c r="J1533" t="s">
        <v>302</v>
      </c>
      <c r="K1533" t="s">
        <v>885</v>
      </c>
      <c r="L1533" t="s">
        <v>69</v>
      </c>
      <c r="M1533">
        <v>20</v>
      </c>
      <c r="N1533" t="s">
        <v>37</v>
      </c>
      <c r="O1533">
        <v>19</v>
      </c>
      <c r="P1533">
        <v>3</v>
      </c>
      <c r="Q1533">
        <v>349.98</v>
      </c>
      <c r="R1533" s="4">
        <v>45600</v>
      </c>
      <c r="S1533" s="6">
        <v>0.34046296296296297</v>
      </c>
      <c r="T1533">
        <f t="shared" si="94"/>
        <v>17</v>
      </c>
      <c r="U1533" t="str" cm="1">
        <f t="array" ref="U1533">_xlfn.IFS(M1533&lt;=34,"YOUNG",M1533&lt;=54,"MIDDLE AGE",M1533&gt;=55,"OLD")</f>
        <v>YOUNG</v>
      </c>
      <c r="V1533" t="str">
        <f t="shared" si="95"/>
        <v>HIGH</v>
      </c>
    </row>
    <row r="1534" spans="1:22" x14ac:dyDescent="0.35">
      <c r="A1534" t="s">
        <v>3330</v>
      </c>
      <c r="B1534" t="s">
        <v>1612</v>
      </c>
      <c r="C1534">
        <v>170.45</v>
      </c>
      <c r="D1534" s="1">
        <v>44931.706122685187</v>
      </c>
      <c r="E1534" s="2">
        <f t="shared" si="92"/>
        <v>0.70612268518743804</v>
      </c>
      <c r="F1534" s="3">
        <f t="shared" si="93"/>
        <v>44931</v>
      </c>
      <c r="G1534" t="s">
        <v>17</v>
      </c>
      <c r="H1534" t="s">
        <v>212</v>
      </c>
      <c r="I1534" t="s">
        <v>1859</v>
      </c>
      <c r="J1534" t="s">
        <v>1098</v>
      </c>
      <c r="K1534" t="s">
        <v>607</v>
      </c>
      <c r="L1534" t="s">
        <v>69</v>
      </c>
      <c r="M1534">
        <v>60</v>
      </c>
      <c r="N1534" t="s">
        <v>77</v>
      </c>
      <c r="O1534">
        <v>199</v>
      </c>
      <c r="P1534">
        <v>1</v>
      </c>
      <c r="Q1534">
        <v>2284.41</v>
      </c>
      <c r="R1534" s="4">
        <v>45600</v>
      </c>
      <c r="S1534" s="6">
        <v>0.33978009259259262</v>
      </c>
      <c r="T1534">
        <f t="shared" si="94"/>
        <v>16</v>
      </c>
      <c r="U1534" t="str" cm="1">
        <f t="array" ref="U1534">_xlfn.IFS(M1534&lt;=34,"YOUNG",M1534&lt;=54,"MIDDLE AGE",M1534&gt;=55,"OLD")</f>
        <v>OLD</v>
      </c>
      <c r="V1534" t="str">
        <f t="shared" si="95"/>
        <v>NORMAL</v>
      </c>
    </row>
    <row r="1535" spans="1:22" x14ac:dyDescent="0.35">
      <c r="A1535" t="s">
        <v>3331</v>
      </c>
      <c r="B1535" t="s">
        <v>3332</v>
      </c>
      <c r="C1535">
        <v>344.27</v>
      </c>
      <c r="D1535" s="1">
        <v>45188.72446759259</v>
      </c>
      <c r="E1535" s="2">
        <f t="shared" si="92"/>
        <v>0.72446759259037208</v>
      </c>
      <c r="F1535" s="3">
        <f t="shared" si="93"/>
        <v>45188</v>
      </c>
      <c r="G1535" t="s">
        <v>17</v>
      </c>
      <c r="H1535" t="s">
        <v>237</v>
      </c>
      <c r="I1535" t="s">
        <v>1945</v>
      </c>
      <c r="J1535" t="s">
        <v>2314</v>
      </c>
      <c r="K1535" t="s">
        <v>1000</v>
      </c>
      <c r="L1535" t="s">
        <v>69</v>
      </c>
      <c r="M1535">
        <v>22</v>
      </c>
      <c r="N1535" t="s">
        <v>37</v>
      </c>
      <c r="O1535">
        <v>123</v>
      </c>
      <c r="P1535">
        <v>1</v>
      </c>
      <c r="Q1535">
        <v>1918.36</v>
      </c>
      <c r="R1535" s="4">
        <v>45600</v>
      </c>
      <c r="S1535" s="6">
        <v>0.34001157407407406</v>
      </c>
      <c r="T1535">
        <f t="shared" si="94"/>
        <v>17</v>
      </c>
      <c r="U1535" t="str" cm="1">
        <f t="array" ref="U1535">_xlfn.IFS(M1535&lt;=34,"YOUNG",M1535&lt;=54,"MIDDLE AGE",M1535&gt;=55,"OLD")</f>
        <v>YOUNG</v>
      </c>
      <c r="V1535" t="str">
        <f t="shared" si="95"/>
        <v>NORMAL</v>
      </c>
    </row>
    <row r="1536" spans="1:22" x14ac:dyDescent="0.35">
      <c r="A1536" t="s">
        <v>3333</v>
      </c>
      <c r="B1536" t="s">
        <v>1569</v>
      </c>
      <c r="C1536">
        <v>872.72</v>
      </c>
      <c r="D1536" s="1">
        <v>45040.699502314812</v>
      </c>
      <c r="E1536" s="2">
        <f t="shared" si="92"/>
        <v>0.69950231481197989</v>
      </c>
      <c r="F1536" s="3">
        <f t="shared" si="93"/>
        <v>45040</v>
      </c>
      <c r="G1536" t="s">
        <v>17</v>
      </c>
      <c r="H1536" t="s">
        <v>453</v>
      </c>
      <c r="I1536" t="s">
        <v>1897</v>
      </c>
      <c r="J1536" t="s">
        <v>3334</v>
      </c>
      <c r="K1536" t="s">
        <v>450</v>
      </c>
      <c r="L1536" t="s">
        <v>36</v>
      </c>
      <c r="M1536">
        <v>22</v>
      </c>
      <c r="N1536" t="s">
        <v>37</v>
      </c>
      <c r="O1536">
        <v>288</v>
      </c>
      <c r="P1536">
        <v>1</v>
      </c>
      <c r="Q1536">
        <v>503.01</v>
      </c>
      <c r="R1536" s="4">
        <v>45600</v>
      </c>
      <c r="S1536" s="6">
        <v>0.34084490740740742</v>
      </c>
      <c r="T1536">
        <f t="shared" si="94"/>
        <v>16</v>
      </c>
      <c r="U1536" t="str" cm="1">
        <f t="array" ref="U1536">_xlfn.IFS(M1536&lt;=34,"YOUNG",M1536&lt;=54,"MIDDLE AGE",M1536&gt;=55,"OLD")</f>
        <v>YOUNG</v>
      </c>
      <c r="V1536" t="str">
        <f t="shared" si="95"/>
        <v>NORMAL</v>
      </c>
    </row>
    <row r="1537" spans="1:22" x14ac:dyDescent="0.35">
      <c r="A1537" t="s">
        <v>3335</v>
      </c>
      <c r="B1537" t="s">
        <v>242</v>
      </c>
      <c r="C1537">
        <v>292.95</v>
      </c>
      <c r="D1537" s="1">
        <v>44973.682766203703</v>
      </c>
      <c r="E1537" s="2">
        <f t="shared" si="92"/>
        <v>0.68276620370306773</v>
      </c>
      <c r="F1537" s="3">
        <f t="shared" si="93"/>
        <v>44973</v>
      </c>
      <c r="G1537" t="s">
        <v>17</v>
      </c>
      <c r="H1537" t="s">
        <v>92</v>
      </c>
      <c r="I1537" t="s">
        <v>730</v>
      </c>
      <c r="J1537" t="s">
        <v>116</v>
      </c>
      <c r="K1537" t="s">
        <v>288</v>
      </c>
      <c r="L1537" t="s">
        <v>69</v>
      </c>
      <c r="M1537">
        <v>37</v>
      </c>
      <c r="N1537" t="s">
        <v>77</v>
      </c>
      <c r="O1537">
        <v>56</v>
      </c>
      <c r="P1537">
        <v>1</v>
      </c>
      <c r="Q1537">
        <v>1216.9100000000001</v>
      </c>
      <c r="R1537" s="4">
        <v>45600</v>
      </c>
      <c r="S1537" s="6">
        <v>0.34112268518518518</v>
      </c>
      <c r="T1537">
        <f t="shared" si="94"/>
        <v>16</v>
      </c>
      <c r="U1537" t="str" cm="1">
        <f t="array" ref="U1537">_xlfn.IFS(M1537&lt;=34,"YOUNG",M1537&lt;=54,"MIDDLE AGE",M1537&gt;=55,"OLD")</f>
        <v>MIDDLE AGE</v>
      </c>
      <c r="V1537" t="str">
        <f t="shared" si="95"/>
        <v>NORMAL</v>
      </c>
    </row>
    <row r="1538" spans="1:22" x14ac:dyDescent="0.35">
      <c r="A1538" t="s">
        <v>3336</v>
      </c>
      <c r="B1538" t="s">
        <v>192</v>
      </c>
      <c r="C1538">
        <v>28.44</v>
      </c>
      <c r="D1538" s="1">
        <v>45169.738634259258</v>
      </c>
      <c r="E1538" s="2">
        <f t="shared" ref="E1538:E1601" si="96">D1538-INT(D1538)</f>
        <v>0.73863425925810589</v>
      </c>
      <c r="F1538" s="3">
        <f t="shared" ref="F1538:F1601" si="97">INT(D1538)</f>
        <v>45169</v>
      </c>
      <c r="G1538" t="s">
        <v>17</v>
      </c>
      <c r="H1538" t="s">
        <v>558</v>
      </c>
      <c r="I1538" t="s">
        <v>2592</v>
      </c>
      <c r="J1538" t="s">
        <v>1215</v>
      </c>
      <c r="K1538" t="s">
        <v>478</v>
      </c>
      <c r="L1538" t="s">
        <v>22</v>
      </c>
      <c r="M1538">
        <v>18</v>
      </c>
      <c r="N1538" t="s">
        <v>37</v>
      </c>
      <c r="O1538">
        <v>243</v>
      </c>
      <c r="P1538">
        <v>1</v>
      </c>
      <c r="Q1538">
        <v>1071.04</v>
      </c>
      <c r="R1538" s="4">
        <v>45600</v>
      </c>
      <c r="S1538" s="6">
        <v>0.33961805555555558</v>
      </c>
      <c r="T1538">
        <f t="shared" si="94"/>
        <v>17</v>
      </c>
      <c r="U1538" t="str" cm="1">
        <f t="array" ref="U1538">_xlfn.IFS(M1538&lt;=34,"YOUNG",M1538&lt;=54,"MIDDLE AGE",M1538&gt;=55,"OLD")</f>
        <v>YOUNG</v>
      </c>
      <c r="V1538" t="str">
        <f t="shared" si="95"/>
        <v>NORMAL</v>
      </c>
    </row>
    <row r="1539" spans="1:22" x14ac:dyDescent="0.35">
      <c r="A1539" t="s">
        <v>3337</v>
      </c>
      <c r="B1539" t="s">
        <v>2229</v>
      </c>
      <c r="C1539">
        <v>209.02</v>
      </c>
      <c r="D1539" s="1">
        <v>44988.714305555557</v>
      </c>
      <c r="E1539" s="2">
        <f t="shared" si="96"/>
        <v>0.71430555555707542</v>
      </c>
      <c r="F1539" s="3">
        <f t="shared" si="97"/>
        <v>44988</v>
      </c>
      <c r="G1539" t="s">
        <v>17</v>
      </c>
      <c r="H1539" t="s">
        <v>506</v>
      </c>
      <c r="I1539" t="s">
        <v>1493</v>
      </c>
      <c r="J1539" t="s">
        <v>1470</v>
      </c>
      <c r="K1539" t="s">
        <v>181</v>
      </c>
      <c r="L1539" t="s">
        <v>22</v>
      </c>
      <c r="M1539">
        <v>21</v>
      </c>
      <c r="N1539" t="s">
        <v>37</v>
      </c>
      <c r="O1539">
        <v>74</v>
      </c>
      <c r="P1539">
        <v>1</v>
      </c>
      <c r="Q1539">
        <v>187.9</v>
      </c>
      <c r="R1539" s="4">
        <v>45600</v>
      </c>
      <c r="S1539" s="6">
        <v>0.34119212962962964</v>
      </c>
      <c r="T1539">
        <f t="shared" ref="T1539:T1602" si="98">HOUR(E1539)</f>
        <v>17</v>
      </c>
      <c r="U1539" t="str" cm="1">
        <f t="array" ref="U1539">_xlfn.IFS(M1539&lt;=34,"YOUNG",M1539&lt;=54,"MIDDLE AGE",M1539&gt;=55,"OLD")</f>
        <v>YOUNG</v>
      </c>
      <c r="V1539" t="str">
        <f t="shared" ref="V1539:V1602" si="99">IF(P1539&gt;1,"HIGH","NORMAL")</f>
        <v>NORMAL</v>
      </c>
    </row>
    <row r="1540" spans="1:22" x14ac:dyDescent="0.35">
      <c r="A1540" t="s">
        <v>3338</v>
      </c>
      <c r="B1540" t="s">
        <v>1020</v>
      </c>
      <c r="C1540">
        <v>20.05</v>
      </c>
      <c r="D1540" s="1">
        <v>45259.73878472222</v>
      </c>
      <c r="E1540" s="2">
        <f t="shared" si="96"/>
        <v>0.73878472221986158</v>
      </c>
      <c r="F1540" s="3">
        <f t="shared" si="97"/>
        <v>45259</v>
      </c>
      <c r="G1540" t="s">
        <v>17</v>
      </c>
      <c r="H1540" t="s">
        <v>265</v>
      </c>
      <c r="I1540" t="s">
        <v>1566</v>
      </c>
      <c r="J1540" t="s">
        <v>1104</v>
      </c>
      <c r="K1540" t="s">
        <v>762</v>
      </c>
      <c r="L1540" t="s">
        <v>22</v>
      </c>
      <c r="M1540">
        <v>72</v>
      </c>
      <c r="N1540" t="s">
        <v>70</v>
      </c>
      <c r="O1540">
        <v>171</v>
      </c>
      <c r="P1540">
        <v>1</v>
      </c>
      <c r="Q1540">
        <v>7145.67</v>
      </c>
      <c r="R1540" s="4">
        <v>45600</v>
      </c>
      <c r="S1540" s="6">
        <v>0.33888888888888891</v>
      </c>
      <c r="T1540">
        <f t="shared" si="98"/>
        <v>17</v>
      </c>
      <c r="U1540" t="str" cm="1">
        <f t="array" ref="U1540">_xlfn.IFS(M1540&lt;=34,"YOUNG",M1540&lt;=54,"MIDDLE AGE",M1540&gt;=55,"OLD")</f>
        <v>OLD</v>
      </c>
      <c r="V1540" t="str">
        <f t="shared" si="99"/>
        <v>NORMAL</v>
      </c>
    </row>
    <row r="1541" spans="1:22" x14ac:dyDescent="0.35">
      <c r="A1541" t="s">
        <v>3339</v>
      </c>
      <c r="B1541" t="s">
        <v>3092</v>
      </c>
      <c r="C1541">
        <v>175.02</v>
      </c>
      <c r="D1541" s="1">
        <v>45026.683252314811</v>
      </c>
      <c r="E1541" s="2">
        <f t="shared" si="96"/>
        <v>0.68325231481139781</v>
      </c>
      <c r="F1541" s="3">
        <f t="shared" si="97"/>
        <v>45026</v>
      </c>
      <c r="G1541" t="s">
        <v>17</v>
      </c>
      <c r="H1541" t="s">
        <v>425</v>
      </c>
      <c r="I1541" t="s">
        <v>998</v>
      </c>
      <c r="J1541" t="s">
        <v>3340</v>
      </c>
      <c r="K1541" t="s">
        <v>186</v>
      </c>
      <c r="L1541" t="s">
        <v>36</v>
      </c>
      <c r="M1541">
        <v>28</v>
      </c>
      <c r="N1541" t="s">
        <v>37</v>
      </c>
      <c r="O1541">
        <v>71</v>
      </c>
      <c r="P1541">
        <v>1</v>
      </c>
      <c r="Q1541">
        <v>1493.88</v>
      </c>
      <c r="R1541" s="4">
        <v>45600</v>
      </c>
      <c r="S1541" s="6">
        <v>0.33982638888888889</v>
      </c>
      <c r="T1541">
        <f t="shared" si="98"/>
        <v>16</v>
      </c>
      <c r="U1541" t="str" cm="1">
        <f t="array" ref="U1541">_xlfn.IFS(M1541&lt;=34,"YOUNG",M1541&lt;=54,"MIDDLE AGE",M1541&gt;=55,"OLD")</f>
        <v>YOUNG</v>
      </c>
      <c r="V1541" t="str">
        <f t="shared" si="99"/>
        <v>NORMAL</v>
      </c>
    </row>
    <row r="1542" spans="1:22" x14ac:dyDescent="0.35">
      <c r="A1542" t="s">
        <v>3341</v>
      </c>
      <c r="B1542" t="s">
        <v>1707</v>
      </c>
      <c r="C1542">
        <v>89.5</v>
      </c>
      <c r="D1542" s="1">
        <v>45159.682013888887</v>
      </c>
      <c r="E1542" s="2">
        <f t="shared" si="96"/>
        <v>0.68201388888701331</v>
      </c>
      <c r="F1542" s="3">
        <f t="shared" si="97"/>
        <v>45159</v>
      </c>
      <c r="G1542" t="s">
        <v>46</v>
      </c>
      <c r="H1542" t="s">
        <v>108</v>
      </c>
      <c r="I1542" t="s">
        <v>862</v>
      </c>
      <c r="J1542" t="s">
        <v>1819</v>
      </c>
      <c r="K1542" t="s">
        <v>68</v>
      </c>
      <c r="L1542" t="s">
        <v>69</v>
      </c>
      <c r="M1542">
        <v>41</v>
      </c>
      <c r="N1542" t="s">
        <v>77</v>
      </c>
      <c r="O1542">
        <v>134</v>
      </c>
      <c r="P1542">
        <v>1</v>
      </c>
      <c r="Q1542">
        <v>8658.9500000000007</v>
      </c>
      <c r="R1542" s="4">
        <v>45600</v>
      </c>
      <c r="S1542" s="6">
        <v>0.33959490740740739</v>
      </c>
      <c r="T1542">
        <f t="shared" si="98"/>
        <v>16</v>
      </c>
      <c r="U1542" t="str" cm="1">
        <f t="array" ref="U1542">_xlfn.IFS(M1542&lt;=34,"YOUNG",M1542&lt;=54,"MIDDLE AGE",M1542&gt;=55,"OLD")</f>
        <v>MIDDLE AGE</v>
      </c>
      <c r="V1542" t="str">
        <f t="shared" si="99"/>
        <v>NORMAL</v>
      </c>
    </row>
    <row r="1543" spans="1:22" x14ac:dyDescent="0.35">
      <c r="A1543" t="s">
        <v>3342</v>
      </c>
      <c r="B1543" t="s">
        <v>2802</v>
      </c>
      <c r="C1543">
        <v>69.959999999999994</v>
      </c>
      <c r="D1543" s="1">
        <v>45215.738194444442</v>
      </c>
      <c r="E1543" s="2">
        <f t="shared" si="96"/>
        <v>0.7381944444423425</v>
      </c>
      <c r="F1543" s="3">
        <f t="shared" si="97"/>
        <v>45215</v>
      </c>
      <c r="G1543" t="s">
        <v>17</v>
      </c>
      <c r="H1543" t="s">
        <v>197</v>
      </c>
      <c r="I1543" t="s">
        <v>275</v>
      </c>
      <c r="J1543" t="s">
        <v>903</v>
      </c>
      <c r="K1543" t="s">
        <v>406</v>
      </c>
      <c r="L1543" t="s">
        <v>69</v>
      </c>
      <c r="M1543">
        <v>28</v>
      </c>
      <c r="N1543" t="s">
        <v>37</v>
      </c>
      <c r="O1543">
        <v>31</v>
      </c>
      <c r="P1543">
        <v>1</v>
      </c>
      <c r="Q1543">
        <v>164.12</v>
      </c>
      <c r="R1543" s="4">
        <v>45600</v>
      </c>
      <c r="S1543" s="6">
        <v>0.33903935185185186</v>
      </c>
      <c r="T1543">
        <f t="shared" si="98"/>
        <v>17</v>
      </c>
      <c r="U1543" t="str" cm="1">
        <f t="array" ref="U1543">_xlfn.IFS(M1543&lt;=34,"YOUNG",M1543&lt;=54,"MIDDLE AGE",M1543&gt;=55,"OLD")</f>
        <v>YOUNG</v>
      </c>
      <c r="V1543" t="str">
        <f t="shared" si="99"/>
        <v>NORMAL</v>
      </c>
    </row>
    <row r="1544" spans="1:22" x14ac:dyDescent="0.35">
      <c r="A1544" t="s">
        <v>3343</v>
      </c>
      <c r="B1544" t="s">
        <v>196</v>
      </c>
      <c r="C1544">
        <v>146.51</v>
      </c>
      <c r="D1544" s="1">
        <v>44951.716863425929</v>
      </c>
      <c r="E1544" s="2">
        <f t="shared" si="96"/>
        <v>0.71686342592875008</v>
      </c>
      <c r="F1544" s="3">
        <f t="shared" si="97"/>
        <v>44951</v>
      </c>
      <c r="G1544" t="s">
        <v>17</v>
      </c>
      <c r="H1544" t="s">
        <v>86</v>
      </c>
      <c r="I1544" t="s">
        <v>3344</v>
      </c>
      <c r="J1544" t="s">
        <v>1477</v>
      </c>
      <c r="K1544" t="s">
        <v>348</v>
      </c>
      <c r="L1544" t="s">
        <v>22</v>
      </c>
      <c r="M1544">
        <v>53</v>
      </c>
      <c r="N1544" t="s">
        <v>77</v>
      </c>
      <c r="O1544">
        <v>68</v>
      </c>
      <c r="P1544">
        <v>1</v>
      </c>
      <c r="Q1544">
        <v>7089.9</v>
      </c>
      <c r="R1544" s="4">
        <v>45600</v>
      </c>
      <c r="S1544" s="6">
        <v>0.34072916666666669</v>
      </c>
      <c r="T1544">
        <f t="shared" si="98"/>
        <v>17</v>
      </c>
      <c r="U1544" t="str" cm="1">
        <f t="array" ref="U1544">_xlfn.IFS(M1544&lt;=34,"YOUNG",M1544&lt;=54,"MIDDLE AGE",M1544&gt;=55,"OLD")</f>
        <v>MIDDLE AGE</v>
      </c>
      <c r="V1544" t="str">
        <f t="shared" si="99"/>
        <v>NORMAL</v>
      </c>
    </row>
    <row r="1545" spans="1:22" x14ac:dyDescent="0.35">
      <c r="A1545" t="s">
        <v>3345</v>
      </c>
      <c r="B1545" t="s">
        <v>1114</v>
      </c>
      <c r="C1545">
        <v>376.78</v>
      </c>
      <c r="D1545" s="1">
        <v>45152.725856481484</v>
      </c>
      <c r="E1545" s="2">
        <f t="shared" si="96"/>
        <v>0.72585648148378823</v>
      </c>
      <c r="F1545" s="3">
        <f t="shared" si="97"/>
        <v>45152</v>
      </c>
      <c r="G1545" t="s">
        <v>46</v>
      </c>
      <c r="H1545" t="s">
        <v>80</v>
      </c>
      <c r="I1545" t="s">
        <v>1362</v>
      </c>
      <c r="J1545" t="s">
        <v>168</v>
      </c>
      <c r="K1545" t="s">
        <v>885</v>
      </c>
      <c r="L1545" t="s">
        <v>36</v>
      </c>
      <c r="M1545">
        <v>21</v>
      </c>
      <c r="N1545" t="s">
        <v>37</v>
      </c>
      <c r="O1545">
        <v>88</v>
      </c>
      <c r="P1545">
        <v>1</v>
      </c>
      <c r="Q1545">
        <v>841.65</v>
      </c>
      <c r="R1545" s="4">
        <v>45600</v>
      </c>
      <c r="S1545" s="6">
        <v>0.33876157407407409</v>
      </c>
      <c r="T1545">
        <f t="shared" si="98"/>
        <v>17</v>
      </c>
      <c r="U1545" t="str" cm="1">
        <f t="array" ref="U1545">_xlfn.IFS(M1545&lt;=34,"YOUNG",M1545&lt;=54,"MIDDLE AGE",M1545&gt;=55,"OLD")</f>
        <v>YOUNG</v>
      </c>
      <c r="V1545" t="str">
        <f t="shared" si="99"/>
        <v>NORMAL</v>
      </c>
    </row>
    <row r="1546" spans="1:22" x14ac:dyDescent="0.35">
      <c r="A1546" t="s">
        <v>3346</v>
      </c>
      <c r="B1546" t="s">
        <v>222</v>
      </c>
      <c r="C1546">
        <v>148.54</v>
      </c>
      <c r="D1546" s="1">
        <v>45282.684212962966</v>
      </c>
      <c r="E1546" s="2">
        <f t="shared" si="96"/>
        <v>0.68421296296583023</v>
      </c>
      <c r="F1546" s="3">
        <f t="shared" si="97"/>
        <v>45282</v>
      </c>
      <c r="G1546" t="s">
        <v>46</v>
      </c>
      <c r="H1546" t="s">
        <v>125</v>
      </c>
      <c r="I1546" t="s">
        <v>1392</v>
      </c>
      <c r="J1546" t="s">
        <v>3347</v>
      </c>
      <c r="K1546" t="s">
        <v>122</v>
      </c>
      <c r="L1546" t="s">
        <v>69</v>
      </c>
      <c r="M1546">
        <v>71</v>
      </c>
      <c r="N1546" t="s">
        <v>70</v>
      </c>
      <c r="O1546">
        <v>107</v>
      </c>
      <c r="P1546">
        <v>1</v>
      </c>
      <c r="Q1546">
        <v>5677.05</v>
      </c>
      <c r="R1546" s="4">
        <v>45600</v>
      </c>
      <c r="S1546" s="6">
        <v>0.34157407407407409</v>
      </c>
      <c r="T1546">
        <f t="shared" si="98"/>
        <v>16</v>
      </c>
      <c r="U1546" t="str" cm="1">
        <f t="array" ref="U1546">_xlfn.IFS(M1546&lt;=34,"YOUNG",M1546&lt;=54,"MIDDLE AGE",M1546&gt;=55,"OLD")</f>
        <v>OLD</v>
      </c>
      <c r="V1546" t="str">
        <f t="shared" si="99"/>
        <v>NORMAL</v>
      </c>
    </row>
    <row r="1547" spans="1:22" x14ac:dyDescent="0.35">
      <c r="A1547" t="s">
        <v>3348</v>
      </c>
      <c r="B1547" t="s">
        <v>664</v>
      </c>
      <c r="C1547">
        <v>388.77</v>
      </c>
      <c r="D1547" s="1">
        <v>45271.706342592595</v>
      </c>
      <c r="E1547" s="2">
        <f t="shared" si="96"/>
        <v>0.70634259259531973</v>
      </c>
      <c r="F1547" s="3">
        <f t="shared" si="97"/>
        <v>45271</v>
      </c>
      <c r="G1547" t="s">
        <v>46</v>
      </c>
      <c r="H1547" t="s">
        <v>392</v>
      </c>
      <c r="I1547" t="s">
        <v>846</v>
      </c>
      <c r="J1547" t="s">
        <v>234</v>
      </c>
      <c r="K1547" t="s">
        <v>149</v>
      </c>
      <c r="L1547" t="s">
        <v>36</v>
      </c>
      <c r="M1547">
        <v>26</v>
      </c>
      <c r="N1547" t="s">
        <v>37</v>
      </c>
      <c r="O1547">
        <v>30</v>
      </c>
      <c r="P1547">
        <v>1</v>
      </c>
      <c r="Q1547">
        <v>1658.49</v>
      </c>
      <c r="R1547" s="4">
        <v>45600</v>
      </c>
      <c r="S1547" s="6">
        <v>0.34103009259259259</v>
      </c>
      <c r="T1547">
        <f t="shared" si="98"/>
        <v>16</v>
      </c>
      <c r="U1547" t="str" cm="1">
        <f t="array" ref="U1547">_xlfn.IFS(M1547&lt;=34,"YOUNG",M1547&lt;=54,"MIDDLE AGE",M1547&gt;=55,"OLD")</f>
        <v>YOUNG</v>
      </c>
      <c r="V1547" t="str">
        <f t="shared" si="99"/>
        <v>NORMAL</v>
      </c>
    </row>
    <row r="1548" spans="1:22" x14ac:dyDescent="0.35">
      <c r="A1548" t="s">
        <v>3349</v>
      </c>
      <c r="B1548" t="s">
        <v>2078</v>
      </c>
      <c r="C1548">
        <v>100.38</v>
      </c>
      <c r="D1548" s="1">
        <v>45257.743923611109</v>
      </c>
      <c r="E1548" s="2">
        <f t="shared" si="96"/>
        <v>0.74392361110949423</v>
      </c>
      <c r="F1548" s="3">
        <f t="shared" si="97"/>
        <v>45257</v>
      </c>
      <c r="G1548" t="s">
        <v>17</v>
      </c>
      <c r="H1548" t="s">
        <v>59</v>
      </c>
      <c r="I1548" t="s">
        <v>351</v>
      </c>
      <c r="J1548" t="s">
        <v>3350</v>
      </c>
      <c r="K1548" t="s">
        <v>406</v>
      </c>
      <c r="L1548" t="s">
        <v>69</v>
      </c>
      <c r="M1548">
        <v>63</v>
      </c>
      <c r="N1548" t="s">
        <v>23</v>
      </c>
      <c r="O1548">
        <v>49</v>
      </c>
      <c r="P1548">
        <v>1</v>
      </c>
      <c r="Q1548">
        <v>10171.68</v>
      </c>
      <c r="R1548" s="4">
        <v>45600</v>
      </c>
      <c r="S1548" s="6">
        <v>0.33979166666666666</v>
      </c>
      <c r="T1548">
        <f t="shared" si="98"/>
        <v>17</v>
      </c>
      <c r="U1548" t="str" cm="1">
        <f t="array" ref="U1548">_xlfn.IFS(M1548&lt;=34,"YOUNG",M1548&lt;=54,"MIDDLE AGE",M1548&gt;=55,"OLD")</f>
        <v>OLD</v>
      </c>
      <c r="V1548" t="str">
        <f t="shared" si="99"/>
        <v>NORMAL</v>
      </c>
    </row>
    <row r="1549" spans="1:22" x14ac:dyDescent="0.35">
      <c r="A1549" t="s">
        <v>3351</v>
      </c>
      <c r="B1549" t="s">
        <v>1631</v>
      </c>
      <c r="C1549">
        <v>137.22999999999999</v>
      </c>
      <c r="D1549" s="1">
        <v>45023.701643518521</v>
      </c>
      <c r="E1549" s="2">
        <f t="shared" si="96"/>
        <v>0.70164351852145046</v>
      </c>
      <c r="F1549" s="3">
        <f t="shared" si="97"/>
        <v>45023</v>
      </c>
      <c r="G1549" t="s">
        <v>17</v>
      </c>
      <c r="H1549" t="s">
        <v>558</v>
      </c>
      <c r="I1549" t="s">
        <v>1039</v>
      </c>
      <c r="J1549" t="s">
        <v>3352</v>
      </c>
      <c r="K1549" t="s">
        <v>820</v>
      </c>
      <c r="L1549" t="s">
        <v>69</v>
      </c>
      <c r="M1549">
        <v>64</v>
      </c>
      <c r="N1549" t="s">
        <v>23</v>
      </c>
      <c r="O1549">
        <v>63</v>
      </c>
      <c r="P1549">
        <v>1</v>
      </c>
      <c r="Q1549">
        <v>13847.99</v>
      </c>
      <c r="R1549" s="4">
        <v>45600</v>
      </c>
      <c r="S1549" s="6">
        <v>0.33936342592592594</v>
      </c>
      <c r="T1549">
        <f t="shared" si="98"/>
        <v>16</v>
      </c>
      <c r="U1549" t="str" cm="1">
        <f t="array" ref="U1549">_xlfn.IFS(M1549&lt;=34,"YOUNG",M1549&lt;=54,"MIDDLE AGE",M1549&gt;=55,"OLD")</f>
        <v>OLD</v>
      </c>
      <c r="V1549" t="str">
        <f t="shared" si="99"/>
        <v>NORMAL</v>
      </c>
    </row>
    <row r="1550" spans="1:22" x14ac:dyDescent="0.35">
      <c r="A1550" t="s">
        <v>3353</v>
      </c>
      <c r="B1550" t="s">
        <v>3354</v>
      </c>
      <c r="C1550">
        <v>870.3</v>
      </c>
      <c r="D1550" s="1">
        <v>45166.747673611113</v>
      </c>
      <c r="E1550" s="2">
        <f t="shared" si="96"/>
        <v>0.74767361111298669</v>
      </c>
      <c r="F1550" s="3">
        <f t="shared" si="97"/>
        <v>45166</v>
      </c>
      <c r="G1550" t="s">
        <v>17</v>
      </c>
      <c r="H1550" t="s">
        <v>223</v>
      </c>
      <c r="I1550" t="s">
        <v>3355</v>
      </c>
      <c r="J1550" t="s">
        <v>552</v>
      </c>
      <c r="K1550" t="s">
        <v>362</v>
      </c>
      <c r="L1550" t="s">
        <v>22</v>
      </c>
      <c r="M1550">
        <v>51</v>
      </c>
      <c r="N1550" t="s">
        <v>70</v>
      </c>
      <c r="O1550">
        <v>229</v>
      </c>
      <c r="P1550">
        <v>1</v>
      </c>
      <c r="Q1550">
        <v>3688.98</v>
      </c>
      <c r="R1550" s="4">
        <v>45600</v>
      </c>
      <c r="S1550" s="6">
        <v>0.33951388888888889</v>
      </c>
      <c r="T1550">
        <f t="shared" si="98"/>
        <v>17</v>
      </c>
      <c r="U1550" t="str" cm="1">
        <f t="array" ref="U1550">_xlfn.IFS(M1550&lt;=34,"YOUNG",M1550&lt;=54,"MIDDLE AGE",M1550&gt;=55,"OLD")</f>
        <v>MIDDLE AGE</v>
      </c>
      <c r="V1550" t="str">
        <f t="shared" si="99"/>
        <v>NORMAL</v>
      </c>
    </row>
    <row r="1551" spans="1:22" x14ac:dyDescent="0.35">
      <c r="A1551" t="s">
        <v>3356</v>
      </c>
      <c r="B1551" t="s">
        <v>611</v>
      </c>
      <c r="C1551">
        <v>458.94</v>
      </c>
      <c r="D1551" s="1">
        <v>45125.754432870373</v>
      </c>
      <c r="E1551" s="2">
        <f t="shared" si="96"/>
        <v>0.75443287037342088</v>
      </c>
      <c r="F1551" s="3">
        <f t="shared" si="97"/>
        <v>45125</v>
      </c>
      <c r="G1551" t="s">
        <v>17</v>
      </c>
      <c r="H1551" t="s">
        <v>73</v>
      </c>
      <c r="I1551" t="s">
        <v>2428</v>
      </c>
      <c r="J1551" t="s">
        <v>1689</v>
      </c>
      <c r="K1551" t="s">
        <v>592</v>
      </c>
      <c r="L1551" t="s">
        <v>69</v>
      </c>
      <c r="M1551">
        <v>52</v>
      </c>
      <c r="N1551" t="s">
        <v>77</v>
      </c>
      <c r="O1551">
        <v>180</v>
      </c>
      <c r="P1551">
        <v>1</v>
      </c>
      <c r="Q1551">
        <v>5619.95</v>
      </c>
      <c r="R1551" s="4">
        <v>45600</v>
      </c>
      <c r="S1551" s="6">
        <v>0.33929398148148149</v>
      </c>
      <c r="T1551">
        <f t="shared" si="98"/>
        <v>18</v>
      </c>
      <c r="U1551" t="str" cm="1">
        <f t="array" ref="U1551">_xlfn.IFS(M1551&lt;=34,"YOUNG",M1551&lt;=54,"MIDDLE AGE",M1551&gt;=55,"OLD")</f>
        <v>MIDDLE AGE</v>
      </c>
      <c r="V1551" t="str">
        <f t="shared" si="99"/>
        <v>NORMAL</v>
      </c>
    </row>
    <row r="1552" spans="1:22" x14ac:dyDescent="0.35">
      <c r="A1552" t="s">
        <v>3357</v>
      </c>
      <c r="B1552" t="s">
        <v>1137</v>
      </c>
      <c r="C1552">
        <v>327.35000000000002</v>
      </c>
      <c r="D1552" s="1">
        <v>45194.784004629626</v>
      </c>
      <c r="E1552" s="2">
        <f t="shared" si="96"/>
        <v>0.78400462962599704</v>
      </c>
      <c r="F1552" s="3">
        <f t="shared" si="97"/>
        <v>45194</v>
      </c>
      <c r="G1552" t="s">
        <v>46</v>
      </c>
      <c r="H1552" t="s">
        <v>92</v>
      </c>
      <c r="I1552" t="s">
        <v>902</v>
      </c>
      <c r="J1552" t="s">
        <v>1962</v>
      </c>
      <c r="K1552" t="s">
        <v>128</v>
      </c>
      <c r="L1552" t="s">
        <v>69</v>
      </c>
      <c r="M1552">
        <v>20</v>
      </c>
      <c r="N1552" t="s">
        <v>37</v>
      </c>
      <c r="O1552">
        <v>175</v>
      </c>
      <c r="P1552">
        <v>1</v>
      </c>
      <c r="Q1552">
        <v>342.08</v>
      </c>
      <c r="R1552" s="4">
        <v>45600</v>
      </c>
      <c r="S1552" s="6">
        <v>0.34119212962962964</v>
      </c>
      <c r="T1552">
        <f t="shared" si="98"/>
        <v>18</v>
      </c>
      <c r="U1552" t="str" cm="1">
        <f t="array" ref="U1552">_xlfn.IFS(M1552&lt;=34,"YOUNG",M1552&lt;=54,"MIDDLE AGE",M1552&gt;=55,"OLD")</f>
        <v>YOUNG</v>
      </c>
      <c r="V1552" t="str">
        <f t="shared" si="99"/>
        <v>NORMAL</v>
      </c>
    </row>
    <row r="1553" spans="1:22" x14ac:dyDescent="0.35">
      <c r="A1553" t="s">
        <v>3358</v>
      </c>
      <c r="B1553" t="s">
        <v>467</v>
      </c>
      <c r="C1553">
        <v>757.15</v>
      </c>
      <c r="D1553" s="1">
        <v>44943.703564814816</v>
      </c>
      <c r="E1553" s="2">
        <f t="shared" si="96"/>
        <v>0.70356481481576338</v>
      </c>
      <c r="F1553" s="3">
        <f t="shared" si="97"/>
        <v>44943</v>
      </c>
      <c r="G1553" t="s">
        <v>17</v>
      </c>
      <c r="H1553" t="s">
        <v>40</v>
      </c>
      <c r="I1553" t="s">
        <v>2079</v>
      </c>
      <c r="J1553" t="s">
        <v>42</v>
      </c>
      <c r="K1553" t="s">
        <v>674</v>
      </c>
      <c r="L1553" t="s">
        <v>36</v>
      </c>
      <c r="M1553">
        <v>53</v>
      </c>
      <c r="N1553" t="s">
        <v>77</v>
      </c>
      <c r="O1553">
        <v>38</v>
      </c>
      <c r="P1553">
        <v>1</v>
      </c>
      <c r="Q1553">
        <v>4702.8599999999997</v>
      </c>
      <c r="R1553" s="4">
        <v>45600</v>
      </c>
      <c r="S1553" s="6">
        <v>0.33895833333333331</v>
      </c>
      <c r="T1553">
        <f t="shared" si="98"/>
        <v>16</v>
      </c>
      <c r="U1553" t="str" cm="1">
        <f t="array" ref="U1553">_xlfn.IFS(M1553&lt;=34,"YOUNG",M1553&lt;=54,"MIDDLE AGE",M1553&gt;=55,"OLD")</f>
        <v>MIDDLE AGE</v>
      </c>
      <c r="V1553" t="str">
        <f t="shared" si="99"/>
        <v>NORMAL</v>
      </c>
    </row>
    <row r="1554" spans="1:22" x14ac:dyDescent="0.35">
      <c r="A1554" t="s">
        <v>3359</v>
      </c>
      <c r="B1554" t="s">
        <v>1715</v>
      </c>
      <c r="C1554">
        <v>5.64</v>
      </c>
      <c r="D1554" s="1">
        <v>44993.706597222219</v>
      </c>
      <c r="E1554" s="2">
        <f t="shared" si="96"/>
        <v>0.70659722221898846</v>
      </c>
      <c r="F1554" s="3">
        <f t="shared" si="97"/>
        <v>44993</v>
      </c>
      <c r="G1554" t="s">
        <v>17</v>
      </c>
      <c r="H1554" t="s">
        <v>388</v>
      </c>
      <c r="I1554" t="s">
        <v>3360</v>
      </c>
      <c r="J1554" t="s">
        <v>261</v>
      </c>
      <c r="K1554" t="s">
        <v>331</v>
      </c>
      <c r="L1554" t="s">
        <v>36</v>
      </c>
      <c r="M1554">
        <v>59</v>
      </c>
      <c r="N1554" t="s">
        <v>23</v>
      </c>
      <c r="O1554">
        <v>47</v>
      </c>
      <c r="P1554">
        <v>1</v>
      </c>
      <c r="Q1554">
        <v>12703.24</v>
      </c>
      <c r="R1554" s="4">
        <v>45600</v>
      </c>
      <c r="S1554" s="6">
        <v>0.34108796296296295</v>
      </c>
      <c r="T1554">
        <f t="shared" si="98"/>
        <v>16</v>
      </c>
      <c r="U1554" t="str" cm="1">
        <f t="array" ref="U1554">_xlfn.IFS(M1554&lt;=34,"YOUNG",M1554&lt;=54,"MIDDLE AGE",M1554&gt;=55,"OLD")</f>
        <v>OLD</v>
      </c>
      <c r="V1554" t="str">
        <f t="shared" si="99"/>
        <v>NORMAL</v>
      </c>
    </row>
    <row r="1555" spans="1:22" x14ac:dyDescent="0.35">
      <c r="A1555" t="s">
        <v>3361</v>
      </c>
      <c r="B1555" t="s">
        <v>1240</v>
      </c>
      <c r="C1555">
        <v>47.23</v>
      </c>
      <c r="D1555" s="1">
        <v>45141.763148148151</v>
      </c>
      <c r="E1555" s="2">
        <f t="shared" si="96"/>
        <v>0.763148148151231</v>
      </c>
      <c r="F1555" s="3">
        <f t="shared" si="97"/>
        <v>45141</v>
      </c>
      <c r="G1555" t="s">
        <v>46</v>
      </c>
      <c r="H1555" t="s">
        <v>92</v>
      </c>
      <c r="I1555" t="s">
        <v>1573</v>
      </c>
      <c r="J1555" t="s">
        <v>1595</v>
      </c>
      <c r="K1555" t="s">
        <v>639</v>
      </c>
      <c r="L1555" t="s">
        <v>36</v>
      </c>
      <c r="M1555">
        <v>73</v>
      </c>
      <c r="N1555" t="s">
        <v>70</v>
      </c>
      <c r="O1555">
        <v>160</v>
      </c>
      <c r="P1555">
        <v>1</v>
      </c>
      <c r="Q1555">
        <v>6659.81</v>
      </c>
      <c r="R1555" s="4">
        <v>45600</v>
      </c>
      <c r="S1555" s="6">
        <v>0.34105324074074073</v>
      </c>
      <c r="T1555">
        <f t="shared" si="98"/>
        <v>18</v>
      </c>
      <c r="U1555" t="str" cm="1">
        <f t="array" ref="U1555">_xlfn.IFS(M1555&lt;=34,"YOUNG",M1555&lt;=54,"MIDDLE AGE",M1555&gt;=55,"OLD")</f>
        <v>OLD</v>
      </c>
      <c r="V1555" t="str">
        <f t="shared" si="99"/>
        <v>NORMAL</v>
      </c>
    </row>
    <row r="1556" spans="1:22" x14ac:dyDescent="0.35">
      <c r="A1556" t="s">
        <v>3362</v>
      </c>
      <c r="B1556" t="s">
        <v>2056</v>
      </c>
      <c r="C1556">
        <v>239.41</v>
      </c>
      <c r="D1556" s="1">
        <v>45231.72483796296</v>
      </c>
      <c r="E1556" s="2">
        <f t="shared" si="96"/>
        <v>0.72483796296000946</v>
      </c>
      <c r="F1556" s="3">
        <f t="shared" si="97"/>
        <v>45231</v>
      </c>
      <c r="G1556" t="s">
        <v>46</v>
      </c>
      <c r="H1556" t="s">
        <v>197</v>
      </c>
      <c r="I1556" t="s">
        <v>1261</v>
      </c>
      <c r="J1556" t="s">
        <v>361</v>
      </c>
      <c r="K1556" t="s">
        <v>331</v>
      </c>
      <c r="L1556" t="s">
        <v>36</v>
      </c>
      <c r="M1556">
        <v>42</v>
      </c>
      <c r="N1556" t="s">
        <v>23</v>
      </c>
      <c r="O1556">
        <v>248</v>
      </c>
      <c r="P1556">
        <v>1</v>
      </c>
      <c r="Q1556">
        <v>7860.65</v>
      </c>
      <c r="R1556" s="4">
        <v>45600</v>
      </c>
      <c r="S1556" s="6">
        <v>0.33841435185185187</v>
      </c>
      <c r="T1556">
        <f t="shared" si="98"/>
        <v>17</v>
      </c>
      <c r="U1556" t="str" cm="1">
        <f t="array" ref="U1556">_xlfn.IFS(M1556&lt;=34,"YOUNG",M1556&lt;=54,"MIDDLE AGE",M1556&gt;=55,"OLD")</f>
        <v>MIDDLE AGE</v>
      </c>
      <c r="V1556" t="str">
        <f t="shared" si="99"/>
        <v>NORMAL</v>
      </c>
    </row>
    <row r="1557" spans="1:22" x14ac:dyDescent="0.35">
      <c r="A1557" t="s">
        <v>3363</v>
      </c>
      <c r="B1557" t="s">
        <v>1528</v>
      </c>
      <c r="C1557">
        <v>7.48</v>
      </c>
      <c r="D1557" s="1">
        <v>45110.698842592596</v>
      </c>
      <c r="E1557" s="2">
        <f t="shared" si="96"/>
        <v>0.69884259259561077</v>
      </c>
      <c r="F1557" s="3">
        <f t="shared" si="97"/>
        <v>45110</v>
      </c>
      <c r="G1557" t="s">
        <v>17</v>
      </c>
      <c r="H1557" t="s">
        <v>237</v>
      </c>
      <c r="I1557" t="s">
        <v>3100</v>
      </c>
      <c r="J1557" t="s">
        <v>3364</v>
      </c>
      <c r="K1557" t="s">
        <v>105</v>
      </c>
      <c r="L1557" t="s">
        <v>22</v>
      </c>
      <c r="M1557">
        <v>55</v>
      </c>
      <c r="N1557" t="s">
        <v>77</v>
      </c>
      <c r="O1557">
        <v>29</v>
      </c>
      <c r="P1557">
        <v>1</v>
      </c>
      <c r="Q1557">
        <v>1275.2</v>
      </c>
      <c r="R1557" s="4">
        <v>45600</v>
      </c>
      <c r="S1557" s="6">
        <v>0.34190972222222221</v>
      </c>
      <c r="T1557">
        <f t="shared" si="98"/>
        <v>16</v>
      </c>
      <c r="U1557" t="str" cm="1">
        <f t="array" ref="U1557">_xlfn.IFS(M1557&lt;=34,"YOUNG",M1557&lt;=54,"MIDDLE AGE",M1557&gt;=55,"OLD")</f>
        <v>OLD</v>
      </c>
      <c r="V1557" t="str">
        <f t="shared" si="99"/>
        <v>NORMAL</v>
      </c>
    </row>
    <row r="1558" spans="1:22" x14ac:dyDescent="0.35">
      <c r="A1558" t="s">
        <v>3365</v>
      </c>
      <c r="B1558" t="s">
        <v>1030</v>
      </c>
      <c r="C1558">
        <v>170.97</v>
      </c>
      <c r="D1558" s="1">
        <v>45047.711458333331</v>
      </c>
      <c r="E1558" s="2">
        <f t="shared" si="96"/>
        <v>0.71145833333139308</v>
      </c>
      <c r="F1558" s="3">
        <f t="shared" si="97"/>
        <v>45047</v>
      </c>
      <c r="G1558" t="s">
        <v>17</v>
      </c>
      <c r="H1558" t="s">
        <v>80</v>
      </c>
      <c r="I1558" t="s">
        <v>3366</v>
      </c>
      <c r="J1558" t="s">
        <v>1657</v>
      </c>
      <c r="K1558" t="s">
        <v>252</v>
      </c>
      <c r="L1558" t="s">
        <v>69</v>
      </c>
      <c r="M1558">
        <v>26</v>
      </c>
      <c r="N1558" t="s">
        <v>37</v>
      </c>
      <c r="O1558">
        <v>292</v>
      </c>
      <c r="P1558">
        <v>1</v>
      </c>
      <c r="Q1558">
        <v>1265.27</v>
      </c>
      <c r="R1558" s="4">
        <v>45600</v>
      </c>
      <c r="S1558" s="6">
        <v>0.33878472222222222</v>
      </c>
      <c r="T1558">
        <f t="shared" si="98"/>
        <v>17</v>
      </c>
      <c r="U1558" t="str" cm="1">
        <f t="array" ref="U1558">_xlfn.IFS(M1558&lt;=34,"YOUNG",M1558&lt;=54,"MIDDLE AGE",M1558&gt;=55,"OLD")</f>
        <v>YOUNG</v>
      </c>
      <c r="V1558" t="str">
        <f t="shared" si="99"/>
        <v>NORMAL</v>
      </c>
    </row>
    <row r="1559" spans="1:22" x14ac:dyDescent="0.35">
      <c r="A1559" t="s">
        <v>3367</v>
      </c>
      <c r="B1559" t="s">
        <v>2779</v>
      </c>
      <c r="C1559">
        <v>262.43</v>
      </c>
      <c r="D1559" s="1">
        <v>45090.727013888885</v>
      </c>
      <c r="E1559" s="2">
        <f t="shared" si="96"/>
        <v>0.72701388888526708</v>
      </c>
      <c r="F1559" s="3">
        <f t="shared" si="97"/>
        <v>45090</v>
      </c>
      <c r="G1559" t="s">
        <v>46</v>
      </c>
      <c r="H1559" t="s">
        <v>18</v>
      </c>
      <c r="I1559" t="s">
        <v>2666</v>
      </c>
      <c r="J1559" t="s">
        <v>3146</v>
      </c>
      <c r="K1559" t="s">
        <v>246</v>
      </c>
      <c r="L1559" t="s">
        <v>36</v>
      </c>
      <c r="M1559">
        <v>37</v>
      </c>
      <c r="N1559" t="s">
        <v>23</v>
      </c>
      <c r="O1559">
        <v>274</v>
      </c>
      <c r="P1559">
        <v>5</v>
      </c>
      <c r="Q1559">
        <v>12841.01</v>
      </c>
      <c r="R1559" s="4">
        <v>45600</v>
      </c>
      <c r="S1559" s="6">
        <v>0.33872685185185186</v>
      </c>
      <c r="T1559">
        <f t="shared" si="98"/>
        <v>17</v>
      </c>
      <c r="U1559" t="str" cm="1">
        <f t="array" ref="U1559">_xlfn.IFS(M1559&lt;=34,"YOUNG",M1559&lt;=54,"MIDDLE AGE",M1559&gt;=55,"OLD")</f>
        <v>MIDDLE AGE</v>
      </c>
      <c r="V1559" t="str">
        <f t="shared" si="99"/>
        <v>HIGH</v>
      </c>
    </row>
    <row r="1560" spans="1:22" x14ac:dyDescent="0.35">
      <c r="A1560" t="s">
        <v>3368</v>
      </c>
      <c r="B1560" t="s">
        <v>242</v>
      </c>
      <c r="C1560">
        <v>659.15</v>
      </c>
      <c r="D1560" s="1">
        <v>44957.668321759258</v>
      </c>
      <c r="E1560" s="2">
        <f t="shared" si="96"/>
        <v>0.66832175925810589</v>
      </c>
      <c r="F1560" s="3">
        <f t="shared" si="97"/>
        <v>44957</v>
      </c>
      <c r="G1560" t="s">
        <v>17</v>
      </c>
      <c r="H1560" t="s">
        <v>388</v>
      </c>
      <c r="I1560" t="s">
        <v>2687</v>
      </c>
      <c r="J1560" t="s">
        <v>2027</v>
      </c>
      <c r="K1560" t="s">
        <v>240</v>
      </c>
      <c r="L1560" t="s">
        <v>22</v>
      </c>
      <c r="M1560">
        <v>22</v>
      </c>
      <c r="N1560" t="s">
        <v>37</v>
      </c>
      <c r="O1560">
        <v>204</v>
      </c>
      <c r="P1560">
        <v>1</v>
      </c>
      <c r="Q1560">
        <v>1241.5899999999999</v>
      </c>
      <c r="R1560" s="4">
        <v>45600</v>
      </c>
      <c r="S1560" s="6">
        <v>0.33777777777777779</v>
      </c>
      <c r="T1560">
        <f t="shared" si="98"/>
        <v>16</v>
      </c>
      <c r="U1560" t="str" cm="1">
        <f t="array" ref="U1560">_xlfn.IFS(M1560&lt;=34,"YOUNG",M1560&lt;=54,"MIDDLE AGE",M1560&gt;=55,"OLD")</f>
        <v>YOUNG</v>
      </c>
      <c r="V1560" t="str">
        <f t="shared" si="99"/>
        <v>NORMAL</v>
      </c>
    </row>
    <row r="1561" spans="1:22" x14ac:dyDescent="0.35">
      <c r="A1561" t="s">
        <v>3369</v>
      </c>
      <c r="B1561" t="s">
        <v>259</v>
      </c>
      <c r="C1561">
        <v>31.53</v>
      </c>
      <c r="D1561" s="1">
        <v>45280.718912037039</v>
      </c>
      <c r="E1561" s="2">
        <f t="shared" si="96"/>
        <v>0.71891203703853535</v>
      </c>
      <c r="F1561" s="3">
        <f t="shared" si="97"/>
        <v>45280</v>
      </c>
      <c r="G1561" t="s">
        <v>17</v>
      </c>
      <c r="H1561" t="s">
        <v>291</v>
      </c>
      <c r="I1561" t="s">
        <v>3370</v>
      </c>
      <c r="J1561" t="s">
        <v>3227</v>
      </c>
      <c r="K1561" t="s">
        <v>312</v>
      </c>
      <c r="L1561" t="s">
        <v>36</v>
      </c>
      <c r="M1561">
        <v>25</v>
      </c>
      <c r="N1561" t="s">
        <v>37</v>
      </c>
      <c r="O1561">
        <v>283</v>
      </c>
      <c r="P1561">
        <v>1</v>
      </c>
      <c r="Q1561">
        <v>874.93</v>
      </c>
      <c r="R1561" s="4">
        <v>45600</v>
      </c>
      <c r="S1561" s="6">
        <v>0.33788194444444447</v>
      </c>
      <c r="T1561">
        <f t="shared" si="98"/>
        <v>17</v>
      </c>
      <c r="U1561" t="str" cm="1">
        <f t="array" ref="U1561">_xlfn.IFS(M1561&lt;=34,"YOUNG",M1561&lt;=54,"MIDDLE AGE",M1561&gt;=55,"OLD")</f>
        <v>YOUNG</v>
      </c>
      <c r="V1561" t="str">
        <f t="shared" si="99"/>
        <v>NORMAL</v>
      </c>
    </row>
    <row r="1562" spans="1:22" x14ac:dyDescent="0.35">
      <c r="A1562" t="s">
        <v>3371</v>
      </c>
      <c r="B1562" t="s">
        <v>1114</v>
      </c>
      <c r="C1562">
        <v>111.66</v>
      </c>
      <c r="D1562" s="1">
        <v>45084.762870370374</v>
      </c>
      <c r="E1562" s="2">
        <f t="shared" si="96"/>
        <v>0.76287037037400296</v>
      </c>
      <c r="F1562" s="3">
        <f t="shared" si="97"/>
        <v>45084</v>
      </c>
      <c r="G1562" t="s">
        <v>46</v>
      </c>
      <c r="H1562" t="s">
        <v>453</v>
      </c>
      <c r="I1562" t="s">
        <v>2142</v>
      </c>
      <c r="J1562" t="s">
        <v>638</v>
      </c>
      <c r="K1562" t="s">
        <v>1524</v>
      </c>
      <c r="L1562" t="s">
        <v>36</v>
      </c>
      <c r="M1562">
        <v>48</v>
      </c>
      <c r="N1562" t="s">
        <v>77</v>
      </c>
      <c r="O1562">
        <v>140</v>
      </c>
      <c r="P1562">
        <v>1</v>
      </c>
      <c r="Q1562">
        <v>5716.72</v>
      </c>
      <c r="R1562" s="4">
        <v>45600</v>
      </c>
      <c r="S1562" s="6">
        <v>0.33861111111111108</v>
      </c>
      <c r="T1562">
        <f t="shared" si="98"/>
        <v>18</v>
      </c>
      <c r="U1562" t="str" cm="1">
        <f t="array" ref="U1562">_xlfn.IFS(M1562&lt;=34,"YOUNG",M1562&lt;=54,"MIDDLE AGE",M1562&gt;=55,"OLD")</f>
        <v>MIDDLE AGE</v>
      </c>
      <c r="V1562" t="str">
        <f t="shared" si="99"/>
        <v>NORMAL</v>
      </c>
    </row>
    <row r="1563" spans="1:22" x14ac:dyDescent="0.35">
      <c r="A1563" t="s">
        <v>3372</v>
      </c>
      <c r="B1563" t="s">
        <v>3241</v>
      </c>
      <c r="C1563">
        <v>250.01</v>
      </c>
      <c r="D1563" s="1">
        <v>45236.686284722222</v>
      </c>
      <c r="E1563" s="2">
        <f t="shared" si="96"/>
        <v>0.68628472222189885</v>
      </c>
      <c r="F1563" s="3">
        <f t="shared" si="97"/>
        <v>45236</v>
      </c>
      <c r="G1563" t="s">
        <v>17</v>
      </c>
      <c r="H1563" t="s">
        <v>291</v>
      </c>
      <c r="I1563" t="s">
        <v>1005</v>
      </c>
      <c r="J1563" t="s">
        <v>1868</v>
      </c>
      <c r="K1563" t="s">
        <v>100</v>
      </c>
      <c r="L1563" t="s">
        <v>22</v>
      </c>
      <c r="M1563">
        <v>62</v>
      </c>
      <c r="N1563" t="s">
        <v>70</v>
      </c>
      <c r="O1563">
        <v>88</v>
      </c>
      <c r="P1563">
        <v>1</v>
      </c>
      <c r="Q1563">
        <v>1541.48</v>
      </c>
      <c r="R1563" s="4">
        <v>45600</v>
      </c>
      <c r="S1563" s="6">
        <v>0.3417824074074074</v>
      </c>
      <c r="T1563">
        <f t="shared" si="98"/>
        <v>16</v>
      </c>
      <c r="U1563" t="str" cm="1">
        <f t="array" ref="U1563">_xlfn.IFS(M1563&lt;=34,"YOUNG",M1563&lt;=54,"MIDDLE AGE",M1563&gt;=55,"OLD")</f>
        <v>OLD</v>
      </c>
      <c r="V1563" t="str">
        <f t="shared" si="99"/>
        <v>NORMAL</v>
      </c>
    </row>
    <row r="1564" spans="1:22" x14ac:dyDescent="0.35">
      <c r="A1564" t="s">
        <v>3373</v>
      </c>
      <c r="B1564" t="s">
        <v>3374</v>
      </c>
      <c r="C1564">
        <v>554.15</v>
      </c>
      <c r="D1564" s="1">
        <v>45034.720567129632</v>
      </c>
      <c r="E1564" s="2">
        <f t="shared" si="96"/>
        <v>0.72056712963239988</v>
      </c>
      <c r="F1564" s="3">
        <f t="shared" si="97"/>
        <v>45034</v>
      </c>
      <c r="G1564" t="s">
        <v>17</v>
      </c>
      <c r="H1564" t="s">
        <v>40</v>
      </c>
      <c r="I1564" t="s">
        <v>3375</v>
      </c>
      <c r="J1564" t="s">
        <v>1689</v>
      </c>
      <c r="K1564" t="s">
        <v>386</v>
      </c>
      <c r="L1564" t="s">
        <v>22</v>
      </c>
      <c r="M1564">
        <v>49</v>
      </c>
      <c r="N1564" t="s">
        <v>23</v>
      </c>
      <c r="O1564">
        <v>108</v>
      </c>
      <c r="P1564">
        <v>1</v>
      </c>
      <c r="Q1564">
        <v>14817.22</v>
      </c>
      <c r="R1564" s="4">
        <v>45600</v>
      </c>
      <c r="S1564" s="6">
        <v>0.34179398148148149</v>
      </c>
      <c r="T1564">
        <f t="shared" si="98"/>
        <v>17</v>
      </c>
      <c r="U1564" t="str" cm="1">
        <f t="array" ref="U1564">_xlfn.IFS(M1564&lt;=34,"YOUNG",M1564&lt;=54,"MIDDLE AGE",M1564&gt;=55,"OLD")</f>
        <v>MIDDLE AGE</v>
      </c>
      <c r="V1564" t="str">
        <f t="shared" si="99"/>
        <v>NORMAL</v>
      </c>
    </row>
    <row r="1565" spans="1:22" x14ac:dyDescent="0.35">
      <c r="A1565" t="s">
        <v>3376</v>
      </c>
      <c r="B1565" t="s">
        <v>177</v>
      </c>
      <c r="C1565">
        <v>598.66</v>
      </c>
      <c r="D1565" s="1">
        <v>44936.702592592592</v>
      </c>
      <c r="E1565" s="2">
        <f t="shared" si="96"/>
        <v>0.70259259259182727</v>
      </c>
      <c r="F1565" s="3">
        <f t="shared" si="97"/>
        <v>44936</v>
      </c>
      <c r="G1565" t="s">
        <v>46</v>
      </c>
      <c r="H1565" t="s">
        <v>249</v>
      </c>
      <c r="I1565" t="s">
        <v>3071</v>
      </c>
      <c r="J1565" t="s">
        <v>2658</v>
      </c>
      <c r="K1565" t="s">
        <v>418</v>
      </c>
      <c r="L1565" t="s">
        <v>69</v>
      </c>
      <c r="M1565">
        <v>32</v>
      </c>
      <c r="N1565" t="s">
        <v>77</v>
      </c>
      <c r="O1565">
        <v>222</v>
      </c>
      <c r="P1565">
        <v>1</v>
      </c>
      <c r="Q1565">
        <v>2587.11</v>
      </c>
      <c r="R1565" s="4">
        <v>45600</v>
      </c>
      <c r="S1565" s="6">
        <v>0.34144675925925927</v>
      </c>
      <c r="T1565">
        <f t="shared" si="98"/>
        <v>16</v>
      </c>
      <c r="U1565" t="str" cm="1">
        <f t="array" ref="U1565">_xlfn.IFS(M1565&lt;=34,"YOUNG",M1565&lt;=54,"MIDDLE AGE",M1565&gt;=55,"OLD")</f>
        <v>YOUNG</v>
      </c>
      <c r="V1565" t="str">
        <f t="shared" si="99"/>
        <v>NORMAL</v>
      </c>
    </row>
    <row r="1566" spans="1:22" x14ac:dyDescent="0.35">
      <c r="A1566" t="s">
        <v>3377</v>
      </c>
      <c r="B1566" t="s">
        <v>52</v>
      </c>
      <c r="C1566">
        <v>28.38</v>
      </c>
      <c r="D1566" s="1">
        <v>45064.683518518519</v>
      </c>
      <c r="E1566" s="2">
        <f t="shared" si="96"/>
        <v>0.68351851851912215</v>
      </c>
      <c r="F1566" s="3">
        <f t="shared" si="97"/>
        <v>45064</v>
      </c>
      <c r="G1566" t="s">
        <v>17</v>
      </c>
      <c r="H1566" t="s">
        <v>285</v>
      </c>
      <c r="I1566" t="s">
        <v>893</v>
      </c>
      <c r="J1566" t="s">
        <v>496</v>
      </c>
      <c r="K1566" t="s">
        <v>160</v>
      </c>
      <c r="L1566" t="s">
        <v>69</v>
      </c>
      <c r="M1566">
        <v>55</v>
      </c>
      <c r="N1566" t="s">
        <v>23</v>
      </c>
      <c r="O1566">
        <v>98</v>
      </c>
      <c r="P1566">
        <v>1</v>
      </c>
      <c r="Q1566">
        <v>173.7</v>
      </c>
      <c r="R1566" s="4">
        <v>45600</v>
      </c>
      <c r="S1566" s="6">
        <v>0.33953703703703703</v>
      </c>
      <c r="T1566">
        <f t="shared" si="98"/>
        <v>16</v>
      </c>
      <c r="U1566" t="str" cm="1">
        <f t="array" ref="U1566">_xlfn.IFS(M1566&lt;=34,"YOUNG",M1566&lt;=54,"MIDDLE AGE",M1566&gt;=55,"OLD")</f>
        <v>OLD</v>
      </c>
      <c r="V1566" t="str">
        <f t="shared" si="99"/>
        <v>NORMAL</v>
      </c>
    </row>
    <row r="1567" spans="1:22" x14ac:dyDescent="0.35">
      <c r="A1567" t="s">
        <v>3378</v>
      </c>
      <c r="B1567" t="s">
        <v>1186</v>
      </c>
      <c r="C1567">
        <v>16.8</v>
      </c>
      <c r="D1567" s="1">
        <v>45257.709583333337</v>
      </c>
      <c r="E1567" s="2">
        <f t="shared" si="96"/>
        <v>0.70958333333692281</v>
      </c>
      <c r="F1567" s="3">
        <f t="shared" si="97"/>
        <v>45257</v>
      </c>
      <c r="G1567" t="s">
        <v>17</v>
      </c>
      <c r="H1567" t="s">
        <v>18</v>
      </c>
      <c r="I1567" t="s">
        <v>649</v>
      </c>
      <c r="J1567" t="s">
        <v>1208</v>
      </c>
      <c r="K1567" t="s">
        <v>1037</v>
      </c>
      <c r="L1567" t="s">
        <v>22</v>
      </c>
      <c r="M1567">
        <v>49</v>
      </c>
      <c r="N1567" t="s">
        <v>23</v>
      </c>
      <c r="O1567">
        <v>94</v>
      </c>
      <c r="P1567">
        <v>1</v>
      </c>
      <c r="Q1567">
        <v>11847.07</v>
      </c>
      <c r="R1567" s="4">
        <v>45600</v>
      </c>
      <c r="S1567" s="6">
        <v>0.34017361111111111</v>
      </c>
      <c r="T1567">
        <f t="shared" si="98"/>
        <v>17</v>
      </c>
      <c r="U1567" t="str" cm="1">
        <f t="array" ref="U1567">_xlfn.IFS(M1567&lt;=34,"YOUNG",M1567&lt;=54,"MIDDLE AGE",M1567&gt;=55,"OLD")</f>
        <v>MIDDLE AGE</v>
      </c>
      <c r="V1567" t="str">
        <f t="shared" si="99"/>
        <v>NORMAL</v>
      </c>
    </row>
    <row r="1568" spans="1:22" x14ac:dyDescent="0.35">
      <c r="A1568" t="s">
        <v>3379</v>
      </c>
      <c r="B1568" t="s">
        <v>1172</v>
      </c>
      <c r="C1568">
        <v>896.79</v>
      </c>
      <c r="D1568" s="1">
        <v>45236.691655092596</v>
      </c>
      <c r="E1568" s="2">
        <f t="shared" si="96"/>
        <v>0.69165509259619284</v>
      </c>
      <c r="F1568" s="3">
        <f t="shared" si="97"/>
        <v>45236</v>
      </c>
      <c r="G1568" t="s">
        <v>17</v>
      </c>
      <c r="H1568" t="s">
        <v>323</v>
      </c>
      <c r="I1568" t="s">
        <v>877</v>
      </c>
      <c r="J1568" t="s">
        <v>646</v>
      </c>
      <c r="K1568" t="s">
        <v>343</v>
      </c>
      <c r="L1568" t="s">
        <v>36</v>
      </c>
      <c r="M1568">
        <v>33</v>
      </c>
      <c r="N1568" t="s">
        <v>23</v>
      </c>
      <c r="O1568">
        <v>168</v>
      </c>
      <c r="P1568">
        <v>1</v>
      </c>
      <c r="Q1568">
        <v>11146.74</v>
      </c>
      <c r="R1568" s="4">
        <v>45600</v>
      </c>
      <c r="S1568" s="6">
        <v>0.33802083333333333</v>
      </c>
      <c r="T1568">
        <f t="shared" si="98"/>
        <v>16</v>
      </c>
      <c r="U1568" t="str" cm="1">
        <f t="array" ref="U1568">_xlfn.IFS(M1568&lt;=34,"YOUNG",M1568&lt;=54,"MIDDLE AGE",M1568&gt;=55,"OLD")</f>
        <v>YOUNG</v>
      </c>
      <c r="V1568" t="str">
        <f t="shared" si="99"/>
        <v>NORMAL</v>
      </c>
    </row>
    <row r="1569" spans="1:22" x14ac:dyDescent="0.35">
      <c r="A1569" t="s">
        <v>3380</v>
      </c>
      <c r="B1569" t="s">
        <v>156</v>
      </c>
      <c r="C1569">
        <v>159</v>
      </c>
      <c r="D1569" s="1">
        <v>44991.753148148149</v>
      </c>
      <c r="E1569" s="2">
        <f t="shared" si="96"/>
        <v>0.75314814814919373</v>
      </c>
      <c r="F1569" s="3">
        <f t="shared" si="97"/>
        <v>44991</v>
      </c>
      <c r="G1569" t="s">
        <v>17</v>
      </c>
      <c r="H1569" t="s">
        <v>146</v>
      </c>
      <c r="I1569" t="s">
        <v>2944</v>
      </c>
      <c r="J1569" t="s">
        <v>2434</v>
      </c>
      <c r="K1569" t="s">
        <v>128</v>
      </c>
      <c r="L1569" t="s">
        <v>22</v>
      </c>
      <c r="M1569">
        <v>49</v>
      </c>
      <c r="N1569" t="s">
        <v>77</v>
      </c>
      <c r="O1569">
        <v>38</v>
      </c>
      <c r="P1569">
        <v>1</v>
      </c>
      <c r="Q1569">
        <v>369.79</v>
      </c>
      <c r="R1569" s="4">
        <v>45600</v>
      </c>
      <c r="S1569" s="6">
        <v>0.33929398148148149</v>
      </c>
      <c r="T1569">
        <f t="shared" si="98"/>
        <v>18</v>
      </c>
      <c r="U1569" t="str" cm="1">
        <f t="array" ref="U1569">_xlfn.IFS(M1569&lt;=34,"YOUNG",M1569&lt;=54,"MIDDLE AGE",M1569&gt;=55,"OLD")</f>
        <v>MIDDLE AGE</v>
      </c>
      <c r="V1569" t="str">
        <f t="shared" si="99"/>
        <v>NORMAL</v>
      </c>
    </row>
    <row r="1570" spans="1:22" x14ac:dyDescent="0.35">
      <c r="A1570" t="s">
        <v>3381</v>
      </c>
      <c r="B1570" t="s">
        <v>629</v>
      </c>
      <c r="C1570">
        <v>56.31</v>
      </c>
      <c r="D1570" s="1">
        <v>45196.746018518519</v>
      </c>
      <c r="E1570" s="2">
        <f t="shared" si="96"/>
        <v>0.74601851851912215</v>
      </c>
      <c r="F1570" s="3">
        <f t="shared" si="97"/>
        <v>45196</v>
      </c>
      <c r="G1570" t="s">
        <v>46</v>
      </c>
      <c r="H1570" t="s">
        <v>26</v>
      </c>
      <c r="I1570" t="s">
        <v>233</v>
      </c>
      <c r="J1570" t="s">
        <v>503</v>
      </c>
      <c r="K1570" t="s">
        <v>564</v>
      </c>
      <c r="L1570" t="s">
        <v>36</v>
      </c>
      <c r="M1570">
        <v>75</v>
      </c>
      <c r="N1570" t="s">
        <v>70</v>
      </c>
      <c r="O1570">
        <v>195</v>
      </c>
      <c r="P1570">
        <v>1</v>
      </c>
      <c r="Q1570">
        <v>6396.08</v>
      </c>
      <c r="R1570" s="4">
        <v>45600</v>
      </c>
      <c r="S1570" s="6">
        <v>0.33902777777777776</v>
      </c>
      <c r="T1570">
        <f t="shared" si="98"/>
        <v>17</v>
      </c>
      <c r="U1570" t="str" cm="1">
        <f t="array" ref="U1570">_xlfn.IFS(M1570&lt;=34,"YOUNG",M1570&lt;=54,"MIDDLE AGE",M1570&gt;=55,"OLD")</f>
        <v>OLD</v>
      </c>
      <c r="V1570" t="str">
        <f t="shared" si="99"/>
        <v>NORMAL</v>
      </c>
    </row>
    <row r="1571" spans="1:22" x14ac:dyDescent="0.35">
      <c r="A1571" t="s">
        <v>3382</v>
      </c>
      <c r="B1571" t="s">
        <v>2690</v>
      </c>
      <c r="C1571">
        <v>203.99</v>
      </c>
      <c r="D1571" s="1">
        <v>44946.690682870372</v>
      </c>
      <c r="E1571" s="2">
        <f t="shared" si="96"/>
        <v>0.69068287037225673</v>
      </c>
      <c r="F1571" s="3">
        <f t="shared" si="97"/>
        <v>44946</v>
      </c>
      <c r="G1571" t="s">
        <v>17</v>
      </c>
      <c r="H1571" t="s">
        <v>243</v>
      </c>
      <c r="I1571" t="s">
        <v>900</v>
      </c>
      <c r="J1571" t="s">
        <v>88</v>
      </c>
      <c r="K1571" t="s">
        <v>89</v>
      </c>
      <c r="L1571" t="s">
        <v>36</v>
      </c>
      <c r="M1571">
        <v>52</v>
      </c>
      <c r="N1571" t="s">
        <v>70</v>
      </c>
      <c r="O1571">
        <v>215</v>
      </c>
      <c r="P1571">
        <v>1</v>
      </c>
      <c r="Q1571">
        <v>4840.3100000000004</v>
      </c>
      <c r="R1571" s="4">
        <v>45600</v>
      </c>
      <c r="S1571" s="6">
        <v>0.3401851851851852</v>
      </c>
      <c r="T1571">
        <f t="shared" si="98"/>
        <v>16</v>
      </c>
      <c r="U1571" t="str" cm="1">
        <f t="array" ref="U1571">_xlfn.IFS(M1571&lt;=34,"YOUNG",M1571&lt;=54,"MIDDLE AGE",M1571&gt;=55,"OLD")</f>
        <v>MIDDLE AGE</v>
      </c>
      <c r="V1571" t="str">
        <f t="shared" si="99"/>
        <v>NORMAL</v>
      </c>
    </row>
    <row r="1572" spans="1:22" x14ac:dyDescent="0.35">
      <c r="A1572" t="s">
        <v>3383</v>
      </c>
      <c r="B1572" t="s">
        <v>1381</v>
      </c>
      <c r="C1572">
        <v>50.99</v>
      </c>
      <c r="D1572" s="1">
        <v>45230.697997685187</v>
      </c>
      <c r="E1572" s="2">
        <f t="shared" si="96"/>
        <v>0.697997685187147</v>
      </c>
      <c r="F1572" s="3">
        <f t="shared" si="97"/>
        <v>45230</v>
      </c>
      <c r="G1572" t="s">
        <v>17</v>
      </c>
      <c r="H1572" t="s">
        <v>73</v>
      </c>
      <c r="I1572" t="s">
        <v>1103</v>
      </c>
      <c r="J1572" t="s">
        <v>828</v>
      </c>
      <c r="K1572" t="s">
        <v>362</v>
      </c>
      <c r="L1572" t="s">
        <v>69</v>
      </c>
      <c r="M1572">
        <v>29</v>
      </c>
      <c r="N1572" t="s">
        <v>23</v>
      </c>
      <c r="O1572">
        <v>76</v>
      </c>
      <c r="P1572">
        <v>1</v>
      </c>
      <c r="Q1572">
        <v>1334.6</v>
      </c>
      <c r="R1572" s="4">
        <v>45600</v>
      </c>
      <c r="S1572" s="6">
        <v>0.34027777777777779</v>
      </c>
      <c r="T1572">
        <f t="shared" si="98"/>
        <v>16</v>
      </c>
      <c r="U1572" t="str" cm="1">
        <f t="array" ref="U1572">_xlfn.IFS(M1572&lt;=34,"YOUNG",M1572&lt;=54,"MIDDLE AGE",M1572&gt;=55,"OLD")</f>
        <v>YOUNG</v>
      </c>
      <c r="V1572" t="str">
        <f t="shared" si="99"/>
        <v>NORMAL</v>
      </c>
    </row>
    <row r="1573" spans="1:22" x14ac:dyDescent="0.35">
      <c r="A1573" t="s">
        <v>3384</v>
      </c>
      <c r="B1573" t="s">
        <v>767</v>
      </c>
      <c r="C1573">
        <v>101.28</v>
      </c>
      <c r="D1573" s="1">
        <v>45161.76326388889</v>
      </c>
      <c r="E1573" s="2">
        <f t="shared" si="96"/>
        <v>0.76326388888992369</v>
      </c>
      <c r="F1573" s="3">
        <f t="shared" si="97"/>
        <v>45161</v>
      </c>
      <c r="G1573" t="s">
        <v>46</v>
      </c>
      <c r="H1573" t="s">
        <v>265</v>
      </c>
      <c r="I1573" t="s">
        <v>3385</v>
      </c>
      <c r="J1573" t="s">
        <v>3386</v>
      </c>
      <c r="K1573" t="s">
        <v>282</v>
      </c>
      <c r="L1573" t="s">
        <v>36</v>
      </c>
      <c r="M1573">
        <v>32</v>
      </c>
      <c r="N1573" t="s">
        <v>77</v>
      </c>
      <c r="O1573">
        <v>75</v>
      </c>
      <c r="P1573">
        <v>1</v>
      </c>
      <c r="Q1573">
        <v>2774.35</v>
      </c>
      <c r="R1573" s="4">
        <v>45600</v>
      </c>
      <c r="S1573" s="6">
        <v>0.33800925925925923</v>
      </c>
      <c r="T1573">
        <f t="shared" si="98"/>
        <v>18</v>
      </c>
      <c r="U1573" t="str" cm="1">
        <f t="array" ref="U1573">_xlfn.IFS(M1573&lt;=34,"YOUNG",M1573&lt;=54,"MIDDLE AGE",M1573&gt;=55,"OLD")</f>
        <v>YOUNG</v>
      </c>
      <c r="V1573" t="str">
        <f t="shared" si="99"/>
        <v>NORMAL</v>
      </c>
    </row>
    <row r="1574" spans="1:22" x14ac:dyDescent="0.35">
      <c r="A1574" t="s">
        <v>3387</v>
      </c>
      <c r="B1574" t="s">
        <v>345</v>
      </c>
      <c r="C1574">
        <v>299.92</v>
      </c>
      <c r="D1574" s="1">
        <v>45208.778715277775</v>
      </c>
      <c r="E1574" s="2">
        <f t="shared" si="96"/>
        <v>0.77871527777460869</v>
      </c>
      <c r="F1574" s="3">
        <f t="shared" si="97"/>
        <v>45208</v>
      </c>
      <c r="G1574" t="s">
        <v>17</v>
      </c>
      <c r="H1574" t="s">
        <v>114</v>
      </c>
      <c r="I1574" t="s">
        <v>256</v>
      </c>
      <c r="J1574" t="s">
        <v>1246</v>
      </c>
      <c r="K1574" t="s">
        <v>83</v>
      </c>
      <c r="L1574" t="s">
        <v>22</v>
      </c>
      <c r="M1574">
        <v>27</v>
      </c>
      <c r="N1574" t="s">
        <v>37</v>
      </c>
      <c r="O1574">
        <v>122</v>
      </c>
      <c r="P1574">
        <v>1</v>
      </c>
      <c r="Q1574">
        <v>1368</v>
      </c>
      <c r="R1574" s="4">
        <v>45600</v>
      </c>
      <c r="S1574" s="6">
        <v>0.33957175925925925</v>
      </c>
      <c r="T1574">
        <f t="shared" si="98"/>
        <v>18</v>
      </c>
      <c r="U1574" t="str" cm="1">
        <f t="array" ref="U1574">_xlfn.IFS(M1574&lt;=34,"YOUNG",M1574&lt;=54,"MIDDLE AGE",M1574&gt;=55,"OLD")</f>
        <v>YOUNG</v>
      </c>
      <c r="V1574" t="str">
        <f t="shared" si="99"/>
        <v>NORMAL</v>
      </c>
    </row>
    <row r="1575" spans="1:22" x14ac:dyDescent="0.35">
      <c r="A1575" t="s">
        <v>3388</v>
      </c>
      <c r="B1575" t="s">
        <v>2078</v>
      </c>
      <c r="C1575">
        <v>77.540000000000006</v>
      </c>
      <c r="D1575" s="1">
        <v>44958.717210648145</v>
      </c>
      <c r="E1575" s="2">
        <f t="shared" si="96"/>
        <v>0.71721064814482816</v>
      </c>
      <c r="F1575" s="3">
        <f t="shared" si="97"/>
        <v>44958</v>
      </c>
      <c r="G1575" t="s">
        <v>17</v>
      </c>
      <c r="H1575" t="s">
        <v>425</v>
      </c>
      <c r="I1575" t="s">
        <v>1834</v>
      </c>
      <c r="J1575" t="s">
        <v>2411</v>
      </c>
      <c r="K1575" t="s">
        <v>312</v>
      </c>
      <c r="L1575" t="s">
        <v>36</v>
      </c>
      <c r="M1575">
        <v>67</v>
      </c>
      <c r="N1575" t="s">
        <v>70</v>
      </c>
      <c r="O1575">
        <v>73</v>
      </c>
      <c r="P1575">
        <v>1</v>
      </c>
      <c r="Q1575">
        <v>4536.38</v>
      </c>
      <c r="R1575" s="4">
        <v>45600</v>
      </c>
      <c r="S1575" s="6">
        <v>0.34053240740740742</v>
      </c>
      <c r="T1575">
        <f t="shared" si="98"/>
        <v>17</v>
      </c>
      <c r="U1575" t="str" cm="1">
        <f t="array" ref="U1575">_xlfn.IFS(M1575&lt;=34,"YOUNG",M1575&lt;=54,"MIDDLE AGE",M1575&gt;=55,"OLD")</f>
        <v>OLD</v>
      </c>
      <c r="V1575" t="str">
        <f t="shared" si="99"/>
        <v>NORMAL</v>
      </c>
    </row>
    <row r="1576" spans="1:22" x14ac:dyDescent="0.35">
      <c r="A1576" t="s">
        <v>3389</v>
      </c>
      <c r="B1576" t="s">
        <v>1998</v>
      </c>
      <c r="C1576">
        <v>18.350000000000001</v>
      </c>
      <c r="D1576" s="1">
        <v>45187.695127314815</v>
      </c>
      <c r="E1576" s="2">
        <f t="shared" si="96"/>
        <v>0.69512731481518131</v>
      </c>
      <c r="F1576" s="3">
        <f t="shared" si="97"/>
        <v>45187</v>
      </c>
      <c r="G1576" t="s">
        <v>17</v>
      </c>
      <c r="H1576" t="s">
        <v>80</v>
      </c>
      <c r="I1576" t="s">
        <v>260</v>
      </c>
      <c r="J1576" t="s">
        <v>1427</v>
      </c>
      <c r="K1576" t="s">
        <v>76</v>
      </c>
      <c r="L1576" t="s">
        <v>69</v>
      </c>
      <c r="M1576">
        <v>21</v>
      </c>
      <c r="N1576" t="s">
        <v>37</v>
      </c>
      <c r="O1576">
        <v>78</v>
      </c>
      <c r="P1576">
        <v>1</v>
      </c>
      <c r="Q1576">
        <v>1293.3900000000001</v>
      </c>
      <c r="R1576" s="4">
        <v>45600</v>
      </c>
      <c r="S1576" s="6">
        <v>0.34034722222222225</v>
      </c>
      <c r="T1576">
        <f t="shared" si="98"/>
        <v>16</v>
      </c>
      <c r="U1576" t="str" cm="1">
        <f t="array" ref="U1576">_xlfn.IFS(M1576&lt;=34,"YOUNG",M1576&lt;=54,"MIDDLE AGE",M1576&gt;=55,"OLD")</f>
        <v>YOUNG</v>
      </c>
      <c r="V1576" t="str">
        <f t="shared" si="99"/>
        <v>NORMAL</v>
      </c>
    </row>
    <row r="1577" spans="1:22" x14ac:dyDescent="0.35">
      <c r="A1577" t="s">
        <v>3390</v>
      </c>
      <c r="B1577" t="s">
        <v>2833</v>
      </c>
      <c r="C1577">
        <v>732.53</v>
      </c>
      <c r="D1577" s="1">
        <v>45068.70416666667</v>
      </c>
      <c r="E1577" s="2">
        <f t="shared" si="96"/>
        <v>0.70416666667006211</v>
      </c>
      <c r="F1577" s="3">
        <f t="shared" si="97"/>
        <v>45068</v>
      </c>
      <c r="G1577" t="s">
        <v>46</v>
      </c>
      <c r="H1577" t="s">
        <v>223</v>
      </c>
      <c r="I1577" t="s">
        <v>1788</v>
      </c>
      <c r="J1577" t="s">
        <v>1462</v>
      </c>
      <c r="K1577" t="s">
        <v>386</v>
      </c>
      <c r="L1577" t="s">
        <v>22</v>
      </c>
      <c r="M1577">
        <v>26</v>
      </c>
      <c r="N1577" t="s">
        <v>37</v>
      </c>
      <c r="O1577">
        <v>116</v>
      </c>
      <c r="P1577">
        <v>1</v>
      </c>
      <c r="Q1577">
        <v>441.54</v>
      </c>
      <c r="R1577" s="4">
        <v>45600</v>
      </c>
      <c r="S1577" s="6">
        <v>0.34182870370370372</v>
      </c>
      <c r="T1577">
        <f t="shared" si="98"/>
        <v>16</v>
      </c>
      <c r="U1577" t="str" cm="1">
        <f t="array" ref="U1577">_xlfn.IFS(M1577&lt;=34,"YOUNG",M1577&lt;=54,"MIDDLE AGE",M1577&gt;=55,"OLD")</f>
        <v>YOUNG</v>
      </c>
      <c r="V1577" t="str">
        <f t="shared" si="99"/>
        <v>NORMAL</v>
      </c>
    </row>
    <row r="1578" spans="1:22" x14ac:dyDescent="0.35">
      <c r="A1578" t="s">
        <v>3391</v>
      </c>
      <c r="B1578" t="s">
        <v>3207</v>
      </c>
      <c r="C1578">
        <v>65.11</v>
      </c>
      <c r="D1578" s="1">
        <v>45176.699872685182</v>
      </c>
      <c r="E1578" s="2">
        <f t="shared" si="96"/>
        <v>0.69987268518161727</v>
      </c>
      <c r="F1578" s="3">
        <f t="shared" si="97"/>
        <v>45176</v>
      </c>
      <c r="G1578" t="s">
        <v>17</v>
      </c>
      <c r="H1578" t="s">
        <v>80</v>
      </c>
      <c r="I1578" t="s">
        <v>3392</v>
      </c>
      <c r="J1578" t="s">
        <v>799</v>
      </c>
      <c r="K1578" t="s">
        <v>607</v>
      </c>
      <c r="L1578" t="s">
        <v>22</v>
      </c>
      <c r="M1578">
        <v>34</v>
      </c>
      <c r="N1578" t="s">
        <v>77</v>
      </c>
      <c r="O1578">
        <v>150</v>
      </c>
      <c r="P1578">
        <v>1</v>
      </c>
      <c r="Q1578">
        <v>8485.14</v>
      </c>
      <c r="R1578" s="4">
        <v>45600</v>
      </c>
      <c r="S1578" s="6">
        <v>0.33952546296296299</v>
      </c>
      <c r="T1578">
        <f t="shared" si="98"/>
        <v>16</v>
      </c>
      <c r="U1578" t="str" cm="1">
        <f t="array" ref="U1578">_xlfn.IFS(M1578&lt;=34,"YOUNG",M1578&lt;=54,"MIDDLE AGE",M1578&gt;=55,"OLD")</f>
        <v>YOUNG</v>
      </c>
      <c r="V1578" t="str">
        <f t="shared" si="99"/>
        <v>NORMAL</v>
      </c>
    </row>
    <row r="1579" spans="1:22" x14ac:dyDescent="0.35">
      <c r="A1579" t="s">
        <v>3393</v>
      </c>
      <c r="B1579" t="s">
        <v>1186</v>
      </c>
      <c r="C1579">
        <v>67.069999999999993</v>
      </c>
      <c r="D1579" s="1">
        <v>45082.683807870373</v>
      </c>
      <c r="E1579" s="2">
        <f t="shared" si="96"/>
        <v>0.68380787037312984</v>
      </c>
      <c r="F1579" s="3">
        <f t="shared" si="97"/>
        <v>45082</v>
      </c>
      <c r="G1579" t="s">
        <v>46</v>
      </c>
      <c r="H1579" t="s">
        <v>140</v>
      </c>
      <c r="I1579" t="s">
        <v>233</v>
      </c>
      <c r="J1579" t="s">
        <v>1676</v>
      </c>
      <c r="K1579" t="s">
        <v>122</v>
      </c>
      <c r="L1579" t="s">
        <v>22</v>
      </c>
      <c r="M1579">
        <v>24</v>
      </c>
      <c r="N1579" t="s">
        <v>37</v>
      </c>
      <c r="O1579">
        <v>56</v>
      </c>
      <c r="P1579">
        <v>1</v>
      </c>
      <c r="Q1579">
        <v>999.62</v>
      </c>
      <c r="R1579" s="4">
        <v>45600</v>
      </c>
      <c r="S1579" s="6">
        <v>0.34065972222222224</v>
      </c>
      <c r="T1579">
        <f t="shared" si="98"/>
        <v>16</v>
      </c>
      <c r="U1579" t="str" cm="1">
        <f t="array" ref="U1579">_xlfn.IFS(M1579&lt;=34,"YOUNG",M1579&lt;=54,"MIDDLE AGE",M1579&gt;=55,"OLD")</f>
        <v>YOUNG</v>
      </c>
      <c r="V1579" t="str">
        <f t="shared" si="99"/>
        <v>NORMAL</v>
      </c>
    </row>
    <row r="1580" spans="1:22" x14ac:dyDescent="0.35">
      <c r="A1580" t="s">
        <v>3394</v>
      </c>
      <c r="B1580" t="s">
        <v>403</v>
      </c>
      <c r="C1580">
        <v>137.47999999999999</v>
      </c>
      <c r="D1580" s="1">
        <v>45257.73232638889</v>
      </c>
      <c r="E1580" s="2">
        <f t="shared" si="96"/>
        <v>0.73232638889021473</v>
      </c>
      <c r="F1580" s="3">
        <f t="shared" si="97"/>
        <v>45257</v>
      </c>
      <c r="G1580" t="s">
        <v>17</v>
      </c>
      <c r="H1580" t="s">
        <v>59</v>
      </c>
      <c r="I1580" t="s">
        <v>430</v>
      </c>
      <c r="J1580" t="s">
        <v>2175</v>
      </c>
      <c r="K1580" t="s">
        <v>707</v>
      </c>
      <c r="L1580" t="s">
        <v>69</v>
      </c>
      <c r="M1580">
        <v>55</v>
      </c>
      <c r="N1580" t="s">
        <v>23</v>
      </c>
      <c r="O1580">
        <v>47</v>
      </c>
      <c r="P1580">
        <v>1</v>
      </c>
      <c r="Q1580">
        <v>14273.42</v>
      </c>
      <c r="R1580" s="4">
        <v>45600</v>
      </c>
      <c r="S1580" s="6">
        <v>0.3394212962962963</v>
      </c>
      <c r="T1580">
        <f t="shared" si="98"/>
        <v>17</v>
      </c>
      <c r="U1580" t="str" cm="1">
        <f t="array" ref="U1580">_xlfn.IFS(M1580&lt;=34,"YOUNG",M1580&lt;=54,"MIDDLE AGE",M1580&gt;=55,"OLD")</f>
        <v>OLD</v>
      </c>
      <c r="V1580" t="str">
        <f t="shared" si="99"/>
        <v>NORMAL</v>
      </c>
    </row>
    <row r="1581" spans="1:22" x14ac:dyDescent="0.35">
      <c r="A1581" t="s">
        <v>3395</v>
      </c>
      <c r="B1581" t="s">
        <v>3218</v>
      </c>
      <c r="C1581">
        <v>398.36</v>
      </c>
      <c r="D1581" s="1">
        <v>45104.702777777777</v>
      </c>
      <c r="E1581" s="2">
        <f t="shared" si="96"/>
        <v>0.70277777777664596</v>
      </c>
      <c r="F1581" s="3">
        <f t="shared" si="97"/>
        <v>45104</v>
      </c>
      <c r="G1581" t="s">
        <v>17</v>
      </c>
      <c r="H1581" t="s">
        <v>125</v>
      </c>
      <c r="I1581" t="s">
        <v>856</v>
      </c>
      <c r="J1581" t="s">
        <v>3396</v>
      </c>
      <c r="K1581" t="s">
        <v>598</v>
      </c>
      <c r="L1581" t="s">
        <v>22</v>
      </c>
      <c r="M1581">
        <v>22</v>
      </c>
      <c r="N1581" t="s">
        <v>37</v>
      </c>
      <c r="O1581">
        <v>56</v>
      </c>
      <c r="P1581">
        <v>1</v>
      </c>
      <c r="Q1581">
        <v>1863.7</v>
      </c>
      <c r="R1581" s="4">
        <v>45600</v>
      </c>
      <c r="S1581" s="6">
        <v>0.33967592592592594</v>
      </c>
      <c r="T1581">
        <f t="shared" si="98"/>
        <v>16</v>
      </c>
      <c r="U1581" t="str" cm="1">
        <f t="array" ref="U1581">_xlfn.IFS(M1581&lt;=34,"YOUNG",M1581&lt;=54,"MIDDLE AGE",M1581&gt;=55,"OLD")</f>
        <v>YOUNG</v>
      </c>
      <c r="V1581" t="str">
        <f t="shared" si="99"/>
        <v>NORMAL</v>
      </c>
    </row>
    <row r="1582" spans="1:22" x14ac:dyDescent="0.35">
      <c r="A1582" t="s">
        <v>3397</v>
      </c>
      <c r="B1582" t="s">
        <v>2907</v>
      </c>
      <c r="C1582">
        <v>469.46</v>
      </c>
      <c r="D1582" s="1">
        <v>45238.767314814817</v>
      </c>
      <c r="E1582" s="2">
        <f t="shared" si="96"/>
        <v>0.76731481481692754</v>
      </c>
      <c r="F1582" s="3">
        <f t="shared" si="97"/>
        <v>45238</v>
      </c>
      <c r="G1582" t="s">
        <v>17</v>
      </c>
      <c r="H1582" t="s">
        <v>203</v>
      </c>
      <c r="I1582" t="s">
        <v>642</v>
      </c>
      <c r="J1582" t="s">
        <v>2465</v>
      </c>
      <c r="K1582" t="s">
        <v>1524</v>
      </c>
      <c r="L1582" t="s">
        <v>22</v>
      </c>
      <c r="M1582">
        <v>20</v>
      </c>
      <c r="N1582" t="s">
        <v>37</v>
      </c>
      <c r="O1582">
        <v>149</v>
      </c>
      <c r="P1582">
        <v>1</v>
      </c>
      <c r="Q1582">
        <v>8640.56</v>
      </c>
      <c r="R1582" s="4">
        <v>45600</v>
      </c>
      <c r="S1582" s="6">
        <v>0.34025462962962966</v>
      </c>
      <c r="T1582">
        <f t="shared" si="98"/>
        <v>18</v>
      </c>
      <c r="U1582" t="str" cm="1">
        <f t="array" ref="U1582">_xlfn.IFS(M1582&lt;=34,"YOUNG",M1582&lt;=54,"MIDDLE AGE",M1582&gt;=55,"OLD")</f>
        <v>YOUNG</v>
      </c>
      <c r="V1582" t="str">
        <f t="shared" si="99"/>
        <v>NORMAL</v>
      </c>
    </row>
    <row r="1583" spans="1:22" x14ac:dyDescent="0.35">
      <c r="A1583" t="s">
        <v>3398</v>
      </c>
      <c r="B1583" t="s">
        <v>130</v>
      </c>
      <c r="C1583">
        <v>37.58</v>
      </c>
      <c r="D1583" s="1">
        <v>45033.765706018516</v>
      </c>
      <c r="E1583" s="2">
        <f t="shared" si="96"/>
        <v>0.76570601851562969</v>
      </c>
      <c r="F1583" s="3">
        <f t="shared" si="97"/>
        <v>45033</v>
      </c>
      <c r="G1583" t="s">
        <v>17</v>
      </c>
      <c r="H1583" t="s">
        <v>65</v>
      </c>
      <c r="I1583" t="s">
        <v>3399</v>
      </c>
      <c r="J1583" t="s">
        <v>1898</v>
      </c>
      <c r="K1583" t="s">
        <v>267</v>
      </c>
      <c r="L1583" t="s">
        <v>22</v>
      </c>
      <c r="M1583">
        <v>57</v>
      </c>
      <c r="N1583" t="s">
        <v>23</v>
      </c>
      <c r="O1583">
        <v>182</v>
      </c>
      <c r="P1583">
        <v>1</v>
      </c>
      <c r="Q1583">
        <v>259.44</v>
      </c>
      <c r="R1583" s="4">
        <v>45600</v>
      </c>
      <c r="S1583" s="6">
        <v>0.34182870370370372</v>
      </c>
      <c r="T1583">
        <f t="shared" si="98"/>
        <v>18</v>
      </c>
      <c r="U1583" t="str" cm="1">
        <f t="array" ref="U1583">_xlfn.IFS(M1583&lt;=34,"YOUNG",M1583&lt;=54,"MIDDLE AGE",M1583&gt;=55,"OLD")</f>
        <v>OLD</v>
      </c>
      <c r="V1583" t="str">
        <f t="shared" si="99"/>
        <v>NORMAL</v>
      </c>
    </row>
    <row r="1584" spans="1:22" x14ac:dyDescent="0.35">
      <c r="A1584" t="s">
        <v>3400</v>
      </c>
      <c r="B1584" t="s">
        <v>2005</v>
      </c>
      <c r="C1584">
        <v>160.24</v>
      </c>
      <c r="D1584" s="1">
        <v>45146.71297453704</v>
      </c>
      <c r="E1584" s="2">
        <f t="shared" si="96"/>
        <v>0.71297453704028158</v>
      </c>
      <c r="F1584" s="3">
        <f t="shared" si="97"/>
        <v>45146</v>
      </c>
      <c r="G1584" t="s">
        <v>17</v>
      </c>
      <c r="H1584" t="s">
        <v>453</v>
      </c>
      <c r="I1584" t="s">
        <v>1881</v>
      </c>
      <c r="J1584" t="s">
        <v>1112</v>
      </c>
      <c r="K1584" t="s">
        <v>62</v>
      </c>
      <c r="L1584" t="s">
        <v>22</v>
      </c>
      <c r="M1584">
        <v>31</v>
      </c>
      <c r="N1584" t="s">
        <v>77</v>
      </c>
      <c r="O1584">
        <v>15</v>
      </c>
      <c r="P1584">
        <v>1</v>
      </c>
      <c r="Q1584">
        <v>5526.97</v>
      </c>
      <c r="R1584" s="4">
        <v>45600</v>
      </c>
      <c r="S1584" s="6">
        <v>0.33966435185185184</v>
      </c>
      <c r="T1584">
        <f t="shared" si="98"/>
        <v>17</v>
      </c>
      <c r="U1584" t="str" cm="1">
        <f t="array" ref="U1584">_xlfn.IFS(M1584&lt;=34,"YOUNG",M1584&lt;=54,"MIDDLE AGE",M1584&gt;=55,"OLD")</f>
        <v>YOUNG</v>
      </c>
      <c r="V1584" t="str">
        <f t="shared" si="99"/>
        <v>NORMAL</v>
      </c>
    </row>
    <row r="1585" spans="1:22" x14ac:dyDescent="0.35">
      <c r="A1585" t="s">
        <v>3401</v>
      </c>
      <c r="B1585" t="s">
        <v>3402</v>
      </c>
      <c r="C1585">
        <v>315.39</v>
      </c>
      <c r="D1585" s="1">
        <v>45072.703159722223</v>
      </c>
      <c r="E1585" s="2">
        <f t="shared" si="96"/>
        <v>0.703159722223063</v>
      </c>
      <c r="F1585" s="3">
        <f t="shared" si="97"/>
        <v>45072</v>
      </c>
      <c r="G1585" t="s">
        <v>46</v>
      </c>
      <c r="H1585" t="s">
        <v>203</v>
      </c>
      <c r="I1585" t="s">
        <v>1928</v>
      </c>
      <c r="J1585" t="s">
        <v>251</v>
      </c>
      <c r="K1585" t="s">
        <v>181</v>
      </c>
      <c r="L1585" t="s">
        <v>69</v>
      </c>
      <c r="M1585">
        <v>23</v>
      </c>
      <c r="N1585" t="s">
        <v>37</v>
      </c>
      <c r="O1585">
        <v>93</v>
      </c>
      <c r="P1585">
        <v>1</v>
      </c>
      <c r="Q1585">
        <v>929.6</v>
      </c>
      <c r="R1585" s="4">
        <v>45600</v>
      </c>
      <c r="S1585" s="6">
        <v>0.33898148148148149</v>
      </c>
      <c r="T1585">
        <f t="shared" si="98"/>
        <v>16</v>
      </c>
      <c r="U1585" t="str" cm="1">
        <f t="array" ref="U1585">_xlfn.IFS(M1585&lt;=34,"YOUNG",M1585&lt;=54,"MIDDLE AGE",M1585&gt;=55,"OLD")</f>
        <v>YOUNG</v>
      </c>
      <c r="V1585" t="str">
        <f t="shared" si="99"/>
        <v>NORMAL</v>
      </c>
    </row>
    <row r="1586" spans="1:22" x14ac:dyDescent="0.35">
      <c r="A1586" t="s">
        <v>3403</v>
      </c>
      <c r="B1586" t="s">
        <v>585</v>
      </c>
      <c r="C1586">
        <v>434.17</v>
      </c>
      <c r="D1586" s="1">
        <v>44931.694548611114</v>
      </c>
      <c r="E1586" s="2">
        <f t="shared" si="96"/>
        <v>0.69454861111444188</v>
      </c>
      <c r="F1586" s="3">
        <f t="shared" si="97"/>
        <v>44931</v>
      </c>
      <c r="G1586" t="s">
        <v>17</v>
      </c>
      <c r="H1586" t="s">
        <v>47</v>
      </c>
      <c r="I1586" t="s">
        <v>2969</v>
      </c>
      <c r="J1586" t="s">
        <v>911</v>
      </c>
      <c r="K1586" t="s">
        <v>752</v>
      </c>
      <c r="L1586" t="s">
        <v>22</v>
      </c>
      <c r="M1586">
        <v>21</v>
      </c>
      <c r="N1586" t="s">
        <v>37</v>
      </c>
      <c r="O1586">
        <v>148</v>
      </c>
      <c r="P1586">
        <v>5</v>
      </c>
      <c r="Q1586">
        <v>5335.44</v>
      </c>
      <c r="R1586" s="4">
        <v>45600</v>
      </c>
      <c r="S1586" s="6">
        <v>0.34016203703703701</v>
      </c>
      <c r="T1586">
        <f t="shared" si="98"/>
        <v>16</v>
      </c>
      <c r="U1586" t="str" cm="1">
        <f t="array" ref="U1586">_xlfn.IFS(M1586&lt;=34,"YOUNG",M1586&lt;=54,"MIDDLE AGE",M1586&gt;=55,"OLD")</f>
        <v>YOUNG</v>
      </c>
      <c r="V1586" t="str">
        <f t="shared" si="99"/>
        <v>HIGH</v>
      </c>
    </row>
    <row r="1587" spans="1:22" x14ac:dyDescent="0.35">
      <c r="A1587" t="s">
        <v>3404</v>
      </c>
      <c r="B1587" t="s">
        <v>2500</v>
      </c>
      <c r="C1587">
        <v>165.91</v>
      </c>
      <c r="D1587" s="1">
        <v>45000.736296296294</v>
      </c>
      <c r="E1587" s="2">
        <f t="shared" si="96"/>
        <v>0.73629629629431292</v>
      </c>
      <c r="F1587" s="3">
        <f t="shared" si="97"/>
        <v>45000</v>
      </c>
      <c r="G1587" t="s">
        <v>17</v>
      </c>
      <c r="H1587" t="s">
        <v>392</v>
      </c>
      <c r="I1587" t="s">
        <v>443</v>
      </c>
      <c r="J1587" t="s">
        <v>320</v>
      </c>
      <c r="K1587" t="s">
        <v>820</v>
      </c>
      <c r="L1587" t="s">
        <v>22</v>
      </c>
      <c r="M1587">
        <v>26</v>
      </c>
      <c r="N1587" t="s">
        <v>37</v>
      </c>
      <c r="O1587">
        <v>84</v>
      </c>
      <c r="P1587">
        <v>1</v>
      </c>
      <c r="Q1587">
        <v>587.12</v>
      </c>
      <c r="R1587" s="4">
        <v>45600</v>
      </c>
      <c r="S1587" s="6">
        <v>0.33983796296296298</v>
      </c>
      <c r="T1587">
        <f t="shared" si="98"/>
        <v>17</v>
      </c>
      <c r="U1587" t="str" cm="1">
        <f t="array" ref="U1587">_xlfn.IFS(M1587&lt;=34,"YOUNG",M1587&lt;=54,"MIDDLE AGE",M1587&gt;=55,"OLD")</f>
        <v>YOUNG</v>
      </c>
      <c r="V1587" t="str">
        <f t="shared" si="99"/>
        <v>NORMAL</v>
      </c>
    </row>
    <row r="1588" spans="1:22" x14ac:dyDescent="0.35">
      <c r="A1588" t="s">
        <v>3405</v>
      </c>
      <c r="B1588" t="s">
        <v>162</v>
      </c>
      <c r="C1588">
        <v>211.36</v>
      </c>
      <c r="D1588" s="1">
        <v>45183.71435185185</v>
      </c>
      <c r="E1588" s="2">
        <f t="shared" si="96"/>
        <v>0.71435185184964212</v>
      </c>
      <c r="F1588" s="3">
        <f t="shared" si="97"/>
        <v>45183</v>
      </c>
      <c r="G1588" t="s">
        <v>17</v>
      </c>
      <c r="H1588" t="s">
        <v>212</v>
      </c>
      <c r="I1588" t="s">
        <v>135</v>
      </c>
      <c r="J1588" t="s">
        <v>3406</v>
      </c>
      <c r="K1588" t="s">
        <v>68</v>
      </c>
      <c r="L1588" t="s">
        <v>69</v>
      </c>
      <c r="M1588">
        <v>47</v>
      </c>
      <c r="N1588" t="s">
        <v>77</v>
      </c>
      <c r="O1588">
        <v>194</v>
      </c>
      <c r="P1588">
        <v>1</v>
      </c>
      <c r="Q1588">
        <v>4760.34</v>
      </c>
      <c r="R1588" s="4">
        <v>45600</v>
      </c>
      <c r="S1588" s="6">
        <v>0.34125</v>
      </c>
      <c r="T1588">
        <f t="shared" si="98"/>
        <v>17</v>
      </c>
      <c r="U1588" t="str" cm="1">
        <f t="array" ref="U1588">_xlfn.IFS(M1588&lt;=34,"YOUNG",M1588&lt;=54,"MIDDLE AGE",M1588&gt;=55,"OLD")</f>
        <v>MIDDLE AGE</v>
      </c>
      <c r="V1588" t="str">
        <f t="shared" si="99"/>
        <v>NORMAL</v>
      </c>
    </row>
    <row r="1589" spans="1:22" x14ac:dyDescent="0.35">
      <c r="A1589" t="s">
        <v>3407</v>
      </c>
      <c r="B1589" t="s">
        <v>438</v>
      </c>
      <c r="C1589">
        <v>241.45</v>
      </c>
      <c r="D1589" s="1">
        <v>45131.668437499997</v>
      </c>
      <c r="E1589" s="2">
        <f t="shared" si="96"/>
        <v>0.66843749999679858</v>
      </c>
      <c r="F1589" s="3">
        <f t="shared" si="97"/>
        <v>45131</v>
      </c>
      <c r="G1589" t="s">
        <v>17</v>
      </c>
      <c r="H1589" t="s">
        <v>595</v>
      </c>
      <c r="I1589" t="s">
        <v>365</v>
      </c>
      <c r="J1589" t="s">
        <v>153</v>
      </c>
      <c r="K1589" t="s">
        <v>607</v>
      </c>
      <c r="L1589" t="s">
        <v>36</v>
      </c>
      <c r="M1589">
        <v>26</v>
      </c>
      <c r="N1589" t="s">
        <v>37</v>
      </c>
      <c r="O1589">
        <v>158</v>
      </c>
      <c r="P1589">
        <v>1</v>
      </c>
      <c r="Q1589">
        <v>1594.04</v>
      </c>
      <c r="R1589" s="4">
        <v>45600</v>
      </c>
      <c r="S1589" s="6">
        <v>0.33937499999999998</v>
      </c>
      <c r="T1589">
        <f t="shared" si="98"/>
        <v>16</v>
      </c>
      <c r="U1589" t="str" cm="1">
        <f t="array" ref="U1589">_xlfn.IFS(M1589&lt;=34,"YOUNG",M1589&lt;=54,"MIDDLE AGE",M1589&gt;=55,"OLD")</f>
        <v>YOUNG</v>
      </c>
      <c r="V1589" t="str">
        <f t="shared" si="99"/>
        <v>NORMAL</v>
      </c>
    </row>
    <row r="1590" spans="1:22" x14ac:dyDescent="0.35">
      <c r="A1590" t="s">
        <v>3408</v>
      </c>
      <c r="B1590" t="s">
        <v>822</v>
      </c>
      <c r="C1590">
        <v>23.24</v>
      </c>
      <c r="D1590" s="1">
        <v>45029.695613425924</v>
      </c>
      <c r="E1590" s="2">
        <f t="shared" si="96"/>
        <v>0.69561342592351139</v>
      </c>
      <c r="F1590" s="3">
        <f t="shared" si="97"/>
        <v>45029</v>
      </c>
      <c r="G1590" t="s">
        <v>17</v>
      </c>
      <c r="H1590" t="s">
        <v>65</v>
      </c>
      <c r="I1590" t="s">
        <v>830</v>
      </c>
      <c r="J1590" t="s">
        <v>2353</v>
      </c>
      <c r="K1590" t="s">
        <v>56</v>
      </c>
      <c r="L1590" t="s">
        <v>69</v>
      </c>
      <c r="M1590">
        <v>68</v>
      </c>
      <c r="N1590" t="s">
        <v>23</v>
      </c>
      <c r="O1590">
        <v>129</v>
      </c>
      <c r="P1590">
        <v>1</v>
      </c>
      <c r="Q1590">
        <v>13777.79</v>
      </c>
      <c r="R1590" s="4">
        <v>45600</v>
      </c>
      <c r="S1590" s="6">
        <v>0.34091435185185187</v>
      </c>
      <c r="T1590">
        <f t="shared" si="98"/>
        <v>16</v>
      </c>
      <c r="U1590" t="str" cm="1">
        <f t="array" ref="U1590">_xlfn.IFS(M1590&lt;=34,"YOUNG",M1590&lt;=54,"MIDDLE AGE",M1590&gt;=55,"OLD")</f>
        <v>OLD</v>
      </c>
      <c r="V1590" t="str">
        <f t="shared" si="99"/>
        <v>NORMAL</v>
      </c>
    </row>
    <row r="1591" spans="1:22" x14ac:dyDescent="0.35">
      <c r="A1591" t="s">
        <v>3409</v>
      </c>
      <c r="B1591" t="s">
        <v>777</v>
      </c>
      <c r="C1591">
        <v>70.88</v>
      </c>
      <c r="D1591" s="1">
        <v>45264.679618055554</v>
      </c>
      <c r="E1591" s="2">
        <f t="shared" si="96"/>
        <v>0.679618055553874</v>
      </c>
      <c r="F1591" s="3">
        <f t="shared" si="97"/>
        <v>45264</v>
      </c>
      <c r="G1591" t="s">
        <v>46</v>
      </c>
      <c r="H1591" t="s">
        <v>296</v>
      </c>
      <c r="I1591" t="s">
        <v>943</v>
      </c>
      <c r="J1591" t="s">
        <v>1396</v>
      </c>
      <c r="K1591" t="s">
        <v>343</v>
      </c>
      <c r="L1591" t="s">
        <v>69</v>
      </c>
      <c r="M1591">
        <v>74</v>
      </c>
      <c r="N1591" t="s">
        <v>70</v>
      </c>
      <c r="O1591">
        <v>176</v>
      </c>
      <c r="P1591">
        <v>1</v>
      </c>
      <c r="Q1591">
        <v>1794.65</v>
      </c>
      <c r="R1591" s="4">
        <v>45600</v>
      </c>
      <c r="S1591" s="6">
        <v>0.33780092592592592</v>
      </c>
      <c r="T1591">
        <f t="shared" si="98"/>
        <v>16</v>
      </c>
      <c r="U1591" t="str" cm="1">
        <f t="array" ref="U1591">_xlfn.IFS(M1591&lt;=34,"YOUNG",M1591&lt;=54,"MIDDLE AGE",M1591&gt;=55,"OLD")</f>
        <v>OLD</v>
      </c>
      <c r="V1591" t="str">
        <f t="shared" si="99"/>
        <v>NORMAL</v>
      </c>
    </row>
    <row r="1592" spans="1:22" x14ac:dyDescent="0.35">
      <c r="A1592" t="s">
        <v>3410</v>
      </c>
      <c r="B1592" t="s">
        <v>3354</v>
      </c>
      <c r="C1592">
        <v>1143.67</v>
      </c>
      <c r="D1592" s="1">
        <v>45229.679722222223</v>
      </c>
      <c r="E1592" s="2">
        <f t="shared" si="96"/>
        <v>0.679722222223063</v>
      </c>
      <c r="F1592" s="3">
        <f t="shared" si="97"/>
        <v>45229</v>
      </c>
      <c r="G1592" t="s">
        <v>17</v>
      </c>
      <c r="H1592" t="s">
        <v>47</v>
      </c>
      <c r="I1592" t="s">
        <v>1089</v>
      </c>
      <c r="J1592" t="s">
        <v>2389</v>
      </c>
      <c r="K1592" t="s">
        <v>122</v>
      </c>
      <c r="L1592" t="s">
        <v>36</v>
      </c>
      <c r="M1592">
        <v>66</v>
      </c>
      <c r="N1592" t="s">
        <v>70</v>
      </c>
      <c r="O1592">
        <v>111</v>
      </c>
      <c r="P1592">
        <v>1</v>
      </c>
      <c r="Q1592">
        <v>7677.76</v>
      </c>
      <c r="R1592" s="4">
        <v>45600</v>
      </c>
      <c r="S1592" s="6">
        <v>0.34075231481481483</v>
      </c>
      <c r="T1592">
        <f t="shared" si="98"/>
        <v>16</v>
      </c>
      <c r="U1592" t="str" cm="1">
        <f t="array" ref="U1592">_xlfn.IFS(M1592&lt;=34,"YOUNG",M1592&lt;=54,"MIDDLE AGE",M1592&gt;=55,"OLD")</f>
        <v>OLD</v>
      </c>
      <c r="V1592" t="str">
        <f t="shared" si="99"/>
        <v>NORMAL</v>
      </c>
    </row>
    <row r="1593" spans="1:22" x14ac:dyDescent="0.35">
      <c r="A1593" t="s">
        <v>3411</v>
      </c>
      <c r="B1593" t="s">
        <v>2802</v>
      </c>
      <c r="C1593">
        <v>314.52</v>
      </c>
      <c r="D1593" s="1">
        <v>45005.723414351851</v>
      </c>
      <c r="E1593" s="2">
        <f t="shared" si="96"/>
        <v>0.72341435185080627</v>
      </c>
      <c r="F1593" s="3">
        <f t="shared" si="97"/>
        <v>45005</v>
      </c>
      <c r="G1593" t="s">
        <v>17</v>
      </c>
      <c r="H1593" t="s">
        <v>92</v>
      </c>
      <c r="I1593" t="s">
        <v>3128</v>
      </c>
      <c r="J1593" t="s">
        <v>1119</v>
      </c>
      <c r="K1593" t="s">
        <v>100</v>
      </c>
      <c r="L1593" t="s">
        <v>22</v>
      </c>
      <c r="M1593">
        <v>80</v>
      </c>
      <c r="N1593" t="s">
        <v>70</v>
      </c>
      <c r="O1593">
        <v>229</v>
      </c>
      <c r="P1593">
        <v>1</v>
      </c>
      <c r="Q1593">
        <v>7071.32</v>
      </c>
      <c r="R1593" s="4">
        <v>45600</v>
      </c>
      <c r="S1593" s="6">
        <v>0.33800925925925923</v>
      </c>
      <c r="T1593">
        <f t="shared" si="98"/>
        <v>17</v>
      </c>
      <c r="U1593" t="str" cm="1">
        <f t="array" ref="U1593">_xlfn.IFS(M1593&lt;=34,"YOUNG",M1593&lt;=54,"MIDDLE AGE",M1593&gt;=55,"OLD")</f>
        <v>OLD</v>
      </c>
      <c r="V1593" t="str">
        <f t="shared" si="99"/>
        <v>NORMAL</v>
      </c>
    </row>
    <row r="1594" spans="1:22" x14ac:dyDescent="0.35">
      <c r="A1594" t="s">
        <v>3412</v>
      </c>
      <c r="B1594" t="s">
        <v>621</v>
      </c>
      <c r="C1594">
        <v>181.81</v>
      </c>
      <c r="D1594" s="1">
        <v>45075.67359953704</v>
      </c>
      <c r="E1594" s="2">
        <f t="shared" si="96"/>
        <v>0.67359953703999054</v>
      </c>
      <c r="F1594" s="3">
        <f t="shared" si="97"/>
        <v>45075</v>
      </c>
      <c r="G1594" t="s">
        <v>46</v>
      </c>
      <c r="H1594" t="s">
        <v>119</v>
      </c>
      <c r="I1594" t="s">
        <v>2562</v>
      </c>
      <c r="J1594" t="s">
        <v>3022</v>
      </c>
      <c r="K1594" t="s">
        <v>607</v>
      </c>
      <c r="L1594" t="s">
        <v>36</v>
      </c>
      <c r="M1594">
        <v>78</v>
      </c>
      <c r="N1594" t="s">
        <v>70</v>
      </c>
      <c r="O1594">
        <v>122</v>
      </c>
      <c r="P1594">
        <v>1</v>
      </c>
      <c r="Q1594">
        <v>7525.73</v>
      </c>
      <c r="R1594" s="4">
        <v>45600</v>
      </c>
      <c r="S1594" s="6">
        <v>0.33962962962962961</v>
      </c>
      <c r="T1594">
        <f t="shared" si="98"/>
        <v>16</v>
      </c>
      <c r="U1594" t="str" cm="1">
        <f t="array" ref="U1594">_xlfn.IFS(M1594&lt;=34,"YOUNG",M1594&lt;=54,"MIDDLE AGE",M1594&gt;=55,"OLD")</f>
        <v>OLD</v>
      </c>
      <c r="V1594" t="str">
        <f t="shared" si="99"/>
        <v>NORMAL</v>
      </c>
    </row>
    <row r="1595" spans="1:22" x14ac:dyDescent="0.35">
      <c r="A1595" t="s">
        <v>3413</v>
      </c>
      <c r="B1595" t="s">
        <v>1826</v>
      </c>
      <c r="C1595">
        <v>854.64</v>
      </c>
      <c r="D1595" s="1">
        <v>45237.789733796293</v>
      </c>
      <c r="E1595" s="2">
        <f t="shared" si="96"/>
        <v>0.78973379629314877</v>
      </c>
      <c r="F1595" s="3">
        <f t="shared" si="97"/>
        <v>45237</v>
      </c>
      <c r="G1595" t="s">
        <v>17</v>
      </c>
      <c r="H1595" t="s">
        <v>157</v>
      </c>
      <c r="I1595" t="s">
        <v>1386</v>
      </c>
      <c r="J1595" t="s">
        <v>531</v>
      </c>
      <c r="K1595" t="s">
        <v>858</v>
      </c>
      <c r="L1595" t="s">
        <v>69</v>
      </c>
      <c r="M1595">
        <v>56</v>
      </c>
      <c r="N1595" t="s">
        <v>70</v>
      </c>
      <c r="O1595">
        <v>118</v>
      </c>
      <c r="P1595">
        <v>1</v>
      </c>
      <c r="Q1595">
        <v>2989.25</v>
      </c>
      <c r="R1595" s="4">
        <v>45600</v>
      </c>
      <c r="S1595" s="6">
        <v>0.33951388888888889</v>
      </c>
      <c r="T1595">
        <f t="shared" si="98"/>
        <v>18</v>
      </c>
      <c r="U1595" t="str" cm="1">
        <f t="array" ref="U1595">_xlfn.IFS(M1595&lt;=34,"YOUNG",M1595&lt;=54,"MIDDLE AGE",M1595&gt;=55,"OLD")</f>
        <v>OLD</v>
      </c>
      <c r="V1595" t="str">
        <f t="shared" si="99"/>
        <v>NORMAL</v>
      </c>
    </row>
    <row r="1596" spans="1:22" x14ac:dyDescent="0.35">
      <c r="A1596" t="s">
        <v>3414</v>
      </c>
      <c r="B1596" t="s">
        <v>2133</v>
      </c>
      <c r="C1596">
        <v>261.19</v>
      </c>
      <c r="D1596" s="1">
        <v>44938.716921296298</v>
      </c>
      <c r="E1596" s="2">
        <f t="shared" si="96"/>
        <v>0.71692129629809642</v>
      </c>
      <c r="F1596" s="3">
        <f t="shared" si="97"/>
        <v>44938</v>
      </c>
      <c r="G1596" t="s">
        <v>17</v>
      </c>
      <c r="H1596" t="s">
        <v>53</v>
      </c>
      <c r="I1596" t="s">
        <v>2359</v>
      </c>
      <c r="J1596" t="s">
        <v>2477</v>
      </c>
      <c r="K1596" t="s">
        <v>303</v>
      </c>
      <c r="L1596" t="s">
        <v>22</v>
      </c>
      <c r="M1596">
        <v>64</v>
      </c>
      <c r="N1596" t="s">
        <v>70</v>
      </c>
      <c r="O1596">
        <v>52</v>
      </c>
      <c r="P1596">
        <v>1</v>
      </c>
      <c r="Q1596">
        <v>7620.6</v>
      </c>
      <c r="R1596" s="4">
        <v>45600</v>
      </c>
      <c r="S1596" s="6">
        <v>0.34013888888888888</v>
      </c>
      <c r="T1596">
        <f t="shared" si="98"/>
        <v>17</v>
      </c>
      <c r="U1596" t="str" cm="1">
        <f t="array" ref="U1596">_xlfn.IFS(M1596&lt;=34,"YOUNG",M1596&lt;=54,"MIDDLE AGE",M1596&gt;=55,"OLD")</f>
        <v>OLD</v>
      </c>
      <c r="V1596" t="str">
        <f t="shared" si="99"/>
        <v>NORMAL</v>
      </c>
    </row>
    <row r="1597" spans="1:22" x14ac:dyDescent="0.35">
      <c r="A1597" t="s">
        <v>3415</v>
      </c>
      <c r="B1597" t="s">
        <v>3196</v>
      </c>
      <c r="C1597">
        <v>220.68</v>
      </c>
      <c r="D1597" s="1">
        <v>45208.766261574077</v>
      </c>
      <c r="E1597" s="2">
        <f t="shared" si="96"/>
        <v>0.76626157407736173</v>
      </c>
      <c r="F1597" s="3">
        <f t="shared" si="97"/>
        <v>45208</v>
      </c>
      <c r="G1597" t="s">
        <v>46</v>
      </c>
      <c r="H1597" t="s">
        <v>40</v>
      </c>
      <c r="I1597" t="s">
        <v>324</v>
      </c>
      <c r="J1597" t="s">
        <v>3087</v>
      </c>
      <c r="K1597" t="s">
        <v>1345</v>
      </c>
      <c r="L1597" t="s">
        <v>36</v>
      </c>
      <c r="M1597">
        <v>71</v>
      </c>
      <c r="N1597" t="s">
        <v>70</v>
      </c>
      <c r="O1597">
        <v>217</v>
      </c>
      <c r="P1597">
        <v>1</v>
      </c>
      <c r="Q1597">
        <v>5549.2</v>
      </c>
      <c r="R1597" s="4">
        <v>45600</v>
      </c>
      <c r="S1597" s="6">
        <v>0.33825231481481483</v>
      </c>
      <c r="T1597">
        <f t="shared" si="98"/>
        <v>18</v>
      </c>
      <c r="U1597" t="str" cm="1">
        <f t="array" ref="U1597">_xlfn.IFS(M1597&lt;=34,"YOUNG",M1597&lt;=54,"MIDDLE AGE",M1597&gt;=55,"OLD")</f>
        <v>OLD</v>
      </c>
      <c r="V1597" t="str">
        <f t="shared" si="99"/>
        <v>NORMAL</v>
      </c>
    </row>
    <row r="1598" spans="1:22" x14ac:dyDescent="0.35">
      <c r="A1598" t="s">
        <v>3416</v>
      </c>
      <c r="B1598" t="s">
        <v>45</v>
      </c>
      <c r="C1598">
        <v>11.86</v>
      </c>
      <c r="D1598" s="1">
        <v>45174.696944444448</v>
      </c>
      <c r="E1598" s="2">
        <f t="shared" si="96"/>
        <v>0.69694444444758119</v>
      </c>
      <c r="F1598" s="3">
        <f t="shared" si="97"/>
        <v>45174</v>
      </c>
      <c r="G1598" t="s">
        <v>17</v>
      </c>
      <c r="H1598" t="s">
        <v>285</v>
      </c>
      <c r="I1598" t="s">
        <v>1721</v>
      </c>
      <c r="J1598" t="s">
        <v>1674</v>
      </c>
      <c r="K1598" t="s">
        <v>56</v>
      </c>
      <c r="L1598" t="s">
        <v>69</v>
      </c>
      <c r="M1598">
        <v>31</v>
      </c>
      <c r="N1598" t="s">
        <v>77</v>
      </c>
      <c r="O1598">
        <v>129</v>
      </c>
      <c r="P1598">
        <v>1</v>
      </c>
      <c r="Q1598">
        <v>6782.61</v>
      </c>
      <c r="R1598" s="4">
        <v>45600</v>
      </c>
      <c r="S1598" s="6">
        <v>0.33949074074074076</v>
      </c>
      <c r="T1598">
        <f t="shared" si="98"/>
        <v>16</v>
      </c>
      <c r="U1598" t="str" cm="1">
        <f t="array" ref="U1598">_xlfn.IFS(M1598&lt;=34,"YOUNG",M1598&lt;=54,"MIDDLE AGE",M1598&gt;=55,"OLD")</f>
        <v>YOUNG</v>
      </c>
      <c r="V1598" t="str">
        <f t="shared" si="99"/>
        <v>NORMAL</v>
      </c>
    </row>
    <row r="1599" spans="1:22" x14ac:dyDescent="0.35">
      <c r="A1599" t="s">
        <v>3417</v>
      </c>
      <c r="B1599" t="s">
        <v>2781</v>
      </c>
      <c r="C1599">
        <v>122.65</v>
      </c>
      <c r="D1599" s="1">
        <v>45155.685381944444</v>
      </c>
      <c r="E1599" s="2">
        <f t="shared" si="96"/>
        <v>0.68538194444408873</v>
      </c>
      <c r="F1599" s="3">
        <f t="shared" si="97"/>
        <v>45155</v>
      </c>
      <c r="G1599" t="s">
        <v>17</v>
      </c>
      <c r="H1599" t="s">
        <v>125</v>
      </c>
      <c r="I1599" t="s">
        <v>2550</v>
      </c>
      <c r="J1599" t="s">
        <v>3418</v>
      </c>
      <c r="K1599" t="s">
        <v>137</v>
      </c>
      <c r="L1599" t="s">
        <v>36</v>
      </c>
      <c r="M1599">
        <v>28</v>
      </c>
      <c r="N1599" t="s">
        <v>37</v>
      </c>
      <c r="O1599">
        <v>41</v>
      </c>
      <c r="P1599">
        <v>1</v>
      </c>
      <c r="Q1599">
        <v>1968.51</v>
      </c>
      <c r="R1599" s="4">
        <v>45600</v>
      </c>
      <c r="S1599" s="6">
        <v>0.33815972222222224</v>
      </c>
      <c r="T1599">
        <f t="shared" si="98"/>
        <v>16</v>
      </c>
      <c r="U1599" t="str" cm="1">
        <f t="array" ref="U1599">_xlfn.IFS(M1599&lt;=34,"YOUNG",M1599&lt;=54,"MIDDLE AGE",M1599&gt;=55,"OLD")</f>
        <v>YOUNG</v>
      </c>
      <c r="V1599" t="str">
        <f t="shared" si="99"/>
        <v>NORMAL</v>
      </c>
    </row>
    <row r="1600" spans="1:22" x14ac:dyDescent="0.35">
      <c r="A1600" t="s">
        <v>3419</v>
      </c>
      <c r="B1600" t="s">
        <v>139</v>
      </c>
      <c r="C1600">
        <v>395.16</v>
      </c>
      <c r="D1600" s="1">
        <v>45131.676446759258</v>
      </c>
      <c r="E1600" s="2">
        <f t="shared" si="96"/>
        <v>0.67644675925839692</v>
      </c>
      <c r="F1600" s="3">
        <f t="shared" si="97"/>
        <v>45131</v>
      </c>
      <c r="G1600" t="s">
        <v>17</v>
      </c>
      <c r="H1600" t="s">
        <v>178</v>
      </c>
      <c r="I1600" t="s">
        <v>2068</v>
      </c>
      <c r="J1600" t="s">
        <v>481</v>
      </c>
      <c r="K1600" t="s">
        <v>128</v>
      </c>
      <c r="L1600" t="s">
        <v>36</v>
      </c>
      <c r="M1600">
        <v>56</v>
      </c>
      <c r="N1600" t="s">
        <v>70</v>
      </c>
      <c r="O1600">
        <v>17</v>
      </c>
      <c r="P1600">
        <v>1</v>
      </c>
      <c r="Q1600">
        <v>5340.73</v>
      </c>
      <c r="R1600" s="4">
        <v>45600</v>
      </c>
      <c r="S1600" s="6">
        <v>0.34114583333333331</v>
      </c>
      <c r="T1600">
        <f t="shared" si="98"/>
        <v>16</v>
      </c>
      <c r="U1600" t="str" cm="1">
        <f t="array" ref="U1600">_xlfn.IFS(M1600&lt;=34,"YOUNG",M1600&lt;=54,"MIDDLE AGE",M1600&gt;=55,"OLD")</f>
        <v>OLD</v>
      </c>
      <c r="V1600" t="str">
        <f t="shared" si="99"/>
        <v>NORMAL</v>
      </c>
    </row>
    <row r="1601" spans="1:22" x14ac:dyDescent="0.35">
      <c r="A1601" t="s">
        <v>3420</v>
      </c>
      <c r="B1601" t="s">
        <v>1385</v>
      </c>
      <c r="C1601">
        <v>704.69</v>
      </c>
      <c r="D1601" s="1">
        <v>45125.724178240744</v>
      </c>
      <c r="E1601" s="2">
        <f t="shared" si="96"/>
        <v>0.72417824074364034</v>
      </c>
      <c r="F1601" s="3">
        <f t="shared" si="97"/>
        <v>45125</v>
      </c>
      <c r="G1601" t="s">
        <v>17</v>
      </c>
      <c r="H1601" t="s">
        <v>146</v>
      </c>
      <c r="I1601" t="s">
        <v>1479</v>
      </c>
      <c r="J1601" t="s">
        <v>1098</v>
      </c>
      <c r="K1601" t="s">
        <v>548</v>
      </c>
      <c r="L1601" t="s">
        <v>36</v>
      </c>
      <c r="M1601">
        <v>51</v>
      </c>
      <c r="N1601" t="s">
        <v>70</v>
      </c>
      <c r="O1601">
        <v>150</v>
      </c>
      <c r="P1601">
        <v>1</v>
      </c>
      <c r="Q1601">
        <v>3267.84</v>
      </c>
      <c r="R1601" s="4">
        <v>45600</v>
      </c>
      <c r="S1601" s="6">
        <v>0.34086805555555555</v>
      </c>
      <c r="T1601">
        <f t="shared" si="98"/>
        <v>17</v>
      </c>
      <c r="U1601" t="str" cm="1">
        <f t="array" ref="U1601">_xlfn.IFS(M1601&lt;=34,"YOUNG",M1601&lt;=54,"MIDDLE AGE",M1601&gt;=55,"OLD")</f>
        <v>MIDDLE AGE</v>
      </c>
      <c r="V1601" t="str">
        <f t="shared" si="99"/>
        <v>NORMAL</v>
      </c>
    </row>
    <row r="1602" spans="1:22" x14ac:dyDescent="0.35">
      <c r="A1602" t="s">
        <v>3421</v>
      </c>
      <c r="B1602" t="s">
        <v>720</v>
      </c>
      <c r="C1602">
        <v>369.89</v>
      </c>
      <c r="D1602" s="1">
        <v>45217.697638888887</v>
      </c>
      <c r="E1602" s="2">
        <f t="shared" ref="E1602:E1665" si="100">D1602-INT(D1602)</f>
        <v>0.69763888888701331</v>
      </c>
      <c r="F1602" s="3">
        <f t="shared" ref="F1602:F1665" si="101">INT(D1602)</f>
        <v>45217</v>
      </c>
      <c r="G1602" t="s">
        <v>17</v>
      </c>
      <c r="H1602" t="s">
        <v>237</v>
      </c>
      <c r="I1602" t="s">
        <v>216</v>
      </c>
      <c r="J1602" t="s">
        <v>330</v>
      </c>
      <c r="K1602" t="s">
        <v>160</v>
      </c>
      <c r="L1602" t="s">
        <v>22</v>
      </c>
      <c r="M1602">
        <v>69</v>
      </c>
      <c r="N1602" t="s">
        <v>70</v>
      </c>
      <c r="O1602">
        <v>69</v>
      </c>
      <c r="P1602">
        <v>1</v>
      </c>
      <c r="Q1602">
        <v>6941.47</v>
      </c>
      <c r="R1602" s="4">
        <v>45600</v>
      </c>
      <c r="S1602" s="6">
        <v>0.34128472222222223</v>
      </c>
      <c r="T1602">
        <f t="shared" si="98"/>
        <v>16</v>
      </c>
      <c r="U1602" t="str" cm="1">
        <f t="array" ref="U1602">_xlfn.IFS(M1602&lt;=34,"YOUNG",M1602&lt;=54,"MIDDLE AGE",M1602&gt;=55,"OLD")</f>
        <v>OLD</v>
      </c>
      <c r="V1602" t="str">
        <f t="shared" si="99"/>
        <v>NORMAL</v>
      </c>
    </row>
    <row r="1603" spans="1:22" x14ac:dyDescent="0.35">
      <c r="A1603" t="s">
        <v>3422</v>
      </c>
      <c r="B1603" t="s">
        <v>151</v>
      </c>
      <c r="C1603">
        <v>10.92</v>
      </c>
      <c r="D1603" s="1">
        <v>45219.742175925923</v>
      </c>
      <c r="E1603" s="2">
        <f t="shared" si="100"/>
        <v>0.74217592592322035</v>
      </c>
      <c r="F1603" s="3">
        <f t="shared" si="101"/>
        <v>45219</v>
      </c>
      <c r="G1603" t="s">
        <v>17</v>
      </c>
      <c r="H1603" t="s">
        <v>392</v>
      </c>
      <c r="I1603" t="s">
        <v>1152</v>
      </c>
      <c r="J1603" t="s">
        <v>2477</v>
      </c>
      <c r="K1603" t="s">
        <v>277</v>
      </c>
      <c r="L1603" t="s">
        <v>22</v>
      </c>
      <c r="M1603">
        <v>67</v>
      </c>
      <c r="N1603" t="s">
        <v>70</v>
      </c>
      <c r="O1603">
        <v>268</v>
      </c>
      <c r="P1603">
        <v>1</v>
      </c>
      <c r="Q1603">
        <v>7567.2</v>
      </c>
      <c r="R1603" s="4">
        <v>45600</v>
      </c>
      <c r="S1603" s="6">
        <v>0.33921296296296294</v>
      </c>
      <c r="T1603">
        <f t="shared" ref="T1603:T1666" si="102">HOUR(E1603)</f>
        <v>17</v>
      </c>
      <c r="U1603" t="str" cm="1">
        <f t="array" ref="U1603">_xlfn.IFS(M1603&lt;=34,"YOUNG",M1603&lt;=54,"MIDDLE AGE",M1603&gt;=55,"OLD")</f>
        <v>OLD</v>
      </c>
      <c r="V1603" t="str">
        <f t="shared" ref="V1603:V1666" si="103">IF(P1603&gt;1,"HIGH","NORMAL")</f>
        <v>NORMAL</v>
      </c>
    </row>
    <row r="1604" spans="1:22" x14ac:dyDescent="0.35">
      <c r="A1604" t="s">
        <v>3423</v>
      </c>
      <c r="B1604" t="s">
        <v>1984</v>
      </c>
      <c r="C1604">
        <v>199.14</v>
      </c>
      <c r="D1604" s="1">
        <v>45140.730891203704</v>
      </c>
      <c r="E1604" s="2">
        <f t="shared" si="100"/>
        <v>0.73089120370423188</v>
      </c>
      <c r="F1604" s="3">
        <f t="shared" si="101"/>
        <v>45140</v>
      </c>
      <c r="G1604" t="s">
        <v>17</v>
      </c>
      <c r="H1604" t="s">
        <v>59</v>
      </c>
      <c r="I1604" t="s">
        <v>400</v>
      </c>
      <c r="J1604" t="s">
        <v>199</v>
      </c>
      <c r="K1604" t="s">
        <v>262</v>
      </c>
      <c r="L1604" t="s">
        <v>69</v>
      </c>
      <c r="M1604">
        <v>31</v>
      </c>
      <c r="N1604" t="s">
        <v>77</v>
      </c>
      <c r="O1604">
        <v>36</v>
      </c>
      <c r="P1604">
        <v>1</v>
      </c>
      <c r="Q1604">
        <v>7001.25</v>
      </c>
      <c r="R1604" s="4">
        <v>45600</v>
      </c>
      <c r="S1604" s="6">
        <v>0.34087962962962964</v>
      </c>
      <c r="T1604">
        <f t="shared" si="102"/>
        <v>17</v>
      </c>
      <c r="U1604" t="str" cm="1">
        <f t="array" ref="U1604">_xlfn.IFS(M1604&lt;=34,"YOUNG",M1604&lt;=54,"MIDDLE AGE",M1604&gt;=55,"OLD")</f>
        <v>YOUNG</v>
      </c>
      <c r="V1604" t="str">
        <f t="shared" si="103"/>
        <v>NORMAL</v>
      </c>
    </row>
    <row r="1605" spans="1:22" x14ac:dyDescent="0.35">
      <c r="A1605" t="s">
        <v>3424</v>
      </c>
      <c r="B1605" t="s">
        <v>232</v>
      </c>
      <c r="C1605">
        <v>109.43</v>
      </c>
      <c r="D1605" s="1">
        <v>44937.755150462966</v>
      </c>
      <c r="E1605" s="2">
        <f t="shared" si="100"/>
        <v>0.75515046296641231</v>
      </c>
      <c r="F1605" s="3">
        <f t="shared" si="101"/>
        <v>44937</v>
      </c>
      <c r="G1605" t="s">
        <v>17</v>
      </c>
      <c r="H1605" t="s">
        <v>114</v>
      </c>
      <c r="I1605" t="s">
        <v>1522</v>
      </c>
      <c r="J1605" t="s">
        <v>671</v>
      </c>
      <c r="K1605" t="s">
        <v>56</v>
      </c>
      <c r="L1605" t="s">
        <v>22</v>
      </c>
      <c r="M1605">
        <v>70</v>
      </c>
      <c r="N1605" t="s">
        <v>70</v>
      </c>
      <c r="O1605">
        <v>140</v>
      </c>
      <c r="P1605">
        <v>1</v>
      </c>
      <c r="Q1605">
        <v>1983.65</v>
      </c>
      <c r="R1605" s="4">
        <v>45600</v>
      </c>
      <c r="S1605" s="6">
        <v>0.34015046296296297</v>
      </c>
      <c r="T1605">
        <f t="shared" si="102"/>
        <v>18</v>
      </c>
      <c r="U1605" t="str" cm="1">
        <f t="array" ref="U1605">_xlfn.IFS(M1605&lt;=34,"YOUNG",M1605&lt;=54,"MIDDLE AGE",M1605&gt;=55,"OLD")</f>
        <v>OLD</v>
      </c>
      <c r="V1605" t="str">
        <f t="shared" si="103"/>
        <v>NORMAL</v>
      </c>
    </row>
    <row r="1606" spans="1:22" x14ac:dyDescent="0.35">
      <c r="A1606" t="s">
        <v>3425</v>
      </c>
      <c r="B1606" t="s">
        <v>817</v>
      </c>
      <c r="C1606">
        <v>304.14999999999998</v>
      </c>
      <c r="D1606" s="1">
        <v>45258.673310185186</v>
      </c>
      <c r="E1606" s="2">
        <f t="shared" si="100"/>
        <v>0.67331018518598285</v>
      </c>
      <c r="F1606" s="3">
        <f t="shared" si="101"/>
        <v>45258</v>
      </c>
      <c r="G1606" t="s">
        <v>17</v>
      </c>
      <c r="H1606" t="s">
        <v>47</v>
      </c>
      <c r="I1606" t="s">
        <v>3426</v>
      </c>
      <c r="J1606" t="s">
        <v>1637</v>
      </c>
      <c r="K1606" t="s">
        <v>752</v>
      </c>
      <c r="L1606" t="s">
        <v>69</v>
      </c>
      <c r="M1606">
        <v>20</v>
      </c>
      <c r="N1606" t="s">
        <v>37</v>
      </c>
      <c r="O1606">
        <v>40</v>
      </c>
      <c r="P1606">
        <v>1</v>
      </c>
      <c r="Q1606">
        <v>686.91</v>
      </c>
      <c r="R1606" s="4">
        <v>45600</v>
      </c>
      <c r="S1606" s="6">
        <v>0.34047453703703706</v>
      </c>
      <c r="T1606">
        <f t="shared" si="102"/>
        <v>16</v>
      </c>
      <c r="U1606" t="str" cm="1">
        <f t="array" ref="U1606">_xlfn.IFS(M1606&lt;=34,"YOUNG",M1606&lt;=54,"MIDDLE AGE",M1606&gt;=55,"OLD")</f>
        <v>YOUNG</v>
      </c>
      <c r="V1606" t="str">
        <f t="shared" si="103"/>
        <v>NORMAL</v>
      </c>
    </row>
    <row r="1607" spans="1:22" x14ac:dyDescent="0.35">
      <c r="A1607" t="s">
        <v>3427</v>
      </c>
      <c r="B1607" t="s">
        <v>729</v>
      </c>
      <c r="C1607">
        <v>620.54</v>
      </c>
      <c r="D1607" s="1">
        <v>45012.685254629629</v>
      </c>
      <c r="E1607" s="2">
        <f t="shared" si="100"/>
        <v>0.68525462962861639</v>
      </c>
      <c r="F1607" s="3">
        <f t="shared" si="101"/>
        <v>45012</v>
      </c>
      <c r="G1607" t="s">
        <v>46</v>
      </c>
      <c r="H1607" t="s">
        <v>296</v>
      </c>
      <c r="I1607" t="s">
        <v>522</v>
      </c>
      <c r="J1607" t="s">
        <v>735</v>
      </c>
      <c r="K1607" t="s">
        <v>35</v>
      </c>
      <c r="L1607" t="s">
        <v>69</v>
      </c>
      <c r="M1607">
        <v>28</v>
      </c>
      <c r="N1607" t="s">
        <v>37</v>
      </c>
      <c r="O1607">
        <v>98</v>
      </c>
      <c r="P1607">
        <v>1</v>
      </c>
      <c r="Q1607">
        <v>213.36</v>
      </c>
      <c r="R1607" s="4">
        <v>45600</v>
      </c>
      <c r="S1607" s="6">
        <v>0.33849537037037036</v>
      </c>
      <c r="T1607">
        <f t="shared" si="102"/>
        <v>16</v>
      </c>
      <c r="U1607" t="str" cm="1">
        <f t="array" ref="U1607">_xlfn.IFS(M1607&lt;=34,"YOUNG",M1607&lt;=54,"MIDDLE AGE",M1607&gt;=55,"OLD")</f>
        <v>YOUNG</v>
      </c>
      <c r="V1607" t="str">
        <f t="shared" si="103"/>
        <v>NORMAL</v>
      </c>
    </row>
    <row r="1608" spans="1:22" x14ac:dyDescent="0.35">
      <c r="A1608" t="s">
        <v>3428</v>
      </c>
      <c r="B1608" t="s">
        <v>118</v>
      </c>
      <c r="C1608">
        <v>757.79</v>
      </c>
      <c r="D1608" s="1">
        <v>44928.687604166669</v>
      </c>
      <c r="E1608" s="2">
        <f t="shared" si="100"/>
        <v>0.687604166669189</v>
      </c>
      <c r="F1608" s="3">
        <f t="shared" si="101"/>
        <v>44928</v>
      </c>
      <c r="G1608" t="s">
        <v>17</v>
      </c>
      <c r="H1608" t="s">
        <v>249</v>
      </c>
      <c r="I1608" t="s">
        <v>98</v>
      </c>
      <c r="J1608" t="s">
        <v>2167</v>
      </c>
      <c r="K1608" t="s">
        <v>639</v>
      </c>
      <c r="L1608" t="s">
        <v>36</v>
      </c>
      <c r="M1608">
        <v>22</v>
      </c>
      <c r="N1608" t="s">
        <v>37</v>
      </c>
      <c r="O1608">
        <v>117</v>
      </c>
      <c r="P1608">
        <v>1</v>
      </c>
      <c r="Q1608">
        <v>1443.02</v>
      </c>
      <c r="R1608" s="4">
        <v>45600</v>
      </c>
      <c r="S1608" s="6">
        <v>0.3392013888888889</v>
      </c>
      <c r="T1608">
        <f t="shared" si="102"/>
        <v>16</v>
      </c>
      <c r="U1608" t="str" cm="1">
        <f t="array" ref="U1608">_xlfn.IFS(M1608&lt;=34,"YOUNG",M1608&lt;=54,"MIDDLE AGE",M1608&gt;=55,"OLD")</f>
        <v>YOUNG</v>
      </c>
      <c r="V1608" t="str">
        <f t="shared" si="103"/>
        <v>NORMAL</v>
      </c>
    </row>
    <row r="1609" spans="1:22" x14ac:dyDescent="0.35">
      <c r="A1609" t="s">
        <v>3429</v>
      </c>
      <c r="B1609" t="s">
        <v>3006</v>
      </c>
      <c r="C1609">
        <v>122.81</v>
      </c>
      <c r="D1609" s="1">
        <v>45223.675219907411</v>
      </c>
      <c r="E1609" s="2">
        <f t="shared" si="100"/>
        <v>0.67521990741079208</v>
      </c>
      <c r="F1609" s="3">
        <f t="shared" si="101"/>
        <v>45223</v>
      </c>
      <c r="G1609" t="s">
        <v>17</v>
      </c>
      <c r="H1609" t="s">
        <v>223</v>
      </c>
      <c r="I1609" t="s">
        <v>990</v>
      </c>
      <c r="J1609" t="s">
        <v>2641</v>
      </c>
      <c r="K1609" t="s">
        <v>752</v>
      </c>
      <c r="L1609" t="s">
        <v>69</v>
      </c>
      <c r="M1609">
        <v>52</v>
      </c>
      <c r="N1609" t="s">
        <v>23</v>
      </c>
      <c r="O1609">
        <v>12</v>
      </c>
      <c r="P1609">
        <v>1</v>
      </c>
      <c r="Q1609">
        <v>8450.84</v>
      </c>
      <c r="R1609" s="4">
        <v>45600</v>
      </c>
      <c r="S1609" s="6">
        <v>0.34001157407407406</v>
      </c>
      <c r="T1609">
        <f t="shared" si="102"/>
        <v>16</v>
      </c>
      <c r="U1609" t="str" cm="1">
        <f t="array" ref="U1609">_xlfn.IFS(M1609&lt;=34,"YOUNG",M1609&lt;=54,"MIDDLE AGE",M1609&gt;=55,"OLD")</f>
        <v>MIDDLE AGE</v>
      </c>
      <c r="V1609" t="str">
        <f t="shared" si="103"/>
        <v>NORMAL</v>
      </c>
    </row>
    <row r="1610" spans="1:22" x14ac:dyDescent="0.35">
      <c r="A1610" t="s">
        <v>3430</v>
      </c>
      <c r="B1610" t="s">
        <v>1016</v>
      </c>
      <c r="C1610">
        <v>96.25</v>
      </c>
      <c r="D1610" s="1">
        <v>45134.66783564815</v>
      </c>
      <c r="E1610" s="2">
        <f t="shared" si="100"/>
        <v>0.66783564814977581</v>
      </c>
      <c r="F1610" s="3">
        <f t="shared" si="101"/>
        <v>45134</v>
      </c>
      <c r="G1610" t="s">
        <v>17</v>
      </c>
      <c r="H1610" t="s">
        <v>26</v>
      </c>
      <c r="I1610" t="s">
        <v>1939</v>
      </c>
      <c r="J1610" t="s">
        <v>929</v>
      </c>
      <c r="K1610" t="s">
        <v>143</v>
      </c>
      <c r="L1610" t="s">
        <v>36</v>
      </c>
      <c r="M1610">
        <v>61</v>
      </c>
      <c r="N1610" t="s">
        <v>70</v>
      </c>
      <c r="O1610">
        <v>171</v>
      </c>
      <c r="P1610">
        <v>1</v>
      </c>
      <c r="Q1610">
        <v>7996.7</v>
      </c>
      <c r="R1610" s="4">
        <v>45600</v>
      </c>
      <c r="S1610" s="6">
        <v>0.33791666666666664</v>
      </c>
      <c r="T1610">
        <f t="shared" si="102"/>
        <v>16</v>
      </c>
      <c r="U1610" t="str" cm="1">
        <f t="array" ref="U1610">_xlfn.IFS(M1610&lt;=34,"YOUNG",M1610&lt;=54,"MIDDLE AGE",M1610&gt;=55,"OLD")</f>
        <v>OLD</v>
      </c>
      <c r="V1610" t="str">
        <f t="shared" si="103"/>
        <v>NORMAL</v>
      </c>
    </row>
    <row r="1611" spans="1:22" x14ac:dyDescent="0.35">
      <c r="A1611" t="s">
        <v>3431</v>
      </c>
      <c r="B1611" t="s">
        <v>785</v>
      </c>
      <c r="C1611">
        <v>1431.33</v>
      </c>
      <c r="D1611" s="1">
        <v>44943.743645833332</v>
      </c>
      <c r="E1611" s="2">
        <f t="shared" si="100"/>
        <v>0.74364583333226619</v>
      </c>
      <c r="F1611" s="3">
        <f t="shared" si="101"/>
        <v>44943</v>
      </c>
      <c r="G1611" t="s">
        <v>17</v>
      </c>
      <c r="H1611" t="s">
        <v>249</v>
      </c>
      <c r="I1611" t="s">
        <v>586</v>
      </c>
      <c r="J1611" t="s">
        <v>991</v>
      </c>
      <c r="K1611" t="s">
        <v>326</v>
      </c>
      <c r="L1611" t="s">
        <v>22</v>
      </c>
      <c r="M1611">
        <v>30</v>
      </c>
      <c r="N1611" t="s">
        <v>23</v>
      </c>
      <c r="O1611">
        <v>49</v>
      </c>
      <c r="P1611">
        <v>1</v>
      </c>
      <c r="Q1611">
        <v>5567.98</v>
      </c>
      <c r="R1611" s="4">
        <v>45600</v>
      </c>
      <c r="S1611" s="6">
        <v>0.33979166666666666</v>
      </c>
      <c r="T1611">
        <f t="shared" si="102"/>
        <v>17</v>
      </c>
      <c r="U1611" t="str" cm="1">
        <f t="array" ref="U1611">_xlfn.IFS(M1611&lt;=34,"YOUNG",M1611&lt;=54,"MIDDLE AGE",M1611&gt;=55,"OLD")</f>
        <v>YOUNG</v>
      </c>
      <c r="V1611" t="str">
        <f t="shared" si="103"/>
        <v>NORMAL</v>
      </c>
    </row>
    <row r="1612" spans="1:22" x14ac:dyDescent="0.35">
      <c r="A1612" t="s">
        <v>3432</v>
      </c>
      <c r="B1612" t="s">
        <v>2000</v>
      </c>
      <c r="C1612">
        <v>142.55000000000001</v>
      </c>
      <c r="D1612" s="1">
        <v>45062.698449074072</v>
      </c>
      <c r="E1612" s="2">
        <f t="shared" si="100"/>
        <v>0.69844907407241408</v>
      </c>
      <c r="F1612" s="3">
        <f t="shared" si="101"/>
        <v>45062</v>
      </c>
      <c r="G1612" t="s">
        <v>17</v>
      </c>
      <c r="H1612" t="s">
        <v>291</v>
      </c>
      <c r="I1612" t="s">
        <v>818</v>
      </c>
      <c r="J1612" t="s">
        <v>1109</v>
      </c>
      <c r="K1612" t="s">
        <v>358</v>
      </c>
      <c r="L1612" t="s">
        <v>36</v>
      </c>
      <c r="M1612">
        <v>67</v>
      </c>
      <c r="N1612" t="s">
        <v>23</v>
      </c>
      <c r="O1612">
        <v>97</v>
      </c>
      <c r="P1612">
        <v>1</v>
      </c>
      <c r="Q1612">
        <v>1262.68</v>
      </c>
      <c r="R1612" s="4">
        <v>45600</v>
      </c>
      <c r="S1612" s="6">
        <v>0.33849537037037036</v>
      </c>
      <c r="T1612">
        <f t="shared" si="102"/>
        <v>16</v>
      </c>
      <c r="U1612" t="str" cm="1">
        <f t="array" ref="U1612">_xlfn.IFS(M1612&lt;=34,"YOUNG",M1612&lt;=54,"MIDDLE AGE",M1612&gt;=55,"OLD")</f>
        <v>OLD</v>
      </c>
      <c r="V1612" t="str">
        <f t="shared" si="103"/>
        <v>NORMAL</v>
      </c>
    </row>
    <row r="1613" spans="1:22" x14ac:dyDescent="0.35">
      <c r="A1613" t="s">
        <v>3433</v>
      </c>
      <c r="B1613" t="s">
        <v>3060</v>
      </c>
      <c r="C1613">
        <v>35.94</v>
      </c>
      <c r="D1613" s="1">
        <v>45054.682546296295</v>
      </c>
      <c r="E1613" s="2">
        <f t="shared" si="100"/>
        <v>0.68254629629518604</v>
      </c>
      <c r="F1613" s="3">
        <f t="shared" si="101"/>
        <v>45054</v>
      </c>
      <c r="G1613" t="s">
        <v>46</v>
      </c>
      <c r="H1613" t="s">
        <v>558</v>
      </c>
      <c r="I1613" t="s">
        <v>41</v>
      </c>
      <c r="J1613" t="s">
        <v>496</v>
      </c>
      <c r="K1613" t="s">
        <v>1345</v>
      </c>
      <c r="L1613" t="s">
        <v>69</v>
      </c>
      <c r="M1613">
        <v>23</v>
      </c>
      <c r="N1613" t="s">
        <v>37</v>
      </c>
      <c r="O1613">
        <v>141</v>
      </c>
      <c r="P1613">
        <v>1</v>
      </c>
      <c r="Q1613">
        <v>1697.28</v>
      </c>
      <c r="R1613" s="4">
        <v>45600</v>
      </c>
      <c r="S1613" s="6">
        <v>0.33986111111111111</v>
      </c>
      <c r="T1613">
        <f t="shared" si="102"/>
        <v>16</v>
      </c>
      <c r="U1613" t="str" cm="1">
        <f t="array" ref="U1613">_xlfn.IFS(M1613&lt;=34,"YOUNG",M1613&lt;=54,"MIDDLE AGE",M1613&gt;=55,"OLD")</f>
        <v>YOUNG</v>
      </c>
      <c r="V1613" t="str">
        <f t="shared" si="103"/>
        <v>NORMAL</v>
      </c>
    </row>
    <row r="1614" spans="1:22" x14ac:dyDescent="0.35">
      <c r="A1614" t="s">
        <v>3434</v>
      </c>
      <c r="B1614" t="s">
        <v>2149</v>
      </c>
      <c r="C1614">
        <v>24.86</v>
      </c>
      <c r="D1614" s="1">
        <v>44970.703888888886</v>
      </c>
      <c r="E1614" s="2">
        <f t="shared" si="100"/>
        <v>0.70388888888555812</v>
      </c>
      <c r="F1614" s="3">
        <f t="shared" si="101"/>
        <v>44970</v>
      </c>
      <c r="G1614" t="s">
        <v>17</v>
      </c>
      <c r="H1614" t="s">
        <v>392</v>
      </c>
      <c r="I1614" t="s">
        <v>3255</v>
      </c>
      <c r="J1614" t="s">
        <v>2658</v>
      </c>
      <c r="K1614" t="s">
        <v>83</v>
      </c>
      <c r="L1614" t="s">
        <v>69</v>
      </c>
      <c r="M1614">
        <v>58</v>
      </c>
      <c r="N1614" t="s">
        <v>77</v>
      </c>
      <c r="O1614">
        <v>292</v>
      </c>
      <c r="P1614">
        <v>1</v>
      </c>
      <c r="Q1614">
        <v>2591.65</v>
      </c>
      <c r="R1614" s="4">
        <v>45600</v>
      </c>
      <c r="S1614" s="6">
        <v>0.34171296296296294</v>
      </c>
      <c r="T1614">
        <f t="shared" si="102"/>
        <v>16</v>
      </c>
      <c r="U1614" t="str" cm="1">
        <f t="array" ref="U1614">_xlfn.IFS(M1614&lt;=34,"YOUNG",M1614&lt;=54,"MIDDLE AGE",M1614&gt;=55,"OLD")</f>
        <v>OLD</v>
      </c>
      <c r="V1614" t="str">
        <f t="shared" si="103"/>
        <v>NORMAL</v>
      </c>
    </row>
    <row r="1615" spans="1:22" x14ac:dyDescent="0.35">
      <c r="A1615" t="s">
        <v>3435</v>
      </c>
      <c r="B1615" t="s">
        <v>1333</v>
      </c>
      <c r="C1615">
        <v>103.08</v>
      </c>
      <c r="D1615" s="1">
        <v>45244.673171296294</v>
      </c>
      <c r="E1615" s="2">
        <f t="shared" si="100"/>
        <v>0.67317129629373085</v>
      </c>
      <c r="F1615" s="3">
        <f t="shared" si="101"/>
        <v>45244</v>
      </c>
      <c r="G1615" t="s">
        <v>17</v>
      </c>
      <c r="H1615" t="s">
        <v>212</v>
      </c>
      <c r="I1615" t="s">
        <v>614</v>
      </c>
      <c r="J1615" t="s">
        <v>1370</v>
      </c>
      <c r="K1615" t="s">
        <v>35</v>
      </c>
      <c r="L1615" t="s">
        <v>36</v>
      </c>
      <c r="M1615">
        <v>60</v>
      </c>
      <c r="N1615" t="s">
        <v>23</v>
      </c>
      <c r="O1615">
        <v>109</v>
      </c>
      <c r="P1615">
        <v>1</v>
      </c>
      <c r="Q1615">
        <v>12002.16</v>
      </c>
      <c r="R1615" s="4">
        <v>45600</v>
      </c>
      <c r="S1615" s="6">
        <v>0.3404861111111111</v>
      </c>
      <c r="T1615">
        <f t="shared" si="102"/>
        <v>16</v>
      </c>
      <c r="U1615" t="str" cm="1">
        <f t="array" ref="U1615">_xlfn.IFS(M1615&lt;=34,"YOUNG",M1615&lt;=54,"MIDDLE AGE",M1615&gt;=55,"OLD")</f>
        <v>OLD</v>
      </c>
      <c r="V1615" t="str">
        <f t="shared" si="103"/>
        <v>NORMAL</v>
      </c>
    </row>
    <row r="1616" spans="1:22" x14ac:dyDescent="0.35">
      <c r="A1616" t="s">
        <v>3436</v>
      </c>
      <c r="B1616" t="s">
        <v>25</v>
      </c>
      <c r="C1616">
        <v>116.27</v>
      </c>
      <c r="D1616" s="1">
        <v>45258.753078703703</v>
      </c>
      <c r="E1616" s="2">
        <f t="shared" si="100"/>
        <v>0.75307870370306773</v>
      </c>
      <c r="F1616" s="3">
        <f t="shared" si="101"/>
        <v>45258</v>
      </c>
      <c r="G1616" t="s">
        <v>17</v>
      </c>
      <c r="H1616" t="s">
        <v>595</v>
      </c>
      <c r="I1616" t="s">
        <v>1241</v>
      </c>
      <c r="J1616" t="s">
        <v>1215</v>
      </c>
      <c r="K1616" t="s">
        <v>1349</v>
      </c>
      <c r="L1616" t="s">
        <v>36</v>
      </c>
      <c r="M1616">
        <v>57</v>
      </c>
      <c r="N1616" t="s">
        <v>77</v>
      </c>
      <c r="O1616">
        <v>94</v>
      </c>
      <c r="P1616">
        <v>1</v>
      </c>
      <c r="Q1616">
        <v>8726.92</v>
      </c>
      <c r="R1616" s="4">
        <v>45600</v>
      </c>
      <c r="S1616" s="6">
        <v>0.34153935185185186</v>
      </c>
      <c r="T1616">
        <f t="shared" si="102"/>
        <v>18</v>
      </c>
      <c r="U1616" t="str" cm="1">
        <f t="array" ref="U1616">_xlfn.IFS(M1616&lt;=34,"YOUNG",M1616&lt;=54,"MIDDLE AGE",M1616&gt;=55,"OLD")</f>
        <v>OLD</v>
      </c>
      <c r="V1616" t="str">
        <f t="shared" si="103"/>
        <v>NORMAL</v>
      </c>
    </row>
    <row r="1617" spans="1:22" x14ac:dyDescent="0.35">
      <c r="A1617" t="s">
        <v>3437</v>
      </c>
      <c r="B1617" t="s">
        <v>1814</v>
      </c>
      <c r="C1617">
        <v>363.84</v>
      </c>
      <c r="D1617" s="1">
        <v>45218.737268518518</v>
      </c>
      <c r="E1617" s="2">
        <f t="shared" si="100"/>
        <v>0.73726851851824904</v>
      </c>
      <c r="F1617" s="3">
        <f t="shared" si="101"/>
        <v>45218</v>
      </c>
      <c r="G1617" t="s">
        <v>17</v>
      </c>
      <c r="H1617" t="s">
        <v>125</v>
      </c>
      <c r="I1617" t="s">
        <v>2399</v>
      </c>
      <c r="J1617" t="s">
        <v>597</v>
      </c>
      <c r="K1617" t="s">
        <v>122</v>
      </c>
      <c r="L1617" t="s">
        <v>36</v>
      </c>
      <c r="M1617">
        <v>73</v>
      </c>
      <c r="N1617" t="s">
        <v>70</v>
      </c>
      <c r="O1617">
        <v>118</v>
      </c>
      <c r="P1617">
        <v>3</v>
      </c>
      <c r="Q1617">
        <v>5415.64</v>
      </c>
      <c r="R1617" s="4">
        <v>45600</v>
      </c>
      <c r="S1617" s="6">
        <v>0.34001157407407406</v>
      </c>
      <c r="T1617">
        <f t="shared" si="102"/>
        <v>17</v>
      </c>
      <c r="U1617" t="str" cm="1">
        <f t="array" ref="U1617">_xlfn.IFS(M1617&lt;=34,"YOUNG",M1617&lt;=54,"MIDDLE AGE",M1617&gt;=55,"OLD")</f>
        <v>OLD</v>
      </c>
      <c r="V1617" t="str">
        <f t="shared" si="103"/>
        <v>HIGH</v>
      </c>
    </row>
    <row r="1618" spans="1:22" x14ac:dyDescent="0.35">
      <c r="A1618" t="s">
        <v>3438</v>
      </c>
      <c r="B1618" t="s">
        <v>660</v>
      </c>
      <c r="C1618">
        <v>34.74</v>
      </c>
      <c r="D1618" s="1">
        <v>45044.669224537036</v>
      </c>
      <c r="E1618" s="2">
        <f t="shared" si="100"/>
        <v>0.669224537035916</v>
      </c>
      <c r="F1618" s="3">
        <f t="shared" si="101"/>
        <v>45044</v>
      </c>
      <c r="G1618" t="s">
        <v>46</v>
      </c>
      <c r="H1618" t="s">
        <v>595</v>
      </c>
      <c r="I1618" t="s">
        <v>152</v>
      </c>
      <c r="J1618" t="s">
        <v>744</v>
      </c>
      <c r="K1618" t="s">
        <v>326</v>
      </c>
      <c r="L1618" t="s">
        <v>36</v>
      </c>
      <c r="M1618">
        <v>59</v>
      </c>
      <c r="N1618" t="s">
        <v>70</v>
      </c>
      <c r="O1618">
        <v>72</v>
      </c>
      <c r="P1618">
        <v>1</v>
      </c>
      <c r="Q1618">
        <v>3736.57</v>
      </c>
      <c r="R1618" s="4">
        <v>45600</v>
      </c>
      <c r="S1618" s="6">
        <v>0.34182870370370372</v>
      </c>
      <c r="T1618">
        <f t="shared" si="102"/>
        <v>16</v>
      </c>
      <c r="U1618" t="str" cm="1">
        <f t="array" ref="U1618">_xlfn.IFS(M1618&lt;=34,"YOUNG",M1618&lt;=54,"MIDDLE AGE",M1618&gt;=55,"OLD")</f>
        <v>OLD</v>
      </c>
      <c r="V1618" t="str">
        <f t="shared" si="103"/>
        <v>NORMAL</v>
      </c>
    </row>
    <row r="1619" spans="1:22" x14ac:dyDescent="0.35">
      <c r="A1619" t="s">
        <v>3439</v>
      </c>
      <c r="B1619" t="s">
        <v>756</v>
      </c>
      <c r="C1619">
        <v>64.010000000000005</v>
      </c>
      <c r="D1619" s="1">
        <v>45229.759895833333</v>
      </c>
      <c r="E1619" s="2">
        <f t="shared" si="100"/>
        <v>0.75989583333284827</v>
      </c>
      <c r="F1619" s="3">
        <f t="shared" si="101"/>
        <v>45229</v>
      </c>
      <c r="G1619" t="s">
        <v>46</v>
      </c>
      <c r="H1619" t="s">
        <v>243</v>
      </c>
      <c r="I1619" t="s">
        <v>27</v>
      </c>
      <c r="J1619" t="s">
        <v>1195</v>
      </c>
      <c r="K1619" t="s">
        <v>885</v>
      </c>
      <c r="L1619" t="s">
        <v>69</v>
      </c>
      <c r="M1619">
        <v>19</v>
      </c>
      <c r="N1619" t="s">
        <v>37</v>
      </c>
      <c r="O1619">
        <v>240</v>
      </c>
      <c r="P1619">
        <v>1</v>
      </c>
      <c r="Q1619">
        <v>1225.69</v>
      </c>
      <c r="R1619" s="4">
        <v>45600</v>
      </c>
      <c r="S1619" s="6">
        <v>0.33918981481481481</v>
      </c>
      <c r="T1619">
        <f t="shared" si="102"/>
        <v>18</v>
      </c>
      <c r="U1619" t="str" cm="1">
        <f t="array" ref="U1619">_xlfn.IFS(M1619&lt;=34,"YOUNG",M1619&lt;=54,"MIDDLE AGE",M1619&gt;=55,"OLD")</f>
        <v>YOUNG</v>
      </c>
      <c r="V1619" t="str">
        <f t="shared" si="103"/>
        <v>NORMAL</v>
      </c>
    </row>
    <row r="1620" spans="1:22" x14ac:dyDescent="0.35">
      <c r="A1620" t="s">
        <v>3440</v>
      </c>
      <c r="B1620" t="s">
        <v>1644</v>
      </c>
      <c r="C1620">
        <v>108.75</v>
      </c>
      <c r="D1620" s="1">
        <v>45216.673148148147</v>
      </c>
      <c r="E1620" s="2">
        <f t="shared" si="100"/>
        <v>0.6731481481474475</v>
      </c>
      <c r="F1620" s="3">
        <f t="shared" si="101"/>
        <v>45216</v>
      </c>
      <c r="G1620" t="s">
        <v>17</v>
      </c>
      <c r="H1620" t="s">
        <v>26</v>
      </c>
      <c r="I1620" t="s">
        <v>2114</v>
      </c>
      <c r="J1620" t="s">
        <v>915</v>
      </c>
      <c r="K1620" t="s">
        <v>348</v>
      </c>
      <c r="L1620" t="s">
        <v>22</v>
      </c>
      <c r="M1620">
        <v>50</v>
      </c>
      <c r="N1620" t="s">
        <v>23</v>
      </c>
      <c r="O1620">
        <v>23</v>
      </c>
      <c r="P1620">
        <v>4</v>
      </c>
      <c r="Q1620">
        <v>14829.85</v>
      </c>
      <c r="R1620" s="4">
        <v>45600</v>
      </c>
      <c r="S1620" s="6">
        <v>0.3404861111111111</v>
      </c>
      <c r="T1620">
        <f t="shared" si="102"/>
        <v>16</v>
      </c>
      <c r="U1620" t="str" cm="1">
        <f t="array" ref="U1620">_xlfn.IFS(M1620&lt;=34,"YOUNG",M1620&lt;=54,"MIDDLE AGE",M1620&gt;=55,"OLD")</f>
        <v>MIDDLE AGE</v>
      </c>
      <c r="V1620" t="str">
        <f t="shared" si="103"/>
        <v>HIGH</v>
      </c>
    </row>
    <row r="1621" spans="1:22" x14ac:dyDescent="0.35">
      <c r="A1621" t="s">
        <v>3441</v>
      </c>
      <c r="B1621" t="s">
        <v>3241</v>
      </c>
      <c r="C1621">
        <v>50.9</v>
      </c>
      <c r="D1621" s="1">
        <v>45040.676782407405</v>
      </c>
      <c r="E1621" s="2">
        <f t="shared" si="100"/>
        <v>0.67678240740497131</v>
      </c>
      <c r="F1621" s="3">
        <f t="shared" si="101"/>
        <v>45040</v>
      </c>
      <c r="G1621" t="s">
        <v>46</v>
      </c>
      <c r="H1621" t="s">
        <v>392</v>
      </c>
      <c r="I1621" t="s">
        <v>1558</v>
      </c>
      <c r="J1621" t="s">
        <v>369</v>
      </c>
      <c r="K1621" t="s">
        <v>548</v>
      </c>
      <c r="L1621" t="s">
        <v>36</v>
      </c>
      <c r="M1621">
        <v>28</v>
      </c>
      <c r="N1621" t="s">
        <v>37</v>
      </c>
      <c r="O1621">
        <v>150</v>
      </c>
      <c r="P1621">
        <v>1</v>
      </c>
      <c r="Q1621">
        <v>1277.7</v>
      </c>
      <c r="R1621" s="4">
        <v>45600</v>
      </c>
      <c r="S1621" s="6">
        <v>0.33791666666666664</v>
      </c>
      <c r="T1621">
        <f t="shared" si="102"/>
        <v>16</v>
      </c>
      <c r="U1621" t="str" cm="1">
        <f t="array" ref="U1621">_xlfn.IFS(M1621&lt;=34,"YOUNG",M1621&lt;=54,"MIDDLE AGE",M1621&gt;=55,"OLD")</f>
        <v>YOUNG</v>
      </c>
      <c r="V1621" t="str">
        <f t="shared" si="103"/>
        <v>NORMAL</v>
      </c>
    </row>
    <row r="1622" spans="1:22" x14ac:dyDescent="0.35">
      <c r="A1622" t="s">
        <v>3442</v>
      </c>
      <c r="B1622" t="s">
        <v>113</v>
      </c>
      <c r="C1622">
        <v>206.84</v>
      </c>
      <c r="D1622" s="1">
        <v>45182.783182870371</v>
      </c>
      <c r="E1622" s="2">
        <f t="shared" si="100"/>
        <v>0.78318287037109258</v>
      </c>
      <c r="F1622" s="3">
        <f t="shared" si="101"/>
        <v>45182</v>
      </c>
      <c r="G1622" t="s">
        <v>17</v>
      </c>
      <c r="H1622" t="s">
        <v>243</v>
      </c>
      <c r="I1622" t="s">
        <v>865</v>
      </c>
      <c r="J1622" t="s">
        <v>591</v>
      </c>
      <c r="K1622" t="s">
        <v>752</v>
      </c>
      <c r="L1622" t="s">
        <v>69</v>
      </c>
      <c r="M1622">
        <v>20</v>
      </c>
      <c r="N1622" t="s">
        <v>37</v>
      </c>
      <c r="O1622">
        <v>154</v>
      </c>
      <c r="P1622">
        <v>1</v>
      </c>
      <c r="Q1622">
        <v>454.66</v>
      </c>
      <c r="R1622" s="4">
        <v>45600</v>
      </c>
      <c r="S1622" s="6">
        <v>0.34085648148148145</v>
      </c>
      <c r="T1622">
        <f t="shared" si="102"/>
        <v>18</v>
      </c>
      <c r="U1622" t="str" cm="1">
        <f t="array" ref="U1622">_xlfn.IFS(M1622&lt;=34,"YOUNG",M1622&lt;=54,"MIDDLE AGE",M1622&gt;=55,"OLD")</f>
        <v>YOUNG</v>
      </c>
      <c r="V1622" t="str">
        <f t="shared" si="103"/>
        <v>NORMAL</v>
      </c>
    </row>
    <row r="1623" spans="1:22" x14ac:dyDescent="0.35">
      <c r="A1623" t="s">
        <v>3443</v>
      </c>
      <c r="B1623" t="s">
        <v>1343</v>
      </c>
      <c r="C1623">
        <v>37.4</v>
      </c>
      <c r="D1623" s="1">
        <v>45139.746481481481</v>
      </c>
      <c r="E1623" s="2">
        <f t="shared" si="100"/>
        <v>0.74648148148116888</v>
      </c>
      <c r="F1623" s="3">
        <f t="shared" si="101"/>
        <v>45139</v>
      </c>
      <c r="G1623" t="s">
        <v>17</v>
      </c>
      <c r="H1623" t="s">
        <v>40</v>
      </c>
      <c r="I1623" t="s">
        <v>1154</v>
      </c>
      <c r="J1623" t="s">
        <v>606</v>
      </c>
      <c r="K1623" t="s">
        <v>445</v>
      </c>
      <c r="L1623" t="s">
        <v>22</v>
      </c>
      <c r="M1623">
        <v>20</v>
      </c>
      <c r="N1623" t="s">
        <v>37</v>
      </c>
      <c r="O1623">
        <v>84</v>
      </c>
      <c r="P1623">
        <v>1</v>
      </c>
      <c r="Q1623">
        <v>1519.51</v>
      </c>
      <c r="R1623" s="4">
        <v>45600</v>
      </c>
      <c r="S1623" s="6">
        <v>0.34175925925925926</v>
      </c>
      <c r="T1623">
        <f t="shared" si="102"/>
        <v>17</v>
      </c>
      <c r="U1623" t="str" cm="1">
        <f t="array" ref="U1623">_xlfn.IFS(M1623&lt;=34,"YOUNG",M1623&lt;=54,"MIDDLE AGE",M1623&gt;=55,"OLD")</f>
        <v>YOUNG</v>
      </c>
      <c r="V1623" t="str">
        <f t="shared" si="103"/>
        <v>NORMAL</v>
      </c>
    </row>
    <row r="1624" spans="1:22" x14ac:dyDescent="0.35">
      <c r="A1624" t="s">
        <v>3444</v>
      </c>
      <c r="B1624" t="s">
        <v>701</v>
      </c>
      <c r="C1624">
        <v>154.21</v>
      </c>
      <c r="D1624" s="1">
        <v>44928.667662037034</v>
      </c>
      <c r="E1624" s="2">
        <f t="shared" si="100"/>
        <v>0.66766203703446081</v>
      </c>
      <c r="F1624" s="3">
        <f t="shared" si="101"/>
        <v>44928</v>
      </c>
      <c r="G1624" t="s">
        <v>17</v>
      </c>
      <c r="H1624" t="s">
        <v>172</v>
      </c>
      <c r="I1624" t="s">
        <v>1558</v>
      </c>
      <c r="J1624" t="s">
        <v>1589</v>
      </c>
      <c r="K1624" t="s">
        <v>160</v>
      </c>
      <c r="L1624" t="s">
        <v>36</v>
      </c>
      <c r="M1624">
        <v>46</v>
      </c>
      <c r="N1624" t="s">
        <v>77</v>
      </c>
      <c r="O1624">
        <v>75</v>
      </c>
      <c r="P1624">
        <v>1</v>
      </c>
      <c r="Q1624">
        <v>8045.77</v>
      </c>
      <c r="R1624" s="4">
        <v>45600</v>
      </c>
      <c r="S1624" s="6">
        <v>0.34065972222222224</v>
      </c>
      <c r="T1624">
        <f t="shared" si="102"/>
        <v>16</v>
      </c>
      <c r="U1624" t="str" cm="1">
        <f t="array" ref="U1624">_xlfn.IFS(M1624&lt;=34,"YOUNG",M1624&lt;=54,"MIDDLE AGE",M1624&gt;=55,"OLD")</f>
        <v>MIDDLE AGE</v>
      </c>
      <c r="V1624" t="str">
        <f t="shared" si="103"/>
        <v>NORMAL</v>
      </c>
    </row>
    <row r="1625" spans="1:22" x14ac:dyDescent="0.35">
      <c r="A1625" t="s">
        <v>3445</v>
      </c>
      <c r="B1625" t="s">
        <v>905</v>
      </c>
      <c r="C1625">
        <v>199.37</v>
      </c>
      <c r="D1625" s="1">
        <v>45106.735659722224</v>
      </c>
      <c r="E1625" s="2">
        <f t="shared" si="100"/>
        <v>0.73565972222422715</v>
      </c>
      <c r="F1625" s="3">
        <f t="shared" si="101"/>
        <v>45106</v>
      </c>
      <c r="G1625" t="s">
        <v>17</v>
      </c>
      <c r="H1625" t="s">
        <v>265</v>
      </c>
      <c r="I1625" t="s">
        <v>692</v>
      </c>
      <c r="J1625" t="s">
        <v>844</v>
      </c>
      <c r="K1625" t="s">
        <v>160</v>
      </c>
      <c r="L1625" t="s">
        <v>36</v>
      </c>
      <c r="M1625">
        <v>24</v>
      </c>
      <c r="N1625" t="s">
        <v>37</v>
      </c>
      <c r="O1625">
        <v>79</v>
      </c>
      <c r="P1625">
        <v>1</v>
      </c>
      <c r="Q1625">
        <v>1331.3</v>
      </c>
      <c r="R1625" s="4">
        <v>45600</v>
      </c>
      <c r="S1625" s="6">
        <v>0.33939814814814817</v>
      </c>
      <c r="T1625">
        <f t="shared" si="102"/>
        <v>17</v>
      </c>
      <c r="U1625" t="str" cm="1">
        <f t="array" ref="U1625">_xlfn.IFS(M1625&lt;=34,"YOUNG",M1625&lt;=54,"MIDDLE AGE",M1625&gt;=55,"OLD")</f>
        <v>YOUNG</v>
      </c>
      <c r="V1625" t="str">
        <f t="shared" si="103"/>
        <v>NORMAL</v>
      </c>
    </row>
    <row r="1626" spans="1:22" x14ac:dyDescent="0.35">
      <c r="A1626" t="s">
        <v>3446</v>
      </c>
      <c r="B1626" t="s">
        <v>2229</v>
      </c>
      <c r="C1626">
        <v>410.49</v>
      </c>
      <c r="D1626" s="1">
        <v>45132.699490740742</v>
      </c>
      <c r="E1626" s="2">
        <f t="shared" si="100"/>
        <v>0.69949074074247619</v>
      </c>
      <c r="F1626" s="3">
        <f t="shared" si="101"/>
        <v>45132</v>
      </c>
      <c r="G1626" t="s">
        <v>46</v>
      </c>
      <c r="H1626" t="s">
        <v>47</v>
      </c>
      <c r="I1626" t="s">
        <v>1358</v>
      </c>
      <c r="J1626" t="s">
        <v>1348</v>
      </c>
      <c r="K1626" t="s">
        <v>358</v>
      </c>
      <c r="L1626" t="s">
        <v>69</v>
      </c>
      <c r="M1626">
        <v>25</v>
      </c>
      <c r="N1626" t="s">
        <v>37</v>
      </c>
      <c r="O1626">
        <v>134</v>
      </c>
      <c r="P1626">
        <v>1</v>
      </c>
      <c r="Q1626">
        <v>1843.57</v>
      </c>
      <c r="R1626" s="4">
        <v>45600</v>
      </c>
      <c r="S1626" s="6">
        <v>0.3407175925925926</v>
      </c>
      <c r="T1626">
        <f t="shared" si="102"/>
        <v>16</v>
      </c>
      <c r="U1626" t="str" cm="1">
        <f t="array" ref="U1626">_xlfn.IFS(M1626&lt;=34,"YOUNG",M1626&lt;=54,"MIDDLE AGE",M1626&gt;=55,"OLD")</f>
        <v>YOUNG</v>
      </c>
      <c r="V1626" t="str">
        <f t="shared" si="103"/>
        <v>NORMAL</v>
      </c>
    </row>
    <row r="1627" spans="1:22" x14ac:dyDescent="0.35">
      <c r="A1627" t="s">
        <v>3447</v>
      </c>
      <c r="B1627" t="s">
        <v>434</v>
      </c>
      <c r="C1627">
        <v>1360.01</v>
      </c>
      <c r="D1627" s="1">
        <v>45194.702349537038</v>
      </c>
      <c r="E1627" s="2">
        <f t="shared" si="100"/>
        <v>0.70234953703766223</v>
      </c>
      <c r="F1627" s="3">
        <f t="shared" si="101"/>
        <v>45194</v>
      </c>
      <c r="G1627" t="s">
        <v>46</v>
      </c>
      <c r="H1627" t="s">
        <v>425</v>
      </c>
      <c r="I1627" t="s">
        <v>877</v>
      </c>
      <c r="J1627" t="s">
        <v>1898</v>
      </c>
      <c r="K1627" t="s">
        <v>1287</v>
      </c>
      <c r="L1627" t="s">
        <v>69</v>
      </c>
      <c r="M1627">
        <v>67</v>
      </c>
      <c r="N1627" t="s">
        <v>70</v>
      </c>
      <c r="O1627">
        <v>218</v>
      </c>
      <c r="P1627">
        <v>1</v>
      </c>
      <c r="Q1627">
        <v>6601.5</v>
      </c>
      <c r="R1627" s="4">
        <v>45600</v>
      </c>
      <c r="S1627" s="6">
        <v>0.34164351851851854</v>
      </c>
      <c r="T1627">
        <f t="shared" si="102"/>
        <v>16</v>
      </c>
      <c r="U1627" t="str" cm="1">
        <f t="array" ref="U1627">_xlfn.IFS(M1627&lt;=34,"YOUNG",M1627&lt;=54,"MIDDLE AGE",M1627&gt;=55,"OLD")</f>
        <v>OLD</v>
      </c>
      <c r="V1627" t="str">
        <f t="shared" si="103"/>
        <v>NORMAL</v>
      </c>
    </row>
    <row r="1628" spans="1:22" x14ac:dyDescent="0.35">
      <c r="A1628" t="s">
        <v>3448</v>
      </c>
      <c r="B1628" t="s">
        <v>729</v>
      </c>
      <c r="C1628">
        <v>18.23</v>
      </c>
      <c r="D1628" s="1">
        <v>45007.730127314811</v>
      </c>
      <c r="E1628" s="2">
        <f t="shared" si="100"/>
        <v>0.73012731481139781</v>
      </c>
      <c r="F1628" s="3">
        <f t="shared" si="101"/>
        <v>45007</v>
      </c>
      <c r="G1628" t="s">
        <v>17</v>
      </c>
      <c r="H1628" t="s">
        <v>80</v>
      </c>
      <c r="I1628" t="s">
        <v>41</v>
      </c>
      <c r="J1628" t="s">
        <v>870</v>
      </c>
      <c r="K1628" t="s">
        <v>331</v>
      </c>
      <c r="L1628" t="s">
        <v>22</v>
      </c>
      <c r="M1628">
        <v>56</v>
      </c>
      <c r="N1628" t="s">
        <v>77</v>
      </c>
      <c r="O1628">
        <v>28</v>
      </c>
      <c r="P1628">
        <v>1</v>
      </c>
      <c r="Q1628">
        <v>8422.2000000000007</v>
      </c>
      <c r="R1628" s="4">
        <v>45600</v>
      </c>
      <c r="S1628" s="6">
        <v>0.34120370370370373</v>
      </c>
      <c r="T1628">
        <f t="shared" si="102"/>
        <v>17</v>
      </c>
      <c r="U1628" t="str" cm="1">
        <f t="array" ref="U1628">_xlfn.IFS(M1628&lt;=34,"YOUNG",M1628&lt;=54,"MIDDLE AGE",M1628&gt;=55,"OLD")</f>
        <v>OLD</v>
      </c>
      <c r="V1628" t="str">
        <f t="shared" si="103"/>
        <v>NORMAL</v>
      </c>
    </row>
    <row r="1629" spans="1:22" x14ac:dyDescent="0.35">
      <c r="A1629" t="s">
        <v>3449</v>
      </c>
      <c r="B1629" t="s">
        <v>1272</v>
      </c>
      <c r="C1629">
        <v>398.7</v>
      </c>
      <c r="D1629" s="1">
        <v>45166.668182870373</v>
      </c>
      <c r="E1629" s="2">
        <f t="shared" si="100"/>
        <v>0.66818287037312984</v>
      </c>
      <c r="F1629" s="3">
        <f t="shared" si="101"/>
        <v>45166</v>
      </c>
      <c r="G1629" t="s">
        <v>17</v>
      </c>
      <c r="H1629" t="s">
        <v>86</v>
      </c>
      <c r="I1629" t="s">
        <v>649</v>
      </c>
      <c r="J1629" t="s">
        <v>739</v>
      </c>
      <c r="K1629" t="s">
        <v>598</v>
      </c>
      <c r="L1629" t="s">
        <v>22</v>
      </c>
      <c r="M1629">
        <v>47</v>
      </c>
      <c r="N1629" t="s">
        <v>23</v>
      </c>
      <c r="O1629">
        <v>276</v>
      </c>
      <c r="P1629">
        <v>1</v>
      </c>
      <c r="Q1629">
        <v>7987.74</v>
      </c>
      <c r="R1629" s="4">
        <v>45600</v>
      </c>
      <c r="S1629" s="6">
        <v>0.33962962962962961</v>
      </c>
      <c r="T1629">
        <f t="shared" si="102"/>
        <v>16</v>
      </c>
      <c r="U1629" t="str" cm="1">
        <f t="array" ref="U1629">_xlfn.IFS(M1629&lt;=34,"YOUNG",M1629&lt;=54,"MIDDLE AGE",M1629&gt;=55,"OLD")</f>
        <v>MIDDLE AGE</v>
      </c>
      <c r="V1629" t="str">
        <f t="shared" si="103"/>
        <v>NORMAL</v>
      </c>
    </row>
    <row r="1630" spans="1:22" x14ac:dyDescent="0.35">
      <c r="A1630" t="s">
        <v>3450</v>
      </c>
      <c r="B1630" t="s">
        <v>2297</v>
      </c>
      <c r="C1630">
        <v>122.14</v>
      </c>
      <c r="D1630" s="1">
        <v>44977.680879629632</v>
      </c>
      <c r="E1630" s="2">
        <f t="shared" si="100"/>
        <v>0.68087962963181781</v>
      </c>
      <c r="F1630" s="3">
        <f t="shared" si="101"/>
        <v>44977</v>
      </c>
      <c r="G1630" t="s">
        <v>17</v>
      </c>
      <c r="H1630" t="s">
        <v>296</v>
      </c>
      <c r="I1630" t="s">
        <v>3203</v>
      </c>
      <c r="J1630" t="s">
        <v>2120</v>
      </c>
      <c r="K1630" t="s">
        <v>358</v>
      </c>
      <c r="L1630" t="s">
        <v>36</v>
      </c>
      <c r="M1630">
        <v>22</v>
      </c>
      <c r="N1630" t="s">
        <v>37</v>
      </c>
      <c r="O1630">
        <v>155</v>
      </c>
      <c r="P1630">
        <v>1</v>
      </c>
      <c r="Q1630">
        <v>327.68</v>
      </c>
      <c r="R1630" s="4">
        <v>45600</v>
      </c>
      <c r="S1630" s="6">
        <v>0.33893518518518517</v>
      </c>
      <c r="T1630">
        <f t="shared" si="102"/>
        <v>16</v>
      </c>
      <c r="U1630" t="str" cm="1">
        <f t="array" ref="U1630">_xlfn.IFS(M1630&lt;=34,"YOUNG",M1630&lt;=54,"MIDDLE AGE",M1630&gt;=55,"OLD")</f>
        <v>YOUNG</v>
      </c>
      <c r="V1630" t="str">
        <f t="shared" si="103"/>
        <v>NORMAL</v>
      </c>
    </row>
    <row r="1631" spans="1:22" x14ac:dyDescent="0.35">
      <c r="A1631" t="s">
        <v>3451</v>
      </c>
      <c r="B1631" t="s">
        <v>2930</v>
      </c>
      <c r="C1631">
        <v>378.2</v>
      </c>
      <c r="D1631" s="1">
        <v>44935.717129629629</v>
      </c>
      <c r="E1631" s="2">
        <f t="shared" si="100"/>
        <v>0.71712962962919846</v>
      </c>
      <c r="F1631" s="3">
        <f t="shared" si="101"/>
        <v>44935</v>
      </c>
      <c r="G1631" t="s">
        <v>17</v>
      </c>
      <c r="H1631" t="s">
        <v>32</v>
      </c>
      <c r="I1631" t="s">
        <v>1279</v>
      </c>
      <c r="J1631" t="s">
        <v>3452</v>
      </c>
      <c r="K1631" t="s">
        <v>181</v>
      </c>
      <c r="L1631" t="s">
        <v>69</v>
      </c>
      <c r="M1631">
        <v>40</v>
      </c>
      <c r="N1631" t="s">
        <v>77</v>
      </c>
      <c r="O1631">
        <v>167</v>
      </c>
      <c r="P1631">
        <v>1</v>
      </c>
      <c r="Q1631">
        <v>7372.81</v>
      </c>
      <c r="R1631" s="4">
        <v>45600</v>
      </c>
      <c r="S1631" s="6">
        <v>0.34099537037037037</v>
      </c>
      <c r="T1631">
        <f t="shared" si="102"/>
        <v>17</v>
      </c>
      <c r="U1631" t="str" cm="1">
        <f t="array" ref="U1631">_xlfn.IFS(M1631&lt;=34,"YOUNG",M1631&lt;=54,"MIDDLE AGE",M1631&gt;=55,"OLD")</f>
        <v>MIDDLE AGE</v>
      </c>
      <c r="V1631" t="str">
        <f t="shared" si="103"/>
        <v>NORMAL</v>
      </c>
    </row>
    <row r="1632" spans="1:22" x14ac:dyDescent="0.35">
      <c r="A1632" t="s">
        <v>3453</v>
      </c>
      <c r="B1632" t="s">
        <v>974</v>
      </c>
      <c r="C1632">
        <v>124.74</v>
      </c>
      <c r="D1632" s="1">
        <v>45257.689814814818</v>
      </c>
      <c r="E1632" s="2">
        <f t="shared" si="100"/>
        <v>0.68981481481750961</v>
      </c>
      <c r="F1632" s="3">
        <f t="shared" si="101"/>
        <v>45257</v>
      </c>
      <c r="G1632" t="s">
        <v>17</v>
      </c>
      <c r="H1632" t="s">
        <v>140</v>
      </c>
      <c r="I1632" t="s">
        <v>3454</v>
      </c>
      <c r="J1632" t="s">
        <v>1576</v>
      </c>
      <c r="K1632" t="s">
        <v>858</v>
      </c>
      <c r="L1632" t="s">
        <v>22</v>
      </c>
      <c r="M1632">
        <v>49</v>
      </c>
      <c r="N1632" t="s">
        <v>77</v>
      </c>
      <c r="O1632">
        <v>33</v>
      </c>
      <c r="P1632">
        <v>1</v>
      </c>
      <c r="Q1632">
        <v>2987.97</v>
      </c>
      <c r="R1632" s="4">
        <v>45600</v>
      </c>
      <c r="S1632" s="6">
        <v>0.33908564814814812</v>
      </c>
      <c r="T1632">
        <f t="shared" si="102"/>
        <v>16</v>
      </c>
      <c r="U1632" t="str" cm="1">
        <f t="array" ref="U1632">_xlfn.IFS(M1632&lt;=34,"YOUNG",M1632&lt;=54,"MIDDLE AGE",M1632&gt;=55,"OLD")</f>
        <v>MIDDLE AGE</v>
      </c>
      <c r="V1632" t="str">
        <f t="shared" si="103"/>
        <v>NORMAL</v>
      </c>
    </row>
    <row r="1633" spans="1:22" x14ac:dyDescent="0.35">
      <c r="A1633" t="s">
        <v>3455</v>
      </c>
      <c r="B1633" t="s">
        <v>722</v>
      </c>
      <c r="C1633">
        <v>17.100000000000001</v>
      </c>
      <c r="D1633" s="1">
        <v>45285.705625000002</v>
      </c>
      <c r="E1633" s="2">
        <f t="shared" si="100"/>
        <v>0.70562500000232831</v>
      </c>
      <c r="F1633" s="3">
        <f t="shared" si="101"/>
        <v>45285</v>
      </c>
      <c r="G1633" t="s">
        <v>17</v>
      </c>
      <c r="H1633" t="s">
        <v>86</v>
      </c>
      <c r="I1633" t="s">
        <v>2284</v>
      </c>
      <c r="J1633" t="s">
        <v>3456</v>
      </c>
      <c r="K1633" t="s">
        <v>62</v>
      </c>
      <c r="L1633" t="s">
        <v>22</v>
      </c>
      <c r="M1633">
        <v>53</v>
      </c>
      <c r="N1633" t="s">
        <v>70</v>
      </c>
      <c r="O1633">
        <v>101</v>
      </c>
      <c r="P1633">
        <v>1</v>
      </c>
      <c r="Q1633">
        <v>1619.54</v>
      </c>
      <c r="R1633" s="4">
        <v>45600</v>
      </c>
      <c r="S1633" s="6">
        <v>0.34103009259259259</v>
      </c>
      <c r="T1633">
        <f t="shared" si="102"/>
        <v>16</v>
      </c>
      <c r="U1633" t="str" cm="1">
        <f t="array" ref="U1633">_xlfn.IFS(M1633&lt;=34,"YOUNG",M1633&lt;=54,"MIDDLE AGE",M1633&gt;=55,"OLD")</f>
        <v>MIDDLE AGE</v>
      </c>
      <c r="V1633" t="str">
        <f t="shared" si="103"/>
        <v>NORMAL</v>
      </c>
    </row>
    <row r="1634" spans="1:22" x14ac:dyDescent="0.35">
      <c r="A1634" t="s">
        <v>3457</v>
      </c>
      <c r="B1634" t="s">
        <v>3215</v>
      </c>
      <c r="C1634">
        <v>287.05</v>
      </c>
      <c r="D1634" s="1">
        <v>45030.667256944442</v>
      </c>
      <c r="E1634" s="2">
        <f t="shared" si="100"/>
        <v>0.66725694444176042</v>
      </c>
      <c r="F1634" s="3">
        <f t="shared" si="101"/>
        <v>45030</v>
      </c>
      <c r="G1634" t="s">
        <v>17</v>
      </c>
      <c r="H1634" t="s">
        <v>178</v>
      </c>
      <c r="I1634" t="s">
        <v>2397</v>
      </c>
      <c r="J1634" t="s">
        <v>3084</v>
      </c>
      <c r="K1634" t="s">
        <v>707</v>
      </c>
      <c r="L1634" t="s">
        <v>22</v>
      </c>
      <c r="M1634">
        <v>22</v>
      </c>
      <c r="N1634" t="s">
        <v>37</v>
      </c>
      <c r="O1634">
        <v>212</v>
      </c>
      <c r="P1634">
        <v>1</v>
      </c>
      <c r="Q1634">
        <v>1204.6500000000001</v>
      </c>
      <c r="R1634" s="4">
        <v>45600</v>
      </c>
      <c r="S1634" s="6">
        <v>0.34096064814814814</v>
      </c>
      <c r="T1634">
        <f t="shared" si="102"/>
        <v>16</v>
      </c>
      <c r="U1634" t="str" cm="1">
        <f t="array" ref="U1634">_xlfn.IFS(M1634&lt;=34,"YOUNG",M1634&lt;=54,"MIDDLE AGE",M1634&gt;=55,"OLD")</f>
        <v>YOUNG</v>
      </c>
      <c r="V1634" t="str">
        <f t="shared" si="103"/>
        <v>NORMAL</v>
      </c>
    </row>
    <row r="1635" spans="1:22" x14ac:dyDescent="0.35">
      <c r="A1635" t="s">
        <v>3458</v>
      </c>
      <c r="B1635" t="s">
        <v>1512</v>
      </c>
      <c r="C1635">
        <v>874.72</v>
      </c>
      <c r="D1635" s="1">
        <v>44988.681562500002</v>
      </c>
      <c r="E1635" s="2">
        <f t="shared" si="100"/>
        <v>0.68156250000174623</v>
      </c>
      <c r="F1635" s="3">
        <f t="shared" si="101"/>
        <v>44988</v>
      </c>
      <c r="G1635" t="s">
        <v>17</v>
      </c>
      <c r="H1635" t="s">
        <v>212</v>
      </c>
      <c r="I1635" t="s">
        <v>1258</v>
      </c>
      <c r="J1635" t="s">
        <v>1215</v>
      </c>
      <c r="K1635" t="s">
        <v>674</v>
      </c>
      <c r="L1635" t="s">
        <v>36</v>
      </c>
      <c r="M1635">
        <v>28</v>
      </c>
      <c r="N1635" t="s">
        <v>77</v>
      </c>
      <c r="O1635">
        <v>173</v>
      </c>
      <c r="P1635">
        <v>1</v>
      </c>
      <c r="Q1635">
        <v>4630.58</v>
      </c>
      <c r="R1635" s="4">
        <v>45600</v>
      </c>
      <c r="S1635" s="6">
        <v>0.33908564814814812</v>
      </c>
      <c r="T1635">
        <f t="shared" si="102"/>
        <v>16</v>
      </c>
      <c r="U1635" t="str" cm="1">
        <f t="array" ref="U1635">_xlfn.IFS(M1635&lt;=34,"YOUNG",M1635&lt;=54,"MIDDLE AGE",M1635&gt;=55,"OLD")</f>
        <v>YOUNG</v>
      </c>
      <c r="V1635" t="str">
        <f t="shared" si="103"/>
        <v>NORMAL</v>
      </c>
    </row>
    <row r="1636" spans="1:22" x14ac:dyDescent="0.35">
      <c r="A1636" t="s">
        <v>3459</v>
      </c>
      <c r="B1636" t="s">
        <v>585</v>
      </c>
      <c r="C1636">
        <v>1762.28</v>
      </c>
      <c r="D1636" s="1">
        <v>45205.670532407406</v>
      </c>
      <c r="E1636" s="2">
        <f t="shared" si="100"/>
        <v>0.6705324074064265</v>
      </c>
      <c r="F1636" s="3">
        <f t="shared" si="101"/>
        <v>45205</v>
      </c>
      <c r="G1636" t="s">
        <v>17</v>
      </c>
      <c r="H1636" t="s">
        <v>92</v>
      </c>
      <c r="I1636" t="s">
        <v>1429</v>
      </c>
      <c r="J1636" t="s">
        <v>1232</v>
      </c>
      <c r="K1636" t="s">
        <v>386</v>
      </c>
      <c r="L1636" t="s">
        <v>22</v>
      </c>
      <c r="M1636">
        <v>24</v>
      </c>
      <c r="N1636" t="s">
        <v>37</v>
      </c>
      <c r="O1636">
        <v>150</v>
      </c>
      <c r="P1636">
        <v>1</v>
      </c>
      <c r="Q1636">
        <v>1380.34</v>
      </c>
      <c r="R1636" s="4">
        <v>45600</v>
      </c>
      <c r="S1636" s="6">
        <v>0.34076388888888887</v>
      </c>
      <c r="T1636">
        <f t="shared" si="102"/>
        <v>16</v>
      </c>
      <c r="U1636" t="str" cm="1">
        <f t="array" ref="U1636">_xlfn.IFS(M1636&lt;=34,"YOUNG",M1636&lt;=54,"MIDDLE AGE",M1636&gt;=55,"OLD")</f>
        <v>YOUNG</v>
      </c>
      <c r="V1636" t="str">
        <f t="shared" si="103"/>
        <v>NORMAL</v>
      </c>
    </row>
    <row r="1637" spans="1:22" x14ac:dyDescent="0.35">
      <c r="A1637" t="s">
        <v>3460</v>
      </c>
      <c r="B1637" t="s">
        <v>1796</v>
      </c>
      <c r="C1637">
        <v>40.119999999999997</v>
      </c>
      <c r="D1637" s="1">
        <v>45035.710543981484</v>
      </c>
      <c r="E1637" s="2">
        <f t="shared" si="100"/>
        <v>0.71054398148407927</v>
      </c>
      <c r="F1637" s="3">
        <f t="shared" si="101"/>
        <v>45035</v>
      </c>
      <c r="G1637" t="s">
        <v>46</v>
      </c>
      <c r="H1637" t="s">
        <v>323</v>
      </c>
      <c r="I1637" t="s">
        <v>928</v>
      </c>
      <c r="J1637" t="s">
        <v>563</v>
      </c>
      <c r="K1637" t="s">
        <v>1810</v>
      </c>
      <c r="L1637" t="s">
        <v>22</v>
      </c>
      <c r="M1637">
        <v>36</v>
      </c>
      <c r="N1637" t="s">
        <v>23</v>
      </c>
      <c r="O1637">
        <v>269</v>
      </c>
      <c r="P1637">
        <v>1</v>
      </c>
      <c r="Q1637">
        <v>14304.38</v>
      </c>
      <c r="R1637" s="4">
        <v>45600</v>
      </c>
      <c r="S1637" s="6">
        <v>0.34074074074074073</v>
      </c>
      <c r="T1637">
        <f t="shared" si="102"/>
        <v>17</v>
      </c>
      <c r="U1637" t="str" cm="1">
        <f t="array" ref="U1637">_xlfn.IFS(M1637&lt;=34,"YOUNG",M1637&lt;=54,"MIDDLE AGE",M1637&gt;=55,"OLD")</f>
        <v>MIDDLE AGE</v>
      </c>
      <c r="V1637" t="str">
        <f t="shared" si="103"/>
        <v>NORMAL</v>
      </c>
    </row>
    <row r="1638" spans="1:22" x14ac:dyDescent="0.35">
      <c r="A1638" t="s">
        <v>3461</v>
      </c>
      <c r="B1638" t="s">
        <v>1023</v>
      </c>
      <c r="C1638">
        <v>125</v>
      </c>
      <c r="D1638" s="1">
        <v>45082.680497685185</v>
      </c>
      <c r="E1638" s="2">
        <f t="shared" si="100"/>
        <v>0.68049768518540077</v>
      </c>
      <c r="F1638" s="3">
        <f t="shared" si="101"/>
        <v>45082</v>
      </c>
      <c r="G1638" t="s">
        <v>46</v>
      </c>
      <c r="H1638" t="s">
        <v>65</v>
      </c>
      <c r="I1638" t="s">
        <v>1844</v>
      </c>
      <c r="J1638" t="s">
        <v>1112</v>
      </c>
      <c r="K1638" t="s">
        <v>246</v>
      </c>
      <c r="L1638" t="s">
        <v>36</v>
      </c>
      <c r="M1638">
        <v>49</v>
      </c>
      <c r="N1638" t="s">
        <v>77</v>
      </c>
      <c r="O1638">
        <v>177</v>
      </c>
      <c r="P1638">
        <v>1</v>
      </c>
      <c r="Q1638">
        <v>3215.76</v>
      </c>
      <c r="R1638" s="4">
        <v>45600</v>
      </c>
      <c r="S1638" s="6">
        <v>0.34138888888888891</v>
      </c>
      <c r="T1638">
        <f t="shared" si="102"/>
        <v>16</v>
      </c>
      <c r="U1638" t="str" cm="1">
        <f t="array" ref="U1638">_xlfn.IFS(M1638&lt;=34,"YOUNG",M1638&lt;=54,"MIDDLE AGE",M1638&gt;=55,"OLD")</f>
        <v>MIDDLE AGE</v>
      </c>
      <c r="V1638" t="str">
        <f t="shared" si="103"/>
        <v>NORMAL</v>
      </c>
    </row>
    <row r="1639" spans="1:22" x14ac:dyDescent="0.35">
      <c r="A1639" t="s">
        <v>3462</v>
      </c>
      <c r="B1639" t="s">
        <v>167</v>
      </c>
      <c r="C1639">
        <v>348.44</v>
      </c>
      <c r="D1639" s="1">
        <v>45236.74900462963</v>
      </c>
      <c r="E1639" s="2">
        <f t="shared" si="100"/>
        <v>0.74900462962978054</v>
      </c>
      <c r="F1639" s="3">
        <f t="shared" si="101"/>
        <v>45236</v>
      </c>
      <c r="G1639" t="s">
        <v>17</v>
      </c>
      <c r="H1639" t="s">
        <v>197</v>
      </c>
      <c r="I1639" t="s">
        <v>1201</v>
      </c>
      <c r="J1639" t="s">
        <v>1377</v>
      </c>
      <c r="K1639" t="s">
        <v>639</v>
      </c>
      <c r="L1639" t="s">
        <v>36</v>
      </c>
      <c r="M1639">
        <v>24</v>
      </c>
      <c r="N1639" t="s">
        <v>37</v>
      </c>
      <c r="O1639">
        <v>147</v>
      </c>
      <c r="P1639">
        <v>1</v>
      </c>
      <c r="Q1639">
        <v>1022.94</v>
      </c>
      <c r="R1639" s="4">
        <v>45600</v>
      </c>
      <c r="S1639" s="6">
        <v>0.34021990740740743</v>
      </c>
      <c r="T1639">
        <f t="shared" si="102"/>
        <v>17</v>
      </c>
      <c r="U1639" t="str" cm="1">
        <f t="array" ref="U1639">_xlfn.IFS(M1639&lt;=34,"YOUNG",M1639&lt;=54,"MIDDLE AGE",M1639&gt;=55,"OLD")</f>
        <v>YOUNG</v>
      </c>
      <c r="V1639" t="str">
        <f t="shared" si="103"/>
        <v>NORMAL</v>
      </c>
    </row>
    <row r="1640" spans="1:22" x14ac:dyDescent="0.35">
      <c r="A1640" t="s">
        <v>3463</v>
      </c>
      <c r="B1640" t="s">
        <v>657</v>
      </c>
      <c r="C1640">
        <v>128.4</v>
      </c>
      <c r="D1640" s="1">
        <v>45005.720451388886</v>
      </c>
      <c r="E1640" s="2">
        <f t="shared" si="100"/>
        <v>0.72045138888643123</v>
      </c>
      <c r="F1640" s="3">
        <f t="shared" si="101"/>
        <v>45005</v>
      </c>
      <c r="G1640" t="s">
        <v>17</v>
      </c>
      <c r="H1640" t="s">
        <v>255</v>
      </c>
      <c r="I1640" t="s">
        <v>1529</v>
      </c>
      <c r="J1640" t="s">
        <v>2609</v>
      </c>
      <c r="K1640" t="s">
        <v>149</v>
      </c>
      <c r="L1640" t="s">
        <v>22</v>
      </c>
      <c r="M1640">
        <v>69</v>
      </c>
      <c r="N1640" t="s">
        <v>70</v>
      </c>
      <c r="O1640">
        <v>31</v>
      </c>
      <c r="P1640">
        <v>1</v>
      </c>
      <c r="Q1640">
        <v>2610.64</v>
      </c>
      <c r="R1640" s="4">
        <v>45600</v>
      </c>
      <c r="S1640" s="6">
        <v>0.3414814814814815</v>
      </c>
      <c r="T1640">
        <f t="shared" si="102"/>
        <v>17</v>
      </c>
      <c r="U1640" t="str" cm="1">
        <f t="array" ref="U1640">_xlfn.IFS(M1640&lt;=34,"YOUNG",M1640&lt;=54,"MIDDLE AGE",M1640&gt;=55,"OLD")</f>
        <v>OLD</v>
      </c>
      <c r="V1640" t="str">
        <f t="shared" si="103"/>
        <v>NORMAL</v>
      </c>
    </row>
    <row r="1641" spans="1:22" x14ac:dyDescent="0.35">
      <c r="A1641" t="s">
        <v>3464</v>
      </c>
      <c r="B1641" t="s">
        <v>3465</v>
      </c>
      <c r="C1641">
        <v>320.93</v>
      </c>
      <c r="D1641" s="1">
        <v>45099.670543981483</v>
      </c>
      <c r="E1641" s="2">
        <f t="shared" si="100"/>
        <v>0.67054398148320615</v>
      </c>
      <c r="F1641" s="3">
        <f t="shared" si="101"/>
        <v>45099</v>
      </c>
      <c r="G1641" t="s">
        <v>17</v>
      </c>
      <c r="H1641" t="s">
        <v>47</v>
      </c>
      <c r="I1641" t="s">
        <v>147</v>
      </c>
      <c r="J1641" t="s">
        <v>2510</v>
      </c>
      <c r="K1641" t="s">
        <v>607</v>
      </c>
      <c r="L1641" t="s">
        <v>36</v>
      </c>
      <c r="M1641">
        <v>55</v>
      </c>
      <c r="N1641" t="s">
        <v>77</v>
      </c>
      <c r="O1641">
        <v>178</v>
      </c>
      <c r="P1641">
        <v>1</v>
      </c>
      <c r="Q1641">
        <v>9451.66</v>
      </c>
      <c r="R1641" s="4">
        <v>45600</v>
      </c>
      <c r="S1641" s="6">
        <v>0.34059027777777778</v>
      </c>
      <c r="T1641">
        <f t="shared" si="102"/>
        <v>16</v>
      </c>
      <c r="U1641" t="str" cm="1">
        <f t="array" ref="U1641">_xlfn.IFS(M1641&lt;=34,"YOUNG",M1641&lt;=54,"MIDDLE AGE",M1641&gt;=55,"OLD")</f>
        <v>OLD</v>
      </c>
      <c r="V1641" t="str">
        <f t="shared" si="103"/>
        <v>NORMAL</v>
      </c>
    </row>
    <row r="1642" spans="1:22" x14ac:dyDescent="0.35">
      <c r="A1642" t="s">
        <v>3466</v>
      </c>
      <c r="B1642" t="s">
        <v>1327</v>
      </c>
      <c r="C1642">
        <v>1.41</v>
      </c>
      <c r="D1642" s="1">
        <v>45084.710104166668</v>
      </c>
      <c r="E1642" s="2">
        <f t="shared" si="100"/>
        <v>0.71010416666831588</v>
      </c>
      <c r="F1642" s="3">
        <f t="shared" si="101"/>
        <v>45084</v>
      </c>
      <c r="G1642" t="s">
        <v>17</v>
      </c>
      <c r="H1642" t="s">
        <v>285</v>
      </c>
      <c r="I1642" t="s">
        <v>2566</v>
      </c>
      <c r="J1642" t="s">
        <v>841</v>
      </c>
      <c r="K1642" t="s">
        <v>820</v>
      </c>
      <c r="L1642" t="s">
        <v>22</v>
      </c>
      <c r="M1642">
        <v>53</v>
      </c>
      <c r="N1642" t="s">
        <v>70</v>
      </c>
      <c r="O1642">
        <v>278</v>
      </c>
      <c r="P1642">
        <v>1</v>
      </c>
      <c r="Q1642">
        <v>1244.17</v>
      </c>
      <c r="R1642" s="4">
        <v>45600</v>
      </c>
      <c r="S1642" s="6">
        <v>0.34171296296296294</v>
      </c>
      <c r="T1642">
        <f t="shared" si="102"/>
        <v>17</v>
      </c>
      <c r="U1642" t="str" cm="1">
        <f t="array" ref="U1642">_xlfn.IFS(M1642&lt;=34,"YOUNG",M1642&lt;=54,"MIDDLE AGE",M1642&gt;=55,"OLD")</f>
        <v>MIDDLE AGE</v>
      </c>
      <c r="V1642" t="str">
        <f t="shared" si="103"/>
        <v>NORMAL</v>
      </c>
    </row>
    <row r="1643" spans="1:22" x14ac:dyDescent="0.35">
      <c r="A1643" t="s">
        <v>3467</v>
      </c>
      <c r="B1643" t="s">
        <v>242</v>
      </c>
      <c r="C1643">
        <v>50.52</v>
      </c>
      <c r="D1643" s="1">
        <v>45022.669016203705</v>
      </c>
      <c r="E1643" s="2">
        <f t="shared" si="100"/>
        <v>0.66901620370481396</v>
      </c>
      <c r="F1643" s="3">
        <f t="shared" si="101"/>
        <v>45022</v>
      </c>
      <c r="G1643" t="s">
        <v>17</v>
      </c>
      <c r="H1643" t="s">
        <v>140</v>
      </c>
      <c r="I1643" t="s">
        <v>2902</v>
      </c>
      <c r="J1643" t="s">
        <v>643</v>
      </c>
      <c r="K1643" t="s">
        <v>149</v>
      </c>
      <c r="L1643" t="s">
        <v>69</v>
      </c>
      <c r="M1643">
        <v>54</v>
      </c>
      <c r="N1643" t="s">
        <v>23</v>
      </c>
      <c r="O1643">
        <v>293</v>
      </c>
      <c r="P1643">
        <v>1</v>
      </c>
      <c r="Q1643">
        <v>12815.24</v>
      </c>
      <c r="R1643" s="4">
        <v>45600</v>
      </c>
      <c r="S1643" s="6">
        <v>0.33817129629629628</v>
      </c>
      <c r="T1643">
        <f t="shared" si="102"/>
        <v>16</v>
      </c>
      <c r="U1643" t="str" cm="1">
        <f t="array" ref="U1643">_xlfn.IFS(M1643&lt;=34,"YOUNG",M1643&lt;=54,"MIDDLE AGE",M1643&gt;=55,"OLD")</f>
        <v>MIDDLE AGE</v>
      </c>
      <c r="V1643" t="str">
        <f t="shared" si="103"/>
        <v>NORMAL</v>
      </c>
    </row>
    <row r="1644" spans="1:22" x14ac:dyDescent="0.35">
      <c r="A1644" t="s">
        <v>3468</v>
      </c>
      <c r="B1644" t="s">
        <v>196</v>
      </c>
      <c r="C1644">
        <v>383.95</v>
      </c>
      <c r="D1644" s="1">
        <v>45189.748090277775</v>
      </c>
      <c r="E1644" s="2">
        <f t="shared" si="100"/>
        <v>0.74809027777519077</v>
      </c>
      <c r="F1644" s="3">
        <f t="shared" si="101"/>
        <v>45189</v>
      </c>
      <c r="G1644" t="s">
        <v>46</v>
      </c>
      <c r="H1644" t="s">
        <v>18</v>
      </c>
      <c r="I1644" t="s">
        <v>1314</v>
      </c>
      <c r="J1644" t="s">
        <v>2367</v>
      </c>
      <c r="K1644" t="s">
        <v>1524</v>
      </c>
      <c r="L1644" t="s">
        <v>36</v>
      </c>
      <c r="M1644">
        <v>31</v>
      </c>
      <c r="N1644" t="s">
        <v>77</v>
      </c>
      <c r="O1644">
        <v>143</v>
      </c>
      <c r="P1644">
        <v>1</v>
      </c>
      <c r="Q1644">
        <v>9933.56</v>
      </c>
      <c r="R1644" s="4">
        <v>45600</v>
      </c>
      <c r="S1644" s="6">
        <v>0.33883101851851855</v>
      </c>
      <c r="T1644">
        <f t="shared" si="102"/>
        <v>17</v>
      </c>
      <c r="U1644" t="str" cm="1">
        <f t="array" ref="U1644">_xlfn.IFS(M1644&lt;=34,"YOUNG",M1644&lt;=54,"MIDDLE AGE",M1644&gt;=55,"OLD")</f>
        <v>YOUNG</v>
      </c>
      <c r="V1644" t="str">
        <f t="shared" si="103"/>
        <v>NORMAL</v>
      </c>
    </row>
    <row r="1645" spans="1:22" x14ac:dyDescent="0.35">
      <c r="A1645" t="s">
        <v>3469</v>
      </c>
      <c r="B1645" t="s">
        <v>537</v>
      </c>
      <c r="C1645">
        <v>12.94</v>
      </c>
      <c r="D1645" s="1">
        <v>45166.714363425926</v>
      </c>
      <c r="E1645" s="2">
        <f t="shared" si="100"/>
        <v>0.71436342592642177</v>
      </c>
      <c r="F1645" s="3">
        <f t="shared" si="101"/>
        <v>45166</v>
      </c>
      <c r="G1645" t="s">
        <v>17</v>
      </c>
      <c r="H1645" t="s">
        <v>558</v>
      </c>
      <c r="I1645" t="s">
        <v>1358</v>
      </c>
      <c r="J1645" t="s">
        <v>3470</v>
      </c>
      <c r="K1645" t="s">
        <v>634</v>
      </c>
      <c r="L1645" t="s">
        <v>69</v>
      </c>
      <c r="M1645">
        <v>23</v>
      </c>
      <c r="N1645" t="s">
        <v>37</v>
      </c>
      <c r="O1645">
        <v>158</v>
      </c>
      <c r="P1645">
        <v>1</v>
      </c>
      <c r="Q1645">
        <v>921.23</v>
      </c>
      <c r="R1645" s="4">
        <v>45600</v>
      </c>
      <c r="S1645" s="6">
        <v>0.34064814814814814</v>
      </c>
      <c r="T1645">
        <f t="shared" si="102"/>
        <v>17</v>
      </c>
      <c r="U1645" t="str" cm="1">
        <f t="array" ref="U1645">_xlfn.IFS(M1645&lt;=34,"YOUNG",M1645&lt;=54,"MIDDLE AGE",M1645&gt;=55,"OLD")</f>
        <v>YOUNG</v>
      </c>
      <c r="V1645" t="str">
        <f t="shared" si="103"/>
        <v>NORMAL</v>
      </c>
    </row>
    <row r="1646" spans="1:22" x14ac:dyDescent="0.35">
      <c r="A1646" t="s">
        <v>3471</v>
      </c>
      <c r="B1646" t="s">
        <v>463</v>
      </c>
      <c r="C1646">
        <v>329.75</v>
      </c>
      <c r="D1646" s="1">
        <v>45285.730474537035</v>
      </c>
      <c r="E1646" s="2">
        <f t="shared" si="100"/>
        <v>0.73047453703475185</v>
      </c>
      <c r="F1646" s="3">
        <f t="shared" si="101"/>
        <v>45285</v>
      </c>
      <c r="G1646" t="s">
        <v>17</v>
      </c>
      <c r="H1646" t="s">
        <v>285</v>
      </c>
      <c r="I1646" t="s">
        <v>670</v>
      </c>
      <c r="J1646" t="s">
        <v>1917</v>
      </c>
      <c r="K1646" t="s">
        <v>331</v>
      </c>
      <c r="L1646" t="s">
        <v>36</v>
      </c>
      <c r="M1646">
        <v>56</v>
      </c>
      <c r="N1646" t="s">
        <v>70</v>
      </c>
      <c r="O1646">
        <v>211</v>
      </c>
      <c r="P1646">
        <v>1</v>
      </c>
      <c r="Q1646">
        <v>6009.43</v>
      </c>
      <c r="R1646" s="4">
        <v>45600</v>
      </c>
      <c r="S1646" s="6">
        <v>0.34024305555555556</v>
      </c>
      <c r="T1646">
        <f t="shared" si="102"/>
        <v>17</v>
      </c>
      <c r="U1646" t="str" cm="1">
        <f t="array" ref="U1646">_xlfn.IFS(M1646&lt;=34,"YOUNG",M1646&lt;=54,"MIDDLE AGE",M1646&gt;=55,"OLD")</f>
        <v>OLD</v>
      </c>
      <c r="V1646" t="str">
        <f t="shared" si="103"/>
        <v>NORMAL</v>
      </c>
    </row>
    <row r="1647" spans="1:22" x14ac:dyDescent="0.35">
      <c r="A1647" t="s">
        <v>3472</v>
      </c>
      <c r="B1647" t="s">
        <v>1854</v>
      </c>
      <c r="C1647">
        <v>981.76</v>
      </c>
      <c r="D1647" s="1">
        <v>45194.683298611111</v>
      </c>
      <c r="E1647" s="2">
        <f t="shared" si="100"/>
        <v>0.68329861111124046</v>
      </c>
      <c r="F1647" s="3">
        <f t="shared" si="101"/>
        <v>45194</v>
      </c>
      <c r="G1647" t="s">
        <v>17</v>
      </c>
      <c r="H1647" t="s">
        <v>178</v>
      </c>
      <c r="I1647" t="s">
        <v>3106</v>
      </c>
      <c r="J1647" t="s">
        <v>2425</v>
      </c>
      <c r="K1647" t="s">
        <v>143</v>
      </c>
      <c r="L1647" t="s">
        <v>36</v>
      </c>
      <c r="M1647">
        <v>45</v>
      </c>
      <c r="N1647" t="s">
        <v>23</v>
      </c>
      <c r="O1647">
        <v>234</v>
      </c>
      <c r="P1647">
        <v>1</v>
      </c>
      <c r="Q1647">
        <v>602.36</v>
      </c>
      <c r="R1647" s="4">
        <v>45600</v>
      </c>
      <c r="S1647" s="6">
        <v>0.33802083333333333</v>
      </c>
      <c r="T1647">
        <f t="shared" si="102"/>
        <v>16</v>
      </c>
      <c r="U1647" t="str" cm="1">
        <f t="array" ref="U1647">_xlfn.IFS(M1647&lt;=34,"YOUNG",M1647&lt;=54,"MIDDLE AGE",M1647&gt;=55,"OLD")</f>
        <v>MIDDLE AGE</v>
      </c>
      <c r="V1647" t="str">
        <f t="shared" si="103"/>
        <v>NORMAL</v>
      </c>
    </row>
    <row r="1648" spans="1:22" x14ac:dyDescent="0.35">
      <c r="A1648" t="s">
        <v>3473</v>
      </c>
      <c r="B1648" t="s">
        <v>447</v>
      </c>
      <c r="C1648">
        <v>40.79</v>
      </c>
      <c r="D1648" s="1">
        <v>45247.694548611114</v>
      </c>
      <c r="E1648" s="2">
        <f t="shared" si="100"/>
        <v>0.69454861111444188</v>
      </c>
      <c r="F1648" s="3">
        <f t="shared" si="101"/>
        <v>45247</v>
      </c>
      <c r="G1648" t="s">
        <v>17</v>
      </c>
      <c r="H1648" t="s">
        <v>178</v>
      </c>
      <c r="I1648" t="s">
        <v>2008</v>
      </c>
      <c r="J1648" t="s">
        <v>793</v>
      </c>
      <c r="K1648" t="s">
        <v>885</v>
      </c>
      <c r="L1648" t="s">
        <v>22</v>
      </c>
      <c r="M1648">
        <v>18</v>
      </c>
      <c r="N1648" t="s">
        <v>37</v>
      </c>
      <c r="O1648">
        <v>80</v>
      </c>
      <c r="P1648">
        <v>1</v>
      </c>
      <c r="Q1648">
        <v>1769.33</v>
      </c>
      <c r="R1648" s="4">
        <v>45600</v>
      </c>
      <c r="S1648" s="6">
        <v>0.34130787037037036</v>
      </c>
      <c r="T1648">
        <f t="shared" si="102"/>
        <v>16</v>
      </c>
      <c r="U1648" t="str" cm="1">
        <f t="array" ref="U1648">_xlfn.IFS(M1648&lt;=34,"YOUNG",M1648&lt;=54,"MIDDLE AGE",M1648&gt;=55,"OLD")</f>
        <v>YOUNG</v>
      </c>
      <c r="V1648" t="str">
        <f t="shared" si="103"/>
        <v>NORMAL</v>
      </c>
    </row>
    <row r="1649" spans="1:22" x14ac:dyDescent="0.35">
      <c r="A1649" t="s">
        <v>3474</v>
      </c>
      <c r="B1649" t="s">
        <v>935</v>
      </c>
      <c r="C1649">
        <v>99.25</v>
      </c>
      <c r="D1649" s="1">
        <v>45103.704143518517</v>
      </c>
      <c r="E1649" s="2">
        <f t="shared" si="100"/>
        <v>0.70414351851650281</v>
      </c>
      <c r="F1649" s="3">
        <f t="shared" si="101"/>
        <v>45103</v>
      </c>
      <c r="G1649" t="s">
        <v>46</v>
      </c>
      <c r="H1649" t="s">
        <v>425</v>
      </c>
      <c r="I1649" t="s">
        <v>2232</v>
      </c>
      <c r="J1649" t="s">
        <v>1768</v>
      </c>
      <c r="K1649" t="s">
        <v>122</v>
      </c>
      <c r="L1649" t="s">
        <v>36</v>
      </c>
      <c r="M1649">
        <v>63</v>
      </c>
      <c r="N1649" t="s">
        <v>70</v>
      </c>
      <c r="O1649">
        <v>93</v>
      </c>
      <c r="P1649">
        <v>1</v>
      </c>
      <c r="Q1649">
        <v>2570.34</v>
      </c>
      <c r="R1649" s="4">
        <v>45600</v>
      </c>
      <c r="S1649" s="6">
        <v>0.33857638888888891</v>
      </c>
      <c r="T1649">
        <f t="shared" si="102"/>
        <v>16</v>
      </c>
      <c r="U1649" t="str" cm="1">
        <f t="array" ref="U1649">_xlfn.IFS(M1649&lt;=34,"YOUNG",M1649&lt;=54,"MIDDLE AGE",M1649&gt;=55,"OLD")</f>
        <v>OLD</v>
      </c>
      <c r="V1649" t="str">
        <f t="shared" si="103"/>
        <v>NORMAL</v>
      </c>
    </row>
    <row r="1650" spans="1:22" x14ac:dyDescent="0.35">
      <c r="A1650" t="s">
        <v>3475</v>
      </c>
      <c r="B1650" t="s">
        <v>2512</v>
      </c>
      <c r="C1650">
        <v>150.6</v>
      </c>
      <c r="D1650" s="1">
        <v>45033.73846064815</v>
      </c>
      <c r="E1650" s="2">
        <f t="shared" si="100"/>
        <v>0.73846064815006685</v>
      </c>
      <c r="F1650" s="3">
        <f t="shared" si="101"/>
        <v>45033</v>
      </c>
      <c r="G1650" t="s">
        <v>17</v>
      </c>
      <c r="H1650" t="s">
        <v>172</v>
      </c>
      <c r="I1650" t="s">
        <v>630</v>
      </c>
      <c r="J1650" t="s">
        <v>342</v>
      </c>
      <c r="K1650" t="s">
        <v>1014</v>
      </c>
      <c r="L1650" t="s">
        <v>22</v>
      </c>
      <c r="M1650">
        <v>69</v>
      </c>
      <c r="N1650" t="s">
        <v>70</v>
      </c>
      <c r="O1650">
        <v>59</v>
      </c>
      <c r="P1650">
        <v>1</v>
      </c>
      <c r="Q1650">
        <v>3240.14</v>
      </c>
      <c r="R1650" s="4">
        <v>45600</v>
      </c>
      <c r="S1650" s="6">
        <v>0.33854166666666669</v>
      </c>
      <c r="T1650">
        <f t="shared" si="102"/>
        <v>17</v>
      </c>
      <c r="U1650" t="str" cm="1">
        <f t="array" ref="U1650">_xlfn.IFS(M1650&lt;=34,"YOUNG",M1650&lt;=54,"MIDDLE AGE",M1650&gt;=55,"OLD")</f>
        <v>OLD</v>
      </c>
      <c r="V1650" t="str">
        <f t="shared" si="103"/>
        <v>NORMAL</v>
      </c>
    </row>
    <row r="1651" spans="1:22" x14ac:dyDescent="0.35">
      <c r="A1651" t="s">
        <v>3476</v>
      </c>
      <c r="B1651" t="s">
        <v>355</v>
      </c>
      <c r="C1651">
        <v>29.5</v>
      </c>
      <c r="D1651" s="1">
        <v>45127.768182870372</v>
      </c>
      <c r="E1651" s="2">
        <f t="shared" si="100"/>
        <v>0.76818287037167465</v>
      </c>
      <c r="F1651" s="3">
        <f t="shared" si="101"/>
        <v>45127</v>
      </c>
      <c r="G1651" t="s">
        <v>17</v>
      </c>
      <c r="H1651" t="s">
        <v>237</v>
      </c>
      <c r="I1651" t="s">
        <v>1479</v>
      </c>
      <c r="J1651" t="s">
        <v>1864</v>
      </c>
      <c r="K1651" t="s">
        <v>181</v>
      </c>
      <c r="L1651" t="s">
        <v>36</v>
      </c>
      <c r="M1651">
        <v>73</v>
      </c>
      <c r="N1651" t="s">
        <v>70</v>
      </c>
      <c r="O1651">
        <v>129</v>
      </c>
      <c r="P1651">
        <v>1</v>
      </c>
      <c r="Q1651">
        <v>1229.32</v>
      </c>
      <c r="R1651" s="4">
        <v>45600</v>
      </c>
      <c r="S1651" s="6">
        <v>0.33993055555555557</v>
      </c>
      <c r="T1651">
        <f t="shared" si="102"/>
        <v>18</v>
      </c>
      <c r="U1651" t="str" cm="1">
        <f t="array" ref="U1651">_xlfn.IFS(M1651&lt;=34,"YOUNG",M1651&lt;=54,"MIDDLE AGE",M1651&gt;=55,"OLD")</f>
        <v>OLD</v>
      </c>
      <c r="V1651" t="str">
        <f t="shared" si="103"/>
        <v>NORMAL</v>
      </c>
    </row>
    <row r="1652" spans="1:22" x14ac:dyDescent="0.35">
      <c r="A1652" t="s">
        <v>3477</v>
      </c>
      <c r="B1652" t="s">
        <v>337</v>
      </c>
      <c r="C1652">
        <v>54.34</v>
      </c>
      <c r="D1652" s="1">
        <v>45285.752465277779</v>
      </c>
      <c r="E1652" s="2">
        <f t="shared" si="100"/>
        <v>0.75246527777926531</v>
      </c>
      <c r="F1652" s="3">
        <f t="shared" si="101"/>
        <v>45285</v>
      </c>
      <c r="G1652" t="s">
        <v>17</v>
      </c>
      <c r="H1652" t="s">
        <v>86</v>
      </c>
      <c r="I1652" t="s">
        <v>877</v>
      </c>
      <c r="J1652" t="s">
        <v>2974</v>
      </c>
      <c r="K1652" t="s">
        <v>76</v>
      </c>
      <c r="L1652" t="s">
        <v>22</v>
      </c>
      <c r="M1652">
        <v>65</v>
      </c>
      <c r="N1652" t="s">
        <v>23</v>
      </c>
      <c r="O1652">
        <v>46</v>
      </c>
      <c r="P1652">
        <v>1</v>
      </c>
      <c r="Q1652">
        <v>8019.89</v>
      </c>
      <c r="R1652" s="4">
        <v>45600</v>
      </c>
      <c r="S1652" s="6">
        <v>0.34151620370370372</v>
      </c>
      <c r="T1652">
        <f t="shared" si="102"/>
        <v>18</v>
      </c>
      <c r="U1652" t="str" cm="1">
        <f t="array" ref="U1652">_xlfn.IFS(M1652&lt;=34,"YOUNG",M1652&lt;=54,"MIDDLE AGE",M1652&gt;=55,"OLD")</f>
        <v>OLD</v>
      </c>
      <c r="V1652" t="str">
        <f t="shared" si="103"/>
        <v>NORMAL</v>
      </c>
    </row>
    <row r="1653" spans="1:22" x14ac:dyDescent="0.35">
      <c r="A1653" t="s">
        <v>3478</v>
      </c>
      <c r="B1653" t="s">
        <v>687</v>
      </c>
      <c r="C1653">
        <v>18.25</v>
      </c>
      <c r="D1653" s="1">
        <v>45154.695381944446</v>
      </c>
      <c r="E1653" s="2">
        <f t="shared" si="100"/>
        <v>0.695381944446126</v>
      </c>
      <c r="F1653" s="3">
        <f t="shared" si="101"/>
        <v>45154</v>
      </c>
      <c r="G1653" t="s">
        <v>17</v>
      </c>
      <c r="H1653" t="s">
        <v>291</v>
      </c>
      <c r="I1653" t="s">
        <v>2958</v>
      </c>
      <c r="J1653" t="s">
        <v>2367</v>
      </c>
      <c r="K1653" t="s">
        <v>592</v>
      </c>
      <c r="L1653" t="s">
        <v>22</v>
      </c>
      <c r="M1653">
        <v>53</v>
      </c>
      <c r="N1653" t="s">
        <v>23</v>
      </c>
      <c r="O1653">
        <v>18</v>
      </c>
      <c r="P1653">
        <v>1</v>
      </c>
      <c r="Q1653">
        <v>14328.29</v>
      </c>
      <c r="R1653" s="4">
        <v>45600</v>
      </c>
      <c r="S1653" s="6">
        <v>0.33938657407407408</v>
      </c>
      <c r="T1653">
        <f t="shared" si="102"/>
        <v>16</v>
      </c>
      <c r="U1653" t="str" cm="1">
        <f t="array" ref="U1653">_xlfn.IFS(M1653&lt;=34,"YOUNG",M1653&lt;=54,"MIDDLE AGE",M1653&gt;=55,"OLD")</f>
        <v>MIDDLE AGE</v>
      </c>
      <c r="V1653" t="str">
        <f t="shared" si="103"/>
        <v>NORMAL</v>
      </c>
    </row>
    <row r="1654" spans="1:22" x14ac:dyDescent="0.35">
      <c r="A1654" t="s">
        <v>3479</v>
      </c>
      <c r="B1654" t="s">
        <v>2019</v>
      </c>
      <c r="C1654">
        <v>633.87</v>
      </c>
      <c r="D1654" s="1">
        <v>45268.670995370368</v>
      </c>
      <c r="E1654" s="2">
        <f t="shared" si="100"/>
        <v>0.67099537036847323</v>
      </c>
      <c r="F1654" s="3">
        <f t="shared" si="101"/>
        <v>45268</v>
      </c>
      <c r="G1654" t="s">
        <v>17</v>
      </c>
      <c r="H1654" t="s">
        <v>291</v>
      </c>
      <c r="I1654" t="s">
        <v>3480</v>
      </c>
      <c r="J1654" t="s">
        <v>2484</v>
      </c>
      <c r="K1654" t="s">
        <v>652</v>
      </c>
      <c r="L1654" t="s">
        <v>36</v>
      </c>
      <c r="M1654">
        <v>27</v>
      </c>
      <c r="N1654" t="s">
        <v>37</v>
      </c>
      <c r="O1654">
        <v>175</v>
      </c>
      <c r="P1654">
        <v>1</v>
      </c>
      <c r="Q1654">
        <v>330.16</v>
      </c>
      <c r="R1654" s="4">
        <v>45600</v>
      </c>
      <c r="S1654" s="6">
        <v>0.34025462962962966</v>
      </c>
      <c r="T1654">
        <f t="shared" si="102"/>
        <v>16</v>
      </c>
      <c r="U1654" t="str" cm="1">
        <f t="array" ref="U1654">_xlfn.IFS(M1654&lt;=34,"YOUNG",M1654&lt;=54,"MIDDLE AGE",M1654&gt;=55,"OLD")</f>
        <v>YOUNG</v>
      </c>
      <c r="V1654" t="str">
        <f t="shared" si="103"/>
        <v>NORMAL</v>
      </c>
    </row>
    <row r="1655" spans="1:22" x14ac:dyDescent="0.35">
      <c r="A1655" t="s">
        <v>3481</v>
      </c>
      <c r="B1655" t="s">
        <v>1659</v>
      </c>
      <c r="C1655">
        <v>81.150000000000006</v>
      </c>
      <c r="D1655" s="1">
        <v>44974.686249999999</v>
      </c>
      <c r="E1655" s="2">
        <f t="shared" si="100"/>
        <v>0.68624999999883585</v>
      </c>
      <c r="F1655" s="3">
        <f t="shared" si="101"/>
        <v>44974</v>
      </c>
      <c r="G1655" t="s">
        <v>17</v>
      </c>
      <c r="H1655" t="s">
        <v>172</v>
      </c>
      <c r="I1655" t="s">
        <v>324</v>
      </c>
      <c r="J1655" t="s">
        <v>401</v>
      </c>
      <c r="K1655" t="s">
        <v>128</v>
      </c>
      <c r="L1655" t="s">
        <v>22</v>
      </c>
      <c r="M1655">
        <v>19</v>
      </c>
      <c r="N1655" t="s">
        <v>37</v>
      </c>
      <c r="O1655">
        <v>114</v>
      </c>
      <c r="P1655">
        <v>1</v>
      </c>
      <c r="Q1655">
        <v>1595.26</v>
      </c>
      <c r="R1655" s="4">
        <v>45600</v>
      </c>
      <c r="S1655" s="6">
        <v>0.33966435185185184</v>
      </c>
      <c r="T1655">
        <f t="shared" si="102"/>
        <v>16</v>
      </c>
      <c r="U1655" t="str" cm="1">
        <f t="array" ref="U1655">_xlfn.IFS(M1655&lt;=34,"YOUNG",M1655&lt;=54,"MIDDLE AGE",M1655&gt;=55,"OLD")</f>
        <v>YOUNG</v>
      </c>
      <c r="V1655" t="str">
        <f t="shared" si="103"/>
        <v>NORMAL</v>
      </c>
    </row>
    <row r="1656" spans="1:22" x14ac:dyDescent="0.35">
      <c r="A1656" t="s">
        <v>3482</v>
      </c>
      <c r="B1656" t="s">
        <v>2311</v>
      </c>
      <c r="C1656">
        <v>83.95</v>
      </c>
      <c r="D1656" s="1">
        <v>45091.678067129629</v>
      </c>
      <c r="E1656" s="2">
        <f t="shared" si="100"/>
        <v>0.67806712962919846</v>
      </c>
      <c r="F1656" s="3">
        <f t="shared" si="101"/>
        <v>45091</v>
      </c>
      <c r="G1656" t="s">
        <v>17</v>
      </c>
      <c r="H1656" t="s">
        <v>203</v>
      </c>
      <c r="I1656" t="s">
        <v>2126</v>
      </c>
      <c r="J1656" t="s">
        <v>251</v>
      </c>
      <c r="K1656" t="s">
        <v>21</v>
      </c>
      <c r="L1656" t="s">
        <v>36</v>
      </c>
      <c r="M1656">
        <v>75</v>
      </c>
      <c r="N1656" t="s">
        <v>70</v>
      </c>
      <c r="O1656">
        <v>170</v>
      </c>
      <c r="P1656">
        <v>1</v>
      </c>
      <c r="Q1656">
        <v>7413.18</v>
      </c>
      <c r="R1656" s="4">
        <v>45600</v>
      </c>
      <c r="S1656" s="6">
        <v>0.33792824074074074</v>
      </c>
      <c r="T1656">
        <f t="shared" si="102"/>
        <v>16</v>
      </c>
      <c r="U1656" t="str" cm="1">
        <f t="array" ref="U1656">_xlfn.IFS(M1656&lt;=34,"YOUNG",M1656&lt;=54,"MIDDLE AGE",M1656&gt;=55,"OLD")</f>
        <v>OLD</v>
      </c>
      <c r="V1656" t="str">
        <f t="shared" si="103"/>
        <v>NORMAL</v>
      </c>
    </row>
    <row r="1657" spans="1:22" x14ac:dyDescent="0.35">
      <c r="A1657" t="s">
        <v>3483</v>
      </c>
      <c r="B1657" t="s">
        <v>1452</v>
      </c>
      <c r="C1657">
        <v>410.4</v>
      </c>
      <c r="D1657" s="1">
        <v>45065.66678240741</v>
      </c>
      <c r="E1657" s="2">
        <f t="shared" si="100"/>
        <v>0.66678240741021</v>
      </c>
      <c r="F1657" s="3">
        <f t="shared" si="101"/>
        <v>45065</v>
      </c>
      <c r="G1657" t="s">
        <v>46</v>
      </c>
      <c r="H1657" t="s">
        <v>301</v>
      </c>
      <c r="I1657" t="s">
        <v>1031</v>
      </c>
      <c r="J1657" t="s">
        <v>3007</v>
      </c>
      <c r="K1657" t="s">
        <v>1037</v>
      </c>
      <c r="L1657" t="s">
        <v>22</v>
      </c>
      <c r="M1657">
        <v>61</v>
      </c>
      <c r="N1657" t="s">
        <v>70</v>
      </c>
      <c r="O1657">
        <v>78</v>
      </c>
      <c r="P1657">
        <v>1</v>
      </c>
      <c r="Q1657">
        <v>2563.91</v>
      </c>
      <c r="R1657" s="4">
        <v>45600</v>
      </c>
      <c r="S1657" s="6">
        <v>0.33997685185185184</v>
      </c>
      <c r="T1657">
        <f t="shared" si="102"/>
        <v>16</v>
      </c>
      <c r="U1657" t="str" cm="1">
        <f t="array" ref="U1657">_xlfn.IFS(M1657&lt;=34,"YOUNG",M1657&lt;=54,"MIDDLE AGE",M1657&gt;=55,"OLD")</f>
        <v>OLD</v>
      </c>
      <c r="V1657" t="str">
        <f t="shared" si="103"/>
        <v>NORMAL</v>
      </c>
    </row>
    <row r="1658" spans="1:22" x14ac:dyDescent="0.35">
      <c r="A1658" t="s">
        <v>3484</v>
      </c>
      <c r="B1658" t="s">
        <v>2366</v>
      </c>
      <c r="C1658">
        <v>172.68</v>
      </c>
      <c r="D1658" s="1">
        <v>44977.672002314815</v>
      </c>
      <c r="E1658" s="2">
        <f t="shared" si="100"/>
        <v>0.67200231481547235</v>
      </c>
      <c r="F1658" s="3">
        <f t="shared" si="101"/>
        <v>44977</v>
      </c>
      <c r="G1658" t="s">
        <v>17</v>
      </c>
      <c r="H1658" t="s">
        <v>197</v>
      </c>
      <c r="I1658" t="s">
        <v>743</v>
      </c>
      <c r="J1658" t="s">
        <v>2725</v>
      </c>
      <c r="K1658" t="s">
        <v>1000</v>
      </c>
      <c r="L1658" t="s">
        <v>22</v>
      </c>
      <c r="M1658">
        <v>33</v>
      </c>
      <c r="N1658" t="s">
        <v>23</v>
      </c>
      <c r="O1658">
        <v>17</v>
      </c>
      <c r="P1658">
        <v>1</v>
      </c>
      <c r="Q1658">
        <v>10724.95</v>
      </c>
      <c r="R1658" s="4">
        <v>45600</v>
      </c>
      <c r="S1658" s="6">
        <v>0.33876157407407409</v>
      </c>
      <c r="T1658">
        <f t="shared" si="102"/>
        <v>16</v>
      </c>
      <c r="U1658" t="str" cm="1">
        <f t="array" ref="U1658">_xlfn.IFS(M1658&lt;=34,"YOUNG",M1658&lt;=54,"MIDDLE AGE",M1658&gt;=55,"OLD")</f>
        <v>YOUNG</v>
      </c>
      <c r="V1658" t="str">
        <f t="shared" si="103"/>
        <v>NORMAL</v>
      </c>
    </row>
    <row r="1659" spans="1:22" x14ac:dyDescent="0.35">
      <c r="A1659" t="s">
        <v>3485</v>
      </c>
      <c r="B1659" t="s">
        <v>569</v>
      </c>
      <c r="C1659">
        <v>139.88</v>
      </c>
      <c r="D1659" s="1">
        <v>44949.670439814814</v>
      </c>
      <c r="E1659" s="2">
        <f t="shared" si="100"/>
        <v>0.67043981481401715</v>
      </c>
      <c r="F1659" s="3">
        <f t="shared" si="101"/>
        <v>44949</v>
      </c>
      <c r="G1659" t="s">
        <v>17</v>
      </c>
      <c r="H1659" t="s">
        <v>521</v>
      </c>
      <c r="I1659" t="s">
        <v>1824</v>
      </c>
      <c r="J1659" t="s">
        <v>3486</v>
      </c>
      <c r="K1659" t="s">
        <v>1209</v>
      </c>
      <c r="L1659" t="s">
        <v>22</v>
      </c>
      <c r="M1659">
        <v>34</v>
      </c>
      <c r="N1659" t="s">
        <v>77</v>
      </c>
      <c r="O1659">
        <v>162</v>
      </c>
      <c r="P1659">
        <v>1</v>
      </c>
      <c r="Q1659">
        <v>2969.71</v>
      </c>
      <c r="R1659" s="4">
        <v>45600</v>
      </c>
      <c r="S1659" s="6">
        <v>0.33848379629629627</v>
      </c>
      <c r="T1659">
        <f t="shared" si="102"/>
        <v>16</v>
      </c>
      <c r="U1659" t="str" cm="1">
        <f t="array" ref="U1659">_xlfn.IFS(M1659&lt;=34,"YOUNG",M1659&lt;=54,"MIDDLE AGE",M1659&gt;=55,"OLD")</f>
        <v>YOUNG</v>
      </c>
      <c r="V1659" t="str">
        <f t="shared" si="103"/>
        <v>NORMAL</v>
      </c>
    </row>
    <row r="1660" spans="1:22" x14ac:dyDescent="0.35">
      <c r="A1660" t="s">
        <v>3487</v>
      </c>
      <c r="B1660" t="s">
        <v>1081</v>
      </c>
      <c r="C1660">
        <v>165.55</v>
      </c>
      <c r="D1660" s="1">
        <v>45201.765034722222</v>
      </c>
      <c r="E1660" s="2">
        <f t="shared" si="100"/>
        <v>0.76503472222248092</v>
      </c>
      <c r="F1660" s="3">
        <f t="shared" si="101"/>
        <v>45201</v>
      </c>
      <c r="G1660" t="s">
        <v>17</v>
      </c>
      <c r="H1660" t="s">
        <v>323</v>
      </c>
      <c r="I1660" t="s">
        <v>3011</v>
      </c>
      <c r="J1660" t="s">
        <v>142</v>
      </c>
      <c r="K1660" t="s">
        <v>885</v>
      </c>
      <c r="L1660" t="s">
        <v>69</v>
      </c>
      <c r="M1660">
        <v>28</v>
      </c>
      <c r="N1660" t="s">
        <v>37</v>
      </c>
      <c r="O1660">
        <v>115</v>
      </c>
      <c r="P1660">
        <v>1</v>
      </c>
      <c r="Q1660">
        <v>761.78</v>
      </c>
      <c r="R1660" s="4">
        <v>45600</v>
      </c>
      <c r="S1660" s="6">
        <v>0.33952546296296299</v>
      </c>
      <c r="T1660">
        <f t="shared" si="102"/>
        <v>18</v>
      </c>
      <c r="U1660" t="str" cm="1">
        <f t="array" ref="U1660">_xlfn.IFS(M1660&lt;=34,"YOUNG",M1660&lt;=54,"MIDDLE AGE",M1660&gt;=55,"OLD")</f>
        <v>YOUNG</v>
      </c>
      <c r="V1660" t="str">
        <f t="shared" si="103"/>
        <v>NORMAL</v>
      </c>
    </row>
    <row r="1661" spans="1:22" x14ac:dyDescent="0.35">
      <c r="A1661" t="s">
        <v>3488</v>
      </c>
      <c r="B1661" t="s">
        <v>322</v>
      </c>
      <c r="C1661">
        <v>53.79</v>
      </c>
      <c r="D1661" s="1">
        <v>45265.667870370373</v>
      </c>
      <c r="E1661" s="2">
        <f t="shared" si="100"/>
        <v>0.66787037037283881</v>
      </c>
      <c r="F1661" s="3">
        <f t="shared" si="101"/>
        <v>45265</v>
      </c>
      <c r="G1661" t="s">
        <v>46</v>
      </c>
      <c r="H1661" t="s">
        <v>243</v>
      </c>
      <c r="I1661" t="s">
        <v>81</v>
      </c>
      <c r="J1661" t="s">
        <v>465</v>
      </c>
      <c r="K1661" t="s">
        <v>831</v>
      </c>
      <c r="L1661" t="s">
        <v>22</v>
      </c>
      <c r="M1661">
        <v>54</v>
      </c>
      <c r="N1661" t="s">
        <v>77</v>
      </c>
      <c r="O1661">
        <v>137</v>
      </c>
      <c r="P1661">
        <v>3</v>
      </c>
      <c r="Q1661">
        <v>6229.36</v>
      </c>
      <c r="R1661" s="4">
        <v>45600</v>
      </c>
      <c r="S1661" s="6">
        <v>0.3387384259259259</v>
      </c>
      <c r="T1661">
        <f t="shared" si="102"/>
        <v>16</v>
      </c>
      <c r="U1661" t="str" cm="1">
        <f t="array" ref="U1661">_xlfn.IFS(M1661&lt;=34,"YOUNG",M1661&lt;=54,"MIDDLE AGE",M1661&gt;=55,"OLD")</f>
        <v>MIDDLE AGE</v>
      </c>
      <c r="V1661" t="str">
        <f t="shared" si="103"/>
        <v>HIGH</v>
      </c>
    </row>
    <row r="1662" spans="1:22" x14ac:dyDescent="0.35">
      <c r="A1662" t="s">
        <v>3489</v>
      </c>
      <c r="B1662" t="s">
        <v>91</v>
      </c>
      <c r="C1662">
        <v>285.69</v>
      </c>
      <c r="D1662" s="1">
        <v>45266.76090277778</v>
      </c>
      <c r="E1662" s="2">
        <f t="shared" si="100"/>
        <v>0.76090277777984738</v>
      </c>
      <c r="F1662" s="3">
        <f t="shared" si="101"/>
        <v>45266</v>
      </c>
      <c r="G1662" t="s">
        <v>17</v>
      </c>
      <c r="H1662" t="s">
        <v>172</v>
      </c>
      <c r="I1662" t="s">
        <v>3490</v>
      </c>
      <c r="J1662" t="s">
        <v>3084</v>
      </c>
      <c r="K1662" t="s">
        <v>331</v>
      </c>
      <c r="L1662" t="s">
        <v>22</v>
      </c>
      <c r="M1662">
        <v>63</v>
      </c>
      <c r="N1662" t="s">
        <v>70</v>
      </c>
      <c r="O1662">
        <v>35</v>
      </c>
      <c r="P1662">
        <v>1</v>
      </c>
      <c r="Q1662">
        <v>2552.54</v>
      </c>
      <c r="R1662" s="4">
        <v>45600</v>
      </c>
      <c r="S1662" s="6">
        <v>0.33887731481481481</v>
      </c>
      <c r="T1662">
        <f t="shared" si="102"/>
        <v>18</v>
      </c>
      <c r="U1662" t="str" cm="1">
        <f t="array" ref="U1662">_xlfn.IFS(M1662&lt;=34,"YOUNG",M1662&lt;=54,"MIDDLE AGE",M1662&gt;=55,"OLD")</f>
        <v>OLD</v>
      </c>
      <c r="V1662" t="str">
        <f t="shared" si="103"/>
        <v>NORMAL</v>
      </c>
    </row>
    <row r="1663" spans="1:22" x14ac:dyDescent="0.35">
      <c r="A1663" t="s">
        <v>3491</v>
      </c>
      <c r="B1663" t="s">
        <v>1405</v>
      </c>
      <c r="C1663">
        <v>532.4</v>
      </c>
      <c r="D1663" s="1">
        <v>45162.699282407404</v>
      </c>
      <c r="E1663" s="2">
        <f t="shared" si="100"/>
        <v>0.69928240740409819</v>
      </c>
      <c r="F1663" s="3">
        <f t="shared" si="101"/>
        <v>45162</v>
      </c>
      <c r="G1663" t="s">
        <v>17</v>
      </c>
      <c r="H1663" t="s">
        <v>392</v>
      </c>
      <c r="I1663" t="s">
        <v>1800</v>
      </c>
      <c r="J1663" t="s">
        <v>747</v>
      </c>
      <c r="K1663" t="s">
        <v>1562</v>
      </c>
      <c r="L1663" t="s">
        <v>22</v>
      </c>
      <c r="M1663">
        <v>22</v>
      </c>
      <c r="N1663" t="s">
        <v>37</v>
      </c>
      <c r="O1663">
        <v>149</v>
      </c>
      <c r="P1663">
        <v>1</v>
      </c>
      <c r="Q1663">
        <v>1033.73</v>
      </c>
      <c r="R1663" s="4">
        <v>45600</v>
      </c>
      <c r="S1663" s="6">
        <v>0.34012731481481484</v>
      </c>
      <c r="T1663">
        <f t="shared" si="102"/>
        <v>16</v>
      </c>
      <c r="U1663" t="str" cm="1">
        <f t="array" ref="U1663">_xlfn.IFS(M1663&lt;=34,"YOUNG",M1663&lt;=54,"MIDDLE AGE",M1663&gt;=55,"OLD")</f>
        <v>YOUNG</v>
      </c>
      <c r="V1663" t="str">
        <f t="shared" si="103"/>
        <v>NORMAL</v>
      </c>
    </row>
    <row r="1664" spans="1:22" x14ac:dyDescent="0.35">
      <c r="A1664" t="s">
        <v>3492</v>
      </c>
      <c r="B1664" t="s">
        <v>3493</v>
      </c>
      <c r="C1664">
        <v>293.85000000000002</v>
      </c>
      <c r="D1664" s="1">
        <v>45148.68273148148</v>
      </c>
      <c r="E1664" s="2">
        <f t="shared" si="100"/>
        <v>0.68273148148000473</v>
      </c>
      <c r="F1664" s="3">
        <f t="shared" si="101"/>
        <v>45148</v>
      </c>
      <c r="G1664" t="s">
        <v>17</v>
      </c>
      <c r="H1664" t="s">
        <v>249</v>
      </c>
      <c r="I1664" t="s">
        <v>932</v>
      </c>
      <c r="J1664" t="s">
        <v>3494</v>
      </c>
      <c r="K1664" t="s">
        <v>1349</v>
      </c>
      <c r="L1664" t="s">
        <v>36</v>
      </c>
      <c r="M1664">
        <v>25</v>
      </c>
      <c r="N1664" t="s">
        <v>37</v>
      </c>
      <c r="O1664">
        <v>144</v>
      </c>
      <c r="P1664">
        <v>1</v>
      </c>
      <c r="Q1664">
        <v>1919.97</v>
      </c>
      <c r="R1664" s="4">
        <v>45600</v>
      </c>
      <c r="S1664" s="6">
        <v>0.33994212962962961</v>
      </c>
      <c r="T1664">
        <f t="shared" si="102"/>
        <v>16</v>
      </c>
      <c r="U1664" t="str" cm="1">
        <f t="array" ref="U1664">_xlfn.IFS(M1664&lt;=34,"YOUNG",M1664&lt;=54,"MIDDLE AGE",M1664&gt;=55,"OLD")</f>
        <v>YOUNG</v>
      </c>
      <c r="V1664" t="str">
        <f t="shared" si="103"/>
        <v>NORMAL</v>
      </c>
    </row>
    <row r="1665" spans="1:22" x14ac:dyDescent="0.35">
      <c r="A1665" t="s">
        <v>3495</v>
      </c>
      <c r="B1665" t="s">
        <v>1343</v>
      </c>
      <c r="C1665">
        <v>27.94</v>
      </c>
      <c r="D1665" s="1">
        <v>45233.780995370369</v>
      </c>
      <c r="E1665" s="2">
        <f t="shared" si="100"/>
        <v>0.78099537036905531</v>
      </c>
      <c r="F1665" s="3">
        <f t="shared" si="101"/>
        <v>45233</v>
      </c>
      <c r="G1665" t="s">
        <v>17</v>
      </c>
      <c r="H1665" t="s">
        <v>47</v>
      </c>
      <c r="I1665" t="s">
        <v>2144</v>
      </c>
      <c r="J1665" t="s">
        <v>1581</v>
      </c>
      <c r="K1665" t="s">
        <v>482</v>
      </c>
      <c r="L1665" t="s">
        <v>69</v>
      </c>
      <c r="M1665">
        <v>79</v>
      </c>
      <c r="N1665" t="s">
        <v>70</v>
      </c>
      <c r="O1665">
        <v>120</v>
      </c>
      <c r="P1665">
        <v>1</v>
      </c>
      <c r="Q1665">
        <v>1893.44</v>
      </c>
      <c r="R1665" s="4">
        <v>45600</v>
      </c>
      <c r="S1665" s="6">
        <v>0.33923611111111113</v>
      </c>
      <c r="T1665">
        <f t="shared" si="102"/>
        <v>18</v>
      </c>
      <c r="U1665" t="str" cm="1">
        <f t="array" ref="U1665">_xlfn.IFS(M1665&lt;=34,"YOUNG",M1665&lt;=54,"MIDDLE AGE",M1665&gt;=55,"OLD")</f>
        <v>OLD</v>
      </c>
      <c r="V1665" t="str">
        <f t="shared" si="103"/>
        <v>NORMAL</v>
      </c>
    </row>
    <row r="1666" spans="1:22" x14ac:dyDescent="0.35">
      <c r="A1666" t="s">
        <v>3496</v>
      </c>
      <c r="B1666" t="s">
        <v>986</v>
      </c>
      <c r="C1666">
        <v>270.36</v>
      </c>
      <c r="D1666" s="1">
        <v>44988.706377314818</v>
      </c>
      <c r="E1666" s="2">
        <f t="shared" ref="E1666:E1729" si="104">D1666-INT(D1666)</f>
        <v>0.70637731481838273</v>
      </c>
      <c r="F1666" s="3">
        <f t="shared" ref="F1666:F1729" si="105">INT(D1666)</f>
        <v>44988</v>
      </c>
      <c r="G1666" t="s">
        <v>17</v>
      </c>
      <c r="H1666" t="s">
        <v>53</v>
      </c>
      <c r="I1666" t="s">
        <v>596</v>
      </c>
      <c r="J1666" t="s">
        <v>1163</v>
      </c>
      <c r="K1666" t="s">
        <v>252</v>
      </c>
      <c r="L1666" t="s">
        <v>22</v>
      </c>
      <c r="M1666">
        <v>25</v>
      </c>
      <c r="N1666" t="s">
        <v>37</v>
      </c>
      <c r="O1666">
        <v>37</v>
      </c>
      <c r="P1666">
        <v>1</v>
      </c>
      <c r="Q1666">
        <v>1783.04</v>
      </c>
      <c r="R1666" s="4">
        <v>45600</v>
      </c>
      <c r="S1666" s="6">
        <v>0.33878472222222222</v>
      </c>
      <c r="T1666">
        <f t="shared" si="102"/>
        <v>16</v>
      </c>
      <c r="U1666" t="str" cm="1">
        <f t="array" ref="U1666">_xlfn.IFS(M1666&lt;=34,"YOUNG",M1666&lt;=54,"MIDDLE AGE",M1666&gt;=55,"OLD")</f>
        <v>YOUNG</v>
      </c>
      <c r="V1666" t="str">
        <f t="shared" si="103"/>
        <v>NORMAL</v>
      </c>
    </row>
    <row r="1667" spans="1:22" x14ac:dyDescent="0.35">
      <c r="A1667" t="s">
        <v>3497</v>
      </c>
      <c r="B1667" t="s">
        <v>162</v>
      </c>
      <c r="C1667">
        <v>112.66</v>
      </c>
      <c r="D1667" s="1">
        <v>45187.686759259261</v>
      </c>
      <c r="E1667" s="2">
        <f t="shared" si="104"/>
        <v>0.68675925926072523</v>
      </c>
      <c r="F1667" s="3">
        <f t="shared" si="105"/>
        <v>45187</v>
      </c>
      <c r="G1667" t="s">
        <v>17</v>
      </c>
      <c r="H1667" t="s">
        <v>243</v>
      </c>
      <c r="I1667" t="s">
        <v>1362</v>
      </c>
      <c r="J1667" t="s">
        <v>121</v>
      </c>
      <c r="K1667" t="s">
        <v>474</v>
      </c>
      <c r="L1667" t="s">
        <v>36</v>
      </c>
      <c r="M1667">
        <v>29</v>
      </c>
      <c r="N1667" t="s">
        <v>77</v>
      </c>
      <c r="O1667">
        <v>176</v>
      </c>
      <c r="P1667">
        <v>3</v>
      </c>
      <c r="Q1667">
        <v>852.98</v>
      </c>
      <c r="R1667" s="4">
        <v>45600</v>
      </c>
      <c r="S1667" s="6">
        <v>0.33886574074074072</v>
      </c>
      <c r="T1667">
        <f t="shared" ref="T1667:T1730" si="106">HOUR(E1667)</f>
        <v>16</v>
      </c>
      <c r="U1667" t="str" cm="1">
        <f t="array" ref="U1667">_xlfn.IFS(M1667&lt;=34,"YOUNG",M1667&lt;=54,"MIDDLE AGE",M1667&gt;=55,"OLD")</f>
        <v>YOUNG</v>
      </c>
      <c r="V1667" t="str">
        <f t="shared" ref="V1667:V1730" si="107">IF(P1667&gt;1,"HIGH","NORMAL")</f>
        <v>HIGH</v>
      </c>
    </row>
    <row r="1668" spans="1:22" x14ac:dyDescent="0.35">
      <c r="A1668" t="s">
        <v>3498</v>
      </c>
      <c r="B1668" t="s">
        <v>279</v>
      </c>
      <c r="C1668">
        <v>506.03</v>
      </c>
      <c r="D1668" s="1">
        <v>45119.676481481481</v>
      </c>
      <c r="E1668" s="2">
        <f t="shared" si="104"/>
        <v>0.67648148148145992</v>
      </c>
      <c r="F1668" s="3">
        <f t="shared" si="105"/>
        <v>45119</v>
      </c>
      <c r="G1668" t="s">
        <v>17</v>
      </c>
      <c r="H1668" t="s">
        <v>73</v>
      </c>
      <c r="I1668" t="s">
        <v>1952</v>
      </c>
      <c r="J1668" t="s">
        <v>1960</v>
      </c>
      <c r="K1668" t="s">
        <v>740</v>
      </c>
      <c r="L1668" t="s">
        <v>69</v>
      </c>
      <c r="M1668">
        <v>21</v>
      </c>
      <c r="N1668" t="s">
        <v>37</v>
      </c>
      <c r="O1668">
        <v>21</v>
      </c>
      <c r="P1668">
        <v>1</v>
      </c>
      <c r="Q1668">
        <v>1123.8900000000001</v>
      </c>
      <c r="R1668" s="4">
        <v>45600</v>
      </c>
      <c r="S1668" s="6">
        <v>0.33988425925925925</v>
      </c>
      <c r="T1668">
        <f t="shared" si="106"/>
        <v>16</v>
      </c>
      <c r="U1668" t="str" cm="1">
        <f t="array" ref="U1668">_xlfn.IFS(M1668&lt;=34,"YOUNG",M1668&lt;=54,"MIDDLE AGE",M1668&gt;=55,"OLD")</f>
        <v>YOUNG</v>
      </c>
      <c r="V1668" t="str">
        <f t="shared" si="107"/>
        <v>NORMAL</v>
      </c>
    </row>
    <row r="1669" spans="1:22" x14ac:dyDescent="0.35">
      <c r="A1669" t="s">
        <v>3499</v>
      </c>
      <c r="B1669" t="s">
        <v>1147</v>
      </c>
      <c r="C1669">
        <v>206.95</v>
      </c>
      <c r="D1669" s="1">
        <v>45141.680173611108</v>
      </c>
      <c r="E1669" s="2">
        <f t="shared" si="104"/>
        <v>0.68017361110833008</v>
      </c>
      <c r="F1669" s="3">
        <f t="shared" si="105"/>
        <v>45141</v>
      </c>
      <c r="G1669" t="s">
        <v>17</v>
      </c>
      <c r="H1669" t="s">
        <v>59</v>
      </c>
      <c r="I1669" t="s">
        <v>1466</v>
      </c>
      <c r="J1669" t="s">
        <v>2381</v>
      </c>
      <c r="K1669" t="s">
        <v>820</v>
      </c>
      <c r="L1669" t="s">
        <v>69</v>
      </c>
      <c r="M1669">
        <v>22</v>
      </c>
      <c r="N1669" t="s">
        <v>37</v>
      </c>
      <c r="O1669">
        <v>31</v>
      </c>
      <c r="P1669">
        <v>1</v>
      </c>
      <c r="Q1669">
        <v>1817.65</v>
      </c>
      <c r="R1669" s="4">
        <v>45600</v>
      </c>
      <c r="S1669" s="6">
        <v>0.33861111111111108</v>
      </c>
      <c r="T1669">
        <f t="shared" si="106"/>
        <v>16</v>
      </c>
      <c r="U1669" t="str" cm="1">
        <f t="array" ref="U1669">_xlfn.IFS(M1669&lt;=34,"YOUNG",M1669&lt;=54,"MIDDLE AGE",M1669&gt;=55,"OLD")</f>
        <v>YOUNG</v>
      </c>
      <c r="V1669" t="str">
        <f t="shared" si="107"/>
        <v>NORMAL</v>
      </c>
    </row>
    <row r="1670" spans="1:22" x14ac:dyDescent="0.35">
      <c r="A1670" t="s">
        <v>3500</v>
      </c>
      <c r="B1670" t="s">
        <v>2601</v>
      </c>
      <c r="C1670">
        <v>350.96</v>
      </c>
      <c r="D1670" s="1">
        <v>45085.685277777775</v>
      </c>
      <c r="E1670" s="2">
        <f t="shared" si="104"/>
        <v>0.68527777777489973</v>
      </c>
      <c r="F1670" s="3">
        <f t="shared" si="105"/>
        <v>45085</v>
      </c>
      <c r="G1670" t="s">
        <v>17</v>
      </c>
      <c r="H1670" t="s">
        <v>255</v>
      </c>
      <c r="I1670" t="s">
        <v>3501</v>
      </c>
      <c r="J1670" t="s">
        <v>2620</v>
      </c>
      <c r="K1670" t="s">
        <v>246</v>
      </c>
      <c r="L1670" t="s">
        <v>22</v>
      </c>
      <c r="M1670">
        <v>63</v>
      </c>
      <c r="N1670" t="s">
        <v>70</v>
      </c>
      <c r="O1670">
        <v>167</v>
      </c>
      <c r="P1670">
        <v>1</v>
      </c>
      <c r="Q1670">
        <v>5463.94</v>
      </c>
      <c r="R1670" s="4">
        <v>45600</v>
      </c>
      <c r="S1670" s="6">
        <v>0.33892361111111113</v>
      </c>
      <c r="T1670">
        <f t="shared" si="106"/>
        <v>16</v>
      </c>
      <c r="U1670" t="str" cm="1">
        <f t="array" ref="U1670">_xlfn.IFS(M1670&lt;=34,"YOUNG",M1670&lt;=54,"MIDDLE AGE",M1670&gt;=55,"OLD")</f>
        <v>OLD</v>
      </c>
      <c r="V1670" t="str">
        <f t="shared" si="107"/>
        <v>NORMAL</v>
      </c>
    </row>
    <row r="1671" spans="1:22" x14ac:dyDescent="0.35">
      <c r="A1671" t="s">
        <v>3502</v>
      </c>
      <c r="B1671" t="s">
        <v>2532</v>
      </c>
      <c r="C1671">
        <v>261.63</v>
      </c>
      <c r="D1671" s="1">
        <v>45075.769247685188</v>
      </c>
      <c r="E1671" s="2">
        <f t="shared" si="104"/>
        <v>0.76924768518802011</v>
      </c>
      <c r="F1671" s="3">
        <f t="shared" si="105"/>
        <v>45075</v>
      </c>
      <c r="G1671" t="s">
        <v>17</v>
      </c>
      <c r="H1671" t="s">
        <v>265</v>
      </c>
      <c r="I1671" t="s">
        <v>485</v>
      </c>
      <c r="J1671" t="s">
        <v>542</v>
      </c>
      <c r="K1671" t="s">
        <v>762</v>
      </c>
      <c r="L1671" t="s">
        <v>69</v>
      </c>
      <c r="M1671">
        <v>20</v>
      </c>
      <c r="N1671" t="s">
        <v>37</v>
      </c>
      <c r="O1671">
        <v>150</v>
      </c>
      <c r="P1671">
        <v>1</v>
      </c>
      <c r="Q1671">
        <v>477.03</v>
      </c>
      <c r="R1671" s="4">
        <v>45600</v>
      </c>
      <c r="S1671" s="6">
        <v>0.3399652777777778</v>
      </c>
      <c r="T1671">
        <f t="shared" si="106"/>
        <v>18</v>
      </c>
      <c r="U1671" t="str" cm="1">
        <f t="array" ref="U1671">_xlfn.IFS(M1671&lt;=34,"YOUNG",M1671&lt;=54,"MIDDLE AGE",M1671&gt;=55,"OLD")</f>
        <v>YOUNG</v>
      </c>
      <c r="V1671" t="str">
        <f t="shared" si="107"/>
        <v>NORMAL</v>
      </c>
    </row>
    <row r="1672" spans="1:22" x14ac:dyDescent="0.35">
      <c r="A1672" t="s">
        <v>3503</v>
      </c>
      <c r="B1672" t="s">
        <v>2019</v>
      </c>
      <c r="C1672">
        <v>46.12</v>
      </c>
      <c r="D1672" s="1">
        <v>45082.727847222224</v>
      </c>
      <c r="E1672" s="2">
        <f t="shared" si="104"/>
        <v>0.72784722222422715</v>
      </c>
      <c r="F1672" s="3">
        <f t="shared" si="105"/>
        <v>45082</v>
      </c>
      <c r="G1672" t="s">
        <v>17</v>
      </c>
      <c r="H1672" t="s">
        <v>558</v>
      </c>
      <c r="I1672" t="s">
        <v>2437</v>
      </c>
      <c r="J1672" t="s">
        <v>185</v>
      </c>
      <c r="K1672" t="s">
        <v>769</v>
      </c>
      <c r="L1672" t="s">
        <v>69</v>
      </c>
      <c r="M1672">
        <v>59</v>
      </c>
      <c r="N1672" t="s">
        <v>23</v>
      </c>
      <c r="O1672">
        <v>30</v>
      </c>
      <c r="P1672">
        <v>1</v>
      </c>
      <c r="Q1672">
        <v>8874.01</v>
      </c>
      <c r="R1672" s="4">
        <v>45600</v>
      </c>
      <c r="S1672" s="6">
        <v>0.33925925925925926</v>
      </c>
      <c r="T1672">
        <f t="shared" si="106"/>
        <v>17</v>
      </c>
      <c r="U1672" t="str" cm="1">
        <f t="array" ref="U1672">_xlfn.IFS(M1672&lt;=34,"YOUNG",M1672&lt;=54,"MIDDLE AGE",M1672&gt;=55,"OLD")</f>
        <v>OLD</v>
      </c>
      <c r="V1672" t="str">
        <f t="shared" si="107"/>
        <v>NORMAL</v>
      </c>
    </row>
    <row r="1673" spans="1:22" x14ac:dyDescent="0.35">
      <c r="A1673" t="s">
        <v>3504</v>
      </c>
      <c r="B1673" t="s">
        <v>3105</v>
      </c>
      <c r="C1673">
        <v>27.25</v>
      </c>
      <c r="D1673" s="1">
        <v>45005.668645833335</v>
      </c>
      <c r="E1673" s="2">
        <f t="shared" si="104"/>
        <v>0.66864583333517658</v>
      </c>
      <c r="F1673" s="3">
        <f t="shared" si="105"/>
        <v>45005</v>
      </c>
      <c r="G1673" t="s">
        <v>46</v>
      </c>
      <c r="H1673" t="s">
        <v>291</v>
      </c>
      <c r="I1673" t="s">
        <v>2806</v>
      </c>
      <c r="J1673" t="s">
        <v>1414</v>
      </c>
      <c r="K1673" t="s">
        <v>984</v>
      </c>
      <c r="L1673" t="s">
        <v>69</v>
      </c>
      <c r="M1673">
        <v>63</v>
      </c>
      <c r="N1673" t="s">
        <v>70</v>
      </c>
      <c r="O1673">
        <v>92</v>
      </c>
      <c r="P1673">
        <v>1</v>
      </c>
      <c r="Q1673">
        <v>5365.2</v>
      </c>
      <c r="R1673" s="4">
        <v>45600</v>
      </c>
      <c r="S1673" s="6">
        <v>0.33990740740740738</v>
      </c>
      <c r="T1673">
        <f t="shared" si="106"/>
        <v>16</v>
      </c>
      <c r="U1673" t="str" cm="1">
        <f t="array" ref="U1673">_xlfn.IFS(M1673&lt;=34,"YOUNG",M1673&lt;=54,"MIDDLE AGE",M1673&gt;=55,"OLD")</f>
        <v>OLD</v>
      </c>
      <c r="V1673" t="str">
        <f t="shared" si="107"/>
        <v>NORMAL</v>
      </c>
    </row>
    <row r="1674" spans="1:22" x14ac:dyDescent="0.35">
      <c r="A1674" t="s">
        <v>3505</v>
      </c>
      <c r="B1674" t="s">
        <v>3092</v>
      </c>
      <c r="C1674">
        <v>1353.93</v>
      </c>
      <c r="D1674" s="1">
        <v>45245.730682870373</v>
      </c>
      <c r="E1674" s="2">
        <f t="shared" si="104"/>
        <v>0.73068287037312984</v>
      </c>
      <c r="F1674" s="3">
        <f t="shared" si="105"/>
        <v>45245</v>
      </c>
      <c r="G1674" t="s">
        <v>17</v>
      </c>
      <c r="H1674" t="s">
        <v>506</v>
      </c>
      <c r="I1674" t="s">
        <v>2086</v>
      </c>
      <c r="J1674" t="s">
        <v>2555</v>
      </c>
      <c r="K1674" t="s">
        <v>89</v>
      </c>
      <c r="L1674" t="s">
        <v>69</v>
      </c>
      <c r="M1674">
        <v>26</v>
      </c>
      <c r="N1674" t="s">
        <v>77</v>
      </c>
      <c r="O1674">
        <v>171</v>
      </c>
      <c r="P1674">
        <v>1</v>
      </c>
      <c r="Q1674">
        <v>7858.41</v>
      </c>
      <c r="R1674" s="4">
        <v>45600</v>
      </c>
      <c r="S1674" s="6">
        <v>0.33946759259259257</v>
      </c>
      <c r="T1674">
        <f t="shared" si="106"/>
        <v>17</v>
      </c>
      <c r="U1674" t="str" cm="1">
        <f t="array" ref="U1674">_xlfn.IFS(M1674&lt;=34,"YOUNG",M1674&lt;=54,"MIDDLE AGE",M1674&gt;=55,"OLD")</f>
        <v>YOUNG</v>
      </c>
      <c r="V1674" t="str">
        <f t="shared" si="107"/>
        <v>NORMAL</v>
      </c>
    </row>
    <row r="1675" spans="1:22" x14ac:dyDescent="0.35">
      <c r="A1675" t="s">
        <v>3506</v>
      </c>
      <c r="B1675" t="s">
        <v>139</v>
      </c>
      <c r="C1675">
        <v>331.66</v>
      </c>
      <c r="D1675" s="1">
        <v>45180.745127314818</v>
      </c>
      <c r="E1675" s="2">
        <f t="shared" si="104"/>
        <v>0.74512731481809169</v>
      </c>
      <c r="F1675" s="3">
        <f t="shared" si="105"/>
        <v>45180</v>
      </c>
      <c r="G1675" t="s">
        <v>17</v>
      </c>
      <c r="H1675" t="s">
        <v>146</v>
      </c>
      <c r="I1675" t="s">
        <v>2147</v>
      </c>
      <c r="J1675" t="s">
        <v>320</v>
      </c>
      <c r="K1675" t="s">
        <v>143</v>
      </c>
      <c r="L1675" t="s">
        <v>22</v>
      </c>
      <c r="M1675">
        <v>76</v>
      </c>
      <c r="N1675" t="s">
        <v>70</v>
      </c>
      <c r="O1675">
        <v>145</v>
      </c>
      <c r="P1675">
        <v>1</v>
      </c>
      <c r="Q1675">
        <v>7216.3</v>
      </c>
      <c r="R1675" s="4">
        <v>45600</v>
      </c>
      <c r="S1675" s="6">
        <v>0.33915509259259258</v>
      </c>
      <c r="T1675">
        <f t="shared" si="106"/>
        <v>17</v>
      </c>
      <c r="U1675" t="str" cm="1">
        <f t="array" ref="U1675">_xlfn.IFS(M1675&lt;=34,"YOUNG",M1675&lt;=54,"MIDDLE AGE",M1675&gt;=55,"OLD")</f>
        <v>OLD</v>
      </c>
      <c r="V1675" t="str">
        <f t="shared" si="107"/>
        <v>NORMAL</v>
      </c>
    </row>
    <row r="1676" spans="1:22" x14ac:dyDescent="0.35">
      <c r="A1676" t="s">
        <v>3507</v>
      </c>
      <c r="B1676" t="s">
        <v>134</v>
      </c>
      <c r="C1676">
        <v>667.95</v>
      </c>
      <c r="D1676" s="1">
        <v>45134.744062500002</v>
      </c>
      <c r="E1676" s="2">
        <f t="shared" si="104"/>
        <v>0.74406250000174623</v>
      </c>
      <c r="F1676" s="3">
        <f t="shared" si="105"/>
        <v>45134</v>
      </c>
      <c r="G1676" t="s">
        <v>46</v>
      </c>
      <c r="H1676" t="s">
        <v>53</v>
      </c>
      <c r="I1676" t="s">
        <v>220</v>
      </c>
      <c r="J1676" t="s">
        <v>1884</v>
      </c>
      <c r="K1676" t="s">
        <v>1562</v>
      </c>
      <c r="L1676" t="s">
        <v>22</v>
      </c>
      <c r="M1676">
        <v>62</v>
      </c>
      <c r="N1676" t="s">
        <v>23</v>
      </c>
      <c r="O1676">
        <v>253</v>
      </c>
      <c r="P1676">
        <v>1</v>
      </c>
      <c r="Q1676">
        <v>13558.56</v>
      </c>
      <c r="R1676" s="4">
        <v>45600</v>
      </c>
      <c r="S1676" s="6">
        <v>0.33910879629629631</v>
      </c>
      <c r="T1676">
        <f t="shared" si="106"/>
        <v>17</v>
      </c>
      <c r="U1676" t="str" cm="1">
        <f t="array" ref="U1676">_xlfn.IFS(M1676&lt;=34,"YOUNG",M1676&lt;=54,"MIDDLE AGE",M1676&gt;=55,"OLD")</f>
        <v>OLD</v>
      </c>
      <c r="V1676" t="str">
        <f t="shared" si="107"/>
        <v>NORMAL</v>
      </c>
    </row>
    <row r="1677" spans="1:22" x14ac:dyDescent="0.35">
      <c r="A1677" t="s">
        <v>3508</v>
      </c>
      <c r="B1677" t="s">
        <v>3039</v>
      </c>
      <c r="C1677">
        <v>49.84</v>
      </c>
      <c r="D1677" s="1">
        <v>45212.670254629629</v>
      </c>
      <c r="E1677" s="2">
        <f t="shared" si="104"/>
        <v>0.67025462962919846</v>
      </c>
      <c r="F1677" s="3">
        <f t="shared" si="105"/>
        <v>45212</v>
      </c>
      <c r="G1677" t="s">
        <v>17</v>
      </c>
      <c r="H1677" t="s">
        <v>265</v>
      </c>
      <c r="I1677" t="s">
        <v>2770</v>
      </c>
      <c r="J1677" t="s">
        <v>3509</v>
      </c>
      <c r="K1677" t="s">
        <v>312</v>
      </c>
      <c r="L1677" t="s">
        <v>22</v>
      </c>
      <c r="M1677">
        <v>49</v>
      </c>
      <c r="N1677" t="s">
        <v>23</v>
      </c>
      <c r="O1677">
        <v>146</v>
      </c>
      <c r="P1677">
        <v>1</v>
      </c>
      <c r="Q1677">
        <v>7872.04</v>
      </c>
      <c r="R1677" s="4">
        <v>45600</v>
      </c>
      <c r="S1677" s="6">
        <v>0.33837962962962964</v>
      </c>
      <c r="T1677">
        <f t="shared" si="106"/>
        <v>16</v>
      </c>
      <c r="U1677" t="str" cm="1">
        <f t="array" ref="U1677">_xlfn.IFS(M1677&lt;=34,"YOUNG",M1677&lt;=54,"MIDDLE AGE",M1677&gt;=55,"OLD")</f>
        <v>MIDDLE AGE</v>
      </c>
      <c r="V1677" t="str">
        <f t="shared" si="107"/>
        <v>NORMAL</v>
      </c>
    </row>
    <row r="1678" spans="1:22" x14ac:dyDescent="0.35">
      <c r="A1678" t="s">
        <v>3510</v>
      </c>
      <c r="B1678" t="s">
        <v>2251</v>
      </c>
      <c r="C1678">
        <v>556.04</v>
      </c>
      <c r="D1678" s="1">
        <v>45117.695717592593</v>
      </c>
      <c r="E1678" s="2">
        <f t="shared" si="104"/>
        <v>0.69571759259270038</v>
      </c>
      <c r="F1678" s="3">
        <f t="shared" si="105"/>
        <v>45117</v>
      </c>
      <c r="G1678" t="s">
        <v>17</v>
      </c>
      <c r="H1678" t="s">
        <v>114</v>
      </c>
      <c r="I1678" t="s">
        <v>3511</v>
      </c>
      <c r="J1678" t="s">
        <v>2181</v>
      </c>
      <c r="K1678" t="s">
        <v>154</v>
      </c>
      <c r="L1678" t="s">
        <v>22</v>
      </c>
      <c r="M1678">
        <v>72</v>
      </c>
      <c r="N1678" t="s">
        <v>70</v>
      </c>
      <c r="O1678">
        <v>27</v>
      </c>
      <c r="P1678">
        <v>1</v>
      </c>
      <c r="Q1678">
        <v>5200.04</v>
      </c>
      <c r="R1678" s="4">
        <v>45600</v>
      </c>
      <c r="S1678" s="6">
        <v>0.33863425925925927</v>
      </c>
      <c r="T1678">
        <f t="shared" si="106"/>
        <v>16</v>
      </c>
      <c r="U1678" t="str" cm="1">
        <f t="array" ref="U1678">_xlfn.IFS(M1678&lt;=34,"YOUNG",M1678&lt;=54,"MIDDLE AGE",M1678&gt;=55,"OLD")</f>
        <v>OLD</v>
      </c>
      <c r="V1678" t="str">
        <f t="shared" si="107"/>
        <v>NORMAL</v>
      </c>
    </row>
    <row r="1679" spans="1:22" x14ac:dyDescent="0.35">
      <c r="A1679" t="s">
        <v>3512</v>
      </c>
      <c r="B1679" t="s">
        <v>1111</v>
      </c>
      <c r="C1679">
        <v>88.06</v>
      </c>
      <c r="D1679" s="1">
        <v>45226.745208333334</v>
      </c>
      <c r="E1679" s="2">
        <f t="shared" si="104"/>
        <v>0.74520833333372138</v>
      </c>
      <c r="F1679" s="3">
        <f t="shared" si="105"/>
        <v>45226</v>
      </c>
      <c r="G1679" t="s">
        <v>46</v>
      </c>
      <c r="H1679" t="s">
        <v>40</v>
      </c>
      <c r="I1679" t="s">
        <v>2312</v>
      </c>
      <c r="J1679" t="s">
        <v>860</v>
      </c>
      <c r="K1679" t="s">
        <v>1810</v>
      </c>
      <c r="L1679" t="s">
        <v>36</v>
      </c>
      <c r="M1679">
        <v>18</v>
      </c>
      <c r="N1679" t="s">
        <v>37</v>
      </c>
      <c r="O1679">
        <v>288</v>
      </c>
      <c r="P1679">
        <v>1</v>
      </c>
      <c r="Q1679">
        <v>1779.85</v>
      </c>
      <c r="R1679" s="4">
        <v>45600</v>
      </c>
      <c r="S1679" s="6">
        <v>0.33961805555555558</v>
      </c>
      <c r="T1679">
        <f t="shared" si="106"/>
        <v>17</v>
      </c>
      <c r="U1679" t="str" cm="1">
        <f t="array" ref="U1679">_xlfn.IFS(M1679&lt;=34,"YOUNG",M1679&lt;=54,"MIDDLE AGE",M1679&gt;=55,"OLD")</f>
        <v>YOUNG</v>
      </c>
      <c r="V1679" t="str">
        <f t="shared" si="107"/>
        <v>NORMAL</v>
      </c>
    </row>
    <row r="1680" spans="1:22" x14ac:dyDescent="0.35">
      <c r="A1680" t="s">
        <v>3513</v>
      </c>
      <c r="B1680" t="s">
        <v>1368</v>
      </c>
      <c r="C1680">
        <v>745.95</v>
      </c>
      <c r="D1680" s="1">
        <v>45275.693553240744</v>
      </c>
      <c r="E1680" s="2">
        <f t="shared" si="104"/>
        <v>0.69355324074422242</v>
      </c>
      <c r="F1680" s="3">
        <f t="shared" si="105"/>
        <v>45275</v>
      </c>
      <c r="G1680" t="s">
        <v>17</v>
      </c>
      <c r="H1680" t="s">
        <v>92</v>
      </c>
      <c r="I1680" t="s">
        <v>1987</v>
      </c>
      <c r="J1680" t="s">
        <v>1850</v>
      </c>
      <c r="K1680" t="s">
        <v>165</v>
      </c>
      <c r="L1680" t="s">
        <v>22</v>
      </c>
      <c r="M1680">
        <v>58</v>
      </c>
      <c r="N1680" t="s">
        <v>23</v>
      </c>
      <c r="O1680">
        <v>127</v>
      </c>
      <c r="P1680">
        <v>1</v>
      </c>
      <c r="Q1680">
        <v>13264.14</v>
      </c>
      <c r="R1680" s="4">
        <v>45600</v>
      </c>
      <c r="S1680" s="6">
        <v>0.34108796296296295</v>
      </c>
      <c r="T1680">
        <f t="shared" si="106"/>
        <v>16</v>
      </c>
      <c r="U1680" t="str" cm="1">
        <f t="array" ref="U1680">_xlfn.IFS(M1680&lt;=34,"YOUNG",M1680&lt;=54,"MIDDLE AGE",M1680&gt;=55,"OLD")</f>
        <v>OLD</v>
      </c>
      <c r="V1680" t="str">
        <f t="shared" si="107"/>
        <v>NORMAL</v>
      </c>
    </row>
    <row r="1681" spans="1:22" x14ac:dyDescent="0.35">
      <c r="A1681" t="s">
        <v>3514</v>
      </c>
      <c r="B1681" t="s">
        <v>767</v>
      </c>
      <c r="C1681">
        <v>67.25</v>
      </c>
      <c r="D1681" s="1">
        <v>45110.693576388891</v>
      </c>
      <c r="E1681" s="2">
        <f t="shared" si="104"/>
        <v>0.69357638889050577</v>
      </c>
      <c r="F1681" s="3">
        <f t="shared" si="105"/>
        <v>45110</v>
      </c>
      <c r="G1681" t="s">
        <v>17</v>
      </c>
      <c r="H1681" t="s">
        <v>172</v>
      </c>
      <c r="I1681" t="s">
        <v>692</v>
      </c>
      <c r="J1681" t="s">
        <v>2553</v>
      </c>
      <c r="K1681" t="s">
        <v>759</v>
      </c>
      <c r="L1681" t="s">
        <v>36</v>
      </c>
      <c r="M1681">
        <v>19</v>
      </c>
      <c r="N1681" t="s">
        <v>37</v>
      </c>
      <c r="O1681">
        <v>157</v>
      </c>
      <c r="P1681">
        <v>1</v>
      </c>
      <c r="Q1681">
        <v>467.4</v>
      </c>
      <c r="R1681" s="4">
        <v>45600</v>
      </c>
      <c r="S1681" s="6">
        <v>0.34140046296296295</v>
      </c>
      <c r="T1681">
        <f t="shared" si="106"/>
        <v>16</v>
      </c>
      <c r="U1681" t="str" cm="1">
        <f t="array" ref="U1681">_xlfn.IFS(M1681&lt;=34,"YOUNG",M1681&lt;=54,"MIDDLE AGE",M1681&gt;=55,"OLD")</f>
        <v>YOUNG</v>
      </c>
      <c r="V1681" t="str">
        <f t="shared" si="107"/>
        <v>NORMAL</v>
      </c>
    </row>
    <row r="1682" spans="1:22" x14ac:dyDescent="0.35">
      <c r="A1682" t="s">
        <v>3515</v>
      </c>
      <c r="B1682" t="s">
        <v>749</v>
      </c>
      <c r="C1682">
        <v>93.63</v>
      </c>
      <c r="D1682" s="1">
        <v>45159.758113425924</v>
      </c>
      <c r="E1682" s="2">
        <f t="shared" si="104"/>
        <v>0.75811342592351139</v>
      </c>
      <c r="F1682" s="3">
        <f t="shared" si="105"/>
        <v>45159</v>
      </c>
      <c r="G1682" t="s">
        <v>17</v>
      </c>
      <c r="H1682" t="s">
        <v>203</v>
      </c>
      <c r="I1682" t="s">
        <v>1958</v>
      </c>
      <c r="J1682" t="s">
        <v>1571</v>
      </c>
      <c r="K1682" t="s">
        <v>1287</v>
      </c>
      <c r="L1682" t="s">
        <v>22</v>
      </c>
      <c r="M1682">
        <v>29</v>
      </c>
      <c r="N1682" t="s">
        <v>77</v>
      </c>
      <c r="O1682">
        <v>141</v>
      </c>
      <c r="P1682">
        <v>1</v>
      </c>
      <c r="Q1682">
        <v>9873.6200000000008</v>
      </c>
      <c r="R1682" s="4">
        <v>45600</v>
      </c>
      <c r="S1682" s="6">
        <v>0.34024305555555556</v>
      </c>
      <c r="T1682">
        <f t="shared" si="106"/>
        <v>18</v>
      </c>
      <c r="U1682" t="str" cm="1">
        <f t="array" ref="U1682">_xlfn.IFS(M1682&lt;=34,"YOUNG",M1682&lt;=54,"MIDDLE AGE",M1682&gt;=55,"OLD")</f>
        <v>YOUNG</v>
      </c>
      <c r="V1682" t="str">
        <f t="shared" si="107"/>
        <v>NORMAL</v>
      </c>
    </row>
    <row r="1683" spans="1:22" x14ac:dyDescent="0.35">
      <c r="A1683" t="s">
        <v>3516</v>
      </c>
      <c r="B1683" t="s">
        <v>2488</v>
      </c>
      <c r="C1683">
        <v>74.11</v>
      </c>
      <c r="D1683" s="1">
        <v>45125.670601851853</v>
      </c>
      <c r="E1683" s="2">
        <f t="shared" si="104"/>
        <v>0.6706018518525525</v>
      </c>
      <c r="F1683" s="3">
        <f t="shared" si="105"/>
        <v>45125</v>
      </c>
      <c r="G1683" t="s">
        <v>17</v>
      </c>
      <c r="H1683" t="s">
        <v>223</v>
      </c>
      <c r="I1683" t="s">
        <v>2123</v>
      </c>
      <c r="J1683" t="s">
        <v>2868</v>
      </c>
      <c r="K1683" t="s">
        <v>1349</v>
      </c>
      <c r="L1683" t="s">
        <v>69</v>
      </c>
      <c r="M1683">
        <v>22</v>
      </c>
      <c r="N1683" t="s">
        <v>37</v>
      </c>
      <c r="O1683">
        <v>49</v>
      </c>
      <c r="P1683">
        <v>1</v>
      </c>
      <c r="Q1683">
        <v>1257.9000000000001</v>
      </c>
      <c r="R1683" s="4">
        <v>45600</v>
      </c>
      <c r="S1683" s="6">
        <v>0.33960648148148148</v>
      </c>
      <c r="T1683">
        <f t="shared" si="106"/>
        <v>16</v>
      </c>
      <c r="U1683" t="str" cm="1">
        <f t="array" ref="U1683">_xlfn.IFS(M1683&lt;=34,"YOUNG",M1683&lt;=54,"MIDDLE AGE",M1683&gt;=55,"OLD")</f>
        <v>YOUNG</v>
      </c>
      <c r="V1683" t="str">
        <f t="shared" si="107"/>
        <v>NORMAL</v>
      </c>
    </row>
    <row r="1684" spans="1:22" x14ac:dyDescent="0.35">
      <c r="A1684" t="s">
        <v>3517</v>
      </c>
      <c r="B1684" t="s">
        <v>31</v>
      </c>
      <c r="C1684">
        <v>41.13</v>
      </c>
      <c r="D1684" s="1">
        <v>45012.745312500003</v>
      </c>
      <c r="E1684" s="2">
        <f t="shared" si="104"/>
        <v>0.74531250000291038</v>
      </c>
      <c r="F1684" s="3">
        <f t="shared" si="105"/>
        <v>45012</v>
      </c>
      <c r="G1684" t="s">
        <v>46</v>
      </c>
      <c r="H1684" t="s">
        <v>243</v>
      </c>
      <c r="I1684" t="s">
        <v>559</v>
      </c>
      <c r="J1684" t="s">
        <v>1219</v>
      </c>
      <c r="K1684" t="s">
        <v>95</v>
      </c>
      <c r="L1684" t="s">
        <v>69</v>
      </c>
      <c r="M1684">
        <v>77</v>
      </c>
      <c r="N1684" t="s">
        <v>70</v>
      </c>
      <c r="O1684">
        <v>58</v>
      </c>
      <c r="P1684">
        <v>1</v>
      </c>
      <c r="Q1684">
        <v>6067.54</v>
      </c>
      <c r="R1684" s="4">
        <v>45600</v>
      </c>
      <c r="S1684" s="6">
        <v>0.34031250000000002</v>
      </c>
      <c r="T1684">
        <f t="shared" si="106"/>
        <v>17</v>
      </c>
      <c r="U1684" t="str" cm="1">
        <f t="array" ref="U1684">_xlfn.IFS(M1684&lt;=34,"YOUNG",M1684&lt;=54,"MIDDLE AGE",M1684&gt;=55,"OLD")</f>
        <v>OLD</v>
      </c>
      <c r="V1684" t="str">
        <f t="shared" si="107"/>
        <v>NORMAL</v>
      </c>
    </row>
    <row r="1685" spans="1:22" x14ac:dyDescent="0.35">
      <c r="A1685" t="s">
        <v>3518</v>
      </c>
      <c r="B1685" t="s">
        <v>2507</v>
      </c>
      <c r="C1685">
        <v>192.02</v>
      </c>
      <c r="D1685" s="1">
        <v>45279.674745370372</v>
      </c>
      <c r="E1685" s="2">
        <f t="shared" si="104"/>
        <v>0.67474537037196569</v>
      </c>
      <c r="F1685" s="3">
        <f t="shared" si="105"/>
        <v>45279</v>
      </c>
      <c r="G1685" t="s">
        <v>46</v>
      </c>
      <c r="H1685" t="s">
        <v>65</v>
      </c>
      <c r="I1685" t="s">
        <v>692</v>
      </c>
      <c r="J1685" t="s">
        <v>1427</v>
      </c>
      <c r="K1685" t="s">
        <v>105</v>
      </c>
      <c r="L1685" t="s">
        <v>36</v>
      </c>
      <c r="M1685">
        <v>79</v>
      </c>
      <c r="N1685" t="s">
        <v>70</v>
      </c>
      <c r="O1685">
        <v>154</v>
      </c>
      <c r="P1685">
        <v>1</v>
      </c>
      <c r="Q1685">
        <v>5169.07</v>
      </c>
      <c r="R1685" s="4">
        <v>45600</v>
      </c>
      <c r="S1685" s="6">
        <v>0.33960648148148148</v>
      </c>
      <c r="T1685">
        <f t="shared" si="106"/>
        <v>16</v>
      </c>
      <c r="U1685" t="str" cm="1">
        <f t="array" ref="U1685">_xlfn.IFS(M1685&lt;=34,"YOUNG",M1685&lt;=54,"MIDDLE AGE",M1685&gt;=55,"OLD")</f>
        <v>OLD</v>
      </c>
      <c r="V1685" t="str">
        <f t="shared" si="107"/>
        <v>NORMAL</v>
      </c>
    </row>
    <row r="1686" spans="1:22" x14ac:dyDescent="0.35">
      <c r="A1686" t="s">
        <v>3519</v>
      </c>
      <c r="B1686" t="s">
        <v>1206</v>
      </c>
      <c r="C1686">
        <v>291.27</v>
      </c>
      <c r="D1686" s="1">
        <v>45096.749236111114</v>
      </c>
      <c r="E1686" s="2">
        <f t="shared" si="104"/>
        <v>0.74923611111444188</v>
      </c>
      <c r="F1686" s="3">
        <f t="shared" si="105"/>
        <v>45096</v>
      </c>
      <c r="G1686" t="s">
        <v>17</v>
      </c>
      <c r="H1686" t="s">
        <v>73</v>
      </c>
      <c r="I1686" t="s">
        <v>1809</v>
      </c>
      <c r="J1686" t="s">
        <v>773</v>
      </c>
      <c r="K1686" t="s">
        <v>348</v>
      </c>
      <c r="L1686" t="s">
        <v>69</v>
      </c>
      <c r="M1686">
        <v>77</v>
      </c>
      <c r="N1686" t="s">
        <v>70</v>
      </c>
      <c r="O1686">
        <v>121</v>
      </c>
      <c r="P1686">
        <v>1</v>
      </c>
      <c r="Q1686">
        <v>6878.86</v>
      </c>
      <c r="R1686" s="4">
        <v>45600</v>
      </c>
      <c r="S1686" s="6">
        <v>0.34046296296296297</v>
      </c>
      <c r="T1686">
        <f t="shared" si="106"/>
        <v>17</v>
      </c>
      <c r="U1686" t="str" cm="1">
        <f t="array" ref="U1686">_xlfn.IFS(M1686&lt;=34,"YOUNG",M1686&lt;=54,"MIDDLE AGE",M1686&gt;=55,"OLD")</f>
        <v>OLD</v>
      </c>
      <c r="V1686" t="str">
        <f t="shared" si="107"/>
        <v>NORMAL</v>
      </c>
    </row>
    <row r="1687" spans="1:22" x14ac:dyDescent="0.35">
      <c r="A1687" t="s">
        <v>3520</v>
      </c>
      <c r="B1687" t="s">
        <v>2309</v>
      </c>
      <c r="C1687">
        <v>296.45999999999998</v>
      </c>
      <c r="D1687" s="1">
        <v>45239.674988425926</v>
      </c>
      <c r="E1687" s="2">
        <f t="shared" si="104"/>
        <v>0.67498842592613073</v>
      </c>
      <c r="F1687" s="3">
        <f t="shared" si="105"/>
        <v>45239</v>
      </c>
      <c r="G1687" t="s">
        <v>17</v>
      </c>
      <c r="H1687" t="s">
        <v>323</v>
      </c>
      <c r="I1687" t="s">
        <v>1441</v>
      </c>
      <c r="J1687" t="s">
        <v>1683</v>
      </c>
      <c r="K1687" t="s">
        <v>246</v>
      </c>
      <c r="L1687" t="s">
        <v>69</v>
      </c>
      <c r="M1687">
        <v>23</v>
      </c>
      <c r="N1687" t="s">
        <v>37</v>
      </c>
      <c r="O1687">
        <v>136</v>
      </c>
      <c r="P1687">
        <v>1</v>
      </c>
      <c r="Q1687">
        <v>558.99</v>
      </c>
      <c r="R1687" s="4">
        <v>45600</v>
      </c>
      <c r="S1687" s="6">
        <v>0.33910879629629631</v>
      </c>
      <c r="T1687">
        <f t="shared" si="106"/>
        <v>16</v>
      </c>
      <c r="U1687" t="str" cm="1">
        <f t="array" ref="U1687">_xlfn.IFS(M1687&lt;=34,"YOUNG",M1687&lt;=54,"MIDDLE AGE",M1687&gt;=55,"OLD")</f>
        <v>YOUNG</v>
      </c>
      <c r="V1687" t="str">
        <f t="shared" si="107"/>
        <v>NORMAL</v>
      </c>
    </row>
    <row r="1688" spans="1:22" x14ac:dyDescent="0.35">
      <c r="A1688" t="s">
        <v>3521</v>
      </c>
      <c r="B1688" t="s">
        <v>1878</v>
      </c>
      <c r="C1688">
        <v>341.84</v>
      </c>
      <c r="D1688" s="1">
        <v>45100.673750000002</v>
      </c>
      <c r="E1688" s="2">
        <f t="shared" si="104"/>
        <v>0.67375000000174623</v>
      </c>
      <c r="F1688" s="3">
        <f t="shared" si="105"/>
        <v>45100</v>
      </c>
      <c r="G1688" t="s">
        <v>46</v>
      </c>
      <c r="H1688" t="s">
        <v>506</v>
      </c>
      <c r="I1688" t="s">
        <v>2123</v>
      </c>
      <c r="J1688" t="s">
        <v>1742</v>
      </c>
      <c r="K1688" t="s">
        <v>607</v>
      </c>
      <c r="L1688" t="s">
        <v>69</v>
      </c>
      <c r="M1688">
        <v>27</v>
      </c>
      <c r="N1688" t="s">
        <v>37</v>
      </c>
      <c r="O1688">
        <v>89</v>
      </c>
      <c r="P1688">
        <v>1</v>
      </c>
      <c r="Q1688">
        <v>1400.04</v>
      </c>
      <c r="R1688" s="4">
        <v>45600</v>
      </c>
      <c r="S1688" s="6">
        <v>0.33868055555555554</v>
      </c>
      <c r="T1688">
        <f t="shared" si="106"/>
        <v>16</v>
      </c>
      <c r="U1688" t="str" cm="1">
        <f t="array" ref="U1688">_xlfn.IFS(M1688&lt;=34,"YOUNG",M1688&lt;=54,"MIDDLE AGE",M1688&gt;=55,"OLD")</f>
        <v>YOUNG</v>
      </c>
      <c r="V1688" t="str">
        <f t="shared" si="107"/>
        <v>NORMAL</v>
      </c>
    </row>
    <row r="1689" spans="1:22" x14ac:dyDescent="0.35">
      <c r="A1689" t="s">
        <v>3522</v>
      </c>
      <c r="B1689" t="s">
        <v>848</v>
      </c>
      <c r="C1689">
        <v>98.41</v>
      </c>
      <c r="D1689" s="1">
        <v>45089.715069444443</v>
      </c>
      <c r="E1689" s="2">
        <f t="shared" si="104"/>
        <v>0.71506944444263354</v>
      </c>
      <c r="F1689" s="3">
        <f t="shared" si="105"/>
        <v>45089</v>
      </c>
      <c r="G1689" t="s">
        <v>17</v>
      </c>
      <c r="H1689" t="s">
        <v>285</v>
      </c>
      <c r="I1689" t="s">
        <v>41</v>
      </c>
      <c r="J1689" t="s">
        <v>3007</v>
      </c>
      <c r="K1689" t="s">
        <v>29</v>
      </c>
      <c r="L1689" t="s">
        <v>36</v>
      </c>
      <c r="M1689">
        <v>27</v>
      </c>
      <c r="N1689" t="s">
        <v>37</v>
      </c>
      <c r="O1689">
        <v>48</v>
      </c>
      <c r="P1689">
        <v>1</v>
      </c>
      <c r="Q1689">
        <v>912.71</v>
      </c>
      <c r="R1689" s="4">
        <v>45600</v>
      </c>
      <c r="S1689" s="6">
        <v>0.33940972222222221</v>
      </c>
      <c r="T1689">
        <f t="shared" si="106"/>
        <v>17</v>
      </c>
      <c r="U1689" t="str" cm="1">
        <f t="array" ref="U1689">_xlfn.IFS(M1689&lt;=34,"YOUNG",M1689&lt;=54,"MIDDLE AGE",M1689&gt;=55,"OLD")</f>
        <v>YOUNG</v>
      </c>
      <c r="V1689" t="str">
        <f t="shared" si="107"/>
        <v>NORMAL</v>
      </c>
    </row>
    <row r="1690" spans="1:22" x14ac:dyDescent="0.35">
      <c r="A1690" t="s">
        <v>3523</v>
      </c>
      <c r="B1690" t="s">
        <v>1955</v>
      </c>
      <c r="C1690">
        <v>109.28</v>
      </c>
      <c r="D1690" s="1">
        <v>45086.680694444447</v>
      </c>
      <c r="E1690" s="2">
        <f t="shared" si="104"/>
        <v>0.68069444444699911</v>
      </c>
      <c r="F1690" s="3">
        <f t="shared" si="105"/>
        <v>45086</v>
      </c>
      <c r="G1690" t="s">
        <v>17</v>
      </c>
      <c r="H1690" t="s">
        <v>18</v>
      </c>
      <c r="I1690" t="s">
        <v>3399</v>
      </c>
      <c r="J1690" t="s">
        <v>2484</v>
      </c>
      <c r="K1690" t="s">
        <v>984</v>
      </c>
      <c r="L1690" t="s">
        <v>36</v>
      </c>
      <c r="M1690">
        <v>36</v>
      </c>
      <c r="N1690" t="s">
        <v>77</v>
      </c>
      <c r="O1690">
        <v>112</v>
      </c>
      <c r="P1690">
        <v>4</v>
      </c>
      <c r="Q1690">
        <v>6338.35</v>
      </c>
      <c r="R1690" s="4">
        <v>45600</v>
      </c>
      <c r="S1690" s="6">
        <v>0.3384375</v>
      </c>
      <c r="T1690">
        <f t="shared" si="106"/>
        <v>16</v>
      </c>
      <c r="U1690" t="str" cm="1">
        <f t="array" ref="U1690">_xlfn.IFS(M1690&lt;=34,"YOUNG",M1690&lt;=54,"MIDDLE AGE",M1690&gt;=55,"OLD")</f>
        <v>MIDDLE AGE</v>
      </c>
      <c r="V1690" t="str">
        <f t="shared" si="107"/>
        <v>HIGH</v>
      </c>
    </row>
    <row r="1691" spans="1:22" x14ac:dyDescent="0.35">
      <c r="A1691" t="s">
        <v>3524</v>
      </c>
      <c r="B1691" t="s">
        <v>188</v>
      </c>
      <c r="C1691">
        <v>27.51</v>
      </c>
      <c r="D1691" s="1">
        <v>45189.761145833334</v>
      </c>
      <c r="E1691" s="2">
        <f t="shared" si="104"/>
        <v>0.76114583333401242</v>
      </c>
      <c r="F1691" s="3">
        <f t="shared" si="105"/>
        <v>45189</v>
      </c>
      <c r="G1691" t="s">
        <v>46</v>
      </c>
      <c r="H1691" t="s">
        <v>125</v>
      </c>
      <c r="I1691" t="s">
        <v>220</v>
      </c>
      <c r="J1691" t="s">
        <v>1291</v>
      </c>
      <c r="K1691" t="s">
        <v>100</v>
      </c>
      <c r="L1691" t="s">
        <v>36</v>
      </c>
      <c r="M1691">
        <v>40</v>
      </c>
      <c r="N1691" t="s">
        <v>23</v>
      </c>
      <c r="O1691">
        <v>103</v>
      </c>
      <c r="P1691">
        <v>1</v>
      </c>
      <c r="Q1691">
        <v>13645.63</v>
      </c>
      <c r="R1691" s="4">
        <v>45600</v>
      </c>
      <c r="S1691" s="6">
        <v>0.33781250000000002</v>
      </c>
      <c r="T1691">
        <f t="shared" si="106"/>
        <v>18</v>
      </c>
      <c r="U1691" t="str" cm="1">
        <f t="array" ref="U1691">_xlfn.IFS(M1691&lt;=34,"YOUNG",M1691&lt;=54,"MIDDLE AGE",M1691&gt;=55,"OLD")</f>
        <v>MIDDLE AGE</v>
      </c>
      <c r="V1691" t="str">
        <f t="shared" si="107"/>
        <v>NORMAL</v>
      </c>
    </row>
    <row r="1692" spans="1:22" x14ac:dyDescent="0.35">
      <c r="A1692" t="s">
        <v>3525</v>
      </c>
      <c r="B1692" t="s">
        <v>698</v>
      </c>
      <c r="C1692">
        <v>12.18</v>
      </c>
      <c r="D1692" s="1">
        <v>45036.785173611112</v>
      </c>
      <c r="E1692" s="2">
        <f t="shared" si="104"/>
        <v>0.7851736111115315</v>
      </c>
      <c r="F1692" s="3">
        <f t="shared" si="105"/>
        <v>45036</v>
      </c>
      <c r="G1692" t="s">
        <v>17</v>
      </c>
      <c r="H1692" t="s">
        <v>203</v>
      </c>
      <c r="I1692" t="s">
        <v>3094</v>
      </c>
      <c r="J1692" t="s">
        <v>3526</v>
      </c>
      <c r="K1692" t="s">
        <v>769</v>
      </c>
      <c r="L1692" t="s">
        <v>69</v>
      </c>
      <c r="M1692">
        <v>76</v>
      </c>
      <c r="N1692" t="s">
        <v>70</v>
      </c>
      <c r="O1692">
        <v>77</v>
      </c>
      <c r="P1692">
        <v>1</v>
      </c>
      <c r="Q1692">
        <v>4909.24</v>
      </c>
      <c r="R1692" s="4">
        <v>45600</v>
      </c>
      <c r="S1692" s="6">
        <v>0.33862268518518518</v>
      </c>
      <c r="T1692">
        <f t="shared" si="106"/>
        <v>18</v>
      </c>
      <c r="U1692" t="str" cm="1">
        <f t="array" ref="U1692">_xlfn.IFS(M1692&lt;=34,"YOUNG",M1692&lt;=54,"MIDDLE AGE",M1692&gt;=55,"OLD")</f>
        <v>OLD</v>
      </c>
      <c r="V1692" t="str">
        <f t="shared" si="107"/>
        <v>NORMAL</v>
      </c>
    </row>
    <row r="1693" spans="1:22" x14ac:dyDescent="0.35">
      <c r="A1693" t="s">
        <v>3527</v>
      </c>
      <c r="B1693" t="s">
        <v>545</v>
      </c>
      <c r="C1693">
        <v>207.71</v>
      </c>
      <c r="D1693" s="1">
        <v>45246.742303240739</v>
      </c>
      <c r="E1693" s="2">
        <f t="shared" si="104"/>
        <v>0.74230324073869269</v>
      </c>
      <c r="F1693" s="3">
        <f t="shared" si="105"/>
        <v>45246</v>
      </c>
      <c r="G1693" t="s">
        <v>46</v>
      </c>
      <c r="H1693" t="s">
        <v>291</v>
      </c>
      <c r="I1693" t="s">
        <v>2355</v>
      </c>
      <c r="J1693" t="s">
        <v>591</v>
      </c>
      <c r="K1693" t="s">
        <v>386</v>
      </c>
      <c r="L1693" t="s">
        <v>36</v>
      </c>
      <c r="M1693">
        <v>25</v>
      </c>
      <c r="N1693" t="s">
        <v>37</v>
      </c>
      <c r="O1693">
        <v>63</v>
      </c>
      <c r="P1693">
        <v>1</v>
      </c>
      <c r="Q1693">
        <v>570.1</v>
      </c>
      <c r="R1693" s="4">
        <v>45600</v>
      </c>
      <c r="S1693" s="6">
        <v>0.34091435185185187</v>
      </c>
      <c r="T1693">
        <f t="shared" si="106"/>
        <v>17</v>
      </c>
      <c r="U1693" t="str" cm="1">
        <f t="array" ref="U1693">_xlfn.IFS(M1693&lt;=34,"YOUNG",M1693&lt;=54,"MIDDLE AGE",M1693&gt;=55,"OLD")</f>
        <v>YOUNG</v>
      </c>
      <c r="V1693" t="str">
        <f t="shared" si="107"/>
        <v>NORMAL</v>
      </c>
    </row>
    <row r="1694" spans="1:22" x14ac:dyDescent="0.35">
      <c r="A1694" t="s">
        <v>3528</v>
      </c>
      <c r="B1694" t="s">
        <v>1293</v>
      </c>
      <c r="C1694">
        <v>25.77</v>
      </c>
      <c r="D1694" s="1">
        <v>45124.718993055554</v>
      </c>
      <c r="E1694" s="2">
        <f t="shared" si="104"/>
        <v>0.71899305555416504</v>
      </c>
      <c r="F1694" s="3">
        <f t="shared" si="105"/>
        <v>45124</v>
      </c>
      <c r="G1694" t="s">
        <v>46</v>
      </c>
      <c r="H1694" t="s">
        <v>18</v>
      </c>
      <c r="I1694" t="s">
        <v>3529</v>
      </c>
      <c r="J1694" t="s">
        <v>2494</v>
      </c>
      <c r="K1694" t="s">
        <v>303</v>
      </c>
      <c r="L1694" t="s">
        <v>36</v>
      </c>
      <c r="M1694">
        <v>45</v>
      </c>
      <c r="N1694" t="s">
        <v>23</v>
      </c>
      <c r="O1694">
        <v>277</v>
      </c>
      <c r="P1694">
        <v>1</v>
      </c>
      <c r="Q1694">
        <v>11749.77</v>
      </c>
      <c r="R1694" s="4">
        <v>45600</v>
      </c>
      <c r="S1694" s="6">
        <v>0.34065972222222224</v>
      </c>
      <c r="T1694">
        <f t="shared" si="106"/>
        <v>17</v>
      </c>
      <c r="U1694" t="str" cm="1">
        <f t="array" ref="U1694">_xlfn.IFS(M1694&lt;=34,"YOUNG",M1694&lt;=54,"MIDDLE AGE",M1694&gt;=55,"OLD")</f>
        <v>MIDDLE AGE</v>
      </c>
      <c r="V1694" t="str">
        <f t="shared" si="107"/>
        <v>NORMAL</v>
      </c>
    </row>
    <row r="1695" spans="1:22" x14ac:dyDescent="0.35">
      <c r="A1695" t="s">
        <v>3530</v>
      </c>
      <c r="B1695" t="s">
        <v>1074</v>
      </c>
      <c r="C1695">
        <v>127.57</v>
      </c>
      <c r="D1695" s="1">
        <v>44984.720196759263</v>
      </c>
      <c r="E1695" s="2">
        <f t="shared" si="104"/>
        <v>0.7201967592627625</v>
      </c>
      <c r="F1695" s="3">
        <f t="shared" si="105"/>
        <v>44984</v>
      </c>
      <c r="G1695" t="s">
        <v>17</v>
      </c>
      <c r="H1695" t="s">
        <v>80</v>
      </c>
      <c r="I1695" t="s">
        <v>1389</v>
      </c>
      <c r="J1695" t="s">
        <v>1139</v>
      </c>
      <c r="K1695" t="s">
        <v>474</v>
      </c>
      <c r="L1695" t="s">
        <v>22</v>
      </c>
      <c r="M1695">
        <v>52</v>
      </c>
      <c r="N1695" t="s">
        <v>70</v>
      </c>
      <c r="O1695">
        <v>75</v>
      </c>
      <c r="P1695">
        <v>1</v>
      </c>
      <c r="Q1695">
        <v>6118.2</v>
      </c>
      <c r="R1695" s="4">
        <v>45600</v>
      </c>
      <c r="S1695" s="6">
        <v>0.34079861111111109</v>
      </c>
      <c r="T1695">
        <f t="shared" si="106"/>
        <v>17</v>
      </c>
      <c r="U1695" t="str" cm="1">
        <f t="array" ref="U1695">_xlfn.IFS(M1695&lt;=34,"YOUNG",M1695&lt;=54,"MIDDLE AGE",M1695&gt;=55,"OLD")</f>
        <v>MIDDLE AGE</v>
      </c>
      <c r="V1695" t="str">
        <f t="shared" si="107"/>
        <v>NORMAL</v>
      </c>
    </row>
    <row r="1696" spans="1:22" x14ac:dyDescent="0.35">
      <c r="A1696" t="s">
        <v>3531</v>
      </c>
      <c r="B1696" t="s">
        <v>52</v>
      </c>
      <c r="C1696">
        <v>392.05</v>
      </c>
      <c r="D1696" s="1">
        <v>45096.688900462963</v>
      </c>
      <c r="E1696" s="2">
        <f t="shared" si="104"/>
        <v>0.68890046296291985</v>
      </c>
      <c r="F1696" s="3">
        <f t="shared" si="105"/>
        <v>45096</v>
      </c>
      <c r="G1696" t="s">
        <v>17</v>
      </c>
      <c r="H1696" t="s">
        <v>114</v>
      </c>
      <c r="I1696" t="s">
        <v>1017</v>
      </c>
      <c r="J1696" t="s">
        <v>82</v>
      </c>
      <c r="K1696" t="s">
        <v>514</v>
      </c>
      <c r="L1696" t="s">
        <v>22</v>
      </c>
      <c r="M1696">
        <v>60</v>
      </c>
      <c r="N1696" t="s">
        <v>77</v>
      </c>
      <c r="O1696">
        <v>172</v>
      </c>
      <c r="P1696">
        <v>1</v>
      </c>
      <c r="Q1696">
        <v>4383.6899999999996</v>
      </c>
      <c r="R1696" s="4">
        <v>45600</v>
      </c>
      <c r="S1696" s="6">
        <v>0.33778935185185183</v>
      </c>
      <c r="T1696">
        <f t="shared" si="106"/>
        <v>16</v>
      </c>
      <c r="U1696" t="str" cm="1">
        <f t="array" ref="U1696">_xlfn.IFS(M1696&lt;=34,"YOUNG",M1696&lt;=54,"MIDDLE AGE",M1696&gt;=55,"OLD")</f>
        <v>OLD</v>
      </c>
      <c r="V1696" t="str">
        <f t="shared" si="107"/>
        <v>NORMAL</v>
      </c>
    </row>
    <row r="1697" spans="1:22" x14ac:dyDescent="0.35">
      <c r="A1697" t="s">
        <v>3532</v>
      </c>
      <c r="B1697" t="s">
        <v>974</v>
      </c>
      <c r="C1697">
        <v>521.01</v>
      </c>
      <c r="D1697" s="1">
        <v>45212.746493055558</v>
      </c>
      <c r="E1697" s="2">
        <f t="shared" si="104"/>
        <v>0.74649305555794854</v>
      </c>
      <c r="F1697" s="3">
        <f t="shared" si="105"/>
        <v>45212</v>
      </c>
      <c r="G1697" t="s">
        <v>46</v>
      </c>
      <c r="H1697" t="s">
        <v>59</v>
      </c>
      <c r="I1697" t="s">
        <v>87</v>
      </c>
      <c r="J1697" t="s">
        <v>436</v>
      </c>
      <c r="K1697" t="s">
        <v>576</v>
      </c>
      <c r="L1697" t="s">
        <v>69</v>
      </c>
      <c r="M1697">
        <v>41</v>
      </c>
      <c r="N1697" t="s">
        <v>77</v>
      </c>
      <c r="O1697">
        <v>73</v>
      </c>
      <c r="P1697">
        <v>1</v>
      </c>
      <c r="Q1697">
        <v>4004.55</v>
      </c>
      <c r="R1697" s="4">
        <v>45600</v>
      </c>
      <c r="S1697" s="6">
        <v>0.33827546296296296</v>
      </c>
      <c r="T1697">
        <f t="shared" si="106"/>
        <v>17</v>
      </c>
      <c r="U1697" t="str" cm="1">
        <f t="array" ref="U1697">_xlfn.IFS(M1697&lt;=34,"YOUNG",M1697&lt;=54,"MIDDLE AGE",M1697&gt;=55,"OLD")</f>
        <v>MIDDLE AGE</v>
      </c>
      <c r="V1697" t="str">
        <f t="shared" si="107"/>
        <v>NORMAL</v>
      </c>
    </row>
    <row r="1698" spans="1:22" x14ac:dyDescent="0.35">
      <c r="A1698" t="s">
        <v>3533</v>
      </c>
      <c r="B1698" t="s">
        <v>667</v>
      </c>
      <c r="C1698">
        <v>849.76</v>
      </c>
      <c r="D1698" s="1">
        <v>45154.68645833333</v>
      </c>
      <c r="E1698" s="2">
        <f t="shared" si="104"/>
        <v>0.68645833332993789</v>
      </c>
      <c r="F1698" s="3">
        <f t="shared" si="105"/>
        <v>45154</v>
      </c>
      <c r="G1698" t="s">
        <v>17</v>
      </c>
      <c r="H1698" t="s">
        <v>59</v>
      </c>
      <c r="I1698" t="s">
        <v>74</v>
      </c>
      <c r="J1698" t="s">
        <v>1165</v>
      </c>
      <c r="K1698" t="s">
        <v>282</v>
      </c>
      <c r="L1698" t="s">
        <v>22</v>
      </c>
      <c r="M1698">
        <v>25</v>
      </c>
      <c r="N1698" t="s">
        <v>37</v>
      </c>
      <c r="O1698">
        <v>269</v>
      </c>
      <c r="P1698">
        <v>1</v>
      </c>
      <c r="Q1698">
        <v>373.88</v>
      </c>
      <c r="R1698" s="4">
        <v>45600</v>
      </c>
      <c r="S1698" s="6">
        <v>0.33877314814814813</v>
      </c>
      <c r="T1698">
        <f t="shared" si="106"/>
        <v>16</v>
      </c>
      <c r="U1698" t="str" cm="1">
        <f t="array" ref="U1698">_xlfn.IFS(M1698&lt;=34,"YOUNG",M1698&lt;=54,"MIDDLE AGE",M1698&gt;=55,"OLD")</f>
        <v>YOUNG</v>
      </c>
      <c r="V1698" t="str">
        <f t="shared" si="107"/>
        <v>NORMAL</v>
      </c>
    </row>
    <row r="1699" spans="1:22" x14ac:dyDescent="0.35">
      <c r="A1699" t="s">
        <v>3534</v>
      </c>
      <c r="B1699" t="s">
        <v>1193</v>
      </c>
      <c r="C1699">
        <v>172.5</v>
      </c>
      <c r="D1699" s="1">
        <v>45244.682743055557</v>
      </c>
      <c r="E1699" s="2">
        <f t="shared" si="104"/>
        <v>0.68274305555678438</v>
      </c>
      <c r="F1699" s="3">
        <f t="shared" si="105"/>
        <v>45244</v>
      </c>
      <c r="G1699" t="s">
        <v>17</v>
      </c>
      <c r="H1699" t="s">
        <v>125</v>
      </c>
      <c r="I1699" t="s">
        <v>637</v>
      </c>
      <c r="J1699" t="s">
        <v>627</v>
      </c>
      <c r="K1699" t="s">
        <v>149</v>
      </c>
      <c r="L1699" t="s">
        <v>36</v>
      </c>
      <c r="M1699">
        <v>68</v>
      </c>
      <c r="N1699" t="s">
        <v>23</v>
      </c>
      <c r="O1699">
        <v>31</v>
      </c>
      <c r="P1699">
        <v>1</v>
      </c>
      <c r="Q1699">
        <v>6851.16</v>
      </c>
      <c r="R1699" s="4">
        <v>45600</v>
      </c>
      <c r="S1699" s="6">
        <v>0.34113425925925928</v>
      </c>
      <c r="T1699">
        <f t="shared" si="106"/>
        <v>16</v>
      </c>
      <c r="U1699" t="str" cm="1">
        <f t="array" ref="U1699">_xlfn.IFS(M1699&lt;=34,"YOUNG",M1699&lt;=54,"MIDDLE AGE",M1699&gt;=55,"OLD")</f>
        <v>OLD</v>
      </c>
      <c r="V1699" t="str">
        <f t="shared" si="107"/>
        <v>NORMAL</v>
      </c>
    </row>
    <row r="1700" spans="1:22" x14ac:dyDescent="0.35">
      <c r="A1700" t="s">
        <v>3535</v>
      </c>
      <c r="B1700" t="s">
        <v>1794</v>
      </c>
      <c r="C1700">
        <v>265.44</v>
      </c>
      <c r="D1700" s="1">
        <v>44943.695347222223</v>
      </c>
      <c r="E1700" s="2">
        <f t="shared" si="104"/>
        <v>0.695347222223063</v>
      </c>
      <c r="F1700" s="3">
        <f t="shared" si="105"/>
        <v>44943</v>
      </c>
      <c r="G1700" t="s">
        <v>17</v>
      </c>
      <c r="H1700" t="s">
        <v>237</v>
      </c>
      <c r="I1700" t="s">
        <v>3536</v>
      </c>
      <c r="J1700" t="s">
        <v>2236</v>
      </c>
      <c r="K1700" t="s">
        <v>277</v>
      </c>
      <c r="L1700" t="s">
        <v>22</v>
      </c>
      <c r="M1700">
        <v>30</v>
      </c>
      <c r="N1700" t="s">
        <v>77</v>
      </c>
      <c r="O1700">
        <v>169</v>
      </c>
      <c r="P1700">
        <v>1</v>
      </c>
      <c r="Q1700">
        <v>9700.77</v>
      </c>
      <c r="R1700" s="4">
        <v>45600</v>
      </c>
      <c r="S1700" s="6">
        <v>0.34002314814814816</v>
      </c>
      <c r="T1700">
        <f t="shared" si="106"/>
        <v>16</v>
      </c>
      <c r="U1700" t="str" cm="1">
        <f t="array" ref="U1700">_xlfn.IFS(M1700&lt;=34,"YOUNG",M1700&lt;=54,"MIDDLE AGE",M1700&gt;=55,"OLD")</f>
        <v>YOUNG</v>
      </c>
      <c r="V1700" t="str">
        <f t="shared" si="107"/>
        <v>NORMAL</v>
      </c>
    </row>
    <row r="1701" spans="1:22" x14ac:dyDescent="0.35">
      <c r="A1701" t="s">
        <v>3537</v>
      </c>
      <c r="B1701" t="s">
        <v>2162</v>
      </c>
      <c r="C1701">
        <v>152.34</v>
      </c>
      <c r="D1701" s="1">
        <v>45211.715509259258</v>
      </c>
      <c r="E1701" s="2">
        <f t="shared" si="104"/>
        <v>0.71550925925839692</v>
      </c>
      <c r="F1701" s="3">
        <f t="shared" si="105"/>
        <v>45211</v>
      </c>
      <c r="G1701" t="s">
        <v>17</v>
      </c>
      <c r="H1701" t="s">
        <v>296</v>
      </c>
      <c r="I1701" t="s">
        <v>373</v>
      </c>
      <c r="J1701" t="s">
        <v>3538</v>
      </c>
      <c r="K1701" t="s">
        <v>252</v>
      </c>
      <c r="L1701" t="s">
        <v>69</v>
      </c>
      <c r="M1701">
        <v>55</v>
      </c>
      <c r="N1701" t="s">
        <v>23</v>
      </c>
      <c r="O1701">
        <v>115</v>
      </c>
      <c r="P1701">
        <v>1</v>
      </c>
      <c r="Q1701">
        <v>6853.51</v>
      </c>
      <c r="R1701" s="4">
        <v>45600</v>
      </c>
      <c r="S1701" s="6">
        <v>0.33901620370370372</v>
      </c>
      <c r="T1701">
        <f t="shared" si="106"/>
        <v>17</v>
      </c>
      <c r="U1701" t="str" cm="1">
        <f t="array" ref="U1701">_xlfn.IFS(M1701&lt;=34,"YOUNG",M1701&lt;=54,"MIDDLE AGE",M1701&gt;=55,"OLD")</f>
        <v>OLD</v>
      </c>
      <c r="V1701" t="str">
        <f t="shared" si="107"/>
        <v>NORMAL</v>
      </c>
    </row>
    <row r="1702" spans="1:22" x14ac:dyDescent="0.35">
      <c r="A1702" t="s">
        <v>3539</v>
      </c>
      <c r="B1702" t="s">
        <v>2162</v>
      </c>
      <c r="C1702">
        <v>21.13</v>
      </c>
      <c r="D1702" s="1">
        <v>45041.674560185187</v>
      </c>
      <c r="E1702" s="2">
        <f t="shared" si="104"/>
        <v>0.674560185187147</v>
      </c>
      <c r="F1702" s="3">
        <f t="shared" si="105"/>
        <v>45041</v>
      </c>
      <c r="G1702" t="s">
        <v>17</v>
      </c>
      <c r="H1702" t="s">
        <v>323</v>
      </c>
      <c r="I1702" t="s">
        <v>1558</v>
      </c>
      <c r="J1702" t="s">
        <v>1850</v>
      </c>
      <c r="K1702" t="s">
        <v>277</v>
      </c>
      <c r="L1702" t="s">
        <v>69</v>
      </c>
      <c r="M1702">
        <v>28</v>
      </c>
      <c r="N1702" t="s">
        <v>37</v>
      </c>
      <c r="O1702">
        <v>153</v>
      </c>
      <c r="P1702">
        <v>1</v>
      </c>
      <c r="Q1702">
        <v>948.7</v>
      </c>
      <c r="R1702" s="4">
        <v>45600</v>
      </c>
      <c r="S1702" s="6">
        <v>0.34047453703703706</v>
      </c>
      <c r="T1702">
        <f t="shared" si="106"/>
        <v>16</v>
      </c>
      <c r="U1702" t="str" cm="1">
        <f t="array" ref="U1702">_xlfn.IFS(M1702&lt;=34,"YOUNG",M1702&lt;=54,"MIDDLE AGE",M1702&gt;=55,"OLD")</f>
        <v>YOUNG</v>
      </c>
      <c r="V1702" t="str">
        <f t="shared" si="107"/>
        <v>NORMAL</v>
      </c>
    </row>
    <row r="1703" spans="1:22" x14ac:dyDescent="0.35">
      <c r="A1703" t="s">
        <v>3540</v>
      </c>
      <c r="B1703" t="s">
        <v>45</v>
      </c>
      <c r="C1703">
        <v>111.55</v>
      </c>
      <c r="D1703" s="1">
        <v>45288.685555555552</v>
      </c>
      <c r="E1703" s="2">
        <f t="shared" si="104"/>
        <v>0.68555555555212777</v>
      </c>
      <c r="F1703" s="3">
        <f t="shared" si="105"/>
        <v>45288</v>
      </c>
      <c r="G1703" t="s">
        <v>17</v>
      </c>
      <c r="H1703" t="s">
        <v>114</v>
      </c>
      <c r="I1703" t="s">
        <v>1716</v>
      </c>
      <c r="J1703" t="s">
        <v>3541</v>
      </c>
      <c r="K1703" t="s">
        <v>137</v>
      </c>
      <c r="L1703" t="s">
        <v>22</v>
      </c>
      <c r="M1703">
        <v>46</v>
      </c>
      <c r="N1703" t="s">
        <v>23</v>
      </c>
      <c r="O1703">
        <v>101</v>
      </c>
      <c r="P1703">
        <v>1</v>
      </c>
      <c r="Q1703">
        <v>12221.17</v>
      </c>
      <c r="R1703" s="4">
        <v>45600</v>
      </c>
      <c r="S1703" s="6">
        <v>0.33899305555555553</v>
      </c>
      <c r="T1703">
        <f t="shared" si="106"/>
        <v>16</v>
      </c>
      <c r="U1703" t="str" cm="1">
        <f t="array" ref="U1703">_xlfn.IFS(M1703&lt;=34,"YOUNG",M1703&lt;=54,"MIDDLE AGE",M1703&gt;=55,"OLD")</f>
        <v>MIDDLE AGE</v>
      </c>
      <c r="V1703" t="str">
        <f t="shared" si="107"/>
        <v>NORMAL</v>
      </c>
    </row>
    <row r="1704" spans="1:22" x14ac:dyDescent="0.35">
      <c r="A1704" t="s">
        <v>3542</v>
      </c>
      <c r="B1704" t="s">
        <v>3332</v>
      </c>
      <c r="C1704">
        <v>321.82</v>
      </c>
      <c r="D1704" s="1">
        <v>45121.681192129632</v>
      </c>
      <c r="E1704" s="2">
        <f t="shared" si="104"/>
        <v>0.68119212963210884</v>
      </c>
      <c r="F1704" s="3">
        <f t="shared" si="105"/>
        <v>45121</v>
      </c>
      <c r="G1704" t="s">
        <v>46</v>
      </c>
      <c r="H1704" t="s">
        <v>40</v>
      </c>
      <c r="I1704" t="s">
        <v>534</v>
      </c>
      <c r="J1704" t="s">
        <v>1225</v>
      </c>
      <c r="K1704" t="s">
        <v>474</v>
      </c>
      <c r="L1704" t="s">
        <v>69</v>
      </c>
      <c r="M1704">
        <v>32</v>
      </c>
      <c r="N1704" t="s">
        <v>77</v>
      </c>
      <c r="O1704">
        <v>43</v>
      </c>
      <c r="P1704">
        <v>1</v>
      </c>
      <c r="Q1704">
        <v>6500.5</v>
      </c>
      <c r="R1704" s="4">
        <v>45600</v>
      </c>
      <c r="S1704" s="6">
        <v>0.33914351851851854</v>
      </c>
      <c r="T1704">
        <f t="shared" si="106"/>
        <v>16</v>
      </c>
      <c r="U1704" t="str" cm="1">
        <f t="array" ref="U1704">_xlfn.IFS(M1704&lt;=34,"YOUNG",M1704&lt;=54,"MIDDLE AGE",M1704&gt;=55,"OLD")</f>
        <v>YOUNG</v>
      </c>
      <c r="V1704" t="str">
        <f t="shared" si="107"/>
        <v>NORMAL</v>
      </c>
    </row>
    <row r="1705" spans="1:22" x14ac:dyDescent="0.35">
      <c r="A1705" t="s">
        <v>3543</v>
      </c>
      <c r="B1705" t="s">
        <v>1858</v>
      </c>
      <c r="C1705">
        <v>1294.81</v>
      </c>
      <c r="D1705" s="1">
        <v>45271.703564814816</v>
      </c>
      <c r="E1705" s="2">
        <f t="shared" si="104"/>
        <v>0.70356481481576338</v>
      </c>
      <c r="F1705" s="3">
        <f t="shared" si="105"/>
        <v>45271</v>
      </c>
      <c r="G1705" t="s">
        <v>46</v>
      </c>
      <c r="H1705" t="s">
        <v>453</v>
      </c>
      <c r="I1705" t="s">
        <v>582</v>
      </c>
      <c r="J1705" t="s">
        <v>1309</v>
      </c>
      <c r="K1705" t="s">
        <v>607</v>
      </c>
      <c r="L1705" t="s">
        <v>69</v>
      </c>
      <c r="M1705">
        <v>45</v>
      </c>
      <c r="N1705" t="s">
        <v>77</v>
      </c>
      <c r="O1705">
        <v>279</v>
      </c>
      <c r="P1705">
        <v>1</v>
      </c>
      <c r="Q1705">
        <v>9927.75</v>
      </c>
      <c r="R1705" s="4">
        <v>45600</v>
      </c>
      <c r="S1705" s="6">
        <v>0.3414814814814815</v>
      </c>
      <c r="T1705">
        <f t="shared" si="106"/>
        <v>16</v>
      </c>
      <c r="U1705" t="str" cm="1">
        <f t="array" ref="U1705">_xlfn.IFS(M1705&lt;=34,"YOUNG",M1705&lt;=54,"MIDDLE AGE",M1705&gt;=55,"OLD")</f>
        <v>MIDDLE AGE</v>
      </c>
      <c r="V1705" t="str">
        <f t="shared" si="107"/>
        <v>NORMAL</v>
      </c>
    </row>
    <row r="1706" spans="1:22" x14ac:dyDescent="0.35">
      <c r="A1706" t="s">
        <v>3544</v>
      </c>
      <c r="B1706" t="s">
        <v>3465</v>
      </c>
      <c r="C1706">
        <v>148.77000000000001</v>
      </c>
      <c r="D1706" s="1">
        <v>45015.764560185184</v>
      </c>
      <c r="E1706" s="2">
        <f t="shared" si="104"/>
        <v>0.76456018518365454</v>
      </c>
      <c r="F1706" s="3">
        <f t="shared" si="105"/>
        <v>45015</v>
      </c>
      <c r="G1706" t="s">
        <v>17</v>
      </c>
      <c r="H1706" t="s">
        <v>223</v>
      </c>
      <c r="I1706" t="s">
        <v>2958</v>
      </c>
      <c r="J1706" t="s">
        <v>1968</v>
      </c>
      <c r="K1706" t="s">
        <v>160</v>
      </c>
      <c r="L1706" t="s">
        <v>69</v>
      </c>
      <c r="M1706">
        <v>67</v>
      </c>
      <c r="N1706" t="s">
        <v>70</v>
      </c>
      <c r="O1706">
        <v>175</v>
      </c>
      <c r="P1706">
        <v>1</v>
      </c>
      <c r="Q1706">
        <v>2138.42</v>
      </c>
      <c r="R1706" s="4">
        <v>45600</v>
      </c>
      <c r="S1706" s="6">
        <v>0.34156249999999999</v>
      </c>
      <c r="T1706">
        <f t="shared" si="106"/>
        <v>18</v>
      </c>
      <c r="U1706" t="str" cm="1">
        <f t="array" ref="U1706">_xlfn.IFS(M1706&lt;=34,"YOUNG",M1706&lt;=54,"MIDDLE AGE",M1706&gt;=55,"OLD")</f>
        <v>OLD</v>
      </c>
      <c r="V1706" t="str">
        <f t="shared" si="107"/>
        <v>NORMAL</v>
      </c>
    </row>
    <row r="1707" spans="1:22" x14ac:dyDescent="0.35">
      <c r="A1707" t="s">
        <v>3545</v>
      </c>
      <c r="B1707" t="s">
        <v>1644</v>
      </c>
      <c r="C1707">
        <v>14.08</v>
      </c>
      <c r="D1707" s="1">
        <v>44963.762800925928</v>
      </c>
      <c r="E1707" s="2">
        <f t="shared" si="104"/>
        <v>0.76280092592787696</v>
      </c>
      <c r="F1707" s="3">
        <f t="shared" si="105"/>
        <v>44963</v>
      </c>
      <c r="G1707" t="s">
        <v>17</v>
      </c>
      <c r="H1707" t="s">
        <v>323</v>
      </c>
      <c r="I1707" t="s">
        <v>3546</v>
      </c>
      <c r="J1707" t="s">
        <v>571</v>
      </c>
      <c r="K1707" t="s">
        <v>128</v>
      </c>
      <c r="L1707" t="s">
        <v>69</v>
      </c>
      <c r="M1707">
        <v>57</v>
      </c>
      <c r="N1707" t="s">
        <v>70</v>
      </c>
      <c r="O1707">
        <v>154</v>
      </c>
      <c r="P1707">
        <v>1</v>
      </c>
      <c r="Q1707">
        <v>3908.65</v>
      </c>
      <c r="R1707" s="4">
        <v>45600</v>
      </c>
      <c r="S1707" s="6">
        <v>0.3392013888888889</v>
      </c>
      <c r="T1707">
        <f t="shared" si="106"/>
        <v>18</v>
      </c>
      <c r="U1707" t="str" cm="1">
        <f t="array" ref="U1707">_xlfn.IFS(M1707&lt;=34,"YOUNG",M1707&lt;=54,"MIDDLE AGE",M1707&gt;=55,"OLD")</f>
        <v>OLD</v>
      </c>
      <c r="V1707" t="str">
        <f t="shared" si="107"/>
        <v>NORMAL</v>
      </c>
    </row>
    <row r="1708" spans="1:22" x14ac:dyDescent="0.35">
      <c r="A1708" t="s">
        <v>3547</v>
      </c>
      <c r="B1708" t="s">
        <v>3548</v>
      </c>
      <c r="C1708">
        <v>1283.97</v>
      </c>
      <c r="D1708" s="1">
        <v>45147.73060185185</v>
      </c>
      <c r="E1708" s="2">
        <f t="shared" si="104"/>
        <v>0.73060185185022419</v>
      </c>
      <c r="F1708" s="3">
        <f t="shared" si="105"/>
        <v>45147</v>
      </c>
      <c r="G1708" t="s">
        <v>17</v>
      </c>
      <c r="H1708" t="s">
        <v>521</v>
      </c>
      <c r="I1708" t="s">
        <v>3255</v>
      </c>
      <c r="J1708" t="s">
        <v>3004</v>
      </c>
      <c r="K1708" t="s">
        <v>95</v>
      </c>
      <c r="L1708" t="s">
        <v>22</v>
      </c>
      <c r="M1708">
        <v>42</v>
      </c>
      <c r="N1708" t="s">
        <v>23</v>
      </c>
      <c r="O1708">
        <v>121</v>
      </c>
      <c r="P1708">
        <v>1</v>
      </c>
      <c r="Q1708">
        <v>11041.9</v>
      </c>
      <c r="R1708" s="4">
        <v>45600</v>
      </c>
      <c r="S1708" s="6">
        <v>0.33879629629629632</v>
      </c>
      <c r="T1708">
        <f t="shared" si="106"/>
        <v>17</v>
      </c>
      <c r="U1708" t="str" cm="1">
        <f t="array" ref="U1708">_xlfn.IFS(M1708&lt;=34,"YOUNG",M1708&lt;=54,"MIDDLE AGE",M1708&gt;=55,"OLD")</f>
        <v>MIDDLE AGE</v>
      </c>
      <c r="V1708" t="str">
        <f t="shared" si="107"/>
        <v>NORMAL</v>
      </c>
    </row>
    <row r="1709" spans="1:22" x14ac:dyDescent="0.35">
      <c r="A1709" t="s">
        <v>3549</v>
      </c>
      <c r="B1709" t="s">
        <v>1066</v>
      </c>
      <c r="C1709">
        <v>566.33000000000004</v>
      </c>
      <c r="D1709" s="1">
        <v>45145.694351851853</v>
      </c>
      <c r="E1709" s="2">
        <f t="shared" si="104"/>
        <v>0.69435185185284354</v>
      </c>
      <c r="F1709" s="3">
        <f t="shared" si="105"/>
        <v>45145</v>
      </c>
      <c r="G1709" t="s">
        <v>46</v>
      </c>
      <c r="H1709" t="s">
        <v>249</v>
      </c>
      <c r="I1709" t="s">
        <v>1466</v>
      </c>
      <c r="J1709" t="s">
        <v>1232</v>
      </c>
      <c r="K1709" t="s">
        <v>149</v>
      </c>
      <c r="L1709" t="s">
        <v>22</v>
      </c>
      <c r="M1709">
        <v>24</v>
      </c>
      <c r="N1709" t="s">
        <v>37</v>
      </c>
      <c r="O1709">
        <v>66</v>
      </c>
      <c r="P1709">
        <v>1</v>
      </c>
      <c r="Q1709">
        <v>379.82</v>
      </c>
      <c r="R1709" s="4">
        <v>45600</v>
      </c>
      <c r="S1709" s="6">
        <v>0.33840277777777777</v>
      </c>
      <c r="T1709">
        <f t="shared" si="106"/>
        <v>16</v>
      </c>
      <c r="U1709" t="str" cm="1">
        <f t="array" ref="U1709">_xlfn.IFS(M1709&lt;=34,"YOUNG",M1709&lt;=54,"MIDDLE AGE",M1709&gt;=55,"OLD")</f>
        <v>YOUNG</v>
      </c>
      <c r="V1709" t="str">
        <f t="shared" si="107"/>
        <v>NORMAL</v>
      </c>
    </row>
    <row r="1710" spans="1:22" x14ac:dyDescent="0.35">
      <c r="A1710" t="s">
        <v>3550</v>
      </c>
      <c r="B1710" t="s">
        <v>2366</v>
      </c>
      <c r="C1710">
        <v>206.51</v>
      </c>
      <c r="D1710" s="1">
        <v>45278.714918981481</v>
      </c>
      <c r="E1710" s="2">
        <f t="shared" si="104"/>
        <v>0.71491898148087785</v>
      </c>
      <c r="F1710" s="3">
        <f t="shared" si="105"/>
        <v>45278</v>
      </c>
      <c r="G1710" t="s">
        <v>17</v>
      </c>
      <c r="H1710" t="s">
        <v>65</v>
      </c>
      <c r="I1710" t="s">
        <v>1734</v>
      </c>
      <c r="J1710" t="s">
        <v>571</v>
      </c>
      <c r="K1710" t="s">
        <v>246</v>
      </c>
      <c r="L1710" t="s">
        <v>22</v>
      </c>
      <c r="M1710">
        <v>51</v>
      </c>
      <c r="N1710" t="s">
        <v>70</v>
      </c>
      <c r="O1710">
        <v>275</v>
      </c>
      <c r="P1710">
        <v>1</v>
      </c>
      <c r="Q1710">
        <v>3921.74</v>
      </c>
      <c r="R1710" s="4">
        <v>45600</v>
      </c>
      <c r="S1710" s="6">
        <v>0.3384490740740741</v>
      </c>
      <c r="T1710">
        <f t="shared" si="106"/>
        <v>17</v>
      </c>
      <c r="U1710" t="str" cm="1">
        <f t="array" ref="U1710">_xlfn.IFS(M1710&lt;=34,"YOUNG",M1710&lt;=54,"MIDDLE AGE",M1710&gt;=55,"OLD")</f>
        <v>MIDDLE AGE</v>
      </c>
      <c r="V1710" t="str">
        <f t="shared" si="107"/>
        <v>NORMAL</v>
      </c>
    </row>
    <row r="1711" spans="1:22" x14ac:dyDescent="0.35">
      <c r="A1711" t="s">
        <v>3551</v>
      </c>
      <c r="B1711" t="s">
        <v>997</v>
      </c>
      <c r="C1711">
        <v>180.94</v>
      </c>
      <c r="D1711" s="1">
        <v>45131.695347222223</v>
      </c>
      <c r="E1711" s="2">
        <f t="shared" si="104"/>
        <v>0.695347222223063</v>
      </c>
      <c r="F1711" s="3">
        <f t="shared" si="105"/>
        <v>45131</v>
      </c>
      <c r="G1711" t="s">
        <v>17</v>
      </c>
      <c r="H1711" t="s">
        <v>40</v>
      </c>
      <c r="I1711" t="s">
        <v>730</v>
      </c>
      <c r="J1711" t="s">
        <v>3552</v>
      </c>
      <c r="K1711" t="s">
        <v>165</v>
      </c>
      <c r="L1711" t="s">
        <v>69</v>
      </c>
      <c r="M1711">
        <v>75</v>
      </c>
      <c r="N1711" t="s">
        <v>70</v>
      </c>
      <c r="O1711">
        <v>57</v>
      </c>
      <c r="P1711">
        <v>1</v>
      </c>
      <c r="Q1711">
        <v>7659.99</v>
      </c>
      <c r="R1711" s="4">
        <v>45600</v>
      </c>
      <c r="S1711" s="6">
        <v>0.34067129629629628</v>
      </c>
      <c r="T1711">
        <f t="shared" si="106"/>
        <v>16</v>
      </c>
      <c r="U1711" t="str" cm="1">
        <f t="array" ref="U1711">_xlfn.IFS(M1711&lt;=34,"YOUNG",M1711&lt;=54,"MIDDLE AGE",M1711&gt;=55,"OLD")</f>
        <v>OLD</v>
      </c>
      <c r="V1711" t="str">
        <f t="shared" si="107"/>
        <v>NORMAL</v>
      </c>
    </row>
    <row r="1712" spans="1:22" x14ac:dyDescent="0.35">
      <c r="A1712" t="s">
        <v>3553</v>
      </c>
      <c r="B1712" t="s">
        <v>3554</v>
      </c>
      <c r="C1712">
        <v>77.900000000000006</v>
      </c>
      <c r="D1712" s="1">
        <v>45285.737500000003</v>
      </c>
      <c r="E1712" s="2">
        <f t="shared" si="104"/>
        <v>0.73750000000291038</v>
      </c>
      <c r="F1712" s="3">
        <f t="shared" si="105"/>
        <v>45285</v>
      </c>
      <c r="G1712" t="s">
        <v>17</v>
      </c>
      <c r="H1712" t="s">
        <v>453</v>
      </c>
      <c r="I1712" t="s">
        <v>435</v>
      </c>
      <c r="J1712" t="s">
        <v>2291</v>
      </c>
      <c r="K1712" t="s">
        <v>358</v>
      </c>
      <c r="L1712" t="s">
        <v>69</v>
      </c>
      <c r="M1712">
        <v>21</v>
      </c>
      <c r="N1712" t="s">
        <v>37</v>
      </c>
      <c r="O1712">
        <v>128</v>
      </c>
      <c r="P1712">
        <v>1</v>
      </c>
      <c r="Q1712">
        <v>664.72</v>
      </c>
      <c r="R1712" s="4">
        <v>45600</v>
      </c>
      <c r="S1712" s="6">
        <v>0.33936342592592594</v>
      </c>
      <c r="T1712">
        <f t="shared" si="106"/>
        <v>17</v>
      </c>
      <c r="U1712" t="str" cm="1">
        <f t="array" ref="U1712">_xlfn.IFS(M1712&lt;=34,"YOUNG",M1712&lt;=54,"MIDDLE AGE",M1712&gt;=55,"OLD")</f>
        <v>YOUNG</v>
      </c>
      <c r="V1712" t="str">
        <f t="shared" si="107"/>
        <v>NORMAL</v>
      </c>
    </row>
    <row r="1713" spans="1:22" x14ac:dyDescent="0.35">
      <c r="A1713" t="s">
        <v>3555</v>
      </c>
      <c r="B1713" t="s">
        <v>3556</v>
      </c>
      <c r="C1713">
        <v>318.92</v>
      </c>
      <c r="D1713" s="1">
        <v>45065.787870370368</v>
      </c>
      <c r="E1713" s="2">
        <f t="shared" si="104"/>
        <v>0.78787037036818219</v>
      </c>
      <c r="F1713" s="3">
        <f t="shared" si="105"/>
        <v>45065</v>
      </c>
      <c r="G1713" t="s">
        <v>46</v>
      </c>
      <c r="H1713" t="s">
        <v>453</v>
      </c>
      <c r="I1713" t="s">
        <v>1548</v>
      </c>
      <c r="J1713" t="s">
        <v>1202</v>
      </c>
      <c r="K1713" t="s">
        <v>980</v>
      </c>
      <c r="L1713" t="s">
        <v>69</v>
      </c>
      <c r="M1713">
        <v>21</v>
      </c>
      <c r="N1713" t="s">
        <v>37</v>
      </c>
      <c r="O1713">
        <v>60</v>
      </c>
      <c r="P1713">
        <v>1</v>
      </c>
      <c r="Q1713">
        <v>1167.25</v>
      </c>
      <c r="R1713" s="4">
        <v>45600</v>
      </c>
      <c r="S1713" s="6">
        <v>0.33961805555555558</v>
      </c>
      <c r="T1713">
        <f t="shared" si="106"/>
        <v>18</v>
      </c>
      <c r="U1713" t="str" cm="1">
        <f t="array" ref="U1713">_xlfn.IFS(M1713&lt;=34,"YOUNG",M1713&lt;=54,"MIDDLE AGE",M1713&gt;=55,"OLD")</f>
        <v>YOUNG</v>
      </c>
      <c r="V1713" t="str">
        <f t="shared" si="107"/>
        <v>NORMAL</v>
      </c>
    </row>
    <row r="1714" spans="1:22" x14ac:dyDescent="0.35">
      <c r="A1714" t="s">
        <v>3557</v>
      </c>
      <c r="B1714" t="s">
        <v>183</v>
      </c>
      <c r="C1714">
        <v>583.29999999999995</v>
      </c>
      <c r="D1714" s="1">
        <v>44960.688020833331</v>
      </c>
      <c r="E1714" s="2">
        <f t="shared" si="104"/>
        <v>0.68802083333139308</v>
      </c>
      <c r="F1714" s="3">
        <f t="shared" si="105"/>
        <v>44960</v>
      </c>
      <c r="G1714" t="s">
        <v>46</v>
      </c>
      <c r="H1714" t="s">
        <v>80</v>
      </c>
      <c r="I1714" t="s">
        <v>685</v>
      </c>
      <c r="J1714" t="s">
        <v>1921</v>
      </c>
      <c r="K1714" t="s">
        <v>209</v>
      </c>
      <c r="L1714" t="s">
        <v>36</v>
      </c>
      <c r="M1714">
        <v>59</v>
      </c>
      <c r="N1714" t="s">
        <v>77</v>
      </c>
      <c r="O1714">
        <v>142</v>
      </c>
      <c r="P1714">
        <v>1</v>
      </c>
      <c r="Q1714">
        <v>5896.01</v>
      </c>
      <c r="R1714" s="4">
        <v>45600</v>
      </c>
      <c r="S1714" s="6">
        <v>0.3411689814814815</v>
      </c>
      <c r="T1714">
        <f t="shared" si="106"/>
        <v>16</v>
      </c>
      <c r="U1714" t="str" cm="1">
        <f t="array" ref="U1714">_xlfn.IFS(M1714&lt;=34,"YOUNG",M1714&lt;=54,"MIDDLE AGE",M1714&gt;=55,"OLD")</f>
        <v>OLD</v>
      </c>
      <c r="V1714" t="str">
        <f t="shared" si="107"/>
        <v>NORMAL</v>
      </c>
    </row>
    <row r="1715" spans="1:22" x14ac:dyDescent="0.35">
      <c r="A1715" t="s">
        <v>3558</v>
      </c>
      <c r="B1715" t="s">
        <v>617</v>
      </c>
      <c r="C1715">
        <v>100.68</v>
      </c>
      <c r="D1715" s="1">
        <v>44938.697557870371</v>
      </c>
      <c r="E1715" s="2">
        <f t="shared" si="104"/>
        <v>0.69755787037138361</v>
      </c>
      <c r="F1715" s="3">
        <f t="shared" si="105"/>
        <v>44938</v>
      </c>
      <c r="G1715" t="s">
        <v>17</v>
      </c>
      <c r="H1715" t="s">
        <v>92</v>
      </c>
      <c r="I1715" t="s">
        <v>1115</v>
      </c>
      <c r="J1715" t="s">
        <v>405</v>
      </c>
      <c r="K1715" t="s">
        <v>154</v>
      </c>
      <c r="L1715" t="s">
        <v>36</v>
      </c>
      <c r="M1715">
        <v>63</v>
      </c>
      <c r="N1715" t="s">
        <v>70</v>
      </c>
      <c r="O1715">
        <v>139</v>
      </c>
      <c r="P1715">
        <v>1</v>
      </c>
      <c r="Q1715">
        <v>1123.75</v>
      </c>
      <c r="R1715" s="4">
        <v>45600</v>
      </c>
      <c r="S1715" s="6">
        <v>0.3417824074074074</v>
      </c>
      <c r="T1715">
        <f t="shared" si="106"/>
        <v>16</v>
      </c>
      <c r="U1715" t="str" cm="1">
        <f t="array" ref="U1715">_xlfn.IFS(M1715&lt;=34,"YOUNG",M1715&lt;=54,"MIDDLE AGE",M1715&gt;=55,"OLD")</f>
        <v>OLD</v>
      </c>
      <c r="V1715" t="str">
        <f t="shared" si="107"/>
        <v>NORMAL</v>
      </c>
    </row>
    <row r="1716" spans="1:22" x14ac:dyDescent="0.35">
      <c r="A1716" t="s">
        <v>3559</v>
      </c>
      <c r="B1716" t="s">
        <v>876</v>
      </c>
      <c r="C1716">
        <v>589.64</v>
      </c>
      <c r="D1716" s="1">
        <v>45190.670578703706</v>
      </c>
      <c r="E1716" s="2">
        <f t="shared" si="104"/>
        <v>0.67057870370626915</v>
      </c>
      <c r="F1716" s="3">
        <f t="shared" si="105"/>
        <v>45190</v>
      </c>
      <c r="G1716" t="s">
        <v>17</v>
      </c>
      <c r="H1716" t="s">
        <v>249</v>
      </c>
      <c r="I1716" t="s">
        <v>1187</v>
      </c>
      <c r="J1716" t="s">
        <v>1657</v>
      </c>
      <c r="K1716" t="s">
        <v>1345</v>
      </c>
      <c r="L1716" t="s">
        <v>36</v>
      </c>
      <c r="M1716">
        <v>62</v>
      </c>
      <c r="N1716" t="s">
        <v>70</v>
      </c>
      <c r="O1716">
        <v>210</v>
      </c>
      <c r="P1716">
        <v>1</v>
      </c>
      <c r="Q1716">
        <v>2039.4</v>
      </c>
      <c r="R1716" s="4">
        <v>45600</v>
      </c>
      <c r="S1716" s="6">
        <v>0.34158564814814812</v>
      </c>
      <c r="T1716">
        <f t="shared" si="106"/>
        <v>16</v>
      </c>
      <c r="U1716" t="str" cm="1">
        <f t="array" ref="U1716">_xlfn.IFS(M1716&lt;=34,"YOUNG",M1716&lt;=54,"MIDDLE AGE",M1716&gt;=55,"OLD")</f>
        <v>OLD</v>
      </c>
      <c r="V1716" t="str">
        <f t="shared" si="107"/>
        <v>NORMAL</v>
      </c>
    </row>
    <row r="1717" spans="1:22" x14ac:dyDescent="0.35">
      <c r="A1717" t="s">
        <v>3560</v>
      </c>
      <c r="B1717" t="s">
        <v>3561</v>
      </c>
      <c r="C1717">
        <v>225.93</v>
      </c>
      <c r="D1717" s="1">
        <v>44998.748460648145</v>
      </c>
      <c r="E1717" s="2">
        <f t="shared" si="104"/>
        <v>0.74846064814482816</v>
      </c>
      <c r="F1717" s="3">
        <f t="shared" si="105"/>
        <v>44998</v>
      </c>
      <c r="G1717" t="s">
        <v>46</v>
      </c>
      <c r="H1717" t="s">
        <v>296</v>
      </c>
      <c r="I1717" t="s">
        <v>152</v>
      </c>
      <c r="J1717" t="s">
        <v>1370</v>
      </c>
      <c r="K1717" t="s">
        <v>348</v>
      </c>
      <c r="L1717" t="s">
        <v>69</v>
      </c>
      <c r="M1717">
        <v>25</v>
      </c>
      <c r="N1717" t="s">
        <v>37</v>
      </c>
      <c r="O1717">
        <v>199</v>
      </c>
      <c r="P1717">
        <v>1</v>
      </c>
      <c r="Q1717">
        <v>1864.27</v>
      </c>
      <c r="R1717" s="4">
        <v>45600</v>
      </c>
      <c r="S1717" s="6">
        <v>0.33934027777777775</v>
      </c>
      <c r="T1717">
        <f t="shared" si="106"/>
        <v>17</v>
      </c>
      <c r="U1717" t="str" cm="1">
        <f t="array" ref="U1717">_xlfn.IFS(M1717&lt;=34,"YOUNG",M1717&lt;=54,"MIDDLE AGE",M1717&gt;=55,"OLD")</f>
        <v>YOUNG</v>
      </c>
      <c r="V1717" t="str">
        <f t="shared" si="107"/>
        <v>NORMAL</v>
      </c>
    </row>
    <row r="1718" spans="1:22" x14ac:dyDescent="0.35">
      <c r="A1718" t="s">
        <v>3562</v>
      </c>
      <c r="B1718" t="s">
        <v>3493</v>
      </c>
      <c r="C1718">
        <v>651.54999999999995</v>
      </c>
      <c r="D1718" s="1">
        <v>44995.73233796296</v>
      </c>
      <c r="E1718" s="2">
        <f t="shared" si="104"/>
        <v>0.73233796295971842</v>
      </c>
      <c r="F1718" s="3">
        <f t="shared" si="105"/>
        <v>44995</v>
      </c>
      <c r="G1718" t="s">
        <v>17</v>
      </c>
      <c r="H1718" t="s">
        <v>425</v>
      </c>
      <c r="I1718" t="s">
        <v>2566</v>
      </c>
      <c r="J1718" t="s">
        <v>3538</v>
      </c>
      <c r="K1718" t="s">
        <v>169</v>
      </c>
      <c r="L1718" t="s">
        <v>36</v>
      </c>
      <c r="M1718">
        <v>72</v>
      </c>
      <c r="N1718" t="s">
        <v>70</v>
      </c>
      <c r="O1718">
        <v>82</v>
      </c>
      <c r="P1718">
        <v>1</v>
      </c>
      <c r="Q1718">
        <v>2325.7800000000002</v>
      </c>
      <c r="R1718" s="4">
        <v>45600</v>
      </c>
      <c r="S1718" s="6">
        <v>0.34012731481481484</v>
      </c>
      <c r="T1718">
        <f t="shared" si="106"/>
        <v>17</v>
      </c>
      <c r="U1718" t="str" cm="1">
        <f t="array" ref="U1718">_xlfn.IFS(M1718&lt;=34,"YOUNG",M1718&lt;=54,"MIDDLE AGE",M1718&gt;=55,"OLD")</f>
        <v>OLD</v>
      </c>
      <c r="V1718" t="str">
        <f t="shared" si="107"/>
        <v>NORMAL</v>
      </c>
    </row>
    <row r="1719" spans="1:22" x14ac:dyDescent="0.35">
      <c r="A1719" t="s">
        <v>3563</v>
      </c>
      <c r="B1719" t="s">
        <v>554</v>
      </c>
      <c r="C1719">
        <v>80.97</v>
      </c>
      <c r="D1719" s="1">
        <v>44935.727754629632</v>
      </c>
      <c r="E1719" s="2">
        <f t="shared" si="104"/>
        <v>0.72775462963181781</v>
      </c>
      <c r="F1719" s="3">
        <f t="shared" si="105"/>
        <v>44935</v>
      </c>
      <c r="G1719" t="s">
        <v>17</v>
      </c>
      <c r="H1719" t="s">
        <v>59</v>
      </c>
      <c r="I1719" t="s">
        <v>2916</v>
      </c>
      <c r="J1719" t="s">
        <v>1119</v>
      </c>
      <c r="K1719" t="s">
        <v>607</v>
      </c>
      <c r="L1719" t="s">
        <v>36</v>
      </c>
      <c r="M1719">
        <v>38</v>
      </c>
      <c r="N1719" t="s">
        <v>23</v>
      </c>
      <c r="O1719">
        <v>157</v>
      </c>
      <c r="P1719">
        <v>1</v>
      </c>
      <c r="Q1719">
        <v>5926.31</v>
      </c>
      <c r="R1719" s="4">
        <v>45600</v>
      </c>
      <c r="S1719" s="6">
        <v>0.3396527777777778</v>
      </c>
      <c r="T1719">
        <f t="shared" si="106"/>
        <v>17</v>
      </c>
      <c r="U1719" t="str" cm="1">
        <f t="array" ref="U1719">_xlfn.IFS(M1719&lt;=34,"YOUNG",M1719&lt;=54,"MIDDLE AGE",M1719&gt;=55,"OLD")</f>
        <v>MIDDLE AGE</v>
      </c>
      <c r="V1719" t="str">
        <f t="shared" si="107"/>
        <v>NORMAL</v>
      </c>
    </row>
    <row r="1720" spans="1:22" x14ac:dyDescent="0.35">
      <c r="A1720" t="s">
        <v>3564</v>
      </c>
      <c r="B1720" t="s">
        <v>1085</v>
      </c>
      <c r="C1720">
        <v>191.89</v>
      </c>
      <c r="D1720" s="1">
        <v>45104.692407407405</v>
      </c>
      <c r="E1720" s="2">
        <f t="shared" si="104"/>
        <v>0.69240740740497131</v>
      </c>
      <c r="F1720" s="3">
        <f t="shared" si="105"/>
        <v>45104</v>
      </c>
      <c r="G1720" t="s">
        <v>17</v>
      </c>
      <c r="H1720" t="s">
        <v>237</v>
      </c>
      <c r="I1720" t="s">
        <v>1365</v>
      </c>
      <c r="J1720" t="s">
        <v>2553</v>
      </c>
      <c r="K1720" t="s">
        <v>576</v>
      </c>
      <c r="L1720" t="s">
        <v>69</v>
      </c>
      <c r="M1720">
        <v>25</v>
      </c>
      <c r="N1720" t="s">
        <v>37</v>
      </c>
      <c r="O1720">
        <v>14</v>
      </c>
      <c r="P1720">
        <v>1</v>
      </c>
      <c r="Q1720">
        <v>399.57</v>
      </c>
      <c r="R1720" s="4">
        <v>45600</v>
      </c>
      <c r="S1720" s="6">
        <v>0.34021990740740743</v>
      </c>
      <c r="T1720">
        <f t="shared" si="106"/>
        <v>16</v>
      </c>
      <c r="U1720" t="str" cm="1">
        <f t="array" ref="U1720">_xlfn.IFS(M1720&lt;=34,"YOUNG",M1720&lt;=54,"MIDDLE AGE",M1720&gt;=55,"OLD")</f>
        <v>YOUNG</v>
      </c>
      <c r="V1720" t="str">
        <f t="shared" si="107"/>
        <v>NORMAL</v>
      </c>
    </row>
    <row r="1721" spans="1:22" x14ac:dyDescent="0.35">
      <c r="A1721" t="s">
        <v>3565</v>
      </c>
      <c r="B1721" t="s">
        <v>1507</v>
      </c>
      <c r="C1721">
        <v>304.75</v>
      </c>
      <c r="D1721" s="1">
        <v>44984.6721875</v>
      </c>
      <c r="E1721" s="2">
        <f t="shared" si="104"/>
        <v>0.67218750000029104</v>
      </c>
      <c r="F1721" s="3">
        <f t="shared" si="105"/>
        <v>44984</v>
      </c>
      <c r="G1721" t="s">
        <v>46</v>
      </c>
      <c r="H1721" t="s">
        <v>119</v>
      </c>
      <c r="I1721" t="s">
        <v>2282</v>
      </c>
      <c r="J1721" t="s">
        <v>42</v>
      </c>
      <c r="K1721" t="s">
        <v>1287</v>
      </c>
      <c r="L1721" t="s">
        <v>69</v>
      </c>
      <c r="M1721">
        <v>78</v>
      </c>
      <c r="N1721" t="s">
        <v>70</v>
      </c>
      <c r="O1721">
        <v>125</v>
      </c>
      <c r="P1721">
        <v>1</v>
      </c>
      <c r="Q1721">
        <v>1916.34</v>
      </c>
      <c r="R1721" s="4">
        <v>45600</v>
      </c>
      <c r="S1721" s="6">
        <v>0.3382060185185185</v>
      </c>
      <c r="T1721">
        <f t="shared" si="106"/>
        <v>16</v>
      </c>
      <c r="U1721" t="str" cm="1">
        <f t="array" ref="U1721">_xlfn.IFS(M1721&lt;=34,"YOUNG",M1721&lt;=54,"MIDDLE AGE",M1721&gt;=55,"OLD")</f>
        <v>OLD</v>
      </c>
      <c r="V1721" t="str">
        <f t="shared" si="107"/>
        <v>NORMAL</v>
      </c>
    </row>
    <row r="1722" spans="1:22" x14ac:dyDescent="0.35">
      <c r="A1722" t="s">
        <v>3566</v>
      </c>
      <c r="B1722" t="s">
        <v>3556</v>
      </c>
      <c r="C1722">
        <v>201.53</v>
      </c>
      <c r="D1722" s="1">
        <v>45236.688692129632</v>
      </c>
      <c r="E1722" s="2">
        <f t="shared" si="104"/>
        <v>0.68869212963181781</v>
      </c>
      <c r="F1722" s="3">
        <f t="shared" si="105"/>
        <v>45236</v>
      </c>
      <c r="G1722" t="s">
        <v>17</v>
      </c>
      <c r="H1722" t="s">
        <v>255</v>
      </c>
      <c r="I1722" t="s">
        <v>476</v>
      </c>
      <c r="J1722" t="s">
        <v>2501</v>
      </c>
      <c r="K1722" t="s">
        <v>83</v>
      </c>
      <c r="L1722" t="s">
        <v>36</v>
      </c>
      <c r="M1722">
        <v>68</v>
      </c>
      <c r="N1722" t="s">
        <v>70</v>
      </c>
      <c r="O1722">
        <v>287</v>
      </c>
      <c r="P1722">
        <v>1</v>
      </c>
      <c r="Q1722">
        <v>2732.86</v>
      </c>
      <c r="R1722" s="4">
        <v>45600</v>
      </c>
      <c r="S1722" s="6">
        <v>0.34190972222222221</v>
      </c>
      <c r="T1722">
        <f t="shared" si="106"/>
        <v>16</v>
      </c>
      <c r="U1722" t="str" cm="1">
        <f t="array" ref="U1722">_xlfn.IFS(M1722&lt;=34,"YOUNG",M1722&lt;=54,"MIDDLE AGE",M1722&gt;=55,"OLD")</f>
        <v>OLD</v>
      </c>
      <c r="V1722" t="str">
        <f t="shared" si="107"/>
        <v>NORMAL</v>
      </c>
    </row>
    <row r="1723" spans="1:22" x14ac:dyDescent="0.35">
      <c r="A1723" t="s">
        <v>3567</v>
      </c>
      <c r="B1723" t="s">
        <v>2949</v>
      </c>
      <c r="C1723">
        <v>8.4499999999999993</v>
      </c>
      <c r="D1723" s="1">
        <v>44967.739976851852</v>
      </c>
      <c r="E1723" s="2">
        <f t="shared" si="104"/>
        <v>0.73997685185167938</v>
      </c>
      <c r="F1723" s="3">
        <f t="shared" si="105"/>
        <v>44967</v>
      </c>
      <c r="G1723" t="s">
        <v>17</v>
      </c>
      <c r="H1723" t="s">
        <v>243</v>
      </c>
      <c r="I1723" t="s">
        <v>1374</v>
      </c>
      <c r="J1723" t="s">
        <v>394</v>
      </c>
      <c r="K1723" t="s">
        <v>154</v>
      </c>
      <c r="L1723" t="s">
        <v>22</v>
      </c>
      <c r="M1723">
        <v>22</v>
      </c>
      <c r="N1723" t="s">
        <v>37</v>
      </c>
      <c r="O1723">
        <v>141</v>
      </c>
      <c r="P1723">
        <v>1</v>
      </c>
      <c r="Q1723">
        <v>1115.3</v>
      </c>
      <c r="R1723" s="4">
        <v>45600</v>
      </c>
      <c r="S1723" s="6">
        <v>0.3387384259259259</v>
      </c>
      <c r="T1723">
        <f t="shared" si="106"/>
        <v>17</v>
      </c>
      <c r="U1723" t="str" cm="1">
        <f t="array" ref="U1723">_xlfn.IFS(M1723&lt;=34,"YOUNG",M1723&lt;=54,"MIDDLE AGE",M1723&gt;=55,"OLD")</f>
        <v>YOUNG</v>
      </c>
      <c r="V1723" t="str">
        <f t="shared" si="107"/>
        <v>NORMAL</v>
      </c>
    </row>
    <row r="1724" spans="1:22" x14ac:dyDescent="0.35">
      <c r="A1724" t="s">
        <v>3568</v>
      </c>
      <c r="B1724" t="s">
        <v>3251</v>
      </c>
      <c r="C1724">
        <v>435.98</v>
      </c>
      <c r="D1724" s="1">
        <v>45211.686909722222</v>
      </c>
      <c r="E1724" s="2">
        <f t="shared" si="104"/>
        <v>0.68690972222248092</v>
      </c>
      <c r="F1724" s="3">
        <f t="shared" si="105"/>
        <v>45211</v>
      </c>
      <c r="G1724" t="s">
        <v>17</v>
      </c>
      <c r="H1724" t="s">
        <v>32</v>
      </c>
      <c r="I1724" t="s">
        <v>198</v>
      </c>
      <c r="J1724" t="s">
        <v>535</v>
      </c>
      <c r="K1724" t="s">
        <v>514</v>
      </c>
      <c r="L1724" t="s">
        <v>69</v>
      </c>
      <c r="M1724">
        <v>30</v>
      </c>
      <c r="N1724" t="s">
        <v>77</v>
      </c>
      <c r="O1724">
        <v>105</v>
      </c>
      <c r="P1724">
        <v>1</v>
      </c>
      <c r="Q1724">
        <v>7334.08</v>
      </c>
      <c r="R1724" s="4">
        <v>45600</v>
      </c>
      <c r="S1724" s="6">
        <v>0.34103009259259259</v>
      </c>
      <c r="T1724">
        <f t="shared" si="106"/>
        <v>16</v>
      </c>
      <c r="U1724" t="str" cm="1">
        <f t="array" ref="U1724">_xlfn.IFS(M1724&lt;=34,"YOUNG",M1724&lt;=54,"MIDDLE AGE",M1724&gt;=55,"OLD")</f>
        <v>YOUNG</v>
      </c>
      <c r="V1724" t="str">
        <f t="shared" si="107"/>
        <v>NORMAL</v>
      </c>
    </row>
    <row r="1725" spans="1:22" x14ac:dyDescent="0.35">
      <c r="A1725" t="s">
        <v>3569</v>
      </c>
      <c r="B1725" t="s">
        <v>1123</v>
      </c>
      <c r="C1725">
        <v>743.24</v>
      </c>
      <c r="D1725" s="1">
        <v>45114.729942129627</v>
      </c>
      <c r="E1725" s="2">
        <f t="shared" si="104"/>
        <v>0.72994212962657912</v>
      </c>
      <c r="F1725" s="3">
        <f t="shared" si="105"/>
        <v>45114</v>
      </c>
      <c r="G1725" t="s">
        <v>46</v>
      </c>
      <c r="H1725" t="s">
        <v>65</v>
      </c>
      <c r="I1725" t="s">
        <v>570</v>
      </c>
      <c r="J1725" t="s">
        <v>1366</v>
      </c>
      <c r="K1725" t="s">
        <v>820</v>
      </c>
      <c r="L1725" t="s">
        <v>36</v>
      </c>
      <c r="M1725">
        <v>19</v>
      </c>
      <c r="N1725" t="s">
        <v>37</v>
      </c>
      <c r="O1725">
        <v>109</v>
      </c>
      <c r="P1725">
        <v>1</v>
      </c>
      <c r="Q1725">
        <v>1024.19</v>
      </c>
      <c r="R1725" s="4">
        <v>45600</v>
      </c>
      <c r="S1725" s="6">
        <v>0.3394212962962963</v>
      </c>
      <c r="T1725">
        <f t="shared" si="106"/>
        <v>17</v>
      </c>
      <c r="U1725" t="str" cm="1">
        <f t="array" ref="U1725">_xlfn.IFS(M1725&lt;=34,"YOUNG",M1725&lt;=54,"MIDDLE AGE",M1725&gt;=55,"OLD")</f>
        <v>YOUNG</v>
      </c>
      <c r="V1725" t="str">
        <f t="shared" si="107"/>
        <v>NORMAL</v>
      </c>
    </row>
    <row r="1726" spans="1:22" x14ac:dyDescent="0.35">
      <c r="A1726" t="s">
        <v>3570</v>
      </c>
      <c r="B1726" t="s">
        <v>1327</v>
      </c>
      <c r="C1726">
        <v>16.27</v>
      </c>
      <c r="D1726" s="1">
        <v>44970.749131944445</v>
      </c>
      <c r="E1726" s="2">
        <f t="shared" si="104"/>
        <v>0.74913194444525288</v>
      </c>
      <c r="F1726" s="3">
        <f t="shared" si="105"/>
        <v>44970</v>
      </c>
      <c r="G1726" t="s">
        <v>17</v>
      </c>
      <c r="H1726" t="s">
        <v>47</v>
      </c>
      <c r="I1726" t="s">
        <v>1633</v>
      </c>
      <c r="J1726" t="s">
        <v>779</v>
      </c>
      <c r="K1726" t="s">
        <v>858</v>
      </c>
      <c r="L1726" t="s">
        <v>22</v>
      </c>
      <c r="M1726">
        <v>57</v>
      </c>
      <c r="N1726" t="s">
        <v>23</v>
      </c>
      <c r="O1726">
        <v>44</v>
      </c>
      <c r="P1726">
        <v>1</v>
      </c>
      <c r="Q1726">
        <v>10971.32</v>
      </c>
      <c r="R1726" s="4">
        <v>45600</v>
      </c>
      <c r="S1726" s="6">
        <v>0.33962962962962961</v>
      </c>
      <c r="T1726">
        <f t="shared" si="106"/>
        <v>17</v>
      </c>
      <c r="U1726" t="str" cm="1">
        <f t="array" ref="U1726">_xlfn.IFS(M1726&lt;=34,"YOUNG",M1726&lt;=54,"MIDDLE AGE",M1726&gt;=55,"OLD")</f>
        <v>OLD</v>
      </c>
      <c r="V1726" t="str">
        <f t="shared" si="107"/>
        <v>NORMAL</v>
      </c>
    </row>
    <row r="1727" spans="1:22" x14ac:dyDescent="0.35">
      <c r="A1727" t="s">
        <v>3571</v>
      </c>
      <c r="B1727" t="s">
        <v>2643</v>
      </c>
      <c r="C1727">
        <v>290.86</v>
      </c>
      <c r="D1727" s="1">
        <v>45082.739664351851</v>
      </c>
      <c r="E1727" s="2">
        <f t="shared" si="104"/>
        <v>0.73966435185138835</v>
      </c>
      <c r="F1727" s="3">
        <f t="shared" si="105"/>
        <v>45082</v>
      </c>
      <c r="G1727" t="s">
        <v>17</v>
      </c>
      <c r="H1727" t="s">
        <v>108</v>
      </c>
      <c r="I1727" t="s">
        <v>204</v>
      </c>
      <c r="J1727" t="s">
        <v>1149</v>
      </c>
      <c r="K1727" t="s">
        <v>1524</v>
      </c>
      <c r="L1727" t="s">
        <v>36</v>
      </c>
      <c r="M1727">
        <v>45</v>
      </c>
      <c r="N1727" t="s">
        <v>23</v>
      </c>
      <c r="O1727">
        <v>36</v>
      </c>
      <c r="P1727">
        <v>1</v>
      </c>
      <c r="Q1727">
        <v>14631.88</v>
      </c>
      <c r="R1727" s="4">
        <v>45600</v>
      </c>
      <c r="S1727" s="6">
        <v>0.34079861111111109</v>
      </c>
      <c r="T1727">
        <f t="shared" si="106"/>
        <v>17</v>
      </c>
      <c r="U1727" t="str" cm="1">
        <f t="array" ref="U1727">_xlfn.IFS(M1727&lt;=34,"YOUNG",M1727&lt;=54,"MIDDLE AGE",M1727&gt;=55,"OLD")</f>
        <v>MIDDLE AGE</v>
      </c>
      <c r="V1727" t="str">
        <f t="shared" si="107"/>
        <v>NORMAL</v>
      </c>
    </row>
    <row r="1728" spans="1:22" x14ac:dyDescent="0.35">
      <c r="A1728" t="s">
        <v>3572</v>
      </c>
      <c r="B1728" t="s">
        <v>248</v>
      </c>
      <c r="C1728">
        <v>85.73</v>
      </c>
      <c r="D1728" s="1">
        <v>44986.673587962963</v>
      </c>
      <c r="E1728" s="2">
        <f t="shared" si="104"/>
        <v>0.67358796296321088</v>
      </c>
      <c r="F1728" s="3">
        <f t="shared" si="105"/>
        <v>44986</v>
      </c>
      <c r="G1728" t="s">
        <v>17</v>
      </c>
      <c r="H1728" t="s">
        <v>301</v>
      </c>
      <c r="I1728" t="s">
        <v>1305</v>
      </c>
      <c r="J1728" t="s">
        <v>500</v>
      </c>
      <c r="K1728" t="s">
        <v>740</v>
      </c>
      <c r="L1728" t="s">
        <v>22</v>
      </c>
      <c r="M1728">
        <v>41</v>
      </c>
      <c r="N1728" t="s">
        <v>23</v>
      </c>
      <c r="O1728">
        <v>266</v>
      </c>
      <c r="P1728">
        <v>1</v>
      </c>
      <c r="Q1728">
        <v>14928.35</v>
      </c>
      <c r="R1728" s="4">
        <v>45600</v>
      </c>
      <c r="S1728" s="6">
        <v>0.33931712962962962</v>
      </c>
      <c r="T1728">
        <f t="shared" si="106"/>
        <v>16</v>
      </c>
      <c r="U1728" t="str" cm="1">
        <f t="array" ref="U1728">_xlfn.IFS(M1728&lt;=34,"YOUNG",M1728&lt;=54,"MIDDLE AGE",M1728&gt;=55,"OLD")</f>
        <v>MIDDLE AGE</v>
      </c>
      <c r="V1728" t="str">
        <f t="shared" si="107"/>
        <v>NORMAL</v>
      </c>
    </row>
    <row r="1729" spans="1:22" x14ac:dyDescent="0.35">
      <c r="A1729" t="s">
        <v>3573</v>
      </c>
      <c r="B1729" t="s">
        <v>1144</v>
      </c>
      <c r="C1729">
        <v>555.71</v>
      </c>
      <c r="D1729" s="1">
        <v>44949.733124999999</v>
      </c>
      <c r="E1729" s="2">
        <f t="shared" si="104"/>
        <v>0.73312499999883585</v>
      </c>
      <c r="F1729" s="3">
        <f t="shared" si="105"/>
        <v>44949</v>
      </c>
      <c r="G1729" t="s">
        <v>46</v>
      </c>
      <c r="H1729" t="s">
        <v>388</v>
      </c>
      <c r="I1729" t="s">
        <v>1211</v>
      </c>
      <c r="J1729" t="s">
        <v>293</v>
      </c>
      <c r="K1729" t="s">
        <v>762</v>
      </c>
      <c r="L1729" t="s">
        <v>69</v>
      </c>
      <c r="M1729">
        <v>22</v>
      </c>
      <c r="N1729" t="s">
        <v>37</v>
      </c>
      <c r="O1729">
        <v>73</v>
      </c>
      <c r="P1729">
        <v>1</v>
      </c>
      <c r="Q1729">
        <v>830.37</v>
      </c>
      <c r="R1729" s="4">
        <v>45600</v>
      </c>
      <c r="S1729" s="6">
        <v>0.33916666666666667</v>
      </c>
      <c r="T1729">
        <f t="shared" si="106"/>
        <v>17</v>
      </c>
      <c r="U1729" t="str" cm="1">
        <f t="array" ref="U1729">_xlfn.IFS(M1729&lt;=34,"YOUNG",M1729&lt;=54,"MIDDLE AGE",M1729&gt;=55,"OLD")</f>
        <v>YOUNG</v>
      </c>
      <c r="V1729" t="str">
        <f t="shared" si="107"/>
        <v>NORMAL</v>
      </c>
    </row>
    <row r="1730" spans="1:22" x14ac:dyDescent="0.35">
      <c r="A1730" t="s">
        <v>3574</v>
      </c>
      <c r="B1730" t="s">
        <v>868</v>
      </c>
      <c r="C1730">
        <v>40.03</v>
      </c>
      <c r="D1730" s="1">
        <v>44935.720752314817</v>
      </c>
      <c r="E1730" s="2">
        <f t="shared" ref="E1730:E1793" si="108">D1730-INT(D1730)</f>
        <v>0.72075231481721858</v>
      </c>
      <c r="F1730" s="3">
        <f t="shared" ref="F1730:F1793" si="109">INT(D1730)</f>
        <v>44935</v>
      </c>
      <c r="G1730" t="s">
        <v>17</v>
      </c>
      <c r="H1730" t="s">
        <v>296</v>
      </c>
      <c r="I1730" t="s">
        <v>1024</v>
      </c>
      <c r="J1730" t="s">
        <v>507</v>
      </c>
      <c r="K1730" t="s">
        <v>572</v>
      </c>
      <c r="L1730" t="s">
        <v>69</v>
      </c>
      <c r="M1730">
        <v>23</v>
      </c>
      <c r="N1730" t="s">
        <v>37</v>
      </c>
      <c r="O1730">
        <v>200</v>
      </c>
      <c r="P1730">
        <v>1</v>
      </c>
      <c r="Q1730">
        <v>6408.8</v>
      </c>
      <c r="R1730" s="4">
        <v>45600</v>
      </c>
      <c r="S1730" s="6">
        <v>0.34175925925925926</v>
      </c>
      <c r="T1730">
        <f t="shared" si="106"/>
        <v>17</v>
      </c>
      <c r="U1730" t="str" cm="1">
        <f t="array" ref="U1730">_xlfn.IFS(M1730&lt;=34,"YOUNG",M1730&lt;=54,"MIDDLE AGE",M1730&gt;=55,"OLD")</f>
        <v>YOUNG</v>
      </c>
      <c r="V1730" t="str">
        <f t="shared" si="107"/>
        <v>NORMAL</v>
      </c>
    </row>
    <row r="1731" spans="1:22" x14ac:dyDescent="0.35">
      <c r="A1731" t="s">
        <v>3575</v>
      </c>
      <c r="B1731" t="s">
        <v>2090</v>
      </c>
      <c r="C1731">
        <v>73.010000000000005</v>
      </c>
      <c r="D1731" s="1">
        <v>45217.76834490741</v>
      </c>
      <c r="E1731" s="2">
        <f t="shared" si="108"/>
        <v>0.76834490741021</v>
      </c>
      <c r="F1731" s="3">
        <f t="shared" si="109"/>
        <v>45217</v>
      </c>
      <c r="G1731" t="s">
        <v>46</v>
      </c>
      <c r="H1731" t="s">
        <v>178</v>
      </c>
      <c r="I1731" t="s">
        <v>1522</v>
      </c>
      <c r="J1731" t="s">
        <v>2065</v>
      </c>
      <c r="K1731" t="s">
        <v>165</v>
      </c>
      <c r="L1731" t="s">
        <v>36</v>
      </c>
      <c r="M1731">
        <v>25</v>
      </c>
      <c r="N1731" t="s">
        <v>37</v>
      </c>
      <c r="O1731">
        <v>62</v>
      </c>
      <c r="P1731">
        <v>1</v>
      </c>
      <c r="Q1731">
        <v>1997.33</v>
      </c>
      <c r="R1731" s="4">
        <v>45600</v>
      </c>
      <c r="S1731" s="6">
        <v>0.34041666666666665</v>
      </c>
      <c r="T1731">
        <f t="shared" ref="T1731:T1794" si="110">HOUR(E1731)</f>
        <v>18</v>
      </c>
      <c r="U1731" t="str" cm="1">
        <f t="array" ref="U1731">_xlfn.IFS(M1731&lt;=34,"YOUNG",M1731&lt;=54,"MIDDLE AGE",M1731&gt;=55,"OLD")</f>
        <v>YOUNG</v>
      </c>
      <c r="V1731" t="str">
        <f t="shared" ref="V1731:V1794" si="111">IF(P1731&gt;1,"HIGH","NORMAL")</f>
        <v>NORMAL</v>
      </c>
    </row>
    <row r="1732" spans="1:22" x14ac:dyDescent="0.35">
      <c r="A1732" t="s">
        <v>3576</v>
      </c>
      <c r="B1732" t="s">
        <v>701</v>
      </c>
      <c r="C1732">
        <v>346.12</v>
      </c>
      <c r="D1732" s="1">
        <v>45289.746874999997</v>
      </c>
      <c r="E1732" s="2">
        <f t="shared" si="108"/>
        <v>0.74687499999708962</v>
      </c>
      <c r="F1732" s="3">
        <f t="shared" si="109"/>
        <v>45289</v>
      </c>
      <c r="G1732" t="s">
        <v>17</v>
      </c>
      <c r="H1732" t="s">
        <v>212</v>
      </c>
      <c r="I1732" t="s">
        <v>798</v>
      </c>
      <c r="J1732" t="s">
        <v>2280</v>
      </c>
      <c r="K1732" t="s">
        <v>652</v>
      </c>
      <c r="L1732" t="s">
        <v>69</v>
      </c>
      <c r="M1732">
        <v>44</v>
      </c>
      <c r="N1732" t="s">
        <v>23</v>
      </c>
      <c r="O1732">
        <v>12</v>
      </c>
      <c r="P1732">
        <v>1</v>
      </c>
      <c r="Q1732">
        <v>13084.27</v>
      </c>
      <c r="R1732" s="4">
        <v>45600</v>
      </c>
      <c r="S1732" s="6">
        <v>0.34097222222222223</v>
      </c>
      <c r="T1732">
        <f t="shared" si="110"/>
        <v>17</v>
      </c>
      <c r="U1732" t="str" cm="1">
        <f t="array" ref="U1732">_xlfn.IFS(M1732&lt;=34,"YOUNG",M1732&lt;=54,"MIDDLE AGE",M1732&gt;=55,"OLD")</f>
        <v>MIDDLE AGE</v>
      </c>
      <c r="V1732" t="str">
        <f t="shared" si="111"/>
        <v>NORMAL</v>
      </c>
    </row>
    <row r="1733" spans="1:22" x14ac:dyDescent="0.35">
      <c r="A1733" t="s">
        <v>3577</v>
      </c>
      <c r="B1733" t="s">
        <v>684</v>
      </c>
      <c r="C1733">
        <v>1.93</v>
      </c>
      <c r="D1733" s="1">
        <v>45218.754259259258</v>
      </c>
      <c r="E1733" s="2">
        <f t="shared" si="108"/>
        <v>0.75425925925810589</v>
      </c>
      <c r="F1733" s="3">
        <f t="shared" si="109"/>
        <v>45218</v>
      </c>
      <c r="G1733" t="s">
        <v>17</v>
      </c>
      <c r="H1733" t="s">
        <v>265</v>
      </c>
      <c r="I1733" t="s">
        <v>189</v>
      </c>
      <c r="J1733" t="s">
        <v>1494</v>
      </c>
      <c r="K1733" t="s">
        <v>95</v>
      </c>
      <c r="L1733" t="s">
        <v>69</v>
      </c>
      <c r="M1733">
        <v>47</v>
      </c>
      <c r="N1733" t="s">
        <v>23</v>
      </c>
      <c r="O1733">
        <v>175</v>
      </c>
      <c r="P1733">
        <v>5</v>
      </c>
      <c r="Q1733">
        <v>5684.09</v>
      </c>
      <c r="R1733" s="4">
        <v>45600</v>
      </c>
      <c r="S1733" s="6">
        <v>0.33927083333333335</v>
      </c>
      <c r="T1733">
        <f t="shared" si="110"/>
        <v>18</v>
      </c>
      <c r="U1733" t="str" cm="1">
        <f t="array" ref="U1733">_xlfn.IFS(M1733&lt;=34,"YOUNG",M1733&lt;=54,"MIDDLE AGE",M1733&gt;=55,"OLD")</f>
        <v>MIDDLE AGE</v>
      </c>
      <c r="V1733" t="str">
        <f t="shared" si="111"/>
        <v>HIGH</v>
      </c>
    </row>
    <row r="1734" spans="1:22" x14ac:dyDescent="0.35">
      <c r="A1734" t="s">
        <v>3578</v>
      </c>
      <c r="B1734" t="s">
        <v>533</v>
      </c>
      <c r="C1734">
        <v>252.93</v>
      </c>
      <c r="D1734" s="1">
        <v>44963.670231481483</v>
      </c>
      <c r="E1734" s="2">
        <f t="shared" si="108"/>
        <v>0.67023148148291511</v>
      </c>
      <c r="F1734" s="3">
        <f t="shared" si="109"/>
        <v>44963</v>
      </c>
      <c r="G1734" t="s">
        <v>17</v>
      </c>
      <c r="H1734" t="s">
        <v>595</v>
      </c>
      <c r="I1734" t="s">
        <v>435</v>
      </c>
      <c r="J1734" t="s">
        <v>2729</v>
      </c>
      <c r="K1734" t="s">
        <v>353</v>
      </c>
      <c r="L1734" t="s">
        <v>22</v>
      </c>
      <c r="M1734">
        <v>75</v>
      </c>
      <c r="N1734" t="s">
        <v>70</v>
      </c>
      <c r="O1734">
        <v>222</v>
      </c>
      <c r="P1734">
        <v>1</v>
      </c>
      <c r="Q1734">
        <v>2760.37</v>
      </c>
      <c r="R1734" s="4">
        <v>45600</v>
      </c>
      <c r="S1734" s="6">
        <v>0.33880787037037036</v>
      </c>
      <c r="T1734">
        <f t="shared" si="110"/>
        <v>16</v>
      </c>
      <c r="U1734" t="str" cm="1">
        <f t="array" ref="U1734">_xlfn.IFS(M1734&lt;=34,"YOUNG",M1734&lt;=54,"MIDDLE AGE",M1734&gt;=55,"OLD")</f>
        <v>OLD</v>
      </c>
      <c r="V1734" t="str">
        <f t="shared" si="111"/>
        <v>NORMAL</v>
      </c>
    </row>
    <row r="1735" spans="1:22" x14ac:dyDescent="0.35">
      <c r="A1735" t="s">
        <v>3579</v>
      </c>
      <c r="B1735" t="s">
        <v>667</v>
      </c>
      <c r="C1735">
        <v>238.54</v>
      </c>
      <c r="D1735" s="1">
        <v>45023.669456018521</v>
      </c>
      <c r="E1735" s="2">
        <f t="shared" si="108"/>
        <v>0.66945601852057735</v>
      </c>
      <c r="F1735" s="3">
        <f t="shared" si="109"/>
        <v>45023</v>
      </c>
      <c r="G1735" t="s">
        <v>17</v>
      </c>
      <c r="H1735" t="s">
        <v>65</v>
      </c>
      <c r="I1735" t="s">
        <v>448</v>
      </c>
      <c r="J1735" t="s">
        <v>1740</v>
      </c>
      <c r="K1735" t="s">
        <v>598</v>
      </c>
      <c r="L1735" t="s">
        <v>22</v>
      </c>
      <c r="M1735">
        <v>19</v>
      </c>
      <c r="N1735" t="s">
        <v>37</v>
      </c>
      <c r="O1735">
        <v>12</v>
      </c>
      <c r="P1735">
        <v>4</v>
      </c>
      <c r="Q1735">
        <v>868.91</v>
      </c>
      <c r="R1735" s="4">
        <v>45600</v>
      </c>
      <c r="S1735" s="6">
        <v>0.33840277777777777</v>
      </c>
      <c r="T1735">
        <f t="shared" si="110"/>
        <v>16</v>
      </c>
      <c r="U1735" t="str" cm="1">
        <f t="array" ref="U1735">_xlfn.IFS(M1735&lt;=34,"YOUNG",M1735&lt;=54,"MIDDLE AGE",M1735&gt;=55,"OLD")</f>
        <v>YOUNG</v>
      </c>
      <c r="V1735" t="str">
        <f t="shared" si="111"/>
        <v>HIGH</v>
      </c>
    </row>
    <row r="1736" spans="1:22" x14ac:dyDescent="0.35">
      <c r="A1736" t="s">
        <v>3580</v>
      </c>
      <c r="B1736" t="s">
        <v>813</v>
      </c>
      <c r="C1736">
        <v>1011.22</v>
      </c>
      <c r="D1736" s="1">
        <v>45159.785543981481</v>
      </c>
      <c r="E1736" s="2">
        <f t="shared" si="108"/>
        <v>0.78554398148116888</v>
      </c>
      <c r="F1736" s="3">
        <f t="shared" si="109"/>
        <v>45159</v>
      </c>
      <c r="G1736" t="s">
        <v>17</v>
      </c>
      <c r="H1736" t="s">
        <v>255</v>
      </c>
      <c r="I1736" t="s">
        <v>596</v>
      </c>
      <c r="J1736" t="s">
        <v>583</v>
      </c>
      <c r="K1736" t="s">
        <v>226</v>
      </c>
      <c r="L1736" t="s">
        <v>69</v>
      </c>
      <c r="M1736">
        <v>61</v>
      </c>
      <c r="N1736" t="s">
        <v>70</v>
      </c>
      <c r="O1736">
        <v>129</v>
      </c>
      <c r="P1736">
        <v>1</v>
      </c>
      <c r="Q1736">
        <v>5838.91</v>
      </c>
      <c r="R1736" s="4">
        <v>45600</v>
      </c>
      <c r="S1736" s="6">
        <v>0.3402662037037037</v>
      </c>
      <c r="T1736">
        <f t="shared" si="110"/>
        <v>18</v>
      </c>
      <c r="U1736" t="str" cm="1">
        <f t="array" ref="U1736">_xlfn.IFS(M1736&lt;=34,"YOUNG",M1736&lt;=54,"MIDDLE AGE",M1736&gt;=55,"OLD")</f>
        <v>OLD</v>
      </c>
      <c r="V1736" t="str">
        <f t="shared" si="111"/>
        <v>NORMAL</v>
      </c>
    </row>
    <row r="1737" spans="1:22" x14ac:dyDescent="0.35">
      <c r="A1737" t="s">
        <v>3581</v>
      </c>
      <c r="B1737" t="s">
        <v>1121</v>
      </c>
      <c r="C1737">
        <v>58.7</v>
      </c>
      <c r="D1737" s="1">
        <v>44988.666678240741</v>
      </c>
      <c r="E1737" s="2">
        <f t="shared" si="108"/>
        <v>0.666678240741021</v>
      </c>
      <c r="F1737" s="3">
        <f t="shared" si="109"/>
        <v>44988</v>
      </c>
      <c r="G1737" t="s">
        <v>17</v>
      </c>
      <c r="H1737" t="s">
        <v>203</v>
      </c>
      <c r="I1737" t="s">
        <v>1708</v>
      </c>
      <c r="J1737" t="s">
        <v>287</v>
      </c>
      <c r="K1737" t="s">
        <v>576</v>
      </c>
      <c r="L1737" t="s">
        <v>69</v>
      </c>
      <c r="M1737">
        <v>67</v>
      </c>
      <c r="N1737" t="s">
        <v>23</v>
      </c>
      <c r="O1737">
        <v>141</v>
      </c>
      <c r="P1737">
        <v>1</v>
      </c>
      <c r="Q1737">
        <v>8937.35</v>
      </c>
      <c r="R1737" s="4">
        <v>45600</v>
      </c>
      <c r="S1737" s="6">
        <v>0.33833333333333332</v>
      </c>
      <c r="T1737">
        <f t="shared" si="110"/>
        <v>16</v>
      </c>
      <c r="U1737" t="str" cm="1">
        <f t="array" ref="U1737">_xlfn.IFS(M1737&lt;=34,"YOUNG",M1737&lt;=54,"MIDDLE AGE",M1737&gt;=55,"OLD")</f>
        <v>OLD</v>
      </c>
      <c r="V1737" t="str">
        <f t="shared" si="111"/>
        <v>NORMAL</v>
      </c>
    </row>
    <row r="1738" spans="1:22" x14ac:dyDescent="0.35">
      <c r="A1738" t="s">
        <v>3582</v>
      </c>
      <c r="B1738" t="s">
        <v>484</v>
      </c>
      <c r="C1738">
        <v>7.56</v>
      </c>
      <c r="D1738" s="1">
        <v>44963.693576388891</v>
      </c>
      <c r="E1738" s="2">
        <f t="shared" si="108"/>
        <v>0.69357638889050577</v>
      </c>
      <c r="F1738" s="3">
        <f t="shared" si="109"/>
        <v>44963</v>
      </c>
      <c r="G1738" t="s">
        <v>17</v>
      </c>
      <c r="H1738" t="s">
        <v>178</v>
      </c>
      <c r="I1738" t="s">
        <v>2244</v>
      </c>
      <c r="J1738" t="s">
        <v>963</v>
      </c>
      <c r="K1738" t="s">
        <v>272</v>
      </c>
      <c r="L1738" t="s">
        <v>22</v>
      </c>
      <c r="M1738">
        <v>40</v>
      </c>
      <c r="N1738" t="s">
        <v>23</v>
      </c>
      <c r="O1738">
        <v>145</v>
      </c>
      <c r="P1738">
        <v>1</v>
      </c>
      <c r="Q1738">
        <v>8528.7199999999993</v>
      </c>
      <c r="R1738" s="4">
        <v>45600</v>
      </c>
      <c r="S1738" s="6">
        <v>0.33841435185185187</v>
      </c>
      <c r="T1738">
        <f t="shared" si="110"/>
        <v>16</v>
      </c>
      <c r="U1738" t="str" cm="1">
        <f t="array" ref="U1738">_xlfn.IFS(M1738&lt;=34,"YOUNG",M1738&lt;=54,"MIDDLE AGE",M1738&gt;=55,"OLD")</f>
        <v>MIDDLE AGE</v>
      </c>
      <c r="V1738" t="str">
        <f t="shared" si="111"/>
        <v>NORMAL</v>
      </c>
    </row>
    <row r="1739" spans="1:22" x14ac:dyDescent="0.35">
      <c r="A1739" t="s">
        <v>3583</v>
      </c>
      <c r="B1739" t="s">
        <v>701</v>
      </c>
      <c r="C1739">
        <v>540.4</v>
      </c>
      <c r="D1739" s="1">
        <v>44979.696030092593</v>
      </c>
      <c r="E1739" s="2">
        <f t="shared" si="108"/>
        <v>0.69603009259299142</v>
      </c>
      <c r="F1739" s="3">
        <f t="shared" si="109"/>
        <v>44979</v>
      </c>
      <c r="G1739" t="s">
        <v>17</v>
      </c>
      <c r="H1739" t="s">
        <v>26</v>
      </c>
      <c r="I1739" t="s">
        <v>827</v>
      </c>
      <c r="J1739" t="s">
        <v>1819</v>
      </c>
      <c r="K1739" t="s">
        <v>885</v>
      </c>
      <c r="L1739" t="s">
        <v>69</v>
      </c>
      <c r="M1739">
        <v>45</v>
      </c>
      <c r="N1739" t="s">
        <v>23</v>
      </c>
      <c r="O1739">
        <v>272</v>
      </c>
      <c r="P1739">
        <v>1</v>
      </c>
      <c r="Q1739">
        <v>425.77</v>
      </c>
      <c r="R1739" s="4">
        <v>45600</v>
      </c>
      <c r="S1739" s="6">
        <v>0.33810185185185188</v>
      </c>
      <c r="T1739">
        <f t="shared" si="110"/>
        <v>16</v>
      </c>
      <c r="U1739" t="str" cm="1">
        <f t="array" ref="U1739">_xlfn.IFS(M1739&lt;=34,"YOUNG",M1739&lt;=54,"MIDDLE AGE",M1739&gt;=55,"OLD")</f>
        <v>MIDDLE AGE</v>
      </c>
      <c r="V1739" t="str">
        <f t="shared" si="111"/>
        <v>NORMAL</v>
      </c>
    </row>
    <row r="1740" spans="1:22" x14ac:dyDescent="0.35">
      <c r="A1740" t="s">
        <v>3584</v>
      </c>
      <c r="B1740" t="s">
        <v>3332</v>
      </c>
      <c r="C1740">
        <v>264.14</v>
      </c>
      <c r="D1740" s="1">
        <v>45135.733680555553</v>
      </c>
      <c r="E1740" s="2">
        <f t="shared" si="108"/>
        <v>0.73368055555329192</v>
      </c>
      <c r="F1740" s="3">
        <f t="shared" si="109"/>
        <v>45135</v>
      </c>
      <c r="G1740" t="s">
        <v>17</v>
      </c>
      <c r="H1740" t="s">
        <v>197</v>
      </c>
      <c r="I1740" t="s">
        <v>2947</v>
      </c>
      <c r="J1740" t="s">
        <v>1556</v>
      </c>
      <c r="K1740" t="s">
        <v>386</v>
      </c>
      <c r="L1740" t="s">
        <v>22</v>
      </c>
      <c r="M1740">
        <v>64</v>
      </c>
      <c r="N1740" t="s">
        <v>23</v>
      </c>
      <c r="O1740">
        <v>125</v>
      </c>
      <c r="P1740">
        <v>1</v>
      </c>
      <c r="Q1740">
        <v>8459.26</v>
      </c>
      <c r="R1740" s="4">
        <v>45600</v>
      </c>
      <c r="S1740" s="6">
        <v>0.3384375</v>
      </c>
      <c r="T1740">
        <f t="shared" si="110"/>
        <v>17</v>
      </c>
      <c r="U1740" t="str" cm="1">
        <f t="array" ref="U1740">_xlfn.IFS(M1740&lt;=34,"YOUNG",M1740&lt;=54,"MIDDLE AGE",M1740&gt;=55,"OLD")</f>
        <v>OLD</v>
      </c>
      <c r="V1740" t="str">
        <f t="shared" si="111"/>
        <v>NORMAL</v>
      </c>
    </row>
    <row r="1741" spans="1:22" x14ac:dyDescent="0.35">
      <c r="A1741" t="s">
        <v>3585</v>
      </c>
      <c r="B1741" t="s">
        <v>3586</v>
      </c>
      <c r="C1741">
        <v>248.15</v>
      </c>
      <c r="D1741" s="1">
        <v>45092.695138888892</v>
      </c>
      <c r="E1741" s="2">
        <f t="shared" si="108"/>
        <v>0.69513888889196096</v>
      </c>
      <c r="F1741" s="3">
        <f t="shared" si="109"/>
        <v>45092</v>
      </c>
      <c r="G1741" t="s">
        <v>17</v>
      </c>
      <c r="H1741" t="s">
        <v>178</v>
      </c>
      <c r="I1741" t="s">
        <v>1184</v>
      </c>
      <c r="J1741" t="s">
        <v>1246</v>
      </c>
      <c r="K1741" t="s">
        <v>762</v>
      </c>
      <c r="L1741" t="s">
        <v>22</v>
      </c>
      <c r="M1741">
        <v>75</v>
      </c>
      <c r="N1741" t="s">
        <v>70</v>
      </c>
      <c r="O1741">
        <v>202</v>
      </c>
      <c r="P1741">
        <v>1</v>
      </c>
      <c r="Q1741">
        <v>2649.23</v>
      </c>
      <c r="R1741" s="4">
        <v>45600</v>
      </c>
      <c r="S1741" s="6">
        <v>0.3395023148148148</v>
      </c>
      <c r="T1741">
        <f t="shared" si="110"/>
        <v>16</v>
      </c>
      <c r="U1741" t="str" cm="1">
        <f t="array" ref="U1741">_xlfn.IFS(M1741&lt;=34,"YOUNG",M1741&lt;=54,"MIDDLE AGE",M1741&gt;=55,"OLD")</f>
        <v>OLD</v>
      </c>
      <c r="V1741" t="str">
        <f t="shared" si="111"/>
        <v>NORMAL</v>
      </c>
    </row>
    <row r="1742" spans="1:22" x14ac:dyDescent="0.35">
      <c r="A1742" t="s">
        <v>3587</v>
      </c>
      <c r="B1742" t="s">
        <v>1147</v>
      </c>
      <c r="C1742">
        <v>24.34</v>
      </c>
      <c r="D1742" s="1">
        <v>45259.718773148146</v>
      </c>
      <c r="E1742" s="2">
        <f t="shared" si="108"/>
        <v>0.71877314814628335</v>
      </c>
      <c r="F1742" s="3">
        <f t="shared" si="109"/>
        <v>45259</v>
      </c>
      <c r="G1742" t="s">
        <v>17</v>
      </c>
      <c r="H1742" t="s">
        <v>40</v>
      </c>
      <c r="I1742" t="s">
        <v>713</v>
      </c>
      <c r="J1742" t="s">
        <v>3588</v>
      </c>
      <c r="K1742" t="s">
        <v>267</v>
      </c>
      <c r="L1742" t="s">
        <v>69</v>
      </c>
      <c r="M1742">
        <v>54</v>
      </c>
      <c r="N1742" t="s">
        <v>77</v>
      </c>
      <c r="O1742">
        <v>110</v>
      </c>
      <c r="P1742">
        <v>1</v>
      </c>
      <c r="Q1742">
        <v>6659.12</v>
      </c>
      <c r="R1742" s="4">
        <v>45600</v>
      </c>
      <c r="S1742" s="6">
        <v>0.33984953703703702</v>
      </c>
      <c r="T1742">
        <f t="shared" si="110"/>
        <v>17</v>
      </c>
      <c r="U1742" t="str" cm="1">
        <f t="array" ref="U1742">_xlfn.IFS(M1742&lt;=34,"YOUNG",M1742&lt;=54,"MIDDLE AGE",M1742&gt;=55,"OLD")</f>
        <v>MIDDLE AGE</v>
      </c>
      <c r="V1742" t="str">
        <f t="shared" si="111"/>
        <v>NORMAL</v>
      </c>
    </row>
    <row r="1743" spans="1:22" x14ac:dyDescent="0.35">
      <c r="A1743" t="s">
        <v>3589</v>
      </c>
      <c r="B1743" t="s">
        <v>1027</v>
      </c>
      <c r="C1743">
        <v>428.61</v>
      </c>
      <c r="D1743" s="1">
        <v>44935.675000000003</v>
      </c>
      <c r="E1743" s="2">
        <f t="shared" si="108"/>
        <v>0.67500000000291038</v>
      </c>
      <c r="F1743" s="3">
        <f t="shared" si="109"/>
        <v>44935</v>
      </c>
      <c r="G1743" t="s">
        <v>17</v>
      </c>
      <c r="H1743" t="s">
        <v>157</v>
      </c>
      <c r="I1743" t="s">
        <v>1859</v>
      </c>
      <c r="J1743" t="s">
        <v>1576</v>
      </c>
      <c r="K1743" t="s">
        <v>29</v>
      </c>
      <c r="L1743" t="s">
        <v>22</v>
      </c>
      <c r="M1743">
        <v>66</v>
      </c>
      <c r="N1743" t="s">
        <v>23</v>
      </c>
      <c r="O1743">
        <v>62</v>
      </c>
      <c r="P1743">
        <v>1</v>
      </c>
      <c r="Q1743">
        <v>11937.04</v>
      </c>
      <c r="R1743" s="4">
        <v>45600</v>
      </c>
      <c r="S1743" s="6">
        <v>0.34006944444444442</v>
      </c>
      <c r="T1743">
        <f t="shared" si="110"/>
        <v>16</v>
      </c>
      <c r="U1743" t="str" cm="1">
        <f t="array" ref="U1743">_xlfn.IFS(M1743&lt;=34,"YOUNG",M1743&lt;=54,"MIDDLE AGE",M1743&gt;=55,"OLD")</f>
        <v>OLD</v>
      </c>
      <c r="V1743" t="str">
        <f t="shared" si="111"/>
        <v>NORMAL</v>
      </c>
    </row>
    <row r="1744" spans="1:22" x14ac:dyDescent="0.35">
      <c r="A1744" t="s">
        <v>3590</v>
      </c>
      <c r="B1744" t="s">
        <v>384</v>
      </c>
      <c r="C1744">
        <v>117.66</v>
      </c>
      <c r="D1744" s="1">
        <v>45141.763807870368</v>
      </c>
      <c r="E1744" s="2">
        <f t="shared" si="108"/>
        <v>0.76380787036760012</v>
      </c>
      <c r="F1744" s="3">
        <f t="shared" si="109"/>
        <v>45141</v>
      </c>
      <c r="G1744" t="s">
        <v>46</v>
      </c>
      <c r="H1744" t="s">
        <v>92</v>
      </c>
      <c r="I1744" t="s">
        <v>3399</v>
      </c>
      <c r="J1744" t="s">
        <v>507</v>
      </c>
      <c r="K1744" t="s">
        <v>240</v>
      </c>
      <c r="L1744" t="s">
        <v>69</v>
      </c>
      <c r="M1744">
        <v>39</v>
      </c>
      <c r="N1744" t="s">
        <v>23</v>
      </c>
      <c r="O1744">
        <v>126</v>
      </c>
      <c r="P1744">
        <v>1</v>
      </c>
      <c r="Q1744">
        <v>6794.17</v>
      </c>
      <c r="R1744" s="4">
        <v>45600</v>
      </c>
      <c r="S1744" s="6">
        <v>0.33883101851851855</v>
      </c>
      <c r="T1744">
        <f t="shared" si="110"/>
        <v>18</v>
      </c>
      <c r="U1744" t="str" cm="1">
        <f t="array" ref="U1744">_xlfn.IFS(M1744&lt;=34,"YOUNG",M1744&lt;=54,"MIDDLE AGE",M1744&gt;=55,"OLD")</f>
        <v>MIDDLE AGE</v>
      </c>
      <c r="V1744" t="str">
        <f t="shared" si="111"/>
        <v>NORMAL</v>
      </c>
    </row>
    <row r="1745" spans="1:22" x14ac:dyDescent="0.35">
      <c r="A1745" t="s">
        <v>3591</v>
      </c>
      <c r="B1745" t="s">
        <v>2097</v>
      </c>
      <c r="C1745">
        <v>165.8</v>
      </c>
      <c r="D1745" s="1">
        <v>45050.740451388891</v>
      </c>
      <c r="E1745" s="2">
        <f t="shared" si="108"/>
        <v>0.74045138889050577</v>
      </c>
      <c r="F1745" s="3">
        <f t="shared" si="109"/>
        <v>45050</v>
      </c>
      <c r="G1745" t="s">
        <v>17</v>
      </c>
      <c r="H1745" t="s">
        <v>80</v>
      </c>
      <c r="I1745" t="s">
        <v>2562</v>
      </c>
      <c r="J1745" t="s">
        <v>1864</v>
      </c>
      <c r="K1745" t="s">
        <v>370</v>
      </c>
      <c r="L1745" t="s">
        <v>36</v>
      </c>
      <c r="M1745">
        <v>60</v>
      </c>
      <c r="N1745" t="s">
        <v>77</v>
      </c>
      <c r="O1745">
        <v>287</v>
      </c>
      <c r="P1745">
        <v>1</v>
      </c>
      <c r="Q1745">
        <v>2064.7600000000002</v>
      </c>
      <c r="R1745" s="4">
        <v>45600</v>
      </c>
      <c r="S1745" s="6">
        <v>0.33885416666666668</v>
      </c>
      <c r="T1745">
        <f t="shared" si="110"/>
        <v>17</v>
      </c>
      <c r="U1745" t="str" cm="1">
        <f t="array" ref="U1745">_xlfn.IFS(M1745&lt;=34,"YOUNG",M1745&lt;=54,"MIDDLE AGE",M1745&gt;=55,"OLD")</f>
        <v>OLD</v>
      </c>
      <c r="V1745" t="str">
        <f t="shared" si="111"/>
        <v>NORMAL</v>
      </c>
    </row>
    <row r="1746" spans="1:22" x14ac:dyDescent="0.35">
      <c r="A1746" t="s">
        <v>3592</v>
      </c>
      <c r="B1746" t="s">
        <v>1221</v>
      </c>
      <c r="C1746">
        <v>289.18</v>
      </c>
      <c r="D1746" s="1">
        <v>45167.679108796299</v>
      </c>
      <c r="E1746" s="2">
        <f t="shared" si="108"/>
        <v>0.67910879629926058</v>
      </c>
      <c r="F1746" s="3">
        <f t="shared" si="109"/>
        <v>45167</v>
      </c>
      <c r="G1746" t="s">
        <v>17</v>
      </c>
      <c r="H1746" t="s">
        <v>197</v>
      </c>
      <c r="I1746" t="s">
        <v>1461</v>
      </c>
      <c r="J1746" t="s">
        <v>1943</v>
      </c>
      <c r="K1746" t="s">
        <v>652</v>
      </c>
      <c r="L1746" t="s">
        <v>22</v>
      </c>
      <c r="M1746">
        <v>65</v>
      </c>
      <c r="N1746" t="s">
        <v>70</v>
      </c>
      <c r="O1746">
        <v>64</v>
      </c>
      <c r="P1746">
        <v>1</v>
      </c>
      <c r="Q1746">
        <v>3139.75</v>
      </c>
      <c r="R1746" s="4">
        <v>45600</v>
      </c>
      <c r="S1746" s="6">
        <v>0.34109953703703705</v>
      </c>
      <c r="T1746">
        <f t="shared" si="110"/>
        <v>16</v>
      </c>
      <c r="U1746" t="str" cm="1">
        <f t="array" ref="U1746">_xlfn.IFS(M1746&lt;=34,"YOUNG",M1746&lt;=54,"MIDDLE AGE",M1746&gt;=55,"OLD")</f>
        <v>OLD</v>
      </c>
      <c r="V1746" t="str">
        <f t="shared" si="111"/>
        <v>NORMAL</v>
      </c>
    </row>
    <row r="1747" spans="1:22" x14ac:dyDescent="0.35">
      <c r="A1747" t="s">
        <v>3593</v>
      </c>
      <c r="B1747" t="s">
        <v>337</v>
      </c>
      <c r="C1747">
        <v>125.39</v>
      </c>
      <c r="D1747" s="1">
        <v>45138.703055555554</v>
      </c>
      <c r="E1747" s="2">
        <f t="shared" si="108"/>
        <v>0.703055555553874</v>
      </c>
      <c r="F1747" s="3">
        <f t="shared" si="109"/>
        <v>45138</v>
      </c>
      <c r="G1747" t="s">
        <v>17</v>
      </c>
      <c r="H1747" t="s">
        <v>140</v>
      </c>
      <c r="I1747" t="s">
        <v>1045</v>
      </c>
      <c r="J1747" t="s">
        <v>963</v>
      </c>
      <c r="K1747" t="s">
        <v>308</v>
      </c>
      <c r="L1747" t="s">
        <v>22</v>
      </c>
      <c r="M1747">
        <v>21</v>
      </c>
      <c r="N1747" t="s">
        <v>37</v>
      </c>
      <c r="O1747">
        <v>140</v>
      </c>
      <c r="P1747">
        <v>1</v>
      </c>
      <c r="Q1747">
        <v>202.69</v>
      </c>
      <c r="R1747" s="4">
        <v>45600</v>
      </c>
      <c r="S1747" s="6">
        <v>0.33806712962962965</v>
      </c>
      <c r="T1747">
        <f t="shared" si="110"/>
        <v>16</v>
      </c>
      <c r="U1747" t="str" cm="1">
        <f t="array" ref="U1747">_xlfn.IFS(M1747&lt;=34,"YOUNG",M1747&lt;=54,"MIDDLE AGE",M1747&gt;=55,"OLD")</f>
        <v>YOUNG</v>
      </c>
      <c r="V1747" t="str">
        <f t="shared" si="111"/>
        <v>NORMAL</v>
      </c>
    </row>
    <row r="1748" spans="1:22" x14ac:dyDescent="0.35">
      <c r="A1748" t="s">
        <v>3594</v>
      </c>
      <c r="B1748" t="s">
        <v>2695</v>
      </c>
      <c r="C1748">
        <v>305.18</v>
      </c>
      <c r="D1748" s="1">
        <v>45082.742048611108</v>
      </c>
      <c r="E1748" s="2">
        <f t="shared" si="108"/>
        <v>0.742048611107748</v>
      </c>
      <c r="F1748" s="3">
        <f t="shared" si="109"/>
        <v>45082</v>
      </c>
      <c r="G1748" t="s">
        <v>17</v>
      </c>
      <c r="H1748" t="s">
        <v>265</v>
      </c>
      <c r="I1748" t="s">
        <v>3595</v>
      </c>
      <c r="J1748" t="s">
        <v>281</v>
      </c>
      <c r="K1748" t="s">
        <v>149</v>
      </c>
      <c r="L1748" t="s">
        <v>36</v>
      </c>
      <c r="M1748">
        <v>58</v>
      </c>
      <c r="N1748" t="s">
        <v>70</v>
      </c>
      <c r="O1748">
        <v>216</v>
      </c>
      <c r="P1748">
        <v>1</v>
      </c>
      <c r="Q1748">
        <v>4474.2</v>
      </c>
      <c r="R1748" s="4">
        <v>45600</v>
      </c>
      <c r="S1748" s="6">
        <v>0.33914351851851854</v>
      </c>
      <c r="T1748">
        <f t="shared" si="110"/>
        <v>17</v>
      </c>
      <c r="U1748" t="str" cm="1">
        <f t="array" ref="U1748">_xlfn.IFS(M1748&lt;=34,"YOUNG",M1748&lt;=54,"MIDDLE AGE",M1748&gt;=55,"OLD")</f>
        <v>OLD</v>
      </c>
      <c r="V1748" t="str">
        <f t="shared" si="111"/>
        <v>NORMAL</v>
      </c>
    </row>
    <row r="1749" spans="1:22" x14ac:dyDescent="0.35">
      <c r="A1749" t="s">
        <v>3596</v>
      </c>
      <c r="B1749" t="s">
        <v>1644</v>
      </c>
      <c r="C1749">
        <v>506.9</v>
      </c>
      <c r="D1749" s="1">
        <v>45231.739421296297</v>
      </c>
      <c r="E1749" s="2">
        <f t="shared" si="108"/>
        <v>0.73942129629722331</v>
      </c>
      <c r="F1749" s="3">
        <f t="shared" si="109"/>
        <v>45231</v>
      </c>
      <c r="G1749" t="s">
        <v>46</v>
      </c>
      <c r="H1749" t="s">
        <v>26</v>
      </c>
      <c r="I1749" t="s">
        <v>2192</v>
      </c>
      <c r="J1749" t="s">
        <v>1072</v>
      </c>
      <c r="K1749" t="s">
        <v>858</v>
      </c>
      <c r="L1749" t="s">
        <v>69</v>
      </c>
      <c r="M1749">
        <v>64</v>
      </c>
      <c r="N1749" t="s">
        <v>23</v>
      </c>
      <c r="O1749">
        <v>56</v>
      </c>
      <c r="P1749">
        <v>1</v>
      </c>
      <c r="Q1749">
        <v>11471.87</v>
      </c>
      <c r="R1749" s="4">
        <v>45600</v>
      </c>
      <c r="S1749" s="6">
        <v>0.34038194444444442</v>
      </c>
      <c r="T1749">
        <f t="shared" si="110"/>
        <v>17</v>
      </c>
      <c r="U1749" t="str" cm="1">
        <f t="array" ref="U1749">_xlfn.IFS(M1749&lt;=34,"YOUNG",M1749&lt;=54,"MIDDLE AGE",M1749&gt;=55,"OLD")</f>
        <v>OLD</v>
      </c>
      <c r="V1749" t="str">
        <f t="shared" si="111"/>
        <v>NORMAL</v>
      </c>
    </row>
    <row r="1750" spans="1:22" x14ac:dyDescent="0.35">
      <c r="A1750" t="s">
        <v>3597</v>
      </c>
      <c r="B1750" t="s">
        <v>3286</v>
      </c>
      <c r="C1750">
        <v>504.12</v>
      </c>
      <c r="D1750" s="1">
        <v>45030.733217592591</v>
      </c>
      <c r="E1750" s="2">
        <f t="shared" si="108"/>
        <v>0.73321759259124519</v>
      </c>
      <c r="F1750" s="3">
        <f t="shared" si="109"/>
        <v>45030</v>
      </c>
      <c r="G1750" t="s">
        <v>46</v>
      </c>
      <c r="H1750" t="s">
        <v>197</v>
      </c>
      <c r="I1750" t="s">
        <v>906</v>
      </c>
      <c r="J1750" t="s">
        <v>1076</v>
      </c>
      <c r="K1750" t="s">
        <v>181</v>
      </c>
      <c r="L1750" t="s">
        <v>69</v>
      </c>
      <c r="M1750">
        <v>25</v>
      </c>
      <c r="N1750" t="s">
        <v>37</v>
      </c>
      <c r="O1750">
        <v>101</v>
      </c>
      <c r="P1750">
        <v>1</v>
      </c>
      <c r="Q1750">
        <v>1107.28</v>
      </c>
      <c r="R1750" s="4">
        <v>45600</v>
      </c>
      <c r="S1750" s="6">
        <v>0.34075231481481483</v>
      </c>
      <c r="T1750">
        <f t="shared" si="110"/>
        <v>17</v>
      </c>
      <c r="U1750" t="str" cm="1">
        <f t="array" ref="U1750">_xlfn.IFS(M1750&lt;=34,"YOUNG",M1750&lt;=54,"MIDDLE AGE",M1750&gt;=55,"OLD")</f>
        <v>YOUNG</v>
      </c>
      <c r="V1750" t="str">
        <f t="shared" si="111"/>
        <v>NORMAL</v>
      </c>
    </row>
    <row r="1751" spans="1:22" x14ac:dyDescent="0.35">
      <c r="A1751" t="s">
        <v>3598</v>
      </c>
      <c r="B1751" t="s">
        <v>1794</v>
      </c>
      <c r="C1751">
        <v>42.09</v>
      </c>
      <c r="D1751" s="1">
        <v>44946.771817129629</v>
      </c>
      <c r="E1751" s="2">
        <f t="shared" si="108"/>
        <v>0.77181712962919846</v>
      </c>
      <c r="F1751" s="3">
        <f t="shared" si="109"/>
        <v>44946</v>
      </c>
      <c r="G1751" t="s">
        <v>17</v>
      </c>
      <c r="H1751" t="s">
        <v>114</v>
      </c>
      <c r="I1751" t="s">
        <v>1135</v>
      </c>
      <c r="J1751" t="s">
        <v>2104</v>
      </c>
      <c r="K1751" t="s">
        <v>246</v>
      </c>
      <c r="L1751" t="s">
        <v>69</v>
      </c>
      <c r="M1751">
        <v>29</v>
      </c>
      <c r="N1751" t="s">
        <v>77</v>
      </c>
      <c r="O1751">
        <v>118</v>
      </c>
      <c r="P1751">
        <v>1</v>
      </c>
      <c r="Q1751">
        <v>5526.28</v>
      </c>
      <c r="R1751" s="4">
        <v>45600</v>
      </c>
      <c r="S1751" s="6">
        <v>0.33807870370370369</v>
      </c>
      <c r="T1751">
        <f t="shared" si="110"/>
        <v>18</v>
      </c>
      <c r="U1751" t="str" cm="1">
        <f t="array" ref="U1751">_xlfn.IFS(M1751&lt;=34,"YOUNG",M1751&lt;=54,"MIDDLE AGE",M1751&gt;=55,"OLD")</f>
        <v>YOUNG</v>
      </c>
      <c r="V1751" t="str">
        <f t="shared" si="111"/>
        <v>NORMAL</v>
      </c>
    </row>
    <row r="1752" spans="1:22" x14ac:dyDescent="0.35">
      <c r="A1752" t="s">
        <v>3599</v>
      </c>
      <c r="B1752" t="s">
        <v>3465</v>
      </c>
      <c r="C1752">
        <v>607.28</v>
      </c>
      <c r="D1752" s="1">
        <v>44949.699432870373</v>
      </c>
      <c r="E1752" s="2">
        <f t="shared" si="108"/>
        <v>0.69943287037312984</v>
      </c>
      <c r="F1752" s="3">
        <f t="shared" si="109"/>
        <v>44949</v>
      </c>
      <c r="G1752" t="s">
        <v>17</v>
      </c>
      <c r="H1752" t="s">
        <v>197</v>
      </c>
      <c r="I1752" t="s">
        <v>2604</v>
      </c>
      <c r="J1752" t="s">
        <v>369</v>
      </c>
      <c r="K1752" t="s">
        <v>634</v>
      </c>
      <c r="L1752" t="s">
        <v>22</v>
      </c>
      <c r="M1752">
        <v>32</v>
      </c>
      <c r="N1752" t="s">
        <v>23</v>
      </c>
      <c r="O1752">
        <v>84</v>
      </c>
      <c r="P1752">
        <v>1</v>
      </c>
      <c r="Q1752">
        <v>9679.68</v>
      </c>
      <c r="R1752" s="4">
        <v>45600</v>
      </c>
      <c r="S1752" s="6">
        <v>0.34046296296296297</v>
      </c>
      <c r="T1752">
        <f t="shared" si="110"/>
        <v>16</v>
      </c>
      <c r="U1752" t="str" cm="1">
        <f t="array" ref="U1752">_xlfn.IFS(M1752&lt;=34,"YOUNG",M1752&lt;=54,"MIDDLE AGE",M1752&gt;=55,"OLD")</f>
        <v>YOUNG</v>
      </c>
      <c r="V1752" t="str">
        <f t="shared" si="111"/>
        <v>NORMAL</v>
      </c>
    </row>
    <row r="1753" spans="1:22" x14ac:dyDescent="0.35">
      <c r="A1753" t="s">
        <v>3600</v>
      </c>
      <c r="B1753" t="s">
        <v>396</v>
      </c>
      <c r="C1753">
        <v>91.9</v>
      </c>
      <c r="D1753" s="1">
        <v>45061.679895833331</v>
      </c>
      <c r="E1753" s="2">
        <f t="shared" si="108"/>
        <v>0.67989583333110204</v>
      </c>
      <c r="F1753" s="3">
        <f t="shared" si="109"/>
        <v>45061</v>
      </c>
      <c r="G1753" t="s">
        <v>17</v>
      </c>
      <c r="H1753" t="s">
        <v>265</v>
      </c>
      <c r="I1753" t="s">
        <v>1191</v>
      </c>
      <c r="J1753" t="s">
        <v>718</v>
      </c>
      <c r="K1753" t="s">
        <v>308</v>
      </c>
      <c r="L1753" t="s">
        <v>36</v>
      </c>
      <c r="M1753">
        <v>77</v>
      </c>
      <c r="N1753" t="s">
        <v>70</v>
      </c>
      <c r="O1753">
        <v>125</v>
      </c>
      <c r="P1753">
        <v>1</v>
      </c>
      <c r="Q1753">
        <v>1033.94</v>
      </c>
      <c r="R1753" s="4">
        <v>45600</v>
      </c>
      <c r="S1753" s="6">
        <v>0.34083333333333332</v>
      </c>
      <c r="T1753">
        <f t="shared" si="110"/>
        <v>16</v>
      </c>
      <c r="U1753" t="str" cm="1">
        <f t="array" ref="U1753">_xlfn.IFS(M1753&lt;=34,"YOUNG",M1753&lt;=54,"MIDDLE AGE",M1753&gt;=55,"OLD")</f>
        <v>OLD</v>
      </c>
      <c r="V1753" t="str">
        <f t="shared" si="111"/>
        <v>NORMAL</v>
      </c>
    </row>
    <row r="1754" spans="1:22" x14ac:dyDescent="0.35">
      <c r="A1754" t="s">
        <v>3601</v>
      </c>
      <c r="B1754" t="s">
        <v>1561</v>
      </c>
      <c r="C1754">
        <v>303.43</v>
      </c>
      <c r="D1754" s="1">
        <v>45083.731215277781</v>
      </c>
      <c r="E1754" s="2">
        <f t="shared" si="108"/>
        <v>0.73121527778130258</v>
      </c>
      <c r="F1754" s="3">
        <f t="shared" si="109"/>
        <v>45083</v>
      </c>
      <c r="G1754" t="s">
        <v>17</v>
      </c>
      <c r="H1754" t="s">
        <v>301</v>
      </c>
      <c r="I1754" t="s">
        <v>3602</v>
      </c>
      <c r="J1754" t="s">
        <v>1414</v>
      </c>
      <c r="K1754" t="s">
        <v>175</v>
      </c>
      <c r="L1754" t="s">
        <v>69</v>
      </c>
      <c r="M1754">
        <v>22</v>
      </c>
      <c r="N1754" t="s">
        <v>37</v>
      </c>
      <c r="O1754">
        <v>30</v>
      </c>
      <c r="P1754">
        <v>1</v>
      </c>
      <c r="Q1754">
        <v>1833.24</v>
      </c>
      <c r="R1754" s="4">
        <v>45600</v>
      </c>
      <c r="S1754" s="6">
        <v>0.33901620370370372</v>
      </c>
      <c r="T1754">
        <f t="shared" si="110"/>
        <v>17</v>
      </c>
      <c r="U1754" t="str" cm="1">
        <f t="array" ref="U1754">_xlfn.IFS(M1754&lt;=34,"YOUNG",M1754&lt;=54,"MIDDLE AGE",M1754&gt;=55,"OLD")</f>
        <v>YOUNG</v>
      </c>
      <c r="V1754" t="str">
        <f t="shared" si="111"/>
        <v>NORMAL</v>
      </c>
    </row>
    <row r="1755" spans="1:22" x14ac:dyDescent="0.35">
      <c r="A1755" t="s">
        <v>3603</v>
      </c>
      <c r="B1755" t="s">
        <v>848</v>
      </c>
      <c r="C1755">
        <v>668.78</v>
      </c>
      <c r="D1755" s="1">
        <v>45222.725740740738</v>
      </c>
      <c r="E1755" s="2">
        <f t="shared" si="108"/>
        <v>0.72574074073781958</v>
      </c>
      <c r="F1755" s="3">
        <f t="shared" si="109"/>
        <v>45222</v>
      </c>
      <c r="G1755" t="s">
        <v>17</v>
      </c>
      <c r="H1755" t="s">
        <v>32</v>
      </c>
      <c r="I1755" t="s">
        <v>1103</v>
      </c>
      <c r="J1755" t="s">
        <v>1990</v>
      </c>
      <c r="K1755" t="s">
        <v>209</v>
      </c>
      <c r="L1755" t="s">
        <v>22</v>
      </c>
      <c r="M1755">
        <v>20</v>
      </c>
      <c r="N1755" t="s">
        <v>37</v>
      </c>
      <c r="O1755">
        <v>141</v>
      </c>
      <c r="P1755">
        <v>1</v>
      </c>
      <c r="Q1755">
        <v>983.68</v>
      </c>
      <c r="R1755" s="4">
        <v>45600</v>
      </c>
      <c r="S1755" s="6">
        <v>0.3397222222222222</v>
      </c>
      <c r="T1755">
        <f t="shared" si="110"/>
        <v>17</v>
      </c>
      <c r="U1755" t="str" cm="1">
        <f t="array" ref="U1755">_xlfn.IFS(M1755&lt;=34,"YOUNG",M1755&lt;=54,"MIDDLE AGE",M1755&gt;=55,"OLD")</f>
        <v>YOUNG</v>
      </c>
      <c r="V1755" t="str">
        <f t="shared" si="111"/>
        <v>NORMAL</v>
      </c>
    </row>
    <row r="1756" spans="1:22" x14ac:dyDescent="0.35">
      <c r="A1756" t="s">
        <v>3604</v>
      </c>
      <c r="B1756" t="s">
        <v>712</v>
      </c>
      <c r="C1756">
        <v>270.54000000000002</v>
      </c>
      <c r="D1756" s="1">
        <v>45019.765300925923</v>
      </c>
      <c r="E1756" s="2">
        <f t="shared" si="108"/>
        <v>0.76530092592292931</v>
      </c>
      <c r="F1756" s="3">
        <f t="shared" si="109"/>
        <v>45019</v>
      </c>
      <c r="G1756" t="s">
        <v>46</v>
      </c>
      <c r="H1756" t="s">
        <v>285</v>
      </c>
      <c r="I1756" t="s">
        <v>1771</v>
      </c>
      <c r="J1756" t="s">
        <v>3605</v>
      </c>
      <c r="K1756" t="s">
        <v>543</v>
      </c>
      <c r="L1756" t="s">
        <v>22</v>
      </c>
      <c r="M1756">
        <v>20</v>
      </c>
      <c r="N1756" t="s">
        <v>37</v>
      </c>
      <c r="O1756">
        <v>139</v>
      </c>
      <c r="P1756">
        <v>1</v>
      </c>
      <c r="Q1756">
        <v>269.77999999999997</v>
      </c>
      <c r="R1756" s="4">
        <v>45600</v>
      </c>
      <c r="S1756" s="6">
        <v>0.34006944444444442</v>
      </c>
      <c r="T1756">
        <f t="shared" si="110"/>
        <v>18</v>
      </c>
      <c r="U1756" t="str" cm="1">
        <f t="array" ref="U1756">_xlfn.IFS(M1756&lt;=34,"YOUNG",M1756&lt;=54,"MIDDLE AGE",M1756&gt;=55,"OLD")</f>
        <v>YOUNG</v>
      </c>
      <c r="V1756" t="str">
        <f t="shared" si="111"/>
        <v>NORMAL</v>
      </c>
    </row>
    <row r="1757" spans="1:22" x14ac:dyDescent="0.35">
      <c r="A1757" t="s">
        <v>3606</v>
      </c>
      <c r="B1757" t="s">
        <v>232</v>
      </c>
      <c r="C1757">
        <v>247.93</v>
      </c>
      <c r="D1757" s="1">
        <v>45152.755868055552</v>
      </c>
      <c r="E1757" s="2">
        <f t="shared" si="108"/>
        <v>0.75586805555212777</v>
      </c>
      <c r="F1757" s="3">
        <f t="shared" si="109"/>
        <v>45152</v>
      </c>
      <c r="G1757" t="s">
        <v>17</v>
      </c>
      <c r="H1757" t="s">
        <v>65</v>
      </c>
      <c r="I1757" t="s">
        <v>852</v>
      </c>
      <c r="J1757" t="s">
        <v>2862</v>
      </c>
      <c r="K1757" t="s">
        <v>740</v>
      </c>
      <c r="L1757" t="s">
        <v>69</v>
      </c>
      <c r="M1757">
        <v>37</v>
      </c>
      <c r="N1757" t="s">
        <v>77</v>
      </c>
      <c r="O1757">
        <v>79</v>
      </c>
      <c r="P1757">
        <v>1</v>
      </c>
      <c r="Q1757">
        <v>9801.48</v>
      </c>
      <c r="R1757" s="4">
        <v>45600</v>
      </c>
      <c r="S1757" s="6">
        <v>0.33986111111111111</v>
      </c>
      <c r="T1757">
        <f t="shared" si="110"/>
        <v>18</v>
      </c>
      <c r="U1757" t="str" cm="1">
        <f t="array" ref="U1757">_xlfn.IFS(M1757&lt;=34,"YOUNG",M1757&lt;=54,"MIDDLE AGE",M1757&gt;=55,"OLD")</f>
        <v>MIDDLE AGE</v>
      </c>
      <c r="V1757" t="str">
        <f t="shared" si="111"/>
        <v>NORMAL</v>
      </c>
    </row>
    <row r="1758" spans="1:22" x14ac:dyDescent="0.35">
      <c r="A1758" t="s">
        <v>3607</v>
      </c>
      <c r="B1758" t="s">
        <v>16</v>
      </c>
      <c r="C1758">
        <v>34.67</v>
      </c>
      <c r="D1758" s="1">
        <v>45041.69091435185</v>
      </c>
      <c r="E1758" s="2">
        <f t="shared" si="108"/>
        <v>0.69091435184964212</v>
      </c>
      <c r="F1758" s="3">
        <f t="shared" si="109"/>
        <v>45041</v>
      </c>
      <c r="G1758" t="s">
        <v>17</v>
      </c>
      <c r="H1758" t="s">
        <v>265</v>
      </c>
      <c r="I1758" t="s">
        <v>502</v>
      </c>
      <c r="J1758" t="s">
        <v>925</v>
      </c>
      <c r="K1758" t="s">
        <v>543</v>
      </c>
      <c r="L1758" t="s">
        <v>36</v>
      </c>
      <c r="M1758">
        <v>19</v>
      </c>
      <c r="N1758" t="s">
        <v>37</v>
      </c>
      <c r="O1758">
        <v>71</v>
      </c>
      <c r="P1758">
        <v>1</v>
      </c>
      <c r="Q1758">
        <v>888.6</v>
      </c>
      <c r="R1758" s="4">
        <v>45600</v>
      </c>
      <c r="S1758" s="6">
        <v>0.34141203703703704</v>
      </c>
      <c r="T1758">
        <f t="shared" si="110"/>
        <v>16</v>
      </c>
      <c r="U1758" t="str" cm="1">
        <f t="array" ref="U1758">_xlfn.IFS(M1758&lt;=34,"YOUNG",M1758&lt;=54,"MIDDLE AGE",M1758&gt;=55,"OLD")</f>
        <v>YOUNG</v>
      </c>
      <c r="V1758" t="str">
        <f t="shared" si="111"/>
        <v>NORMAL</v>
      </c>
    </row>
    <row r="1759" spans="1:22" x14ac:dyDescent="0.35">
      <c r="A1759" t="s">
        <v>3608</v>
      </c>
      <c r="B1759" t="s">
        <v>2309</v>
      </c>
      <c r="C1759">
        <v>326.02999999999997</v>
      </c>
      <c r="D1759" s="1">
        <v>45055.704733796294</v>
      </c>
      <c r="E1759" s="2">
        <f t="shared" si="108"/>
        <v>0.70473379629402189</v>
      </c>
      <c r="F1759" s="3">
        <f t="shared" si="109"/>
        <v>45055</v>
      </c>
      <c r="G1759" t="s">
        <v>46</v>
      </c>
      <c r="H1759" t="s">
        <v>203</v>
      </c>
      <c r="I1759" t="s">
        <v>329</v>
      </c>
      <c r="J1759" t="s">
        <v>3609</v>
      </c>
      <c r="K1759" t="s">
        <v>858</v>
      </c>
      <c r="L1759" t="s">
        <v>36</v>
      </c>
      <c r="M1759">
        <v>18</v>
      </c>
      <c r="N1759" t="s">
        <v>37</v>
      </c>
      <c r="O1759">
        <v>137</v>
      </c>
      <c r="P1759">
        <v>1</v>
      </c>
      <c r="Q1759">
        <v>290.24</v>
      </c>
      <c r="R1759" s="4">
        <v>45600</v>
      </c>
      <c r="S1759" s="6">
        <v>0.34150462962962963</v>
      </c>
      <c r="T1759">
        <f t="shared" si="110"/>
        <v>16</v>
      </c>
      <c r="U1759" t="str" cm="1">
        <f t="array" ref="U1759">_xlfn.IFS(M1759&lt;=34,"YOUNG",M1759&lt;=54,"MIDDLE AGE",M1759&gt;=55,"OLD")</f>
        <v>YOUNG</v>
      </c>
      <c r="V1759" t="str">
        <f t="shared" si="111"/>
        <v>NORMAL</v>
      </c>
    </row>
    <row r="1760" spans="1:22" x14ac:dyDescent="0.35">
      <c r="A1760" t="s">
        <v>3610</v>
      </c>
      <c r="B1760" t="s">
        <v>1272</v>
      </c>
      <c r="C1760">
        <v>148.26</v>
      </c>
      <c r="D1760" s="1">
        <v>45054.731342592589</v>
      </c>
      <c r="E1760" s="2">
        <f t="shared" si="108"/>
        <v>0.73134259258949896</v>
      </c>
      <c r="F1760" s="3">
        <f t="shared" si="109"/>
        <v>45054</v>
      </c>
      <c r="G1760" t="s">
        <v>17</v>
      </c>
      <c r="H1760" t="s">
        <v>296</v>
      </c>
      <c r="I1760" t="s">
        <v>1935</v>
      </c>
      <c r="J1760" t="s">
        <v>1341</v>
      </c>
      <c r="K1760" t="s">
        <v>1037</v>
      </c>
      <c r="L1760" t="s">
        <v>22</v>
      </c>
      <c r="M1760">
        <v>25</v>
      </c>
      <c r="N1760" t="s">
        <v>37</v>
      </c>
      <c r="O1760">
        <v>57</v>
      </c>
      <c r="P1760">
        <v>1</v>
      </c>
      <c r="Q1760">
        <v>958.7</v>
      </c>
      <c r="R1760" s="4">
        <v>45600</v>
      </c>
      <c r="S1760" s="6">
        <v>0.34181712962962962</v>
      </c>
      <c r="T1760">
        <f t="shared" si="110"/>
        <v>17</v>
      </c>
      <c r="U1760" t="str" cm="1">
        <f t="array" ref="U1760">_xlfn.IFS(M1760&lt;=34,"YOUNG",M1760&lt;=54,"MIDDLE AGE",M1760&gt;=55,"OLD")</f>
        <v>YOUNG</v>
      </c>
      <c r="V1760" t="str">
        <f t="shared" si="111"/>
        <v>NORMAL</v>
      </c>
    </row>
    <row r="1761" spans="1:22" x14ac:dyDescent="0.35">
      <c r="A1761" t="s">
        <v>3611</v>
      </c>
      <c r="B1761" t="s">
        <v>484</v>
      </c>
      <c r="C1761">
        <v>1086.5999999999999</v>
      </c>
      <c r="D1761" s="1">
        <v>45068.736643518518</v>
      </c>
      <c r="E1761" s="2">
        <f t="shared" si="108"/>
        <v>0.73664351851766696</v>
      </c>
      <c r="F1761" s="3">
        <f t="shared" si="109"/>
        <v>45068</v>
      </c>
      <c r="G1761" t="s">
        <v>17</v>
      </c>
      <c r="H1761" t="s">
        <v>18</v>
      </c>
      <c r="I1761" t="s">
        <v>448</v>
      </c>
      <c r="J1761" t="s">
        <v>1481</v>
      </c>
      <c r="K1761" t="s">
        <v>1810</v>
      </c>
      <c r="L1761" t="s">
        <v>36</v>
      </c>
      <c r="M1761">
        <v>19</v>
      </c>
      <c r="N1761" t="s">
        <v>37</v>
      </c>
      <c r="O1761">
        <v>38</v>
      </c>
      <c r="P1761">
        <v>1</v>
      </c>
      <c r="Q1761">
        <v>1605.67</v>
      </c>
      <c r="R1761" s="4">
        <v>45600</v>
      </c>
      <c r="S1761" s="6">
        <v>0.34083333333333332</v>
      </c>
      <c r="T1761">
        <f t="shared" si="110"/>
        <v>17</v>
      </c>
      <c r="U1761" t="str" cm="1">
        <f t="array" ref="U1761">_xlfn.IFS(M1761&lt;=34,"YOUNG",M1761&lt;=54,"MIDDLE AGE",M1761&gt;=55,"OLD")</f>
        <v>YOUNG</v>
      </c>
      <c r="V1761" t="str">
        <f t="shared" si="111"/>
        <v>NORMAL</v>
      </c>
    </row>
    <row r="1762" spans="1:22" x14ac:dyDescent="0.35">
      <c r="A1762" t="s">
        <v>3612</v>
      </c>
      <c r="B1762" t="s">
        <v>3060</v>
      </c>
      <c r="C1762">
        <v>373.99</v>
      </c>
      <c r="D1762" s="1">
        <v>45222.685648148145</v>
      </c>
      <c r="E1762" s="2">
        <f t="shared" si="108"/>
        <v>0.68564814814453712</v>
      </c>
      <c r="F1762" s="3">
        <f t="shared" si="109"/>
        <v>45222</v>
      </c>
      <c r="G1762" t="s">
        <v>17</v>
      </c>
      <c r="H1762" t="s">
        <v>285</v>
      </c>
      <c r="I1762" t="s">
        <v>1844</v>
      </c>
      <c r="J1762" t="s">
        <v>2575</v>
      </c>
      <c r="K1762" t="s">
        <v>348</v>
      </c>
      <c r="L1762" t="s">
        <v>22</v>
      </c>
      <c r="M1762">
        <v>60</v>
      </c>
      <c r="N1762" t="s">
        <v>23</v>
      </c>
      <c r="O1762">
        <v>140</v>
      </c>
      <c r="P1762">
        <v>1</v>
      </c>
      <c r="Q1762">
        <v>8590.5</v>
      </c>
      <c r="R1762" s="4">
        <v>45600</v>
      </c>
      <c r="S1762" s="6">
        <v>0.33831018518518519</v>
      </c>
      <c r="T1762">
        <f t="shared" si="110"/>
        <v>16</v>
      </c>
      <c r="U1762" t="str" cm="1">
        <f t="array" ref="U1762">_xlfn.IFS(M1762&lt;=34,"YOUNG",M1762&lt;=54,"MIDDLE AGE",M1762&gt;=55,"OLD")</f>
        <v>OLD</v>
      </c>
      <c r="V1762" t="str">
        <f t="shared" si="111"/>
        <v>NORMAL</v>
      </c>
    </row>
    <row r="1763" spans="1:22" x14ac:dyDescent="0.35">
      <c r="A1763" t="s">
        <v>3613</v>
      </c>
      <c r="B1763" t="s">
        <v>2376</v>
      </c>
      <c r="C1763">
        <v>254.34</v>
      </c>
      <c r="D1763" s="1">
        <v>45183.711145833331</v>
      </c>
      <c r="E1763" s="2">
        <f t="shared" si="108"/>
        <v>0.71114583333110204</v>
      </c>
      <c r="F1763" s="3">
        <f t="shared" si="109"/>
        <v>45183</v>
      </c>
      <c r="G1763" t="s">
        <v>17</v>
      </c>
      <c r="H1763" t="s">
        <v>506</v>
      </c>
      <c r="I1763" t="s">
        <v>2918</v>
      </c>
      <c r="J1763" t="s">
        <v>2314</v>
      </c>
      <c r="K1763" t="s">
        <v>820</v>
      </c>
      <c r="L1763" t="s">
        <v>36</v>
      </c>
      <c r="M1763">
        <v>49</v>
      </c>
      <c r="N1763" t="s">
        <v>77</v>
      </c>
      <c r="O1763">
        <v>79</v>
      </c>
      <c r="P1763">
        <v>1</v>
      </c>
      <c r="Q1763">
        <v>5461.08</v>
      </c>
      <c r="R1763" s="4">
        <v>45600</v>
      </c>
      <c r="S1763" s="6">
        <v>0.34104166666666669</v>
      </c>
      <c r="T1763">
        <f t="shared" si="110"/>
        <v>17</v>
      </c>
      <c r="U1763" t="str" cm="1">
        <f t="array" ref="U1763">_xlfn.IFS(M1763&lt;=34,"YOUNG",M1763&lt;=54,"MIDDLE AGE",M1763&gt;=55,"OLD")</f>
        <v>MIDDLE AGE</v>
      </c>
      <c r="V1763" t="str">
        <f t="shared" si="111"/>
        <v>NORMAL</v>
      </c>
    </row>
    <row r="1764" spans="1:22" x14ac:dyDescent="0.35">
      <c r="A1764" t="s">
        <v>3614</v>
      </c>
      <c r="B1764" t="s">
        <v>2370</v>
      </c>
      <c r="C1764">
        <v>819.48</v>
      </c>
      <c r="D1764" s="1">
        <v>45204.685729166667</v>
      </c>
      <c r="E1764" s="2">
        <f t="shared" si="108"/>
        <v>0.68572916666744277</v>
      </c>
      <c r="F1764" s="3">
        <f t="shared" si="109"/>
        <v>45204</v>
      </c>
      <c r="G1764" t="s">
        <v>17</v>
      </c>
      <c r="H1764" t="s">
        <v>301</v>
      </c>
      <c r="I1764" t="s">
        <v>1162</v>
      </c>
      <c r="J1764" t="s">
        <v>1698</v>
      </c>
      <c r="K1764" t="s">
        <v>858</v>
      </c>
      <c r="L1764" t="s">
        <v>22</v>
      </c>
      <c r="M1764">
        <v>25</v>
      </c>
      <c r="N1764" t="s">
        <v>37</v>
      </c>
      <c r="O1764">
        <v>26</v>
      </c>
      <c r="P1764">
        <v>1</v>
      </c>
      <c r="Q1764">
        <v>1804.5</v>
      </c>
      <c r="R1764" s="4">
        <v>45600</v>
      </c>
      <c r="S1764" s="6">
        <v>0.33931712962962962</v>
      </c>
      <c r="T1764">
        <f t="shared" si="110"/>
        <v>16</v>
      </c>
      <c r="U1764" t="str" cm="1">
        <f t="array" ref="U1764">_xlfn.IFS(M1764&lt;=34,"YOUNG",M1764&lt;=54,"MIDDLE AGE",M1764&gt;=55,"OLD")</f>
        <v>YOUNG</v>
      </c>
      <c r="V1764" t="str">
        <f t="shared" si="111"/>
        <v>NORMAL</v>
      </c>
    </row>
    <row r="1765" spans="1:22" x14ac:dyDescent="0.35">
      <c r="A1765" t="s">
        <v>3615</v>
      </c>
      <c r="B1765" t="s">
        <v>412</v>
      </c>
      <c r="C1765">
        <v>14</v>
      </c>
      <c r="D1765" s="1">
        <v>45175.683854166666</v>
      </c>
      <c r="E1765" s="2">
        <f t="shared" si="108"/>
        <v>0.68385416666569654</v>
      </c>
      <c r="F1765" s="3">
        <f t="shared" si="109"/>
        <v>45175</v>
      </c>
      <c r="G1765" t="s">
        <v>17</v>
      </c>
      <c r="H1765" t="s">
        <v>237</v>
      </c>
      <c r="I1765" t="s">
        <v>213</v>
      </c>
      <c r="J1765" t="s">
        <v>3616</v>
      </c>
      <c r="K1765" t="s">
        <v>370</v>
      </c>
      <c r="L1765" t="s">
        <v>22</v>
      </c>
      <c r="M1765">
        <v>49</v>
      </c>
      <c r="N1765" t="s">
        <v>77</v>
      </c>
      <c r="O1765">
        <v>173</v>
      </c>
      <c r="P1765">
        <v>1</v>
      </c>
      <c r="Q1765">
        <v>7975.18</v>
      </c>
      <c r="R1765" s="4">
        <v>45600</v>
      </c>
      <c r="S1765" s="6">
        <v>0.33988425925925925</v>
      </c>
      <c r="T1765">
        <f t="shared" si="110"/>
        <v>16</v>
      </c>
      <c r="U1765" t="str" cm="1">
        <f t="array" ref="U1765">_xlfn.IFS(M1765&lt;=34,"YOUNG",M1765&lt;=54,"MIDDLE AGE",M1765&gt;=55,"OLD")</f>
        <v>MIDDLE AGE</v>
      </c>
      <c r="V1765" t="str">
        <f t="shared" si="111"/>
        <v>NORMAL</v>
      </c>
    </row>
    <row r="1766" spans="1:22" x14ac:dyDescent="0.35">
      <c r="A1766" t="s">
        <v>3617</v>
      </c>
      <c r="B1766" t="s">
        <v>3618</v>
      </c>
      <c r="C1766">
        <v>57.16</v>
      </c>
      <c r="D1766" s="1">
        <v>45092.781689814816</v>
      </c>
      <c r="E1766" s="2">
        <f t="shared" si="108"/>
        <v>0.78168981481576338</v>
      </c>
      <c r="F1766" s="3">
        <f t="shared" si="109"/>
        <v>45092</v>
      </c>
      <c r="G1766" t="s">
        <v>17</v>
      </c>
      <c r="H1766" t="s">
        <v>125</v>
      </c>
      <c r="I1766" t="s">
        <v>1461</v>
      </c>
      <c r="J1766" t="s">
        <v>944</v>
      </c>
      <c r="K1766" t="s">
        <v>154</v>
      </c>
      <c r="L1766" t="s">
        <v>22</v>
      </c>
      <c r="M1766">
        <v>40</v>
      </c>
      <c r="N1766" t="s">
        <v>77</v>
      </c>
      <c r="O1766">
        <v>74</v>
      </c>
      <c r="P1766">
        <v>1</v>
      </c>
      <c r="Q1766">
        <v>222.22</v>
      </c>
      <c r="R1766" s="4">
        <v>45600</v>
      </c>
      <c r="S1766" s="6">
        <v>0.3394212962962963</v>
      </c>
      <c r="T1766">
        <f t="shared" si="110"/>
        <v>18</v>
      </c>
      <c r="U1766" t="str" cm="1">
        <f t="array" ref="U1766">_xlfn.IFS(M1766&lt;=34,"YOUNG",M1766&lt;=54,"MIDDLE AGE",M1766&gt;=55,"OLD")</f>
        <v>MIDDLE AGE</v>
      </c>
      <c r="V1766" t="str">
        <f t="shared" si="111"/>
        <v>NORMAL</v>
      </c>
    </row>
    <row r="1767" spans="1:22" x14ac:dyDescent="0.35">
      <c r="A1767" t="s">
        <v>3619</v>
      </c>
      <c r="B1767" t="s">
        <v>3620</v>
      </c>
      <c r="C1767">
        <v>282.26</v>
      </c>
      <c r="D1767" s="1">
        <v>45103.705057870371</v>
      </c>
      <c r="E1767" s="2">
        <f t="shared" si="108"/>
        <v>0.70505787037109258</v>
      </c>
      <c r="F1767" s="3">
        <f t="shared" si="109"/>
        <v>45103</v>
      </c>
      <c r="G1767" t="s">
        <v>17</v>
      </c>
      <c r="H1767" t="s">
        <v>92</v>
      </c>
      <c r="I1767" t="s">
        <v>2088</v>
      </c>
      <c r="J1767" t="s">
        <v>1298</v>
      </c>
      <c r="K1767" t="s">
        <v>165</v>
      </c>
      <c r="L1767" t="s">
        <v>36</v>
      </c>
      <c r="M1767">
        <v>37</v>
      </c>
      <c r="N1767" t="s">
        <v>77</v>
      </c>
      <c r="O1767">
        <v>278</v>
      </c>
      <c r="P1767">
        <v>1</v>
      </c>
      <c r="Q1767">
        <v>6857.2</v>
      </c>
      <c r="R1767" s="4">
        <v>45600</v>
      </c>
      <c r="S1767" s="6">
        <v>0.33912037037037035</v>
      </c>
      <c r="T1767">
        <f t="shared" si="110"/>
        <v>16</v>
      </c>
      <c r="U1767" t="str" cm="1">
        <f t="array" ref="U1767">_xlfn.IFS(M1767&lt;=34,"YOUNG",M1767&lt;=54,"MIDDLE AGE",M1767&gt;=55,"OLD")</f>
        <v>MIDDLE AGE</v>
      </c>
      <c r="V1767" t="str">
        <f t="shared" si="111"/>
        <v>NORMAL</v>
      </c>
    </row>
    <row r="1768" spans="1:22" x14ac:dyDescent="0.35">
      <c r="A1768" t="s">
        <v>3621</v>
      </c>
      <c r="B1768" t="s">
        <v>488</v>
      </c>
      <c r="C1768">
        <v>46.96</v>
      </c>
      <c r="D1768" s="1">
        <v>45107.697650462964</v>
      </c>
      <c r="E1768" s="2">
        <f t="shared" si="108"/>
        <v>0.69765046296379296</v>
      </c>
      <c r="F1768" s="3">
        <f t="shared" si="109"/>
        <v>45107</v>
      </c>
      <c r="G1768" t="s">
        <v>17</v>
      </c>
      <c r="H1768" t="s">
        <v>146</v>
      </c>
      <c r="I1768" t="s">
        <v>1570</v>
      </c>
      <c r="J1768" t="s">
        <v>1133</v>
      </c>
      <c r="K1768" t="s">
        <v>272</v>
      </c>
      <c r="L1768" t="s">
        <v>36</v>
      </c>
      <c r="M1768">
        <v>46</v>
      </c>
      <c r="N1768" t="s">
        <v>77</v>
      </c>
      <c r="O1768">
        <v>12</v>
      </c>
      <c r="P1768">
        <v>1</v>
      </c>
      <c r="Q1768">
        <v>2028.92</v>
      </c>
      <c r="R1768" s="4">
        <v>45600</v>
      </c>
      <c r="S1768" s="6">
        <v>0.34108796296296295</v>
      </c>
      <c r="T1768">
        <f t="shared" si="110"/>
        <v>16</v>
      </c>
      <c r="U1768" t="str" cm="1">
        <f t="array" ref="U1768">_xlfn.IFS(M1768&lt;=34,"YOUNG",M1768&lt;=54,"MIDDLE AGE",M1768&gt;=55,"OLD")</f>
        <v>MIDDLE AGE</v>
      </c>
      <c r="V1768" t="str">
        <f t="shared" si="111"/>
        <v>NORMAL</v>
      </c>
    </row>
    <row r="1769" spans="1:22" x14ac:dyDescent="0.35">
      <c r="A1769" t="s">
        <v>3622</v>
      </c>
      <c r="B1769" t="s">
        <v>1617</v>
      </c>
      <c r="C1769">
        <v>473.2</v>
      </c>
      <c r="D1769" s="1">
        <v>45145.668136574073</v>
      </c>
      <c r="E1769" s="2">
        <f t="shared" si="108"/>
        <v>0.66813657407328719</v>
      </c>
      <c r="F1769" s="3">
        <f t="shared" si="109"/>
        <v>45145</v>
      </c>
      <c r="G1769" t="s">
        <v>17</v>
      </c>
      <c r="H1769" t="s">
        <v>26</v>
      </c>
      <c r="I1769" t="s">
        <v>1610</v>
      </c>
      <c r="J1769" t="s">
        <v>136</v>
      </c>
      <c r="K1769" t="s">
        <v>56</v>
      </c>
      <c r="L1769" t="s">
        <v>36</v>
      </c>
      <c r="M1769">
        <v>34</v>
      </c>
      <c r="N1769" t="s">
        <v>23</v>
      </c>
      <c r="O1769">
        <v>173</v>
      </c>
      <c r="P1769">
        <v>1</v>
      </c>
      <c r="Q1769">
        <v>248.52</v>
      </c>
      <c r="R1769" s="4">
        <v>45600</v>
      </c>
      <c r="S1769" s="6">
        <v>0.34062500000000001</v>
      </c>
      <c r="T1769">
        <f t="shared" si="110"/>
        <v>16</v>
      </c>
      <c r="U1769" t="str" cm="1">
        <f t="array" ref="U1769">_xlfn.IFS(M1769&lt;=34,"YOUNG",M1769&lt;=54,"MIDDLE AGE",M1769&gt;=55,"OLD")</f>
        <v>YOUNG</v>
      </c>
      <c r="V1769" t="str">
        <f t="shared" si="111"/>
        <v>NORMAL</v>
      </c>
    </row>
    <row r="1770" spans="1:22" x14ac:dyDescent="0.35">
      <c r="A1770" t="s">
        <v>3623</v>
      </c>
      <c r="B1770" t="s">
        <v>215</v>
      </c>
      <c r="C1770">
        <v>192.97</v>
      </c>
      <c r="D1770" s="1">
        <v>44998.673622685186</v>
      </c>
      <c r="E1770" s="2">
        <f t="shared" si="108"/>
        <v>0.67362268518627388</v>
      </c>
      <c r="F1770" s="3">
        <f t="shared" si="109"/>
        <v>44998</v>
      </c>
      <c r="G1770" t="s">
        <v>17</v>
      </c>
      <c r="H1770" t="s">
        <v>285</v>
      </c>
      <c r="I1770" t="s">
        <v>216</v>
      </c>
      <c r="J1770" t="s">
        <v>1725</v>
      </c>
      <c r="K1770" t="s">
        <v>634</v>
      </c>
      <c r="L1770" t="s">
        <v>22</v>
      </c>
      <c r="M1770">
        <v>59</v>
      </c>
      <c r="N1770" t="s">
        <v>70</v>
      </c>
      <c r="O1770">
        <v>140</v>
      </c>
      <c r="P1770">
        <v>1</v>
      </c>
      <c r="Q1770">
        <v>3019.04</v>
      </c>
      <c r="R1770" s="4">
        <v>45600</v>
      </c>
      <c r="S1770" s="6">
        <v>0.33789351851851851</v>
      </c>
      <c r="T1770">
        <f t="shared" si="110"/>
        <v>16</v>
      </c>
      <c r="U1770" t="str" cm="1">
        <f t="array" ref="U1770">_xlfn.IFS(M1770&lt;=34,"YOUNG",M1770&lt;=54,"MIDDLE AGE",M1770&gt;=55,"OLD")</f>
        <v>OLD</v>
      </c>
      <c r="V1770" t="str">
        <f t="shared" si="111"/>
        <v>NORMAL</v>
      </c>
    </row>
    <row r="1771" spans="1:22" x14ac:dyDescent="0.35">
      <c r="A1771" t="s">
        <v>3624</v>
      </c>
      <c r="B1771" t="s">
        <v>993</v>
      </c>
      <c r="C1771">
        <v>168.99</v>
      </c>
      <c r="D1771" s="1">
        <v>45047.776562500003</v>
      </c>
      <c r="E1771" s="2">
        <f t="shared" si="108"/>
        <v>0.77656250000291038</v>
      </c>
      <c r="F1771" s="3">
        <f t="shared" si="109"/>
        <v>45047</v>
      </c>
      <c r="G1771" t="s">
        <v>17</v>
      </c>
      <c r="H1771" t="s">
        <v>197</v>
      </c>
      <c r="I1771" t="s">
        <v>982</v>
      </c>
      <c r="J1771" t="s">
        <v>969</v>
      </c>
      <c r="K1771" t="s">
        <v>303</v>
      </c>
      <c r="L1771" t="s">
        <v>22</v>
      </c>
      <c r="M1771">
        <v>18</v>
      </c>
      <c r="N1771" t="s">
        <v>37</v>
      </c>
      <c r="O1771">
        <v>203</v>
      </c>
      <c r="P1771">
        <v>1</v>
      </c>
      <c r="Q1771">
        <v>1523.57</v>
      </c>
      <c r="R1771" s="4">
        <v>45600</v>
      </c>
      <c r="S1771" s="6">
        <v>0.34028935185185183</v>
      </c>
      <c r="T1771">
        <f t="shared" si="110"/>
        <v>18</v>
      </c>
      <c r="U1771" t="str" cm="1">
        <f t="array" ref="U1771">_xlfn.IFS(M1771&lt;=34,"YOUNG",M1771&lt;=54,"MIDDLE AGE",M1771&gt;=55,"OLD")</f>
        <v>YOUNG</v>
      </c>
      <c r="V1771" t="str">
        <f t="shared" si="111"/>
        <v>NORMAL</v>
      </c>
    </row>
    <row r="1772" spans="1:22" x14ac:dyDescent="0.35">
      <c r="A1772" t="s">
        <v>3625</v>
      </c>
      <c r="B1772" t="s">
        <v>408</v>
      </c>
      <c r="C1772">
        <v>1.82</v>
      </c>
      <c r="D1772" s="1">
        <v>45029.733078703706</v>
      </c>
      <c r="E1772" s="2">
        <f t="shared" si="108"/>
        <v>0.73307870370626915</v>
      </c>
      <c r="F1772" s="3">
        <f t="shared" si="109"/>
        <v>45029</v>
      </c>
      <c r="G1772" t="s">
        <v>17</v>
      </c>
      <c r="H1772" t="s">
        <v>212</v>
      </c>
      <c r="I1772" t="s">
        <v>955</v>
      </c>
      <c r="J1772" t="s">
        <v>3061</v>
      </c>
      <c r="K1772" t="s">
        <v>35</v>
      </c>
      <c r="L1772" t="s">
        <v>36</v>
      </c>
      <c r="M1772">
        <v>80</v>
      </c>
      <c r="N1772" t="s">
        <v>70</v>
      </c>
      <c r="O1772">
        <v>60</v>
      </c>
      <c r="P1772">
        <v>1</v>
      </c>
      <c r="Q1772">
        <v>5571.39</v>
      </c>
      <c r="R1772" s="4">
        <v>45600</v>
      </c>
      <c r="S1772" s="6">
        <v>0.33979166666666666</v>
      </c>
      <c r="T1772">
        <f t="shared" si="110"/>
        <v>17</v>
      </c>
      <c r="U1772" t="str" cm="1">
        <f t="array" ref="U1772">_xlfn.IFS(M1772&lt;=34,"YOUNG",M1772&lt;=54,"MIDDLE AGE",M1772&gt;=55,"OLD")</f>
        <v>OLD</v>
      </c>
      <c r="V1772" t="str">
        <f t="shared" si="111"/>
        <v>NORMAL</v>
      </c>
    </row>
    <row r="1773" spans="1:22" x14ac:dyDescent="0.35">
      <c r="A1773" t="s">
        <v>3626</v>
      </c>
      <c r="B1773" t="s">
        <v>880</v>
      </c>
      <c r="C1773">
        <v>40.9</v>
      </c>
      <c r="D1773" s="1">
        <v>45078.768888888888</v>
      </c>
      <c r="E1773" s="2">
        <f t="shared" si="108"/>
        <v>0.76888888888788642</v>
      </c>
      <c r="F1773" s="3">
        <f t="shared" si="109"/>
        <v>45078</v>
      </c>
      <c r="G1773" t="s">
        <v>17</v>
      </c>
      <c r="H1773" t="s">
        <v>249</v>
      </c>
      <c r="I1773" t="s">
        <v>546</v>
      </c>
      <c r="J1773" t="s">
        <v>2974</v>
      </c>
      <c r="K1773" t="s">
        <v>1209</v>
      </c>
      <c r="L1773" t="s">
        <v>22</v>
      </c>
      <c r="M1773">
        <v>55</v>
      </c>
      <c r="N1773" t="s">
        <v>23</v>
      </c>
      <c r="O1773">
        <v>37</v>
      </c>
      <c r="P1773">
        <v>1</v>
      </c>
      <c r="Q1773">
        <v>1514.34</v>
      </c>
      <c r="R1773" s="4">
        <v>45600</v>
      </c>
      <c r="S1773" s="6">
        <v>0.34099537037037037</v>
      </c>
      <c r="T1773">
        <f t="shared" si="110"/>
        <v>18</v>
      </c>
      <c r="U1773" t="str" cm="1">
        <f t="array" ref="U1773">_xlfn.IFS(M1773&lt;=34,"YOUNG",M1773&lt;=54,"MIDDLE AGE",M1773&gt;=55,"OLD")</f>
        <v>OLD</v>
      </c>
      <c r="V1773" t="str">
        <f t="shared" si="111"/>
        <v>NORMAL</v>
      </c>
    </row>
    <row r="1774" spans="1:22" x14ac:dyDescent="0.35">
      <c r="A1774" t="s">
        <v>3627</v>
      </c>
      <c r="B1774" t="s">
        <v>2024</v>
      </c>
      <c r="C1774">
        <v>78.91</v>
      </c>
      <c r="D1774" s="1">
        <v>44986.713263888887</v>
      </c>
      <c r="E1774" s="2">
        <f t="shared" si="108"/>
        <v>0.71326388888701331</v>
      </c>
      <c r="F1774" s="3">
        <f t="shared" si="109"/>
        <v>44986</v>
      </c>
      <c r="G1774" t="s">
        <v>17</v>
      </c>
      <c r="H1774" t="s">
        <v>285</v>
      </c>
      <c r="I1774" t="s">
        <v>2902</v>
      </c>
      <c r="J1774" t="s">
        <v>1605</v>
      </c>
      <c r="K1774" t="s">
        <v>370</v>
      </c>
      <c r="L1774" t="s">
        <v>36</v>
      </c>
      <c r="M1774">
        <v>61</v>
      </c>
      <c r="N1774" t="s">
        <v>23</v>
      </c>
      <c r="O1774">
        <v>157</v>
      </c>
      <c r="P1774">
        <v>1</v>
      </c>
      <c r="Q1774">
        <v>1817.43</v>
      </c>
      <c r="R1774" s="4">
        <v>45600</v>
      </c>
      <c r="S1774" s="6">
        <v>0.34077546296296296</v>
      </c>
      <c r="T1774">
        <f t="shared" si="110"/>
        <v>17</v>
      </c>
      <c r="U1774" t="str" cm="1">
        <f t="array" ref="U1774">_xlfn.IFS(M1774&lt;=34,"YOUNG",M1774&lt;=54,"MIDDLE AGE",M1774&gt;=55,"OLD")</f>
        <v>OLD</v>
      </c>
      <c r="V1774" t="str">
        <f t="shared" si="111"/>
        <v>NORMAL</v>
      </c>
    </row>
    <row r="1775" spans="1:22" x14ac:dyDescent="0.35">
      <c r="A1775" t="s">
        <v>3628</v>
      </c>
      <c r="B1775" t="s">
        <v>1753</v>
      </c>
      <c r="C1775">
        <v>169.97</v>
      </c>
      <c r="D1775" s="1">
        <v>45267.731435185182</v>
      </c>
      <c r="E1775" s="2">
        <f t="shared" si="108"/>
        <v>0.73143518518190831</v>
      </c>
      <c r="F1775" s="3">
        <f t="shared" si="109"/>
        <v>45267</v>
      </c>
      <c r="G1775" t="s">
        <v>46</v>
      </c>
      <c r="H1775" t="s">
        <v>18</v>
      </c>
      <c r="I1775" t="s">
        <v>936</v>
      </c>
      <c r="J1775" t="s">
        <v>2925</v>
      </c>
      <c r="K1775" t="s">
        <v>406</v>
      </c>
      <c r="L1775" t="s">
        <v>22</v>
      </c>
      <c r="M1775">
        <v>22</v>
      </c>
      <c r="N1775" t="s">
        <v>37</v>
      </c>
      <c r="O1775">
        <v>12</v>
      </c>
      <c r="P1775">
        <v>1</v>
      </c>
      <c r="Q1775">
        <v>6269.12</v>
      </c>
      <c r="R1775" s="4">
        <v>45600</v>
      </c>
      <c r="S1775" s="6">
        <v>0.3397222222222222</v>
      </c>
      <c r="T1775">
        <f t="shared" si="110"/>
        <v>17</v>
      </c>
      <c r="U1775" t="str" cm="1">
        <f t="array" ref="U1775">_xlfn.IFS(M1775&lt;=34,"YOUNG",M1775&lt;=54,"MIDDLE AGE",M1775&gt;=55,"OLD")</f>
        <v>YOUNG</v>
      </c>
      <c r="V1775" t="str">
        <f t="shared" si="111"/>
        <v>NORMAL</v>
      </c>
    </row>
    <row r="1776" spans="1:22" x14ac:dyDescent="0.35">
      <c r="A1776" t="s">
        <v>3629</v>
      </c>
      <c r="B1776" t="s">
        <v>585</v>
      </c>
      <c r="C1776">
        <v>17.79</v>
      </c>
      <c r="D1776" s="1">
        <v>44979.709432870368</v>
      </c>
      <c r="E1776" s="2">
        <f t="shared" si="108"/>
        <v>0.70943287036789116</v>
      </c>
      <c r="F1776" s="3">
        <f t="shared" si="109"/>
        <v>44979</v>
      </c>
      <c r="G1776" t="s">
        <v>17</v>
      </c>
      <c r="H1776" t="s">
        <v>392</v>
      </c>
      <c r="I1776" t="s">
        <v>2562</v>
      </c>
      <c r="J1776" t="s">
        <v>3141</v>
      </c>
      <c r="K1776" t="s">
        <v>50</v>
      </c>
      <c r="L1776" t="s">
        <v>69</v>
      </c>
      <c r="M1776">
        <v>61</v>
      </c>
      <c r="N1776" t="s">
        <v>70</v>
      </c>
      <c r="O1776">
        <v>162</v>
      </c>
      <c r="P1776">
        <v>5</v>
      </c>
      <c r="Q1776">
        <v>2281.9</v>
      </c>
      <c r="R1776" s="4">
        <v>45600</v>
      </c>
      <c r="S1776" s="6">
        <v>0.34100694444444446</v>
      </c>
      <c r="T1776">
        <f t="shared" si="110"/>
        <v>17</v>
      </c>
      <c r="U1776" t="str" cm="1">
        <f t="array" ref="U1776">_xlfn.IFS(M1776&lt;=34,"YOUNG",M1776&lt;=54,"MIDDLE AGE",M1776&gt;=55,"OLD")</f>
        <v>OLD</v>
      </c>
      <c r="V1776" t="str">
        <f t="shared" si="111"/>
        <v>HIGH</v>
      </c>
    </row>
    <row r="1777" spans="1:22" x14ac:dyDescent="0.35">
      <c r="A1777" t="s">
        <v>3630</v>
      </c>
      <c r="B1777" t="s">
        <v>1394</v>
      </c>
      <c r="C1777">
        <v>486.61</v>
      </c>
      <c r="D1777" s="1">
        <v>45258.678807870368</v>
      </c>
      <c r="E1777" s="2">
        <f t="shared" si="108"/>
        <v>0.67880787036847323</v>
      </c>
      <c r="F1777" s="3">
        <f t="shared" si="109"/>
        <v>45258</v>
      </c>
      <c r="G1777" t="s">
        <v>46</v>
      </c>
      <c r="H1777" t="s">
        <v>285</v>
      </c>
      <c r="I1777" t="s">
        <v>2387</v>
      </c>
      <c r="J1777" t="s">
        <v>394</v>
      </c>
      <c r="K1777" t="s">
        <v>478</v>
      </c>
      <c r="L1777" t="s">
        <v>22</v>
      </c>
      <c r="M1777">
        <v>48</v>
      </c>
      <c r="N1777" t="s">
        <v>77</v>
      </c>
      <c r="O1777">
        <v>130</v>
      </c>
      <c r="P1777">
        <v>1</v>
      </c>
      <c r="Q1777">
        <v>2006.69</v>
      </c>
      <c r="R1777" s="4">
        <v>45600</v>
      </c>
      <c r="S1777" s="6">
        <v>0.33789351851851851</v>
      </c>
      <c r="T1777">
        <f t="shared" si="110"/>
        <v>16</v>
      </c>
      <c r="U1777" t="str" cm="1">
        <f t="array" ref="U1777">_xlfn.IFS(M1777&lt;=34,"YOUNG",M1777&lt;=54,"MIDDLE AGE",M1777&gt;=55,"OLD")</f>
        <v>MIDDLE AGE</v>
      </c>
      <c r="V1777" t="str">
        <f t="shared" si="111"/>
        <v>NORMAL</v>
      </c>
    </row>
    <row r="1778" spans="1:22" x14ac:dyDescent="0.35">
      <c r="A1778" t="s">
        <v>3631</v>
      </c>
      <c r="B1778" t="s">
        <v>789</v>
      </c>
      <c r="C1778">
        <v>148.13</v>
      </c>
      <c r="D1778" s="1">
        <v>45002.690879629627</v>
      </c>
      <c r="E1778" s="2">
        <f t="shared" si="108"/>
        <v>0.69087962962657912</v>
      </c>
      <c r="F1778" s="3">
        <f t="shared" si="109"/>
        <v>45002</v>
      </c>
      <c r="G1778" t="s">
        <v>17</v>
      </c>
      <c r="H1778" t="s">
        <v>425</v>
      </c>
      <c r="I1778" t="s">
        <v>1269</v>
      </c>
      <c r="J1778" t="s">
        <v>1917</v>
      </c>
      <c r="K1778" t="s">
        <v>105</v>
      </c>
      <c r="L1778" t="s">
        <v>69</v>
      </c>
      <c r="M1778">
        <v>58</v>
      </c>
      <c r="N1778" t="s">
        <v>70</v>
      </c>
      <c r="O1778">
        <v>56</v>
      </c>
      <c r="P1778">
        <v>1</v>
      </c>
      <c r="Q1778">
        <v>2189.38</v>
      </c>
      <c r="R1778" s="4">
        <v>45600</v>
      </c>
      <c r="S1778" s="6">
        <v>0.33819444444444446</v>
      </c>
      <c r="T1778">
        <f t="shared" si="110"/>
        <v>16</v>
      </c>
      <c r="U1778" t="str" cm="1">
        <f t="array" ref="U1778">_xlfn.IFS(M1778&lt;=34,"YOUNG",M1778&lt;=54,"MIDDLE AGE",M1778&gt;=55,"OLD")</f>
        <v>OLD</v>
      </c>
      <c r="V1778" t="str">
        <f t="shared" si="111"/>
        <v>NORMAL</v>
      </c>
    </row>
    <row r="1779" spans="1:22" x14ac:dyDescent="0.35">
      <c r="A1779" t="s">
        <v>3632</v>
      </c>
      <c r="B1779" t="s">
        <v>950</v>
      </c>
      <c r="C1779">
        <v>164.52</v>
      </c>
      <c r="D1779" s="1">
        <v>45285.674837962964</v>
      </c>
      <c r="E1779" s="2">
        <f t="shared" si="108"/>
        <v>0.67483796296437504</v>
      </c>
      <c r="F1779" s="3">
        <f t="shared" si="109"/>
        <v>45285</v>
      </c>
      <c r="G1779" t="s">
        <v>17</v>
      </c>
      <c r="H1779" t="s">
        <v>323</v>
      </c>
      <c r="I1779" t="s">
        <v>1788</v>
      </c>
      <c r="J1779" t="s">
        <v>1325</v>
      </c>
      <c r="K1779" t="s">
        <v>514</v>
      </c>
      <c r="L1779" t="s">
        <v>22</v>
      </c>
      <c r="M1779">
        <v>61</v>
      </c>
      <c r="N1779" t="s">
        <v>23</v>
      </c>
      <c r="O1779">
        <v>162</v>
      </c>
      <c r="P1779">
        <v>1</v>
      </c>
      <c r="Q1779">
        <v>11036.74</v>
      </c>
      <c r="R1779" s="4">
        <v>45600</v>
      </c>
      <c r="S1779" s="6">
        <v>0.3411689814814815</v>
      </c>
      <c r="T1779">
        <f t="shared" si="110"/>
        <v>16</v>
      </c>
      <c r="U1779" t="str" cm="1">
        <f t="array" ref="U1779">_xlfn.IFS(M1779&lt;=34,"YOUNG",M1779&lt;=54,"MIDDLE AGE",M1779&gt;=55,"OLD")</f>
        <v>OLD</v>
      </c>
      <c r="V1779" t="str">
        <f t="shared" si="111"/>
        <v>NORMAL</v>
      </c>
    </row>
    <row r="1780" spans="1:22" x14ac:dyDescent="0.35">
      <c r="A1780" t="s">
        <v>3633</v>
      </c>
      <c r="B1780" t="s">
        <v>1357</v>
      </c>
      <c r="C1780">
        <v>720.89</v>
      </c>
      <c r="D1780" s="1">
        <v>45278.715833333335</v>
      </c>
      <c r="E1780" s="2">
        <f t="shared" si="108"/>
        <v>0.71583333333546761</v>
      </c>
      <c r="F1780" s="3">
        <f t="shared" si="109"/>
        <v>45278</v>
      </c>
      <c r="G1780" t="s">
        <v>17</v>
      </c>
      <c r="H1780" t="s">
        <v>65</v>
      </c>
      <c r="I1780" t="s">
        <v>2433</v>
      </c>
      <c r="J1780" t="s">
        <v>1725</v>
      </c>
      <c r="K1780" t="s">
        <v>181</v>
      </c>
      <c r="L1780" t="s">
        <v>22</v>
      </c>
      <c r="M1780">
        <v>27</v>
      </c>
      <c r="N1780" t="s">
        <v>37</v>
      </c>
      <c r="O1780">
        <v>120</v>
      </c>
      <c r="P1780">
        <v>1</v>
      </c>
      <c r="Q1780">
        <v>447.06</v>
      </c>
      <c r="R1780" s="4">
        <v>45600</v>
      </c>
      <c r="S1780" s="6">
        <v>0.34028935185185183</v>
      </c>
      <c r="T1780">
        <f t="shared" si="110"/>
        <v>17</v>
      </c>
      <c r="U1780" t="str" cm="1">
        <f t="array" ref="U1780">_xlfn.IFS(M1780&lt;=34,"YOUNG",M1780&lt;=54,"MIDDLE AGE",M1780&gt;=55,"OLD")</f>
        <v>YOUNG</v>
      </c>
      <c r="V1780" t="str">
        <f t="shared" si="111"/>
        <v>NORMAL</v>
      </c>
    </row>
    <row r="1781" spans="1:22" x14ac:dyDescent="0.35">
      <c r="A1781" t="s">
        <v>3634</v>
      </c>
      <c r="B1781" t="s">
        <v>636</v>
      </c>
      <c r="C1781">
        <v>268.7</v>
      </c>
      <c r="D1781" s="1">
        <v>45202.677789351852</v>
      </c>
      <c r="E1781" s="2">
        <f t="shared" si="108"/>
        <v>0.67778935185197042</v>
      </c>
      <c r="F1781" s="3">
        <f t="shared" si="109"/>
        <v>45202</v>
      </c>
      <c r="G1781" t="s">
        <v>17</v>
      </c>
      <c r="H1781" t="s">
        <v>178</v>
      </c>
      <c r="I1781" t="s">
        <v>2976</v>
      </c>
      <c r="J1781" t="s">
        <v>1112</v>
      </c>
      <c r="K1781" t="s">
        <v>759</v>
      </c>
      <c r="L1781" t="s">
        <v>22</v>
      </c>
      <c r="M1781">
        <v>53</v>
      </c>
      <c r="N1781" t="s">
        <v>70</v>
      </c>
      <c r="O1781">
        <v>63</v>
      </c>
      <c r="P1781">
        <v>1</v>
      </c>
      <c r="Q1781">
        <v>2104.7399999999998</v>
      </c>
      <c r="R1781" s="4">
        <v>45600</v>
      </c>
      <c r="S1781" s="6">
        <v>0.33796296296296297</v>
      </c>
      <c r="T1781">
        <f t="shared" si="110"/>
        <v>16</v>
      </c>
      <c r="U1781" t="str" cm="1">
        <f t="array" ref="U1781">_xlfn.IFS(M1781&lt;=34,"YOUNG",M1781&lt;=54,"MIDDLE AGE",M1781&gt;=55,"OLD")</f>
        <v>MIDDLE AGE</v>
      </c>
      <c r="V1781" t="str">
        <f t="shared" si="111"/>
        <v>NORMAL</v>
      </c>
    </row>
    <row r="1782" spans="1:22" x14ac:dyDescent="0.35">
      <c r="A1782" t="s">
        <v>3635</v>
      </c>
      <c r="B1782" t="s">
        <v>1770</v>
      </c>
      <c r="C1782">
        <v>637.34</v>
      </c>
      <c r="D1782" s="1">
        <v>45170.680358796293</v>
      </c>
      <c r="E1782" s="2">
        <f t="shared" si="108"/>
        <v>0.68035879629314877</v>
      </c>
      <c r="F1782" s="3">
        <f t="shared" si="109"/>
        <v>45170</v>
      </c>
      <c r="G1782" t="s">
        <v>17</v>
      </c>
      <c r="H1782" t="s">
        <v>65</v>
      </c>
      <c r="I1782" t="s">
        <v>286</v>
      </c>
      <c r="J1782" t="s">
        <v>1195</v>
      </c>
      <c r="K1782" t="s">
        <v>762</v>
      </c>
      <c r="L1782" t="s">
        <v>22</v>
      </c>
      <c r="M1782">
        <v>51</v>
      </c>
      <c r="N1782" t="s">
        <v>70</v>
      </c>
      <c r="O1782">
        <v>278</v>
      </c>
      <c r="P1782">
        <v>1</v>
      </c>
      <c r="Q1782">
        <v>5183.5</v>
      </c>
      <c r="R1782" s="4">
        <v>45600</v>
      </c>
      <c r="S1782" s="6">
        <v>0.34021990740740743</v>
      </c>
      <c r="T1782">
        <f t="shared" si="110"/>
        <v>16</v>
      </c>
      <c r="U1782" t="str" cm="1">
        <f t="array" ref="U1782">_xlfn.IFS(M1782&lt;=34,"YOUNG",M1782&lt;=54,"MIDDLE AGE",M1782&gt;=55,"OLD")</f>
        <v>MIDDLE AGE</v>
      </c>
      <c r="V1782" t="str">
        <f t="shared" si="111"/>
        <v>NORMAL</v>
      </c>
    </row>
    <row r="1783" spans="1:22" x14ac:dyDescent="0.35">
      <c r="A1783" t="s">
        <v>3636</v>
      </c>
      <c r="B1783" t="s">
        <v>228</v>
      </c>
      <c r="C1783">
        <v>216.76</v>
      </c>
      <c r="D1783" s="1">
        <v>45239.726701388892</v>
      </c>
      <c r="E1783" s="2">
        <f t="shared" si="108"/>
        <v>0.726701388892252</v>
      </c>
      <c r="F1783" s="3">
        <f t="shared" si="109"/>
        <v>45239</v>
      </c>
      <c r="G1783" t="s">
        <v>46</v>
      </c>
      <c r="H1783" t="s">
        <v>296</v>
      </c>
      <c r="I1783" t="s">
        <v>426</v>
      </c>
      <c r="J1783" t="s">
        <v>878</v>
      </c>
      <c r="K1783" t="s">
        <v>450</v>
      </c>
      <c r="L1783" t="s">
        <v>36</v>
      </c>
      <c r="M1783">
        <v>47</v>
      </c>
      <c r="N1783" t="s">
        <v>77</v>
      </c>
      <c r="O1783">
        <v>138</v>
      </c>
      <c r="P1783">
        <v>1</v>
      </c>
      <c r="Q1783">
        <v>643.64</v>
      </c>
      <c r="R1783" s="4">
        <v>45600</v>
      </c>
      <c r="S1783" s="6">
        <v>0.33998842592592593</v>
      </c>
      <c r="T1783">
        <f t="shared" si="110"/>
        <v>17</v>
      </c>
      <c r="U1783" t="str" cm="1">
        <f t="array" ref="U1783">_xlfn.IFS(M1783&lt;=34,"YOUNG",M1783&lt;=54,"MIDDLE AGE",M1783&gt;=55,"OLD")</f>
        <v>MIDDLE AGE</v>
      </c>
      <c r="V1783" t="str">
        <f t="shared" si="111"/>
        <v>NORMAL</v>
      </c>
    </row>
    <row r="1784" spans="1:22" x14ac:dyDescent="0.35">
      <c r="A1784" t="s">
        <v>3637</v>
      </c>
      <c r="B1784" t="s">
        <v>1617</v>
      </c>
      <c r="C1784">
        <v>418.02</v>
      </c>
      <c r="D1784" s="1">
        <v>45083.747731481482</v>
      </c>
      <c r="E1784" s="2">
        <f t="shared" si="108"/>
        <v>0.74773148148233304</v>
      </c>
      <c r="F1784" s="3">
        <f t="shared" si="109"/>
        <v>45083</v>
      </c>
      <c r="G1784" t="s">
        <v>17</v>
      </c>
      <c r="H1784" t="s">
        <v>140</v>
      </c>
      <c r="I1784" t="s">
        <v>645</v>
      </c>
      <c r="J1784" t="s">
        <v>2120</v>
      </c>
      <c r="K1784" t="s">
        <v>111</v>
      </c>
      <c r="L1784" t="s">
        <v>22</v>
      </c>
      <c r="M1784">
        <v>46</v>
      </c>
      <c r="N1784" t="s">
        <v>23</v>
      </c>
      <c r="O1784">
        <v>110</v>
      </c>
      <c r="P1784">
        <v>1</v>
      </c>
      <c r="Q1784">
        <v>11011.86</v>
      </c>
      <c r="R1784" s="4">
        <v>45600</v>
      </c>
      <c r="S1784" s="6">
        <v>0.33788194444444447</v>
      </c>
      <c r="T1784">
        <f t="shared" si="110"/>
        <v>17</v>
      </c>
      <c r="U1784" t="str" cm="1">
        <f t="array" ref="U1784">_xlfn.IFS(M1784&lt;=34,"YOUNG",M1784&lt;=54,"MIDDLE AGE",M1784&gt;=55,"OLD")</f>
        <v>MIDDLE AGE</v>
      </c>
      <c r="V1784" t="str">
        <f t="shared" si="111"/>
        <v>NORMAL</v>
      </c>
    </row>
    <row r="1785" spans="1:22" x14ac:dyDescent="0.35">
      <c r="A1785" t="s">
        <v>3638</v>
      </c>
      <c r="B1785" t="s">
        <v>722</v>
      </c>
      <c r="C1785">
        <v>292.02999999999997</v>
      </c>
      <c r="D1785" s="1">
        <v>45173.680787037039</v>
      </c>
      <c r="E1785" s="2">
        <f t="shared" si="108"/>
        <v>0.68078703703940846</v>
      </c>
      <c r="F1785" s="3">
        <f t="shared" si="109"/>
        <v>45173</v>
      </c>
      <c r="G1785" t="s">
        <v>46</v>
      </c>
      <c r="H1785" t="s">
        <v>92</v>
      </c>
      <c r="I1785" t="s">
        <v>2883</v>
      </c>
      <c r="J1785" t="s">
        <v>440</v>
      </c>
      <c r="K1785" t="s">
        <v>1345</v>
      </c>
      <c r="L1785" t="s">
        <v>22</v>
      </c>
      <c r="M1785">
        <v>46</v>
      </c>
      <c r="N1785" t="s">
        <v>77</v>
      </c>
      <c r="O1785">
        <v>154</v>
      </c>
      <c r="P1785">
        <v>1</v>
      </c>
      <c r="Q1785">
        <v>951.33</v>
      </c>
      <c r="R1785" s="4">
        <v>45600</v>
      </c>
      <c r="S1785" s="6">
        <v>0.33832175925925928</v>
      </c>
      <c r="T1785">
        <f t="shared" si="110"/>
        <v>16</v>
      </c>
      <c r="U1785" t="str" cm="1">
        <f t="array" ref="U1785">_xlfn.IFS(M1785&lt;=34,"YOUNG",M1785&lt;=54,"MIDDLE AGE",M1785&gt;=55,"OLD")</f>
        <v>MIDDLE AGE</v>
      </c>
      <c r="V1785" t="str">
        <f t="shared" si="111"/>
        <v>NORMAL</v>
      </c>
    </row>
    <row r="1786" spans="1:22" x14ac:dyDescent="0.35">
      <c r="A1786" t="s">
        <v>3639</v>
      </c>
      <c r="B1786" t="s">
        <v>1814</v>
      </c>
      <c r="C1786">
        <v>251.4</v>
      </c>
      <c r="D1786" s="1">
        <v>45112.702881944446</v>
      </c>
      <c r="E1786" s="2">
        <f t="shared" si="108"/>
        <v>0.70288194444583496</v>
      </c>
      <c r="F1786" s="3">
        <f t="shared" si="109"/>
        <v>45112</v>
      </c>
      <c r="G1786" t="s">
        <v>17</v>
      </c>
      <c r="H1786" t="s">
        <v>255</v>
      </c>
      <c r="I1786" t="s">
        <v>2809</v>
      </c>
      <c r="J1786" t="s">
        <v>1399</v>
      </c>
      <c r="K1786" t="s">
        <v>282</v>
      </c>
      <c r="L1786" t="s">
        <v>22</v>
      </c>
      <c r="M1786">
        <v>57</v>
      </c>
      <c r="N1786" t="s">
        <v>70</v>
      </c>
      <c r="O1786">
        <v>178</v>
      </c>
      <c r="P1786">
        <v>1</v>
      </c>
      <c r="Q1786">
        <v>2561.67</v>
      </c>
      <c r="R1786" s="4">
        <v>45600</v>
      </c>
      <c r="S1786" s="6">
        <v>0.34100694444444446</v>
      </c>
      <c r="T1786">
        <f t="shared" si="110"/>
        <v>16</v>
      </c>
      <c r="U1786" t="str" cm="1">
        <f t="array" ref="U1786">_xlfn.IFS(M1786&lt;=34,"YOUNG",M1786&lt;=54,"MIDDLE AGE",M1786&gt;=55,"OLD")</f>
        <v>OLD</v>
      </c>
      <c r="V1786" t="str">
        <f t="shared" si="111"/>
        <v>NORMAL</v>
      </c>
    </row>
    <row r="1787" spans="1:22" x14ac:dyDescent="0.35">
      <c r="A1787" t="s">
        <v>3640</v>
      </c>
      <c r="B1787" t="s">
        <v>1401</v>
      </c>
      <c r="C1787">
        <v>184.56</v>
      </c>
      <c r="D1787" s="1">
        <v>45260.671944444446</v>
      </c>
      <c r="E1787" s="2">
        <f t="shared" si="108"/>
        <v>0.671944444446126</v>
      </c>
      <c r="F1787" s="3">
        <f t="shared" si="109"/>
        <v>45260</v>
      </c>
      <c r="G1787" t="s">
        <v>17</v>
      </c>
      <c r="H1787" t="s">
        <v>301</v>
      </c>
      <c r="I1787" t="s">
        <v>586</v>
      </c>
      <c r="J1787" t="s">
        <v>2065</v>
      </c>
      <c r="K1787" t="s">
        <v>707</v>
      </c>
      <c r="L1787" t="s">
        <v>36</v>
      </c>
      <c r="M1787">
        <v>21</v>
      </c>
      <c r="N1787" t="s">
        <v>37</v>
      </c>
      <c r="O1787">
        <v>93</v>
      </c>
      <c r="P1787">
        <v>1</v>
      </c>
      <c r="Q1787">
        <v>1549.27</v>
      </c>
      <c r="R1787" s="4">
        <v>45600</v>
      </c>
      <c r="S1787" s="6">
        <v>0.33797453703703706</v>
      </c>
      <c r="T1787">
        <f t="shared" si="110"/>
        <v>16</v>
      </c>
      <c r="U1787" t="str" cm="1">
        <f t="array" ref="U1787">_xlfn.IFS(M1787&lt;=34,"YOUNG",M1787&lt;=54,"MIDDLE AGE",M1787&gt;=55,"OLD")</f>
        <v>YOUNG</v>
      </c>
      <c r="V1787" t="str">
        <f t="shared" si="111"/>
        <v>NORMAL</v>
      </c>
    </row>
    <row r="1788" spans="1:22" x14ac:dyDescent="0.35">
      <c r="A1788" t="s">
        <v>3641</v>
      </c>
      <c r="B1788" t="s">
        <v>3238</v>
      </c>
      <c r="C1788">
        <v>33.76</v>
      </c>
      <c r="D1788" s="1">
        <v>44942.735706018517</v>
      </c>
      <c r="E1788" s="2">
        <f t="shared" si="108"/>
        <v>0.73570601851679385</v>
      </c>
      <c r="F1788" s="3">
        <f t="shared" si="109"/>
        <v>44942</v>
      </c>
      <c r="G1788" t="s">
        <v>17</v>
      </c>
      <c r="H1788" t="s">
        <v>59</v>
      </c>
      <c r="I1788" t="s">
        <v>324</v>
      </c>
      <c r="J1788" t="s">
        <v>1667</v>
      </c>
      <c r="K1788" t="s">
        <v>1209</v>
      </c>
      <c r="L1788" t="s">
        <v>36</v>
      </c>
      <c r="M1788">
        <v>26</v>
      </c>
      <c r="N1788" t="s">
        <v>77</v>
      </c>
      <c r="O1788">
        <v>227</v>
      </c>
      <c r="P1788">
        <v>1</v>
      </c>
      <c r="Q1788">
        <v>3253.51</v>
      </c>
      <c r="R1788" s="4">
        <v>45600</v>
      </c>
      <c r="S1788" s="6">
        <v>0.33944444444444444</v>
      </c>
      <c r="T1788">
        <f t="shared" si="110"/>
        <v>17</v>
      </c>
      <c r="U1788" t="str" cm="1">
        <f t="array" ref="U1788">_xlfn.IFS(M1788&lt;=34,"YOUNG",M1788&lt;=54,"MIDDLE AGE",M1788&gt;=55,"OLD")</f>
        <v>YOUNG</v>
      </c>
      <c r="V1788" t="str">
        <f t="shared" si="111"/>
        <v>NORMAL</v>
      </c>
    </row>
    <row r="1789" spans="1:22" x14ac:dyDescent="0.35">
      <c r="A1789" t="s">
        <v>3642</v>
      </c>
      <c r="B1789" t="s">
        <v>364</v>
      </c>
      <c r="C1789">
        <v>253.46</v>
      </c>
      <c r="D1789" s="1">
        <v>45068.68582175926</v>
      </c>
      <c r="E1789" s="2">
        <f t="shared" si="108"/>
        <v>0.68582175925985212</v>
      </c>
      <c r="F1789" s="3">
        <f t="shared" si="109"/>
        <v>45068</v>
      </c>
      <c r="G1789" t="s">
        <v>17</v>
      </c>
      <c r="H1789" t="s">
        <v>92</v>
      </c>
      <c r="I1789" t="s">
        <v>2654</v>
      </c>
      <c r="J1789" t="s">
        <v>455</v>
      </c>
      <c r="K1789" t="s">
        <v>246</v>
      </c>
      <c r="L1789" t="s">
        <v>22</v>
      </c>
      <c r="M1789">
        <v>45</v>
      </c>
      <c r="N1789" t="s">
        <v>77</v>
      </c>
      <c r="O1789">
        <v>60</v>
      </c>
      <c r="P1789">
        <v>1</v>
      </c>
      <c r="Q1789">
        <v>1338.95</v>
      </c>
      <c r="R1789" s="4">
        <v>45600</v>
      </c>
      <c r="S1789" s="6">
        <v>0.33832175925925928</v>
      </c>
      <c r="T1789">
        <f t="shared" si="110"/>
        <v>16</v>
      </c>
      <c r="U1789" t="str" cm="1">
        <f t="array" ref="U1789">_xlfn.IFS(M1789&lt;=34,"YOUNG",M1789&lt;=54,"MIDDLE AGE",M1789&gt;=55,"OLD")</f>
        <v>MIDDLE AGE</v>
      </c>
      <c r="V1789" t="str">
        <f t="shared" si="111"/>
        <v>NORMAL</v>
      </c>
    </row>
    <row r="1790" spans="1:22" x14ac:dyDescent="0.35">
      <c r="A1790" t="s">
        <v>3643</v>
      </c>
      <c r="B1790" t="s">
        <v>1069</v>
      </c>
      <c r="C1790">
        <v>1612.37</v>
      </c>
      <c r="D1790" s="1">
        <v>45131.740428240744</v>
      </c>
      <c r="E1790" s="2">
        <f t="shared" si="108"/>
        <v>0.74042824074422242</v>
      </c>
      <c r="F1790" s="3">
        <f t="shared" si="109"/>
        <v>45131</v>
      </c>
      <c r="G1790" t="s">
        <v>17</v>
      </c>
      <c r="H1790" t="s">
        <v>140</v>
      </c>
      <c r="I1790" t="s">
        <v>1993</v>
      </c>
      <c r="J1790" t="s">
        <v>1669</v>
      </c>
      <c r="K1790" t="s">
        <v>303</v>
      </c>
      <c r="L1790" t="s">
        <v>22</v>
      </c>
      <c r="M1790">
        <v>65</v>
      </c>
      <c r="N1790" t="s">
        <v>70</v>
      </c>
      <c r="O1790">
        <v>173</v>
      </c>
      <c r="P1790">
        <v>1</v>
      </c>
      <c r="Q1790">
        <v>3910.59</v>
      </c>
      <c r="R1790" s="4">
        <v>45600</v>
      </c>
      <c r="S1790" s="6">
        <v>0.33913194444444444</v>
      </c>
      <c r="T1790">
        <f t="shared" si="110"/>
        <v>17</v>
      </c>
      <c r="U1790" t="str" cm="1">
        <f t="array" ref="U1790">_xlfn.IFS(M1790&lt;=34,"YOUNG",M1790&lt;=54,"MIDDLE AGE",M1790&gt;=55,"OLD")</f>
        <v>OLD</v>
      </c>
      <c r="V1790" t="str">
        <f t="shared" si="111"/>
        <v>NORMAL</v>
      </c>
    </row>
    <row r="1791" spans="1:22" x14ac:dyDescent="0.35">
      <c r="A1791" t="s">
        <v>3644</v>
      </c>
      <c r="B1791" t="s">
        <v>314</v>
      </c>
      <c r="C1791">
        <v>138.68</v>
      </c>
      <c r="D1791" s="1">
        <v>45091.671111111114</v>
      </c>
      <c r="E1791" s="2">
        <f t="shared" si="108"/>
        <v>0.67111111111444188</v>
      </c>
      <c r="F1791" s="3">
        <f t="shared" si="109"/>
        <v>45091</v>
      </c>
      <c r="G1791" t="s">
        <v>46</v>
      </c>
      <c r="H1791" t="s">
        <v>521</v>
      </c>
      <c r="I1791" t="s">
        <v>3645</v>
      </c>
      <c r="J1791" t="s">
        <v>230</v>
      </c>
      <c r="K1791" t="s">
        <v>43</v>
      </c>
      <c r="L1791" t="s">
        <v>69</v>
      </c>
      <c r="M1791">
        <v>22</v>
      </c>
      <c r="N1791" t="s">
        <v>37</v>
      </c>
      <c r="O1791">
        <v>44</v>
      </c>
      <c r="P1791">
        <v>1</v>
      </c>
      <c r="Q1791">
        <v>206.2</v>
      </c>
      <c r="R1791" s="4">
        <v>45600</v>
      </c>
      <c r="S1791" s="6">
        <v>0.33934027777777775</v>
      </c>
      <c r="T1791">
        <f t="shared" si="110"/>
        <v>16</v>
      </c>
      <c r="U1791" t="str" cm="1">
        <f t="array" ref="U1791">_xlfn.IFS(M1791&lt;=34,"YOUNG",M1791&lt;=54,"MIDDLE AGE",M1791&gt;=55,"OLD")</f>
        <v>YOUNG</v>
      </c>
      <c r="V1791" t="str">
        <f t="shared" si="111"/>
        <v>NORMAL</v>
      </c>
    </row>
    <row r="1792" spans="1:22" x14ac:dyDescent="0.35">
      <c r="A1792" t="s">
        <v>3646</v>
      </c>
      <c r="B1792" t="s">
        <v>1123</v>
      </c>
      <c r="C1792">
        <v>42.56</v>
      </c>
      <c r="D1792" s="1">
        <v>45138.684467592589</v>
      </c>
      <c r="E1792" s="2">
        <f t="shared" si="108"/>
        <v>0.68446759258949896</v>
      </c>
      <c r="F1792" s="3">
        <f t="shared" si="109"/>
        <v>45138</v>
      </c>
      <c r="G1792" t="s">
        <v>17</v>
      </c>
      <c r="H1792" t="s">
        <v>558</v>
      </c>
      <c r="I1792" t="s">
        <v>2295</v>
      </c>
      <c r="J1792" t="s">
        <v>933</v>
      </c>
      <c r="K1792" t="s">
        <v>353</v>
      </c>
      <c r="L1792" t="s">
        <v>36</v>
      </c>
      <c r="M1792">
        <v>18</v>
      </c>
      <c r="N1792" t="s">
        <v>37</v>
      </c>
      <c r="O1792">
        <v>146</v>
      </c>
      <c r="P1792">
        <v>1</v>
      </c>
      <c r="Q1792">
        <v>4361.4399999999996</v>
      </c>
      <c r="R1792" s="4">
        <v>45600</v>
      </c>
      <c r="S1792" s="6">
        <v>0.33833333333333332</v>
      </c>
      <c r="T1792">
        <f t="shared" si="110"/>
        <v>16</v>
      </c>
      <c r="U1792" t="str" cm="1">
        <f t="array" ref="U1792">_xlfn.IFS(M1792&lt;=34,"YOUNG",M1792&lt;=54,"MIDDLE AGE",M1792&gt;=55,"OLD")</f>
        <v>YOUNG</v>
      </c>
      <c r="V1792" t="str">
        <f t="shared" si="111"/>
        <v>NORMAL</v>
      </c>
    </row>
    <row r="1793" spans="1:22" x14ac:dyDescent="0.35">
      <c r="A1793" t="s">
        <v>3647</v>
      </c>
      <c r="B1793" t="s">
        <v>843</v>
      </c>
      <c r="C1793">
        <v>680.76</v>
      </c>
      <c r="D1793" s="1">
        <v>44984.693530092591</v>
      </c>
      <c r="E1793" s="2">
        <f t="shared" si="108"/>
        <v>0.69353009259066312</v>
      </c>
      <c r="F1793" s="3">
        <f t="shared" si="109"/>
        <v>44984</v>
      </c>
      <c r="G1793" t="s">
        <v>17</v>
      </c>
      <c r="H1793" t="s">
        <v>291</v>
      </c>
      <c r="I1793" t="s">
        <v>2461</v>
      </c>
      <c r="J1793" t="s">
        <v>251</v>
      </c>
      <c r="K1793" t="s">
        <v>1349</v>
      </c>
      <c r="L1793" t="s">
        <v>69</v>
      </c>
      <c r="M1793">
        <v>21</v>
      </c>
      <c r="N1793" t="s">
        <v>37</v>
      </c>
      <c r="O1793">
        <v>165</v>
      </c>
      <c r="P1793">
        <v>1</v>
      </c>
      <c r="Q1793">
        <v>572.97</v>
      </c>
      <c r="R1793" s="4">
        <v>45600</v>
      </c>
      <c r="S1793" s="6">
        <v>0.33962962962962961</v>
      </c>
      <c r="T1793">
        <f t="shared" si="110"/>
        <v>16</v>
      </c>
      <c r="U1793" t="str" cm="1">
        <f t="array" ref="U1793">_xlfn.IFS(M1793&lt;=34,"YOUNG",M1793&lt;=54,"MIDDLE AGE",M1793&gt;=55,"OLD")</f>
        <v>YOUNG</v>
      </c>
      <c r="V1793" t="str">
        <f t="shared" si="111"/>
        <v>NORMAL</v>
      </c>
    </row>
    <row r="1794" spans="1:22" x14ac:dyDescent="0.35">
      <c r="A1794" t="s">
        <v>3648</v>
      </c>
      <c r="B1794" t="s">
        <v>1088</v>
      </c>
      <c r="C1794">
        <v>53.83</v>
      </c>
      <c r="D1794" s="1">
        <v>45077.722997685189</v>
      </c>
      <c r="E1794" s="2">
        <f t="shared" ref="E1794:E1857" si="112">D1794-INT(D1794)</f>
        <v>0.72299768518860219</v>
      </c>
      <c r="F1794" s="3">
        <f t="shared" ref="F1794:F1857" si="113">INT(D1794)</f>
        <v>45077</v>
      </c>
      <c r="G1794" t="s">
        <v>17</v>
      </c>
      <c r="H1794" t="s">
        <v>197</v>
      </c>
      <c r="I1794" t="s">
        <v>2278</v>
      </c>
      <c r="J1794" t="s">
        <v>3004</v>
      </c>
      <c r="K1794" t="s">
        <v>619</v>
      </c>
      <c r="L1794" t="s">
        <v>69</v>
      </c>
      <c r="M1794">
        <v>70</v>
      </c>
      <c r="N1794" t="s">
        <v>70</v>
      </c>
      <c r="O1794">
        <v>131</v>
      </c>
      <c r="P1794">
        <v>1</v>
      </c>
      <c r="Q1794">
        <v>4580.59</v>
      </c>
      <c r="R1794" s="4">
        <v>45600</v>
      </c>
      <c r="S1794" s="6">
        <v>0.34149305555555554</v>
      </c>
      <c r="T1794">
        <f t="shared" si="110"/>
        <v>17</v>
      </c>
      <c r="U1794" t="str" cm="1">
        <f t="array" ref="U1794">_xlfn.IFS(M1794&lt;=34,"YOUNG",M1794&lt;=54,"MIDDLE AGE",M1794&gt;=55,"OLD")</f>
        <v>OLD</v>
      </c>
      <c r="V1794" t="str">
        <f t="shared" si="111"/>
        <v>NORMAL</v>
      </c>
    </row>
    <row r="1795" spans="1:22" x14ac:dyDescent="0.35">
      <c r="A1795" t="s">
        <v>3649</v>
      </c>
      <c r="B1795" t="s">
        <v>2097</v>
      </c>
      <c r="C1795">
        <v>11.09</v>
      </c>
      <c r="D1795" s="1">
        <v>45230.704629629632</v>
      </c>
      <c r="E1795" s="2">
        <f t="shared" si="112"/>
        <v>0.70462962963210884</v>
      </c>
      <c r="F1795" s="3">
        <f t="shared" si="113"/>
        <v>45230</v>
      </c>
      <c r="G1795" t="s">
        <v>17</v>
      </c>
      <c r="H1795" t="s">
        <v>249</v>
      </c>
      <c r="I1795" t="s">
        <v>1486</v>
      </c>
      <c r="J1795" t="s">
        <v>2104</v>
      </c>
      <c r="K1795" t="s">
        <v>209</v>
      </c>
      <c r="L1795" t="s">
        <v>69</v>
      </c>
      <c r="M1795">
        <v>51</v>
      </c>
      <c r="N1795" t="s">
        <v>77</v>
      </c>
      <c r="O1795">
        <v>95</v>
      </c>
      <c r="P1795">
        <v>1</v>
      </c>
      <c r="Q1795">
        <v>2990.05</v>
      </c>
      <c r="R1795" s="4">
        <v>45600</v>
      </c>
      <c r="S1795" s="6">
        <v>0.34052083333333333</v>
      </c>
      <c r="T1795">
        <f t="shared" ref="T1795:T1858" si="114">HOUR(E1795)</f>
        <v>16</v>
      </c>
      <c r="U1795" t="str" cm="1">
        <f t="array" ref="U1795">_xlfn.IFS(M1795&lt;=34,"YOUNG",M1795&lt;=54,"MIDDLE AGE",M1795&gt;=55,"OLD")</f>
        <v>MIDDLE AGE</v>
      </c>
      <c r="V1795" t="str">
        <f t="shared" ref="V1795:V1858" si="115">IF(P1795&gt;1,"HIGH","NORMAL")</f>
        <v>NORMAL</v>
      </c>
    </row>
    <row r="1796" spans="1:22" x14ac:dyDescent="0.35">
      <c r="A1796" t="s">
        <v>3650</v>
      </c>
      <c r="B1796" t="s">
        <v>1488</v>
      </c>
      <c r="C1796">
        <v>37.81</v>
      </c>
      <c r="D1796" s="1">
        <v>45131.697615740741</v>
      </c>
      <c r="E1796" s="2">
        <f t="shared" si="112"/>
        <v>0.69761574074072996</v>
      </c>
      <c r="F1796" s="3">
        <f t="shared" si="113"/>
        <v>45131</v>
      </c>
      <c r="G1796" t="s">
        <v>17</v>
      </c>
      <c r="H1796" t="s">
        <v>521</v>
      </c>
      <c r="I1796" t="s">
        <v>404</v>
      </c>
      <c r="J1796" t="s">
        <v>121</v>
      </c>
      <c r="K1796" t="s">
        <v>226</v>
      </c>
      <c r="L1796" t="s">
        <v>69</v>
      </c>
      <c r="M1796">
        <v>63</v>
      </c>
      <c r="N1796" t="s">
        <v>70</v>
      </c>
      <c r="O1796">
        <v>195</v>
      </c>
      <c r="P1796">
        <v>1</v>
      </c>
      <c r="Q1796">
        <v>5208.9799999999996</v>
      </c>
      <c r="R1796" s="4">
        <v>45600</v>
      </c>
      <c r="S1796" s="6">
        <v>0.34104166666666669</v>
      </c>
      <c r="T1796">
        <f t="shared" si="114"/>
        <v>16</v>
      </c>
      <c r="U1796" t="str" cm="1">
        <f t="array" ref="U1796">_xlfn.IFS(M1796&lt;=34,"YOUNG",M1796&lt;=54,"MIDDLE AGE",M1796&gt;=55,"OLD")</f>
        <v>OLD</v>
      </c>
      <c r="V1796" t="str">
        <f t="shared" si="115"/>
        <v>NORMAL</v>
      </c>
    </row>
    <row r="1797" spans="1:22" x14ac:dyDescent="0.35">
      <c r="A1797" t="s">
        <v>3651</v>
      </c>
      <c r="B1797" t="s">
        <v>1682</v>
      </c>
      <c r="C1797">
        <v>449.18</v>
      </c>
      <c r="D1797" s="1">
        <v>45285.709537037037</v>
      </c>
      <c r="E1797" s="2">
        <f t="shared" si="112"/>
        <v>0.70953703703708015</v>
      </c>
      <c r="F1797" s="3">
        <f t="shared" si="113"/>
        <v>45285</v>
      </c>
      <c r="G1797" t="s">
        <v>17</v>
      </c>
      <c r="H1797" t="s">
        <v>114</v>
      </c>
      <c r="I1797" t="s">
        <v>3652</v>
      </c>
      <c r="J1797" t="s">
        <v>1188</v>
      </c>
      <c r="K1797" t="s">
        <v>598</v>
      </c>
      <c r="L1797" t="s">
        <v>36</v>
      </c>
      <c r="M1797">
        <v>67</v>
      </c>
      <c r="N1797" t="s">
        <v>70</v>
      </c>
      <c r="O1797">
        <v>50</v>
      </c>
      <c r="P1797">
        <v>1</v>
      </c>
      <c r="Q1797">
        <v>1025.99</v>
      </c>
      <c r="R1797" s="4">
        <v>45600</v>
      </c>
      <c r="S1797" s="6">
        <v>0.33984953703703702</v>
      </c>
      <c r="T1797">
        <f t="shared" si="114"/>
        <v>17</v>
      </c>
      <c r="U1797" t="str" cm="1">
        <f t="array" ref="U1797">_xlfn.IFS(M1797&lt;=34,"YOUNG",M1797&lt;=54,"MIDDLE AGE",M1797&gt;=55,"OLD")</f>
        <v>OLD</v>
      </c>
      <c r="V1797" t="str">
        <f t="shared" si="115"/>
        <v>NORMAL</v>
      </c>
    </row>
    <row r="1798" spans="1:22" x14ac:dyDescent="0.35">
      <c r="A1798" t="s">
        <v>3653</v>
      </c>
      <c r="B1798" t="s">
        <v>3654</v>
      </c>
      <c r="C1798">
        <v>1135.8</v>
      </c>
      <c r="D1798" s="1">
        <v>45175.668923611112</v>
      </c>
      <c r="E1798" s="2">
        <f t="shared" si="112"/>
        <v>0.66892361111240461</v>
      </c>
      <c r="F1798" s="3">
        <f t="shared" si="113"/>
        <v>45175</v>
      </c>
      <c r="G1798" t="s">
        <v>17</v>
      </c>
      <c r="H1798" t="s">
        <v>18</v>
      </c>
      <c r="I1798" t="s">
        <v>966</v>
      </c>
      <c r="J1798" t="s">
        <v>449</v>
      </c>
      <c r="K1798" t="s">
        <v>432</v>
      </c>
      <c r="L1798" t="s">
        <v>22</v>
      </c>
      <c r="M1798">
        <v>30</v>
      </c>
      <c r="N1798" t="s">
        <v>23</v>
      </c>
      <c r="O1798">
        <v>250</v>
      </c>
      <c r="P1798">
        <v>1</v>
      </c>
      <c r="Q1798">
        <v>13534.3</v>
      </c>
      <c r="R1798" s="4">
        <v>45600</v>
      </c>
      <c r="S1798" s="6">
        <v>0.33835648148148151</v>
      </c>
      <c r="T1798">
        <f t="shared" si="114"/>
        <v>16</v>
      </c>
      <c r="U1798" t="str" cm="1">
        <f t="array" ref="U1798">_xlfn.IFS(M1798&lt;=34,"YOUNG",M1798&lt;=54,"MIDDLE AGE",M1798&gt;=55,"OLD")</f>
        <v>YOUNG</v>
      </c>
      <c r="V1798" t="str">
        <f t="shared" si="115"/>
        <v>NORMAL</v>
      </c>
    </row>
    <row r="1799" spans="1:22" x14ac:dyDescent="0.35">
      <c r="A1799" t="s">
        <v>3655</v>
      </c>
      <c r="B1799" t="s">
        <v>124</v>
      </c>
      <c r="C1799">
        <v>297.60000000000002</v>
      </c>
      <c r="D1799" s="1">
        <v>45202.700567129628</v>
      </c>
      <c r="E1799" s="2">
        <f t="shared" si="112"/>
        <v>0.70056712962832535</v>
      </c>
      <c r="F1799" s="3">
        <f t="shared" si="113"/>
        <v>45202</v>
      </c>
      <c r="G1799" t="s">
        <v>17</v>
      </c>
      <c r="H1799" t="s">
        <v>178</v>
      </c>
      <c r="I1799" t="s">
        <v>2916</v>
      </c>
      <c r="J1799" t="s">
        <v>874</v>
      </c>
      <c r="K1799" t="s">
        <v>514</v>
      </c>
      <c r="L1799" t="s">
        <v>36</v>
      </c>
      <c r="M1799">
        <v>39</v>
      </c>
      <c r="N1799" t="s">
        <v>23</v>
      </c>
      <c r="O1799">
        <v>162</v>
      </c>
      <c r="P1799">
        <v>1</v>
      </c>
      <c r="Q1799">
        <v>1461.17</v>
      </c>
      <c r="R1799" s="4">
        <v>45600</v>
      </c>
      <c r="S1799" s="6">
        <v>0.34015046296296297</v>
      </c>
      <c r="T1799">
        <f t="shared" si="114"/>
        <v>16</v>
      </c>
      <c r="U1799" t="str" cm="1">
        <f t="array" ref="U1799">_xlfn.IFS(M1799&lt;=34,"YOUNG",M1799&lt;=54,"MIDDLE AGE",M1799&gt;=55,"OLD")</f>
        <v>MIDDLE AGE</v>
      </c>
      <c r="V1799" t="str">
        <f t="shared" si="115"/>
        <v>NORMAL</v>
      </c>
    </row>
    <row r="1800" spans="1:22" x14ac:dyDescent="0.35">
      <c r="A1800" t="s">
        <v>3656</v>
      </c>
      <c r="B1800" t="s">
        <v>1217</v>
      </c>
      <c r="C1800">
        <v>683.75</v>
      </c>
      <c r="D1800" s="1">
        <v>44977.789247685185</v>
      </c>
      <c r="E1800" s="2">
        <f t="shared" si="112"/>
        <v>0.78924768518481869</v>
      </c>
      <c r="F1800" s="3">
        <f t="shared" si="113"/>
        <v>44977</v>
      </c>
      <c r="G1800" t="s">
        <v>17</v>
      </c>
      <c r="H1800" t="s">
        <v>146</v>
      </c>
      <c r="I1800" t="s">
        <v>1297</v>
      </c>
      <c r="J1800" t="s">
        <v>2298</v>
      </c>
      <c r="K1800" t="s">
        <v>89</v>
      </c>
      <c r="L1800" t="s">
        <v>69</v>
      </c>
      <c r="M1800">
        <v>32</v>
      </c>
      <c r="N1800" t="s">
        <v>23</v>
      </c>
      <c r="O1800">
        <v>106</v>
      </c>
      <c r="P1800">
        <v>1</v>
      </c>
      <c r="Q1800">
        <v>6333.72</v>
      </c>
      <c r="R1800" s="4">
        <v>45600</v>
      </c>
      <c r="S1800" s="6">
        <v>0.33875</v>
      </c>
      <c r="T1800">
        <f t="shared" si="114"/>
        <v>18</v>
      </c>
      <c r="U1800" t="str" cm="1">
        <f t="array" ref="U1800">_xlfn.IFS(M1800&lt;=34,"YOUNG",M1800&lt;=54,"MIDDLE AGE",M1800&gt;=55,"OLD")</f>
        <v>YOUNG</v>
      </c>
      <c r="V1800" t="str">
        <f t="shared" si="115"/>
        <v>NORMAL</v>
      </c>
    </row>
    <row r="1801" spans="1:22" x14ac:dyDescent="0.35">
      <c r="A1801" t="s">
        <v>3657</v>
      </c>
      <c r="B1801" t="s">
        <v>2978</v>
      </c>
      <c r="C1801">
        <v>21.4</v>
      </c>
      <c r="D1801" s="1">
        <v>44970.676388888889</v>
      </c>
      <c r="E1801" s="2">
        <f t="shared" si="112"/>
        <v>0.67638888888905058</v>
      </c>
      <c r="F1801" s="3">
        <f t="shared" si="113"/>
        <v>44970</v>
      </c>
      <c r="G1801" t="s">
        <v>46</v>
      </c>
      <c r="H1801" t="s">
        <v>291</v>
      </c>
      <c r="I1801" t="s">
        <v>2571</v>
      </c>
      <c r="J1801" t="s">
        <v>2510</v>
      </c>
      <c r="K1801" t="s">
        <v>35</v>
      </c>
      <c r="L1801" t="s">
        <v>36</v>
      </c>
      <c r="M1801">
        <v>48</v>
      </c>
      <c r="N1801" t="s">
        <v>77</v>
      </c>
      <c r="O1801">
        <v>129</v>
      </c>
      <c r="P1801">
        <v>1</v>
      </c>
      <c r="Q1801">
        <v>8551.6</v>
      </c>
      <c r="R1801" s="4">
        <v>45600</v>
      </c>
      <c r="S1801" s="6">
        <v>0.34190972222222221</v>
      </c>
      <c r="T1801">
        <f t="shared" si="114"/>
        <v>16</v>
      </c>
      <c r="U1801" t="str" cm="1">
        <f t="array" ref="U1801">_xlfn.IFS(M1801&lt;=34,"YOUNG",M1801&lt;=54,"MIDDLE AGE",M1801&gt;=55,"OLD")</f>
        <v>MIDDLE AGE</v>
      </c>
      <c r="V1801" t="str">
        <f t="shared" si="115"/>
        <v>NORMAL</v>
      </c>
    </row>
    <row r="1802" spans="1:22" x14ac:dyDescent="0.35">
      <c r="A1802" t="s">
        <v>3658</v>
      </c>
      <c r="B1802" t="s">
        <v>2637</v>
      </c>
      <c r="C1802">
        <v>315.94</v>
      </c>
      <c r="D1802" s="1">
        <v>45198.766168981485</v>
      </c>
      <c r="E1802" s="2">
        <f t="shared" si="112"/>
        <v>0.76616898148495238</v>
      </c>
      <c r="F1802" s="3">
        <f t="shared" si="113"/>
        <v>45198</v>
      </c>
      <c r="G1802" t="s">
        <v>17</v>
      </c>
      <c r="H1802" t="s">
        <v>296</v>
      </c>
      <c r="I1802" t="s">
        <v>1971</v>
      </c>
      <c r="J1802" t="s">
        <v>1676</v>
      </c>
      <c r="K1802" t="s">
        <v>186</v>
      </c>
      <c r="L1802" t="s">
        <v>22</v>
      </c>
      <c r="M1802">
        <v>78</v>
      </c>
      <c r="N1802" t="s">
        <v>70</v>
      </c>
      <c r="O1802">
        <v>93</v>
      </c>
      <c r="P1802">
        <v>1</v>
      </c>
      <c r="Q1802">
        <v>4273.99</v>
      </c>
      <c r="R1802" s="4">
        <v>45600</v>
      </c>
      <c r="S1802" s="6">
        <v>0.33782407407407405</v>
      </c>
      <c r="T1802">
        <f t="shared" si="114"/>
        <v>18</v>
      </c>
      <c r="U1802" t="str" cm="1">
        <f t="array" ref="U1802">_xlfn.IFS(M1802&lt;=34,"YOUNG",M1802&lt;=54,"MIDDLE AGE",M1802&gt;=55,"OLD")</f>
        <v>OLD</v>
      </c>
      <c r="V1802" t="str">
        <f t="shared" si="115"/>
        <v>NORMAL</v>
      </c>
    </row>
    <row r="1803" spans="1:22" x14ac:dyDescent="0.35">
      <c r="A1803" t="s">
        <v>3659</v>
      </c>
      <c r="B1803" t="s">
        <v>505</v>
      </c>
      <c r="C1803">
        <v>331.32</v>
      </c>
      <c r="D1803" s="1">
        <v>45082.725335648145</v>
      </c>
      <c r="E1803" s="2">
        <f t="shared" si="112"/>
        <v>0.72533564814511919</v>
      </c>
      <c r="F1803" s="3">
        <f t="shared" si="113"/>
        <v>45082</v>
      </c>
      <c r="G1803" t="s">
        <v>17</v>
      </c>
      <c r="H1803" t="s">
        <v>285</v>
      </c>
      <c r="I1803" t="s">
        <v>2387</v>
      </c>
      <c r="J1803" t="s">
        <v>1215</v>
      </c>
      <c r="K1803" t="s">
        <v>303</v>
      </c>
      <c r="L1803" t="s">
        <v>69</v>
      </c>
      <c r="M1803">
        <v>61</v>
      </c>
      <c r="N1803" t="s">
        <v>23</v>
      </c>
      <c r="O1803">
        <v>137</v>
      </c>
      <c r="P1803">
        <v>5</v>
      </c>
      <c r="Q1803">
        <v>13054.54</v>
      </c>
      <c r="R1803" s="4">
        <v>45600</v>
      </c>
      <c r="S1803" s="6">
        <v>0.33859953703703705</v>
      </c>
      <c r="T1803">
        <f t="shared" si="114"/>
        <v>17</v>
      </c>
      <c r="U1803" t="str" cm="1">
        <f t="array" ref="U1803">_xlfn.IFS(M1803&lt;=34,"YOUNG",M1803&lt;=54,"MIDDLE AGE",M1803&gt;=55,"OLD")</f>
        <v>OLD</v>
      </c>
      <c r="V1803" t="str">
        <f t="shared" si="115"/>
        <v>HIGH</v>
      </c>
    </row>
    <row r="1804" spans="1:22" x14ac:dyDescent="0.35">
      <c r="A1804" t="s">
        <v>3660</v>
      </c>
      <c r="B1804" t="s">
        <v>264</v>
      </c>
      <c r="C1804">
        <v>223.76</v>
      </c>
      <c r="D1804" s="1">
        <v>45149.668437499997</v>
      </c>
      <c r="E1804" s="2">
        <f t="shared" si="112"/>
        <v>0.66843749999679858</v>
      </c>
      <c r="F1804" s="3">
        <f t="shared" si="113"/>
        <v>45149</v>
      </c>
      <c r="G1804" t="s">
        <v>46</v>
      </c>
      <c r="H1804" t="s">
        <v>388</v>
      </c>
      <c r="I1804" t="s">
        <v>1815</v>
      </c>
      <c r="J1804" t="s">
        <v>2864</v>
      </c>
      <c r="K1804" t="s">
        <v>759</v>
      </c>
      <c r="L1804" t="s">
        <v>69</v>
      </c>
      <c r="M1804">
        <v>74</v>
      </c>
      <c r="N1804" t="s">
        <v>70</v>
      </c>
      <c r="O1804">
        <v>110</v>
      </c>
      <c r="P1804">
        <v>1</v>
      </c>
      <c r="Q1804">
        <v>4102.2299999999996</v>
      </c>
      <c r="R1804" s="4">
        <v>45600</v>
      </c>
      <c r="S1804" s="6">
        <v>0.3409375</v>
      </c>
      <c r="T1804">
        <f t="shared" si="114"/>
        <v>16</v>
      </c>
      <c r="U1804" t="str" cm="1">
        <f t="array" ref="U1804">_xlfn.IFS(M1804&lt;=34,"YOUNG",M1804&lt;=54,"MIDDLE AGE",M1804&gt;=55,"OLD")</f>
        <v>OLD</v>
      </c>
      <c r="V1804" t="str">
        <f t="shared" si="115"/>
        <v>NORMAL</v>
      </c>
    </row>
    <row r="1805" spans="1:22" x14ac:dyDescent="0.35">
      <c r="A1805" t="s">
        <v>3661</v>
      </c>
      <c r="B1805" t="s">
        <v>2467</v>
      </c>
      <c r="C1805">
        <v>216.03</v>
      </c>
      <c r="D1805" s="1">
        <v>45226.769502314812</v>
      </c>
      <c r="E1805" s="2">
        <f t="shared" si="112"/>
        <v>0.76950231481168885</v>
      </c>
      <c r="F1805" s="3">
        <f t="shared" si="113"/>
        <v>45226</v>
      </c>
      <c r="G1805" t="s">
        <v>17</v>
      </c>
      <c r="H1805" t="s">
        <v>388</v>
      </c>
      <c r="I1805" t="s">
        <v>1543</v>
      </c>
      <c r="J1805" t="s">
        <v>1540</v>
      </c>
      <c r="K1805" t="s">
        <v>564</v>
      </c>
      <c r="L1805" t="s">
        <v>22</v>
      </c>
      <c r="M1805">
        <v>42</v>
      </c>
      <c r="N1805" t="s">
        <v>23</v>
      </c>
      <c r="O1805">
        <v>300</v>
      </c>
      <c r="P1805">
        <v>1</v>
      </c>
      <c r="Q1805">
        <v>10462.77</v>
      </c>
      <c r="R1805" s="4">
        <v>45600</v>
      </c>
      <c r="S1805" s="6">
        <v>0.34009259259259261</v>
      </c>
      <c r="T1805">
        <f t="shared" si="114"/>
        <v>18</v>
      </c>
      <c r="U1805" t="str" cm="1">
        <f t="array" ref="U1805">_xlfn.IFS(M1805&lt;=34,"YOUNG",M1805&lt;=54,"MIDDLE AGE",M1805&gt;=55,"OLD")</f>
        <v>MIDDLE AGE</v>
      </c>
      <c r="V1805" t="str">
        <f t="shared" si="115"/>
        <v>NORMAL</v>
      </c>
    </row>
    <row r="1806" spans="1:22" x14ac:dyDescent="0.35">
      <c r="A1806" t="s">
        <v>3662</v>
      </c>
      <c r="B1806" t="s">
        <v>1488</v>
      </c>
      <c r="C1806">
        <v>17.420000000000002</v>
      </c>
      <c r="D1806" s="1">
        <v>45238.725624999999</v>
      </c>
      <c r="E1806" s="2">
        <f t="shared" si="112"/>
        <v>0.72562499999912689</v>
      </c>
      <c r="F1806" s="3">
        <f t="shared" si="113"/>
        <v>45238</v>
      </c>
      <c r="G1806" t="s">
        <v>17</v>
      </c>
      <c r="H1806" t="s">
        <v>323</v>
      </c>
      <c r="I1806" t="s">
        <v>346</v>
      </c>
      <c r="J1806" t="s">
        <v>983</v>
      </c>
      <c r="K1806" t="s">
        <v>598</v>
      </c>
      <c r="L1806" t="s">
        <v>22</v>
      </c>
      <c r="M1806">
        <v>74</v>
      </c>
      <c r="N1806" t="s">
        <v>70</v>
      </c>
      <c r="O1806">
        <v>150</v>
      </c>
      <c r="P1806">
        <v>1</v>
      </c>
      <c r="Q1806">
        <v>6851.31</v>
      </c>
      <c r="R1806" s="4">
        <v>45600</v>
      </c>
      <c r="S1806" s="6">
        <v>0.34182870370370372</v>
      </c>
      <c r="T1806">
        <f t="shared" si="114"/>
        <v>17</v>
      </c>
      <c r="U1806" t="str" cm="1">
        <f t="array" ref="U1806">_xlfn.IFS(M1806&lt;=34,"YOUNG",M1806&lt;=54,"MIDDLE AGE",M1806&gt;=55,"OLD")</f>
        <v>OLD</v>
      </c>
      <c r="V1806" t="str">
        <f t="shared" si="115"/>
        <v>NORMAL</v>
      </c>
    </row>
    <row r="1807" spans="1:22" x14ac:dyDescent="0.35">
      <c r="A1807" t="s">
        <v>3663</v>
      </c>
      <c r="B1807" t="s">
        <v>1955</v>
      </c>
      <c r="C1807">
        <v>491.91</v>
      </c>
      <c r="D1807" s="1">
        <v>44935.718958333331</v>
      </c>
      <c r="E1807" s="2">
        <f t="shared" si="112"/>
        <v>0.71895833333110204</v>
      </c>
      <c r="F1807" s="3">
        <f t="shared" si="113"/>
        <v>44935</v>
      </c>
      <c r="G1807" t="s">
        <v>17</v>
      </c>
      <c r="H1807" t="s">
        <v>178</v>
      </c>
      <c r="I1807" t="s">
        <v>590</v>
      </c>
      <c r="J1807" t="s">
        <v>870</v>
      </c>
      <c r="K1807" t="s">
        <v>308</v>
      </c>
      <c r="L1807" t="s">
        <v>36</v>
      </c>
      <c r="M1807">
        <v>78</v>
      </c>
      <c r="N1807" t="s">
        <v>70</v>
      </c>
      <c r="O1807">
        <v>155</v>
      </c>
      <c r="P1807">
        <v>1</v>
      </c>
      <c r="Q1807">
        <v>2421.94</v>
      </c>
      <c r="R1807" s="4">
        <v>45600</v>
      </c>
      <c r="S1807" s="6">
        <v>0.33968749999999998</v>
      </c>
      <c r="T1807">
        <f t="shared" si="114"/>
        <v>17</v>
      </c>
      <c r="U1807" t="str" cm="1">
        <f t="array" ref="U1807">_xlfn.IFS(M1807&lt;=34,"YOUNG",M1807&lt;=54,"MIDDLE AGE",M1807&gt;=55,"OLD")</f>
        <v>OLD</v>
      </c>
      <c r="V1807" t="str">
        <f t="shared" si="115"/>
        <v>NORMAL</v>
      </c>
    </row>
    <row r="1808" spans="1:22" x14ac:dyDescent="0.35">
      <c r="A1808" t="s">
        <v>3664</v>
      </c>
      <c r="B1808" t="s">
        <v>2710</v>
      </c>
      <c r="C1808">
        <v>350.11</v>
      </c>
      <c r="D1808" s="1">
        <v>44998.715671296297</v>
      </c>
      <c r="E1808" s="2">
        <f t="shared" si="112"/>
        <v>0.71567129629693227</v>
      </c>
      <c r="F1808" s="3">
        <f t="shared" si="113"/>
        <v>44998</v>
      </c>
      <c r="G1808" t="s">
        <v>46</v>
      </c>
      <c r="H1808" t="s">
        <v>40</v>
      </c>
      <c r="I1808" t="s">
        <v>3665</v>
      </c>
      <c r="J1808" t="s">
        <v>1170</v>
      </c>
      <c r="K1808" t="s">
        <v>1345</v>
      </c>
      <c r="L1808" t="s">
        <v>36</v>
      </c>
      <c r="M1808">
        <v>74</v>
      </c>
      <c r="N1808" t="s">
        <v>70</v>
      </c>
      <c r="O1808">
        <v>178</v>
      </c>
      <c r="P1808">
        <v>1</v>
      </c>
      <c r="Q1808">
        <v>4639.04</v>
      </c>
      <c r="R1808" s="4">
        <v>45600</v>
      </c>
      <c r="S1808" s="6">
        <v>0.33902777777777776</v>
      </c>
      <c r="T1808">
        <f t="shared" si="114"/>
        <v>17</v>
      </c>
      <c r="U1808" t="str" cm="1">
        <f t="array" ref="U1808">_xlfn.IFS(M1808&lt;=34,"YOUNG",M1808&lt;=54,"MIDDLE AGE",M1808&gt;=55,"OLD")</f>
        <v>OLD</v>
      </c>
      <c r="V1808" t="str">
        <f t="shared" si="115"/>
        <v>NORMAL</v>
      </c>
    </row>
    <row r="1809" spans="1:22" x14ac:dyDescent="0.35">
      <c r="A1809" t="s">
        <v>3666</v>
      </c>
      <c r="B1809" t="s">
        <v>1289</v>
      </c>
      <c r="C1809">
        <v>218.07</v>
      </c>
      <c r="D1809" s="1">
        <v>45236.779780092591</v>
      </c>
      <c r="E1809" s="2">
        <f t="shared" si="112"/>
        <v>0.77978009259095415</v>
      </c>
      <c r="F1809" s="3">
        <f t="shared" si="113"/>
        <v>45236</v>
      </c>
      <c r="G1809" t="s">
        <v>17</v>
      </c>
      <c r="H1809" t="s">
        <v>119</v>
      </c>
      <c r="I1809" t="s">
        <v>1727</v>
      </c>
      <c r="J1809" t="s">
        <v>347</v>
      </c>
      <c r="K1809" t="s">
        <v>652</v>
      </c>
      <c r="L1809" t="s">
        <v>69</v>
      </c>
      <c r="M1809">
        <v>23</v>
      </c>
      <c r="N1809" t="s">
        <v>37</v>
      </c>
      <c r="O1809">
        <v>243</v>
      </c>
      <c r="P1809">
        <v>1</v>
      </c>
      <c r="Q1809">
        <v>443.62</v>
      </c>
      <c r="R1809" s="4">
        <v>45600</v>
      </c>
      <c r="S1809" s="6">
        <v>0.33785879629629628</v>
      </c>
      <c r="T1809">
        <f t="shared" si="114"/>
        <v>18</v>
      </c>
      <c r="U1809" t="str" cm="1">
        <f t="array" ref="U1809">_xlfn.IFS(M1809&lt;=34,"YOUNG",M1809&lt;=54,"MIDDLE AGE",M1809&gt;=55,"OLD")</f>
        <v>YOUNG</v>
      </c>
      <c r="V1809" t="str">
        <f t="shared" si="115"/>
        <v>NORMAL</v>
      </c>
    </row>
    <row r="1810" spans="1:22" x14ac:dyDescent="0.35">
      <c r="A1810" t="s">
        <v>3667</v>
      </c>
      <c r="B1810" t="s">
        <v>889</v>
      </c>
      <c r="C1810">
        <v>291.08999999999997</v>
      </c>
      <c r="D1810" s="1">
        <v>45250.787349537037</v>
      </c>
      <c r="E1810" s="2">
        <f t="shared" si="112"/>
        <v>0.78734953703678912</v>
      </c>
      <c r="F1810" s="3">
        <f t="shared" si="113"/>
        <v>45250</v>
      </c>
      <c r="G1810" t="s">
        <v>17</v>
      </c>
      <c r="H1810" t="s">
        <v>506</v>
      </c>
      <c r="I1810" t="s">
        <v>1279</v>
      </c>
      <c r="J1810" t="s">
        <v>2206</v>
      </c>
      <c r="K1810" t="s">
        <v>62</v>
      </c>
      <c r="L1810" t="s">
        <v>69</v>
      </c>
      <c r="M1810">
        <v>48</v>
      </c>
      <c r="N1810" t="s">
        <v>77</v>
      </c>
      <c r="O1810">
        <v>73</v>
      </c>
      <c r="P1810">
        <v>1</v>
      </c>
      <c r="Q1810">
        <v>6312.79</v>
      </c>
      <c r="R1810" s="4">
        <v>45600</v>
      </c>
      <c r="S1810" s="6">
        <v>0.33937499999999998</v>
      </c>
      <c r="T1810">
        <f t="shared" si="114"/>
        <v>18</v>
      </c>
      <c r="U1810" t="str" cm="1">
        <f t="array" ref="U1810">_xlfn.IFS(M1810&lt;=34,"YOUNG",M1810&lt;=54,"MIDDLE AGE",M1810&gt;=55,"OLD")</f>
        <v>MIDDLE AGE</v>
      </c>
      <c r="V1810" t="str">
        <f t="shared" si="115"/>
        <v>NORMAL</v>
      </c>
    </row>
    <row r="1811" spans="1:22" x14ac:dyDescent="0.35">
      <c r="A1811" t="s">
        <v>3668</v>
      </c>
      <c r="B1811" t="s">
        <v>1096</v>
      </c>
      <c r="C1811">
        <v>422.14</v>
      </c>
      <c r="D1811" s="1">
        <v>45247.729930555557</v>
      </c>
      <c r="E1811" s="2">
        <f t="shared" si="112"/>
        <v>0.72993055555707542</v>
      </c>
      <c r="F1811" s="3">
        <f t="shared" si="113"/>
        <v>45247</v>
      </c>
      <c r="G1811" t="s">
        <v>46</v>
      </c>
      <c r="H1811" t="s">
        <v>86</v>
      </c>
      <c r="I1811" t="s">
        <v>54</v>
      </c>
      <c r="J1811" t="s">
        <v>1277</v>
      </c>
      <c r="K1811" t="s">
        <v>1562</v>
      </c>
      <c r="L1811" t="s">
        <v>69</v>
      </c>
      <c r="M1811">
        <v>26</v>
      </c>
      <c r="N1811" t="s">
        <v>37</v>
      </c>
      <c r="O1811">
        <v>109</v>
      </c>
      <c r="P1811">
        <v>1</v>
      </c>
      <c r="Q1811">
        <v>1436.32</v>
      </c>
      <c r="R1811" s="4">
        <v>45600</v>
      </c>
      <c r="S1811" s="6">
        <v>0.33847222222222223</v>
      </c>
      <c r="T1811">
        <f t="shared" si="114"/>
        <v>17</v>
      </c>
      <c r="U1811" t="str" cm="1">
        <f t="array" ref="U1811">_xlfn.IFS(M1811&lt;=34,"YOUNG",M1811&lt;=54,"MIDDLE AGE",M1811&gt;=55,"OLD")</f>
        <v>YOUNG</v>
      </c>
      <c r="V1811" t="str">
        <f t="shared" si="115"/>
        <v>NORMAL</v>
      </c>
    </row>
    <row r="1812" spans="1:22" x14ac:dyDescent="0.35">
      <c r="A1812" t="s">
        <v>3669</v>
      </c>
      <c r="B1812" t="s">
        <v>1760</v>
      </c>
      <c r="C1812">
        <v>613.21</v>
      </c>
      <c r="D1812" s="1">
        <v>45000.739942129629</v>
      </c>
      <c r="E1812" s="2">
        <f t="shared" si="112"/>
        <v>0.73994212962861639</v>
      </c>
      <c r="F1812" s="3">
        <f t="shared" si="113"/>
        <v>45000</v>
      </c>
      <c r="G1812" t="s">
        <v>17</v>
      </c>
      <c r="H1812" t="s">
        <v>255</v>
      </c>
      <c r="I1812" t="s">
        <v>2617</v>
      </c>
      <c r="J1812" t="s">
        <v>2287</v>
      </c>
      <c r="K1812" t="s">
        <v>634</v>
      </c>
      <c r="L1812" t="s">
        <v>22</v>
      </c>
      <c r="M1812">
        <v>61</v>
      </c>
      <c r="N1812" t="s">
        <v>70</v>
      </c>
      <c r="O1812">
        <v>157</v>
      </c>
      <c r="P1812">
        <v>1</v>
      </c>
      <c r="Q1812">
        <v>3279.12</v>
      </c>
      <c r="R1812" s="4">
        <v>45600</v>
      </c>
      <c r="S1812" s="6">
        <v>0.34053240740740742</v>
      </c>
      <c r="T1812">
        <f t="shared" si="114"/>
        <v>17</v>
      </c>
      <c r="U1812" t="str" cm="1">
        <f t="array" ref="U1812">_xlfn.IFS(M1812&lt;=34,"YOUNG",M1812&lt;=54,"MIDDLE AGE",M1812&gt;=55,"OLD")</f>
        <v>OLD</v>
      </c>
      <c r="V1812" t="str">
        <f t="shared" si="115"/>
        <v>NORMAL</v>
      </c>
    </row>
    <row r="1813" spans="1:22" x14ac:dyDescent="0.35">
      <c r="A1813" t="s">
        <v>3670</v>
      </c>
      <c r="B1813" t="s">
        <v>946</v>
      </c>
      <c r="C1813">
        <v>73.83</v>
      </c>
      <c r="D1813" s="1">
        <v>44931.770243055558</v>
      </c>
      <c r="E1813" s="2">
        <f t="shared" si="112"/>
        <v>0.77024305555823958</v>
      </c>
      <c r="F1813" s="3">
        <f t="shared" si="113"/>
        <v>44931</v>
      </c>
      <c r="G1813" t="s">
        <v>17</v>
      </c>
      <c r="H1813" t="s">
        <v>146</v>
      </c>
      <c r="I1813" t="s">
        <v>1774</v>
      </c>
      <c r="J1813" t="s">
        <v>2186</v>
      </c>
      <c r="K1813" t="s">
        <v>348</v>
      </c>
      <c r="L1813" t="s">
        <v>36</v>
      </c>
      <c r="M1813">
        <v>69</v>
      </c>
      <c r="N1813" t="s">
        <v>23</v>
      </c>
      <c r="O1813">
        <v>69</v>
      </c>
      <c r="P1813">
        <v>1</v>
      </c>
      <c r="Q1813">
        <v>6020.29</v>
      </c>
      <c r="R1813" s="4">
        <v>45600</v>
      </c>
      <c r="S1813" s="6">
        <v>0.33807870370370369</v>
      </c>
      <c r="T1813">
        <f t="shared" si="114"/>
        <v>18</v>
      </c>
      <c r="U1813" t="str" cm="1">
        <f t="array" ref="U1813">_xlfn.IFS(M1813&lt;=34,"YOUNG",M1813&lt;=54,"MIDDLE AGE",M1813&gt;=55,"OLD")</f>
        <v>OLD</v>
      </c>
      <c r="V1813" t="str">
        <f t="shared" si="115"/>
        <v>NORMAL</v>
      </c>
    </row>
    <row r="1814" spans="1:22" x14ac:dyDescent="0.35">
      <c r="A1814" t="s">
        <v>3671</v>
      </c>
      <c r="B1814" t="s">
        <v>1631</v>
      </c>
      <c r="C1814">
        <v>67.33</v>
      </c>
      <c r="D1814" s="1">
        <v>45029.761018518519</v>
      </c>
      <c r="E1814" s="2">
        <f t="shared" si="112"/>
        <v>0.76101851851854008</v>
      </c>
      <c r="F1814" s="3">
        <f t="shared" si="113"/>
        <v>45029</v>
      </c>
      <c r="G1814" t="s">
        <v>17</v>
      </c>
      <c r="H1814" t="s">
        <v>73</v>
      </c>
      <c r="I1814" t="s">
        <v>840</v>
      </c>
      <c r="J1814" t="s">
        <v>153</v>
      </c>
      <c r="K1814" t="s">
        <v>89</v>
      </c>
      <c r="L1814" t="s">
        <v>36</v>
      </c>
      <c r="M1814">
        <v>59</v>
      </c>
      <c r="N1814" t="s">
        <v>77</v>
      </c>
      <c r="O1814">
        <v>36</v>
      </c>
      <c r="P1814">
        <v>1</v>
      </c>
      <c r="Q1814">
        <v>5925.98</v>
      </c>
      <c r="R1814" s="4">
        <v>45600</v>
      </c>
      <c r="S1814" s="6">
        <v>0.33832175925925928</v>
      </c>
      <c r="T1814">
        <f t="shared" si="114"/>
        <v>18</v>
      </c>
      <c r="U1814" t="str" cm="1">
        <f t="array" ref="U1814">_xlfn.IFS(M1814&lt;=34,"YOUNG",M1814&lt;=54,"MIDDLE AGE",M1814&gt;=55,"OLD")</f>
        <v>OLD</v>
      </c>
      <c r="V1814" t="str">
        <f t="shared" si="115"/>
        <v>NORMAL</v>
      </c>
    </row>
    <row r="1815" spans="1:22" x14ac:dyDescent="0.35">
      <c r="A1815" t="s">
        <v>3672</v>
      </c>
      <c r="B1815" t="s">
        <v>795</v>
      </c>
      <c r="C1815">
        <v>26.92</v>
      </c>
      <c r="D1815" s="1">
        <v>45064.760439814818</v>
      </c>
      <c r="E1815" s="2">
        <f t="shared" si="112"/>
        <v>0.76043981481780065</v>
      </c>
      <c r="F1815" s="3">
        <f t="shared" si="113"/>
        <v>45064</v>
      </c>
      <c r="G1815" t="s">
        <v>17</v>
      </c>
      <c r="H1815" t="s">
        <v>65</v>
      </c>
      <c r="I1815" t="s">
        <v>614</v>
      </c>
      <c r="J1815" t="s">
        <v>234</v>
      </c>
      <c r="K1815" t="s">
        <v>200</v>
      </c>
      <c r="L1815" t="s">
        <v>22</v>
      </c>
      <c r="M1815">
        <v>62</v>
      </c>
      <c r="N1815" t="s">
        <v>70</v>
      </c>
      <c r="O1815">
        <v>43</v>
      </c>
      <c r="P1815">
        <v>1</v>
      </c>
      <c r="Q1815">
        <v>1674.94</v>
      </c>
      <c r="R1815" s="4">
        <v>45600</v>
      </c>
      <c r="S1815" s="6">
        <v>0.33837962962962964</v>
      </c>
      <c r="T1815">
        <f t="shared" si="114"/>
        <v>18</v>
      </c>
      <c r="U1815" t="str" cm="1">
        <f t="array" ref="U1815">_xlfn.IFS(M1815&lt;=34,"YOUNG",M1815&lt;=54,"MIDDLE AGE",M1815&gt;=55,"OLD")</f>
        <v>OLD</v>
      </c>
      <c r="V1815" t="str">
        <f t="shared" si="115"/>
        <v>NORMAL</v>
      </c>
    </row>
    <row r="1816" spans="1:22" x14ac:dyDescent="0.35">
      <c r="A1816" t="s">
        <v>3673</v>
      </c>
      <c r="B1816" t="s">
        <v>529</v>
      </c>
      <c r="C1816">
        <v>18.3</v>
      </c>
      <c r="D1816" s="1">
        <v>44970.68178240741</v>
      </c>
      <c r="E1816" s="2">
        <f t="shared" si="112"/>
        <v>0.68178240740962792</v>
      </c>
      <c r="F1816" s="3">
        <f t="shared" si="113"/>
        <v>44970</v>
      </c>
      <c r="G1816" t="s">
        <v>17</v>
      </c>
      <c r="H1816" t="s">
        <v>32</v>
      </c>
      <c r="I1816" t="s">
        <v>943</v>
      </c>
      <c r="J1816" t="s">
        <v>1042</v>
      </c>
      <c r="K1816" t="s">
        <v>1349</v>
      </c>
      <c r="L1816" t="s">
        <v>36</v>
      </c>
      <c r="M1816">
        <v>48</v>
      </c>
      <c r="N1816" t="s">
        <v>77</v>
      </c>
      <c r="O1816">
        <v>155</v>
      </c>
      <c r="P1816">
        <v>1</v>
      </c>
      <c r="Q1816">
        <v>3733.52</v>
      </c>
      <c r="R1816" s="4">
        <v>45600</v>
      </c>
      <c r="S1816" s="6">
        <v>0.33892361111111113</v>
      </c>
      <c r="T1816">
        <f t="shared" si="114"/>
        <v>16</v>
      </c>
      <c r="U1816" t="str" cm="1">
        <f t="array" ref="U1816">_xlfn.IFS(M1816&lt;=34,"YOUNG",M1816&lt;=54,"MIDDLE AGE",M1816&gt;=55,"OLD")</f>
        <v>MIDDLE AGE</v>
      </c>
      <c r="V1816" t="str">
        <f t="shared" si="115"/>
        <v>NORMAL</v>
      </c>
    </row>
    <row r="1817" spans="1:22" x14ac:dyDescent="0.35">
      <c r="A1817" t="s">
        <v>3674</v>
      </c>
      <c r="B1817" t="s">
        <v>2539</v>
      </c>
      <c r="C1817">
        <v>317.94</v>
      </c>
      <c r="D1817" s="1">
        <v>44951.740740740737</v>
      </c>
      <c r="E1817" s="2">
        <f t="shared" si="112"/>
        <v>0.7407407407372375</v>
      </c>
      <c r="F1817" s="3">
        <f t="shared" si="113"/>
        <v>44951</v>
      </c>
      <c r="G1817" t="s">
        <v>17</v>
      </c>
      <c r="H1817" t="s">
        <v>140</v>
      </c>
      <c r="I1817" t="s">
        <v>2806</v>
      </c>
      <c r="J1817" t="s">
        <v>1626</v>
      </c>
      <c r="K1817" t="s">
        <v>50</v>
      </c>
      <c r="L1817" t="s">
        <v>22</v>
      </c>
      <c r="M1817">
        <v>54</v>
      </c>
      <c r="N1817" t="s">
        <v>77</v>
      </c>
      <c r="O1817">
        <v>124</v>
      </c>
      <c r="P1817">
        <v>1</v>
      </c>
      <c r="Q1817">
        <v>2996.51</v>
      </c>
      <c r="R1817" s="4">
        <v>45600</v>
      </c>
      <c r="S1817" s="6">
        <v>0.34144675925925927</v>
      </c>
      <c r="T1817">
        <f t="shared" si="114"/>
        <v>17</v>
      </c>
      <c r="U1817" t="str" cm="1">
        <f t="array" ref="U1817">_xlfn.IFS(M1817&lt;=34,"YOUNG",M1817&lt;=54,"MIDDLE AGE",M1817&gt;=55,"OLD")</f>
        <v>MIDDLE AGE</v>
      </c>
      <c r="V1817" t="str">
        <f t="shared" si="115"/>
        <v>NORMAL</v>
      </c>
    </row>
    <row r="1818" spans="1:22" x14ac:dyDescent="0.35">
      <c r="A1818" t="s">
        <v>3675</v>
      </c>
      <c r="B1818" t="s">
        <v>1398</v>
      </c>
      <c r="C1818">
        <v>179.38</v>
      </c>
      <c r="D1818" s="1">
        <v>44998.720104166663</v>
      </c>
      <c r="E1818" s="2">
        <f t="shared" si="112"/>
        <v>0.72010416666307719</v>
      </c>
      <c r="F1818" s="3">
        <f t="shared" si="113"/>
        <v>44998</v>
      </c>
      <c r="G1818" t="s">
        <v>17</v>
      </c>
      <c r="H1818" t="s">
        <v>32</v>
      </c>
      <c r="I1818" t="s">
        <v>1731</v>
      </c>
      <c r="J1818" t="s">
        <v>2820</v>
      </c>
      <c r="K1818" t="s">
        <v>165</v>
      </c>
      <c r="L1818" t="s">
        <v>36</v>
      </c>
      <c r="M1818">
        <v>40</v>
      </c>
      <c r="N1818" t="s">
        <v>23</v>
      </c>
      <c r="O1818">
        <v>173</v>
      </c>
      <c r="P1818">
        <v>1</v>
      </c>
      <c r="Q1818">
        <v>11666.18</v>
      </c>
      <c r="R1818" s="4">
        <v>45600</v>
      </c>
      <c r="S1818" s="6">
        <v>0.34062500000000001</v>
      </c>
      <c r="T1818">
        <f t="shared" si="114"/>
        <v>17</v>
      </c>
      <c r="U1818" t="str" cm="1">
        <f t="array" ref="U1818">_xlfn.IFS(M1818&lt;=34,"YOUNG",M1818&lt;=54,"MIDDLE AGE",M1818&gt;=55,"OLD")</f>
        <v>MIDDLE AGE</v>
      </c>
      <c r="V1818" t="str">
        <f t="shared" si="115"/>
        <v>NORMAL</v>
      </c>
    </row>
    <row r="1819" spans="1:22" x14ac:dyDescent="0.35">
      <c r="A1819" t="s">
        <v>3676</v>
      </c>
      <c r="B1819" t="s">
        <v>2464</v>
      </c>
      <c r="C1819">
        <v>918.95</v>
      </c>
      <c r="D1819" s="1">
        <v>45047.69699074074</v>
      </c>
      <c r="E1819" s="2">
        <f t="shared" si="112"/>
        <v>0.69699074074014788</v>
      </c>
      <c r="F1819" s="3">
        <f t="shared" si="113"/>
        <v>45047</v>
      </c>
      <c r="G1819" t="s">
        <v>17</v>
      </c>
      <c r="H1819" t="s">
        <v>59</v>
      </c>
      <c r="I1819" t="s">
        <v>1041</v>
      </c>
      <c r="J1819" t="s">
        <v>2254</v>
      </c>
      <c r="K1819" t="s">
        <v>607</v>
      </c>
      <c r="L1819" t="s">
        <v>36</v>
      </c>
      <c r="M1819">
        <v>68</v>
      </c>
      <c r="N1819" t="s">
        <v>23</v>
      </c>
      <c r="O1819">
        <v>139</v>
      </c>
      <c r="P1819">
        <v>1</v>
      </c>
      <c r="Q1819">
        <v>7006.46</v>
      </c>
      <c r="R1819" s="4">
        <v>45600</v>
      </c>
      <c r="S1819" s="6">
        <v>0.33870370370370373</v>
      </c>
      <c r="T1819">
        <f t="shared" si="114"/>
        <v>16</v>
      </c>
      <c r="U1819" t="str" cm="1">
        <f t="array" ref="U1819">_xlfn.IFS(M1819&lt;=34,"YOUNG",M1819&lt;=54,"MIDDLE AGE",M1819&gt;=55,"OLD")</f>
        <v>OLD</v>
      </c>
      <c r="V1819" t="str">
        <f t="shared" si="115"/>
        <v>NORMAL</v>
      </c>
    </row>
    <row r="1820" spans="1:22" x14ac:dyDescent="0.35">
      <c r="A1820" t="s">
        <v>3677</v>
      </c>
      <c r="B1820" t="s">
        <v>2420</v>
      </c>
      <c r="C1820">
        <v>13.92</v>
      </c>
      <c r="D1820" s="1">
        <v>45075.729328703703</v>
      </c>
      <c r="E1820" s="2">
        <f t="shared" si="112"/>
        <v>0.72932870370277669</v>
      </c>
      <c r="F1820" s="3">
        <f t="shared" si="113"/>
        <v>45075</v>
      </c>
      <c r="G1820" t="s">
        <v>17</v>
      </c>
      <c r="H1820" t="s">
        <v>140</v>
      </c>
      <c r="I1820" t="s">
        <v>654</v>
      </c>
      <c r="J1820" t="s">
        <v>67</v>
      </c>
      <c r="K1820" t="s">
        <v>1209</v>
      </c>
      <c r="L1820" t="s">
        <v>22</v>
      </c>
      <c r="M1820">
        <v>37</v>
      </c>
      <c r="N1820" t="s">
        <v>77</v>
      </c>
      <c r="O1820">
        <v>209</v>
      </c>
      <c r="P1820">
        <v>1</v>
      </c>
      <c r="Q1820">
        <v>2735.84</v>
      </c>
      <c r="R1820" s="4">
        <v>45600</v>
      </c>
      <c r="S1820" s="6">
        <v>0.34025462962962966</v>
      </c>
      <c r="T1820">
        <f t="shared" si="114"/>
        <v>17</v>
      </c>
      <c r="U1820" t="str" cm="1">
        <f t="array" ref="U1820">_xlfn.IFS(M1820&lt;=34,"YOUNG",M1820&lt;=54,"MIDDLE AGE",M1820&gt;=55,"OLD")</f>
        <v>MIDDLE AGE</v>
      </c>
      <c r="V1820" t="str">
        <f t="shared" si="115"/>
        <v>NORMAL</v>
      </c>
    </row>
    <row r="1821" spans="1:22" x14ac:dyDescent="0.35">
      <c r="A1821" t="s">
        <v>3678</v>
      </c>
      <c r="B1821" t="s">
        <v>935</v>
      </c>
      <c r="C1821">
        <v>365.43</v>
      </c>
      <c r="D1821" s="1">
        <v>45253.702152777776</v>
      </c>
      <c r="E1821" s="2">
        <f t="shared" si="112"/>
        <v>0.70215277777606389</v>
      </c>
      <c r="F1821" s="3">
        <f t="shared" si="113"/>
        <v>45253</v>
      </c>
      <c r="G1821" t="s">
        <v>17</v>
      </c>
      <c r="H1821" t="s">
        <v>595</v>
      </c>
      <c r="I1821" t="s">
        <v>1198</v>
      </c>
      <c r="J1821" t="s">
        <v>2416</v>
      </c>
      <c r="K1821" t="s">
        <v>240</v>
      </c>
      <c r="L1821" t="s">
        <v>22</v>
      </c>
      <c r="M1821">
        <v>25</v>
      </c>
      <c r="N1821" t="s">
        <v>37</v>
      </c>
      <c r="O1821">
        <v>176</v>
      </c>
      <c r="P1821">
        <v>1</v>
      </c>
      <c r="Q1821">
        <v>1073.51</v>
      </c>
      <c r="R1821" s="4">
        <v>45600</v>
      </c>
      <c r="S1821" s="6">
        <v>0.33986111111111111</v>
      </c>
      <c r="T1821">
        <f t="shared" si="114"/>
        <v>16</v>
      </c>
      <c r="U1821" t="str" cm="1">
        <f t="array" ref="U1821">_xlfn.IFS(M1821&lt;=34,"YOUNG",M1821&lt;=54,"MIDDLE AGE",M1821&gt;=55,"OLD")</f>
        <v>YOUNG</v>
      </c>
      <c r="V1821" t="str">
        <f t="shared" si="115"/>
        <v>NORMAL</v>
      </c>
    </row>
    <row r="1822" spans="1:22" x14ac:dyDescent="0.35">
      <c r="A1822" t="s">
        <v>3679</v>
      </c>
      <c r="B1822" t="s">
        <v>1394</v>
      </c>
      <c r="C1822">
        <v>263.58999999999997</v>
      </c>
      <c r="D1822" s="1">
        <v>44949.668796296297</v>
      </c>
      <c r="E1822" s="2">
        <f t="shared" si="112"/>
        <v>0.66879629629693227</v>
      </c>
      <c r="F1822" s="3">
        <f t="shared" si="113"/>
        <v>44949</v>
      </c>
      <c r="G1822" t="s">
        <v>17</v>
      </c>
      <c r="H1822" t="s">
        <v>323</v>
      </c>
      <c r="I1822" t="s">
        <v>3318</v>
      </c>
      <c r="J1822" t="s">
        <v>3098</v>
      </c>
      <c r="K1822" t="s">
        <v>29</v>
      </c>
      <c r="L1822" t="s">
        <v>69</v>
      </c>
      <c r="M1822">
        <v>71</v>
      </c>
      <c r="N1822" t="s">
        <v>70</v>
      </c>
      <c r="O1822">
        <v>16</v>
      </c>
      <c r="P1822">
        <v>1</v>
      </c>
      <c r="Q1822">
        <v>6996.35</v>
      </c>
      <c r="R1822" s="4">
        <v>45600</v>
      </c>
      <c r="S1822" s="6">
        <v>0.34166666666666667</v>
      </c>
      <c r="T1822">
        <f t="shared" si="114"/>
        <v>16</v>
      </c>
      <c r="U1822" t="str" cm="1">
        <f t="array" ref="U1822">_xlfn.IFS(M1822&lt;=34,"YOUNG",M1822&lt;=54,"MIDDLE AGE",M1822&gt;=55,"OLD")</f>
        <v>OLD</v>
      </c>
      <c r="V1822" t="str">
        <f t="shared" si="115"/>
        <v>NORMAL</v>
      </c>
    </row>
    <row r="1823" spans="1:22" x14ac:dyDescent="0.35">
      <c r="A1823" t="s">
        <v>3680</v>
      </c>
      <c r="B1823" t="s">
        <v>2149</v>
      </c>
      <c r="C1823">
        <v>54.8</v>
      </c>
      <c r="D1823" s="1">
        <v>45078.67765046296</v>
      </c>
      <c r="E1823" s="2">
        <f t="shared" si="112"/>
        <v>0.67765046295971842</v>
      </c>
      <c r="F1823" s="3">
        <f t="shared" si="113"/>
        <v>45078</v>
      </c>
      <c r="G1823" t="s">
        <v>17</v>
      </c>
      <c r="H1823" t="s">
        <v>86</v>
      </c>
      <c r="I1823" t="s">
        <v>2571</v>
      </c>
      <c r="J1823" t="s">
        <v>1751</v>
      </c>
      <c r="K1823" t="s">
        <v>482</v>
      </c>
      <c r="L1823" t="s">
        <v>69</v>
      </c>
      <c r="M1823">
        <v>34</v>
      </c>
      <c r="N1823" t="s">
        <v>77</v>
      </c>
      <c r="O1823">
        <v>140</v>
      </c>
      <c r="P1823">
        <v>1</v>
      </c>
      <c r="Q1823">
        <v>4943.49</v>
      </c>
      <c r="R1823" s="4">
        <v>45600</v>
      </c>
      <c r="S1823" s="6">
        <v>0.33954861111111112</v>
      </c>
      <c r="T1823">
        <f t="shared" si="114"/>
        <v>16</v>
      </c>
      <c r="U1823" t="str" cm="1">
        <f t="array" ref="U1823">_xlfn.IFS(M1823&lt;=34,"YOUNG",M1823&lt;=54,"MIDDLE AGE",M1823&gt;=55,"OLD")</f>
        <v>YOUNG</v>
      </c>
      <c r="V1823" t="str">
        <f t="shared" si="115"/>
        <v>NORMAL</v>
      </c>
    </row>
    <row r="1824" spans="1:22" x14ac:dyDescent="0.35">
      <c r="A1824" t="s">
        <v>3681</v>
      </c>
      <c r="B1824" t="s">
        <v>192</v>
      </c>
      <c r="C1824">
        <v>141.49</v>
      </c>
      <c r="D1824" s="1">
        <v>45189.706296296295</v>
      </c>
      <c r="E1824" s="2">
        <f t="shared" si="112"/>
        <v>0.70629629629547708</v>
      </c>
      <c r="F1824" s="3">
        <f t="shared" si="113"/>
        <v>45189</v>
      </c>
      <c r="G1824" t="s">
        <v>17</v>
      </c>
      <c r="H1824" t="s">
        <v>197</v>
      </c>
      <c r="I1824" t="s">
        <v>881</v>
      </c>
      <c r="J1824" t="s">
        <v>3098</v>
      </c>
      <c r="K1824" t="s">
        <v>83</v>
      </c>
      <c r="L1824" t="s">
        <v>36</v>
      </c>
      <c r="M1824">
        <v>24</v>
      </c>
      <c r="N1824" t="s">
        <v>37</v>
      </c>
      <c r="O1824">
        <v>75</v>
      </c>
      <c r="P1824">
        <v>1</v>
      </c>
      <c r="Q1824">
        <v>1665.58</v>
      </c>
      <c r="R1824" s="4">
        <v>45600</v>
      </c>
      <c r="S1824" s="6">
        <v>0.34129629629629632</v>
      </c>
      <c r="T1824">
        <f t="shared" si="114"/>
        <v>16</v>
      </c>
      <c r="U1824" t="str" cm="1">
        <f t="array" ref="U1824">_xlfn.IFS(M1824&lt;=34,"YOUNG",M1824&lt;=54,"MIDDLE AGE",M1824&gt;=55,"OLD")</f>
        <v>YOUNG</v>
      </c>
      <c r="V1824" t="str">
        <f t="shared" si="115"/>
        <v>NORMAL</v>
      </c>
    </row>
    <row r="1825" spans="1:22" x14ac:dyDescent="0.35">
      <c r="A1825" t="s">
        <v>3682</v>
      </c>
      <c r="B1825" t="s">
        <v>2118</v>
      </c>
      <c r="C1825">
        <v>31.39</v>
      </c>
      <c r="D1825" s="1">
        <v>44935.714942129627</v>
      </c>
      <c r="E1825" s="2">
        <f t="shared" si="112"/>
        <v>0.71494212962716119</v>
      </c>
      <c r="F1825" s="3">
        <f t="shared" si="113"/>
        <v>44935</v>
      </c>
      <c r="G1825" t="s">
        <v>17</v>
      </c>
      <c r="H1825" t="s">
        <v>255</v>
      </c>
      <c r="I1825" t="s">
        <v>939</v>
      </c>
      <c r="J1825" t="s">
        <v>2761</v>
      </c>
      <c r="K1825" t="s">
        <v>1524</v>
      </c>
      <c r="L1825" t="s">
        <v>22</v>
      </c>
      <c r="M1825">
        <v>20</v>
      </c>
      <c r="N1825" t="s">
        <v>37</v>
      </c>
      <c r="O1825">
        <v>15</v>
      </c>
      <c r="P1825">
        <v>1</v>
      </c>
      <c r="Q1825">
        <v>998.49</v>
      </c>
      <c r="R1825" s="4">
        <v>45600</v>
      </c>
      <c r="S1825" s="6">
        <v>0.33781250000000002</v>
      </c>
      <c r="T1825">
        <f t="shared" si="114"/>
        <v>17</v>
      </c>
      <c r="U1825" t="str" cm="1">
        <f t="array" ref="U1825">_xlfn.IFS(M1825&lt;=34,"YOUNG",M1825&lt;=54,"MIDDLE AGE",M1825&gt;=55,"OLD")</f>
        <v>YOUNG</v>
      </c>
      <c r="V1825" t="str">
        <f t="shared" si="115"/>
        <v>NORMAL</v>
      </c>
    </row>
    <row r="1826" spans="1:22" x14ac:dyDescent="0.35">
      <c r="A1826" t="s">
        <v>3683</v>
      </c>
      <c r="B1826" t="s">
        <v>3493</v>
      </c>
      <c r="C1826">
        <v>93.82</v>
      </c>
      <c r="D1826" s="1">
        <v>45103.734259259261</v>
      </c>
      <c r="E1826" s="2">
        <f t="shared" si="112"/>
        <v>0.73425925926130731</v>
      </c>
      <c r="F1826" s="3">
        <f t="shared" si="113"/>
        <v>45103</v>
      </c>
      <c r="G1826" t="s">
        <v>17</v>
      </c>
      <c r="H1826" t="s">
        <v>18</v>
      </c>
      <c r="I1826" t="s">
        <v>454</v>
      </c>
      <c r="J1826" t="s">
        <v>3588</v>
      </c>
      <c r="K1826" t="s">
        <v>598</v>
      </c>
      <c r="L1826" t="s">
        <v>36</v>
      </c>
      <c r="M1826">
        <v>39</v>
      </c>
      <c r="N1826" t="s">
        <v>77</v>
      </c>
      <c r="O1826">
        <v>176</v>
      </c>
      <c r="P1826">
        <v>1</v>
      </c>
      <c r="Q1826">
        <v>8422.06</v>
      </c>
      <c r="R1826" s="4">
        <v>45600</v>
      </c>
      <c r="S1826" s="6">
        <v>0.34114583333333331</v>
      </c>
      <c r="T1826">
        <f t="shared" si="114"/>
        <v>17</v>
      </c>
      <c r="U1826" t="str" cm="1">
        <f t="array" ref="U1826">_xlfn.IFS(M1826&lt;=34,"YOUNG",M1826&lt;=54,"MIDDLE AGE",M1826&gt;=55,"OLD")</f>
        <v>MIDDLE AGE</v>
      </c>
      <c r="V1826" t="str">
        <f t="shared" si="115"/>
        <v>NORMAL</v>
      </c>
    </row>
    <row r="1827" spans="1:22" x14ac:dyDescent="0.35">
      <c r="A1827" t="s">
        <v>3684</v>
      </c>
      <c r="B1827" t="s">
        <v>2019</v>
      </c>
      <c r="C1827">
        <v>5.71</v>
      </c>
      <c r="D1827" s="1">
        <v>45261.73300925926</v>
      </c>
      <c r="E1827" s="2">
        <f t="shared" si="112"/>
        <v>0.73300925926014315</v>
      </c>
      <c r="F1827" s="3">
        <f t="shared" si="113"/>
        <v>45261</v>
      </c>
      <c r="G1827" t="s">
        <v>17</v>
      </c>
      <c r="H1827" t="s">
        <v>255</v>
      </c>
      <c r="I1827" t="s">
        <v>397</v>
      </c>
      <c r="J1827" t="s">
        <v>1219</v>
      </c>
      <c r="K1827" t="s">
        <v>358</v>
      </c>
      <c r="L1827" t="s">
        <v>69</v>
      </c>
      <c r="M1827">
        <v>21</v>
      </c>
      <c r="N1827" t="s">
        <v>37</v>
      </c>
      <c r="O1827">
        <v>106</v>
      </c>
      <c r="P1827">
        <v>1</v>
      </c>
      <c r="Q1827">
        <v>1285.42</v>
      </c>
      <c r="R1827" s="4">
        <v>45600</v>
      </c>
      <c r="S1827" s="6">
        <v>0.34062500000000001</v>
      </c>
      <c r="T1827">
        <f t="shared" si="114"/>
        <v>17</v>
      </c>
      <c r="U1827" t="str" cm="1">
        <f t="array" ref="U1827">_xlfn.IFS(M1827&lt;=34,"YOUNG",M1827&lt;=54,"MIDDLE AGE",M1827&gt;=55,"OLD")</f>
        <v>YOUNG</v>
      </c>
      <c r="V1827" t="str">
        <f t="shared" si="115"/>
        <v>NORMAL</v>
      </c>
    </row>
    <row r="1828" spans="1:22" x14ac:dyDescent="0.35">
      <c r="A1828" t="s">
        <v>3685</v>
      </c>
      <c r="B1828" t="s">
        <v>1289</v>
      </c>
      <c r="C1828">
        <v>178.39</v>
      </c>
      <c r="D1828" s="1">
        <v>45153.7653125</v>
      </c>
      <c r="E1828" s="2">
        <f t="shared" si="112"/>
        <v>0.76531249999970896</v>
      </c>
      <c r="F1828" s="3">
        <f t="shared" si="113"/>
        <v>45153</v>
      </c>
      <c r="G1828" t="s">
        <v>17</v>
      </c>
      <c r="H1828" t="s">
        <v>255</v>
      </c>
      <c r="I1828" t="s">
        <v>1067</v>
      </c>
      <c r="J1828" t="s">
        <v>631</v>
      </c>
      <c r="K1828" t="s">
        <v>1014</v>
      </c>
      <c r="L1828" t="s">
        <v>36</v>
      </c>
      <c r="M1828">
        <v>34</v>
      </c>
      <c r="N1828" t="s">
        <v>77</v>
      </c>
      <c r="O1828">
        <v>98</v>
      </c>
      <c r="P1828">
        <v>1</v>
      </c>
      <c r="Q1828">
        <v>8469.43</v>
      </c>
      <c r="R1828" s="4">
        <v>45600</v>
      </c>
      <c r="S1828" s="6">
        <v>0.3399537037037037</v>
      </c>
      <c r="T1828">
        <f t="shared" si="114"/>
        <v>18</v>
      </c>
      <c r="U1828" t="str" cm="1">
        <f t="array" ref="U1828">_xlfn.IFS(M1828&lt;=34,"YOUNG",M1828&lt;=54,"MIDDLE AGE",M1828&gt;=55,"OLD")</f>
        <v>YOUNG</v>
      </c>
      <c r="V1828" t="str">
        <f t="shared" si="115"/>
        <v>NORMAL</v>
      </c>
    </row>
    <row r="1829" spans="1:22" x14ac:dyDescent="0.35">
      <c r="A1829" t="s">
        <v>3686</v>
      </c>
      <c r="B1829" t="s">
        <v>3207</v>
      </c>
      <c r="C1829">
        <v>126.91</v>
      </c>
      <c r="D1829" s="1">
        <v>45161.669942129629</v>
      </c>
      <c r="E1829" s="2">
        <f t="shared" si="112"/>
        <v>0.66994212962890742</v>
      </c>
      <c r="F1829" s="3">
        <f t="shared" si="113"/>
        <v>45161</v>
      </c>
      <c r="G1829" t="s">
        <v>17</v>
      </c>
      <c r="H1829" t="s">
        <v>291</v>
      </c>
      <c r="I1829" t="s">
        <v>147</v>
      </c>
      <c r="J1829" t="s">
        <v>422</v>
      </c>
      <c r="K1829" t="s">
        <v>1345</v>
      </c>
      <c r="L1829" t="s">
        <v>22</v>
      </c>
      <c r="M1829">
        <v>22</v>
      </c>
      <c r="N1829" t="s">
        <v>37</v>
      </c>
      <c r="O1829">
        <v>42</v>
      </c>
      <c r="P1829">
        <v>1</v>
      </c>
      <c r="Q1829">
        <v>692.69</v>
      </c>
      <c r="R1829" s="4">
        <v>45600</v>
      </c>
      <c r="S1829" s="6">
        <v>0.33901620370370372</v>
      </c>
      <c r="T1829">
        <f t="shared" si="114"/>
        <v>16</v>
      </c>
      <c r="U1829" t="str" cm="1">
        <f t="array" ref="U1829">_xlfn.IFS(M1829&lt;=34,"YOUNG",M1829&lt;=54,"MIDDLE AGE",M1829&gt;=55,"OLD")</f>
        <v>YOUNG</v>
      </c>
      <c r="V1829" t="str">
        <f t="shared" si="115"/>
        <v>NORMAL</v>
      </c>
    </row>
    <row r="1830" spans="1:22" x14ac:dyDescent="0.35">
      <c r="A1830" t="s">
        <v>3687</v>
      </c>
      <c r="B1830" t="s">
        <v>2581</v>
      </c>
      <c r="C1830">
        <v>36.090000000000003</v>
      </c>
      <c r="D1830" s="1">
        <v>45093.679884259262</v>
      </c>
      <c r="E1830" s="2">
        <f t="shared" si="112"/>
        <v>0.67988425926159834</v>
      </c>
      <c r="F1830" s="3">
        <f t="shared" si="113"/>
        <v>45093</v>
      </c>
      <c r="G1830" t="s">
        <v>17</v>
      </c>
      <c r="H1830" t="s">
        <v>125</v>
      </c>
      <c r="I1830" t="s">
        <v>2387</v>
      </c>
      <c r="J1830" t="s">
        <v>3688</v>
      </c>
      <c r="K1830" t="s">
        <v>312</v>
      </c>
      <c r="L1830" t="s">
        <v>69</v>
      </c>
      <c r="M1830">
        <v>53</v>
      </c>
      <c r="N1830" t="s">
        <v>23</v>
      </c>
      <c r="O1830">
        <v>167</v>
      </c>
      <c r="P1830">
        <v>1</v>
      </c>
      <c r="Q1830">
        <v>12319.26</v>
      </c>
      <c r="R1830" s="4">
        <v>45600</v>
      </c>
      <c r="S1830" s="6">
        <v>0.33887731481481481</v>
      </c>
      <c r="T1830">
        <f t="shared" si="114"/>
        <v>16</v>
      </c>
      <c r="U1830" t="str" cm="1">
        <f t="array" ref="U1830">_xlfn.IFS(M1830&lt;=34,"YOUNG",M1830&lt;=54,"MIDDLE AGE",M1830&gt;=55,"OLD")</f>
        <v>MIDDLE AGE</v>
      </c>
      <c r="V1830" t="str">
        <f t="shared" si="115"/>
        <v>NORMAL</v>
      </c>
    </row>
    <row r="1831" spans="1:22" x14ac:dyDescent="0.35">
      <c r="A1831" t="s">
        <v>3689</v>
      </c>
      <c r="B1831" t="s">
        <v>876</v>
      </c>
      <c r="C1831">
        <v>91.77</v>
      </c>
      <c r="D1831" s="1">
        <v>45000.735543981478</v>
      </c>
      <c r="E1831" s="2">
        <f t="shared" si="112"/>
        <v>0.7355439814782585</v>
      </c>
      <c r="F1831" s="3">
        <f t="shared" si="113"/>
        <v>45000</v>
      </c>
      <c r="G1831" t="s">
        <v>17</v>
      </c>
      <c r="H1831" t="s">
        <v>296</v>
      </c>
      <c r="I1831" t="s">
        <v>1314</v>
      </c>
      <c r="J1831" t="s">
        <v>2838</v>
      </c>
      <c r="K1831" t="s">
        <v>564</v>
      </c>
      <c r="L1831" t="s">
        <v>69</v>
      </c>
      <c r="M1831">
        <v>51</v>
      </c>
      <c r="N1831" t="s">
        <v>23</v>
      </c>
      <c r="O1831">
        <v>174</v>
      </c>
      <c r="P1831">
        <v>1</v>
      </c>
      <c r="Q1831">
        <v>9240.73</v>
      </c>
      <c r="R1831" s="4">
        <v>45600</v>
      </c>
      <c r="S1831" s="6">
        <v>0.33833333333333332</v>
      </c>
      <c r="T1831">
        <f t="shared" si="114"/>
        <v>17</v>
      </c>
      <c r="U1831" t="str" cm="1">
        <f t="array" ref="U1831">_xlfn.IFS(M1831&lt;=34,"YOUNG",M1831&lt;=54,"MIDDLE AGE",M1831&gt;=55,"OLD")</f>
        <v>MIDDLE AGE</v>
      </c>
      <c r="V1831" t="str">
        <f t="shared" si="115"/>
        <v>NORMAL</v>
      </c>
    </row>
    <row r="1832" spans="1:22" x14ac:dyDescent="0.35">
      <c r="A1832" t="s">
        <v>3690</v>
      </c>
      <c r="B1832" t="s">
        <v>550</v>
      </c>
      <c r="C1832">
        <v>198.92</v>
      </c>
      <c r="D1832" s="1">
        <v>45222.699953703705</v>
      </c>
      <c r="E1832" s="2">
        <f t="shared" si="112"/>
        <v>0.69995370370452292</v>
      </c>
      <c r="F1832" s="3">
        <f t="shared" si="113"/>
        <v>45222</v>
      </c>
      <c r="G1832" t="s">
        <v>17</v>
      </c>
      <c r="H1832" t="s">
        <v>178</v>
      </c>
      <c r="I1832" t="s">
        <v>810</v>
      </c>
      <c r="J1832" t="s">
        <v>1921</v>
      </c>
      <c r="K1832" t="s">
        <v>68</v>
      </c>
      <c r="L1832" t="s">
        <v>36</v>
      </c>
      <c r="M1832">
        <v>36</v>
      </c>
      <c r="N1832" t="s">
        <v>77</v>
      </c>
      <c r="O1832">
        <v>100</v>
      </c>
      <c r="P1832">
        <v>1</v>
      </c>
      <c r="Q1832">
        <v>2854.66</v>
      </c>
      <c r="R1832" s="4">
        <v>45600</v>
      </c>
      <c r="S1832" s="6">
        <v>0.34049768518518519</v>
      </c>
      <c r="T1832">
        <f t="shared" si="114"/>
        <v>16</v>
      </c>
      <c r="U1832" t="str" cm="1">
        <f t="array" ref="U1832">_xlfn.IFS(M1832&lt;=34,"YOUNG",M1832&lt;=54,"MIDDLE AGE",M1832&gt;=55,"OLD")</f>
        <v>MIDDLE AGE</v>
      </c>
      <c r="V1832" t="str">
        <f t="shared" si="115"/>
        <v>NORMAL</v>
      </c>
    </row>
    <row r="1833" spans="1:22" x14ac:dyDescent="0.35">
      <c r="A1833" t="s">
        <v>3691</v>
      </c>
      <c r="B1833" t="s">
        <v>1808</v>
      </c>
      <c r="C1833">
        <v>137.81</v>
      </c>
      <c r="D1833" s="1">
        <v>45225.702939814815</v>
      </c>
      <c r="E1833" s="2">
        <f t="shared" si="112"/>
        <v>0.70293981481518131</v>
      </c>
      <c r="F1833" s="3">
        <f t="shared" si="113"/>
        <v>45225</v>
      </c>
      <c r="G1833" t="s">
        <v>17</v>
      </c>
      <c r="H1833" t="s">
        <v>73</v>
      </c>
      <c r="I1833" t="s">
        <v>3692</v>
      </c>
      <c r="J1833" t="s">
        <v>2054</v>
      </c>
      <c r="K1833" t="s">
        <v>652</v>
      </c>
      <c r="L1833" t="s">
        <v>69</v>
      </c>
      <c r="M1833">
        <v>58</v>
      </c>
      <c r="N1833" t="s">
        <v>77</v>
      </c>
      <c r="O1833">
        <v>44</v>
      </c>
      <c r="P1833">
        <v>1</v>
      </c>
      <c r="Q1833">
        <v>2631.47</v>
      </c>
      <c r="R1833" s="4">
        <v>45600</v>
      </c>
      <c r="S1833" s="6">
        <v>0.33865740740740741</v>
      </c>
      <c r="T1833">
        <f t="shared" si="114"/>
        <v>16</v>
      </c>
      <c r="U1833" t="str" cm="1">
        <f t="array" ref="U1833">_xlfn.IFS(M1833&lt;=34,"YOUNG",M1833&lt;=54,"MIDDLE AGE",M1833&gt;=55,"OLD")</f>
        <v>OLD</v>
      </c>
      <c r="V1833" t="str">
        <f t="shared" si="115"/>
        <v>NORMAL</v>
      </c>
    </row>
    <row r="1834" spans="1:22" x14ac:dyDescent="0.35">
      <c r="A1834" t="s">
        <v>3693</v>
      </c>
      <c r="B1834" t="s">
        <v>79</v>
      </c>
      <c r="C1834">
        <v>136.88</v>
      </c>
      <c r="D1834" s="1">
        <v>45125.737407407411</v>
      </c>
      <c r="E1834" s="2">
        <f t="shared" si="112"/>
        <v>0.73740740741050104</v>
      </c>
      <c r="F1834" s="3">
        <f t="shared" si="113"/>
        <v>45125</v>
      </c>
      <c r="G1834" t="s">
        <v>46</v>
      </c>
      <c r="H1834" t="s">
        <v>92</v>
      </c>
      <c r="I1834" t="s">
        <v>2944</v>
      </c>
      <c r="J1834" t="s">
        <v>2510</v>
      </c>
      <c r="K1834" t="s">
        <v>175</v>
      </c>
      <c r="L1834" t="s">
        <v>69</v>
      </c>
      <c r="M1834">
        <v>24</v>
      </c>
      <c r="N1834" t="s">
        <v>37</v>
      </c>
      <c r="O1834">
        <v>71</v>
      </c>
      <c r="P1834">
        <v>1</v>
      </c>
      <c r="Q1834">
        <v>7465.95</v>
      </c>
      <c r="R1834" s="4">
        <v>45600</v>
      </c>
      <c r="S1834" s="6">
        <v>0.34090277777777778</v>
      </c>
      <c r="T1834">
        <f t="shared" si="114"/>
        <v>17</v>
      </c>
      <c r="U1834" t="str" cm="1">
        <f t="array" ref="U1834">_xlfn.IFS(M1834&lt;=34,"YOUNG",M1834&lt;=54,"MIDDLE AGE",M1834&gt;=55,"OLD")</f>
        <v>YOUNG</v>
      </c>
      <c r="V1834" t="str">
        <f t="shared" si="115"/>
        <v>NORMAL</v>
      </c>
    </row>
    <row r="1835" spans="1:22" x14ac:dyDescent="0.35">
      <c r="A1835" t="s">
        <v>3694</v>
      </c>
      <c r="B1835" t="s">
        <v>1703</v>
      </c>
      <c r="C1835">
        <v>133.07</v>
      </c>
      <c r="D1835" s="1">
        <v>45182.682500000003</v>
      </c>
      <c r="E1835" s="2">
        <f t="shared" si="112"/>
        <v>0.68250000000261934</v>
      </c>
      <c r="F1835" s="3">
        <f t="shared" si="113"/>
        <v>45182</v>
      </c>
      <c r="G1835" t="s">
        <v>17</v>
      </c>
      <c r="H1835" t="s">
        <v>285</v>
      </c>
      <c r="I1835" t="s">
        <v>1297</v>
      </c>
      <c r="J1835" t="s">
        <v>1100</v>
      </c>
      <c r="K1835" t="s">
        <v>353</v>
      </c>
      <c r="L1835" t="s">
        <v>69</v>
      </c>
      <c r="M1835">
        <v>21</v>
      </c>
      <c r="N1835" t="s">
        <v>37</v>
      </c>
      <c r="O1835">
        <v>155</v>
      </c>
      <c r="P1835">
        <v>1</v>
      </c>
      <c r="Q1835">
        <v>1670.99</v>
      </c>
      <c r="R1835" s="4">
        <v>45600</v>
      </c>
      <c r="S1835" s="6">
        <v>0.33936342592592594</v>
      </c>
      <c r="T1835">
        <f t="shared" si="114"/>
        <v>16</v>
      </c>
      <c r="U1835" t="str" cm="1">
        <f t="array" ref="U1835">_xlfn.IFS(M1835&lt;=34,"YOUNG",M1835&lt;=54,"MIDDLE AGE",M1835&gt;=55,"OLD")</f>
        <v>YOUNG</v>
      </c>
      <c r="V1835" t="str">
        <f t="shared" si="115"/>
        <v>NORMAL</v>
      </c>
    </row>
    <row r="1836" spans="1:22" x14ac:dyDescent="0.35">
      <c r="A1836" t="s">
        <v>3695</v>
      </c>
      <c r="B1836" t="s">
        <v>636</v>
      </c>
      <c r="C1836">
        <v>1.1399999999999999</v>
      </c>
      <c r="D1836" s="1">
        <v>45222.677175925928</v>
      </c>
      <c r="E1836" s="2">
        <f t="shared" si="112"/>
        <v>0.677175925928168</v>
      </c>
      <c r="F1836" s="3">
        <f t="shared" si="113"/>
        <v>45222</v>
      </c>
      <c r="G1836" t="s">
        <v>17</v>
      </c>
      <c r="H1836" t="s">
        <v>65</v>
      </c>
      <c r="I1836" t="s">
        <v>2160</v>
      </c>
      <c r="J1836" t="s">
        <v>132</v>
      </c>
      <c r="K1836" t="s">
        <v>358</v>
      </c>
      <c r="L1836" t="s">
        <v>69</v>
      </c>
      <c r="M1836">
        <v>43</v>
      </c>
      <c r="N1836" t="s">
        <v>23</v>
      </c>
      <c r="O1836">
        <v>137</v>
      </c>
      <c r="P1836">
        <v>1</v>
      </c>
      <c r="Q1836">
        <v>13913.92</v>
      </c>
      <c r="R1836" s="4">
        <v>45600</v>
      </c>
      <c r="S1836" s="6">
        <v>0.34140046296296295</v>
      </c>
      <c r="T1836">
        <f t="shared" si="114"/>
        <v>16</v>
      </c>
      <c r="U1836" t="str" cm="1">
        <f t="array" ref="U1836">_xlfn.IFS(M1836&lt;=34,"YOUNG",M1836&lt;=54,"MIDDLE AGE",M1836&gt;=55,"OLD")</f>
        <v>MIDDLE AGE</v>
      </c>
      <c r="V1836" t="str">
        <f t="shared" si="115"/>
        <v>NORMAL</v>
      </c>
    </row>
    <row r="1837" spans="1:22" x14ac:dyDescent="0.35">
      <c r="A1837" t="s">
        <v>3696</v>
      </c>
      <c r="B1837" t="s">
        <v>1707</v>
      </c>
      <c r="C1837">
        <v>256.33999999999997</v>
      </c>
      <c r="D1837" s="1">
        <v>45159.695856481485</v>
      </c>
      <c r="E1837" s="2">
        <f t="shared" si="112"/>
        <v>0.69585648148495238</v>
      </c>
      <c r="F1837" s="3">
        <f t="shared" si="113"/>
        <v>45159</v>
      </c>
      <c r="G1837" t="s">
        <v>17</v>
      </c>
      <c r="H1837" t="s">
        <v>291</v>
      </c>
      <c r="I1837" t="s">
        <v>1152</v>
      </c>
      <c r="J1837" t="s">
        <v>3486</v>
      </c>
      <c r="K1837" t="s">
        <v>100</v>
      </c>
      <c r="L1837" t="s">
        <v>69</v>
      </c>
      <c r="M1837">
        <v>69</v>
      </c>
      <c r="N1837" t="s">
        <v>70</v>
      </c>
      <c r="O1837">
        <v>99</v>
      </c>
      <c r="P1837">
        <v>1</v>
      </c>
      <c r="Q1837">
        <v>7471.63</v>
      </c>
      <c r="R1837" s="4">
        <v>45600</v>
      </c>
      <c r="S1837" s="6">
        <v>0.33822916666666669</v>
      </c>
      <c r="T1837">
        <f t="shared" si="114"/>
        <v>16</v>
      </c>
      <c r="U1837" t="str" cm="1">
        <f t="array" ref="U1837">_xlfn.IFS(M1837&lt;=34,"YOUNG",M1837&lt;=54,"MIDDLE AGE",M1837&gt;=55,"OLD")</f>
        <v>OLD</v>
      </c>
      <c r="V1837" t="str">
        <f t="shared" si="115"/>
        <v>NORMAL</v>
      </c>
    </row>
    <row r="1838" spans="1:22" x14ac:dyDescent="0.35">
      <c r="A1838" t="s">
        <v>3697</v>
      </c>
      <c r="B1838" t="s">
        <v>3556</v>
      </c>
      <c r="C1838">
        <v>56.11</v>
      </c>
      <c r="D1838" s="1">
        <v>45012.726018518515</v>
      </c>
      <c r="E1838" s="2">
        <f t="shared" si="112"/>
        <v>0.72601851851504762</v>
      </c>
      <c r="F1838" s="3">
        <f t="shared" si="113"/>
        <v>45012</v>
      </c>
      <c r="G1838" t="s">
        <v>17</v>
      </c>
      <c r="H1838" t="s">
        <v>388</v>
      </c>
      <c r="I1838" t="s">
        <v>1201</v>
      </c>
      <c r="J1838" t="s">
        <v>153</v>
      </c>
      <c r="K1838" t="s">
        <v>105</v>
      </c>
      <c r="L1838" t="s">
        <v>69</v>
      </c>
      <c r="M1838">
        <v>36</v>
      </c>
      <c r="N1838" t="s">
        <v>23</v>
      </c>
      <c r="O1838">
        <v>109</v>
      </c>
      <c r="P1838">
        <v>1</v>
      </c>
      <c r="Q1838">
        <v>11123.65</v>
      </c>
      <c r="R1838" s="4">
        <v>45600</v>
      </c>
      <c r="S1838" s="6">
        <v>0.33817129629629628</v>
      </c>
      <c r="T1838">
        <f t="shared" si="114"/>
        <v>17</v>
      </c>
      <c r="U1838" t="str" cm="1">
        <f t="array" ref="U1838">_xlfn.IFS(M1838&lt;=34,"YOUNG",M1838&lt;=54,"MIDDLE AGE",M1838&gt;=55,"OLD")</f>
        <v>MIDDLE AGE</v>
      </c>
      <c r="V1838" t="str">
        <f t="shared" si="115"/>
        <v>NORMAL</v>
      </c>
    </row>
    <row r="1839" spans="1:22" x14ac:dyDescent="0.35">
      <c r="A1839" t="s">
        <v>3698</v>
      </c>
      <c r="B1839" t="s">
        <v>1206</v>
      </c>
      <c r="C1839">
        <v>118.1</v>
      </c>
      <c r="D1839" s="1">
        <v>45194.671875</v>
      </c>
      <c r="E1839" s="2">
        <f t="shared" si="112"/>
        <v>0.671875</v>
      </c>
      <c r="F1839" s="3">
        <f t="shared" si="113"/>
        <v>45194</v>
      </c>
      <c r="G1839" t="s">
        <v>17</v>
      </c>
      <c r="H1839" t="s">
        <v>157</v>
      </c>
      <c r="I1839" t="s">
        <v>1419</v>
      </c>
      <c r="J1839" t="s">
        <v>940</v>
      </c>
      <c r="K1839" t="s">
        <v>707</v>
      </c>
      <c r="L1839" t="s">
        <v>22</v>
      </c>
      <c r="M1839">
        <v>50</v>
      </c>
      <c r="N1839" t="s">
        <v>77</v>
      </c>
      <c r="O1839">
        <v>50</v>
      </c>
      <c r="P1839">
        <v>1</v>
      </c>
      <c r="Q1839">
        <v>7976.6</v>
      </c>
      <c r="R1839" s="4">
        <v>45600</v>
      </c>
      <c r="S1839" s="6">
        <v>0.34174768518518517</v>
      </c>
      <c r="T1839">
        <f t="shared" si="114"/>
        <v>16</v>
      </c>
      <c r="U1839" t="str" cm="1">
        <f t="array" ref="U1839">_xlfn.IFS(M1839&lt;=34,"YOUNG",M1839&lt;=54,"MIDDLE AGE",M1839&gt;=55,"OLD")</f>
        <v>MIDDLE AGE</v>
      </c>
      <c r="V1839" t="str">
        <f t="shared" si="115"/>
        <v>NORMAL</v>
      </c>
    </row>
    <row r="1840" spans="1:22" x14ac:dyDescent="0.35">
      <c r="A1840" t="s">
        <v>3699</v>
      </c>
      <c r="B1840" t="s">
        <v>2616</v>
      </c>
      <c r="C1840">
        <v>137.86000000000001</v>
      </c>
      <c r="D1840" s="1">
        <v>45166.678437499999</v>
      </c>
      <c r="E1840" s="2">
        <f t="shared" si="112"/>
        <v>0.67843749999883585</v>
      </c>
      <c r="F1840" s="3">
        <f t="shared" si="113"/>
        <v>45166</v>
      </c>
      <c r="G1840" t="s">
        <v>46</v>
      </c>
      <c r="H1840" t="s">
        <v>285</v>
      </c>
      <c r="I1840" t="s">
        <v>1924</v>
      </c>
      <c r="J1840" t="s">
        <v>3538</v>
      </c>
      <c r="K1840" t="s">
        <v>1287</v>
      </c>
      <c r="L1840" t="s">
        <v>36</v>
      </c>
      <c r="M1840">
        <v>66</v>
      </c>
      <c r="N1840" t="s">
        <v>23</v>
      </c>
      <c r="O1840">
        <v>120</v>
      </c>
      <c r="P1840">
        <v>1</v>
      </c>
      <c r="Q1840">
        <v>8046.94</v>
      </c>
      <c r="R1840" s="4">
        <v>45600</v>
      </c>
      <c r="S1840" s="6">
        <v>0.34114583333333331</v>
      </c>
      <c r="T1840">
        <f t="shared" si="114"/>
        <v>16</v>
      </c>
      <c r="U1840" t="str" cm="1">
        <f t="array" ref="U1840">_xlfn.IFS(M1840&lt;=34,"YOUNG",M1840&lt;=54,"MIDDLE AGE",M1840&gt;=55,"OLD")</f>
        <v>OLD</v>
      </c>
      <c r="V1840" t="str">
        <f t="shared" si="115"/>
        <v>NORMAL</v>
      </c>
    </row>
    <row r="1841" spans="1:22" x14ac:dyDescent="0.35">
      <c r="A1841" t="s">
        <v>3700</v>
      </c>
      <c r="B1841" t="s">
        <v>777</v>
      </c>
      <c r="C1841">
        <v>813.78</v>
      </c>
      <c r="D1841" s="1">
        <v>45145.737534722219</v>
      </c>
      <c r="E1841" s="2">
        <f t="shared" si="112"/>
        <v>0.73753472221869742</v>
      </c>
      <c r="F1841" s="3">
        <f t="shared" si="113"/>
        <v>45145</v>
      </c>
      <c r="G1841" t="s">
        <v>46</v>
      </c>
      <c r="H1841" t="s">
        <v>47</v>
      </c>
      <c r="I1841" t="s">
        <v>244</v>
      </c>
      <c r="J1841" t="s">
        <v>571</v>
      </c>
      <c r="K1841" t="s">
        <v>445</v>
      </c>
      <c r="L1841" t="s">
        <v>22</v>
      </c>
      <c r="M1841">
        <v>54</v>
      </c>
      <c r="N1841" t="s">
        <v>23</v>
      </c>
      <c r="O1841">
        <v>55</v>
      </c>
      <c r="P1841">
        <v>1</v>
      </c>
      <c r="Q1841">
        <v>14935.5</v>
      </c>
      <c r="R1841" s="4">
        <v>45600</v>
      </c>
      <c r="S1841" s="6">
        <v>0.33924768518518517</v>
      </c>
      <c r="T1841">
        <f t="shared" si="114"/>
        <v>17</v>
      </c>
      <c r="U1841" t="str" cm="1">
        <f t="array" ref="U1841">_xlfn.IFS(M1841&lt;=34,"YOUNG",M1841&lt;=54,"MIDDLE AGE",M1841&gt;=55,"OLD")</f>
        <v>MIDDLE AGE</v>
      </c>
      <c r="V1841" t="str">
        <f t="shared" si="115"/>
        <v>NORMAL</v>
      </c>
    </row>
    <row r="1842" spans="1:22" x14ac:dyDescent="0.35">
      <c r="A1842" t="s">
        <v>3701</v>
      </c>
      <c r="B1842" t="s">
        <v>3702</v>
      </c>
      <c r="C1842">
        <v>237.97</v>
      </c>
      <c r="D1842" s="1">
        <v>44935.726921296293</v>
      </c>
      <c r="E1842" s="2">
        <f t="shared" si="112"/>
        <v>0.72692129629285773</v>
      </c>
      <c r="F1842" s="3">
        <f t="shared" si="113"/>
        <v>44935</v>
      </c>
      <c r="G1842" t="s">
        <v>17</v>
      </c>
      <c r="H1842" t="s">
        <v>125</v>
      </c>
      <c r="I1842" t="s">
        <v>2029</v>
      </c>
      <c r="J1842" t="s">
        <v>3274</v>
      </c>
      <c r="K1842" t="s">
        <v>548</v>
      </c>
      <c r="L1842" t="s">
        <v>22</v>
      </c>
      <c r="M1842">
        <v>69</v>
      </c>
      <c r="N1842" t="s">
        <v>23</v>
      </c>
      <c r="O1842">
        <v>69</v>
      </c>
      <c r="P1842">
        <v>1</v>
      </c>
      <c r="Q1842">
        <v>13486.15</v>
      </c>
      <c r="R1842" s="4">
        <v>45600</v>
      </c>
      <c r="S1842" s="6">
        <v>0.33792824074074074</v>
      </c>
      <c r="T1842">
        <f t="shared" si="114"/>
        <v>17</v>
      </c>
      <c r="U1842" t="str" cm="1">
        <f t="array" ref="U1842">_xlfn.IFS(M1842&lt;=34,"YOUNG",M1842&lt;=54,"MIDDLE AGE",M1842&gt;=55,"OLD")</f>
        <v>OLD</v>
      </c>
      <c r="V1842" t="str">
        <f t="shared" si="115"/>
        <v>NORMAL</v>
      </c>
    </row>
    <row r="1843" spans="1:22" x14ac:dyDescent="0.35">
      <c r="A1843" t="s">
        <v>3703</v>
      </c>
      <c r="B1843" t="s">
        <v>1472</v>
      </c>
      <c r="C1843">
        <v>684.96</v>
      </c>
      <c r="D1843" s="1">
        <v>44935.680405092593</v>
      </c>
      <c r="E1843" s="2">
        <f t="shared" si="112"/>
        <v>0.68040509259299142</v>
      </c>
      <c r="F1843" s="3">
        <f t="shared" si="113"/>
        <v>44935</v>
      </c>
      <c r="G1843" t="s">
        <v>17</v>
      </c>
      <c r="H1843" t="s">
        <v>32</v>
      </c>
      <c r="I1843" t="s">
        <v>1386</v>
      </c>
      <c r="J1843" t="s">
        <v>444</v>
      </c>
      <c r="K1843" t="s">
        <v>272</v>
      </c>
      <c r="L1843" t="s">
        <v>22</v>
      </c>
      <c r="M1843">
        <v>21</v>
      </c>
      <c r="N1843" t="s">
        <v>37</v>
      </c>
      <c r="O1843">
        <v>31</v>
      </c>
      <c r="P1843">
        <v>1</v>
      </c>
      <c r="Q1843">
        <v>526.66999999999996</v>
      </c>
      <c r="R1843" s="4">
        <v>45600</v>
      </c>
      <c r="S1843" s="6">
        <v>0.33825231481481483</v>
      </c>
      <c r="T1843">
        <f t="shared" si="114"/>
        <v>16</v>
      </c>
      <c r="U1843" t="str" cm="1">
        <f t="array" ref="U1843">_xlfn.IFS(M1843&lt;=34,"YOUNG",M1843&lt;=54,"MIDDLE AGE",M1843&gt;=55,"OLD")</f>
        <v>YOUNG</v>
      </c>
      <c r="V1843" t="str">
        <f t="shared" si="115"/>
        <v>NORMAL</v>
      </c>
    </row>
    <row r="1844" spans="1:22" x14ac:dyDescent="0.35">
      <c r="A1844" t="s">
        <v>3704</v>
      </c>
      <c r="B1844" t="s">
        <v>1016</v>
      </c>
      <c r="C1844">
        <v>878.63</v>
      </c>
      <c r="D1844" s="1">
        <v>45022.708020833335</v>
      </c>
      <c r="E1844" s="2">
        <f t="shared" si="112"/>
        <v>0.70802083333546761</v>
      </c>
      <c r="F1844" s="3">
        <f t="shared" si="113"/>
        <v>45022</v>
      </c>
      <c r="G1844" t="s">
        <v>17</v>
      </c>
      <c r="H1844" t="s">
        <v>125</v>
      </c>
      <c r="I1844" t="s">
        <v>3082</v>
      </c>
      <c r="J1844" t="s">
        <v>791</v>
      </c>
      <c r="K1844" t="s">
        <v>1014</v>
      </c>
      <c r="L1844" t="s">
        <v>22</v>
      </c>
      <c r="M1844">
        <v>60</v>
      </c>
      <c r="N1844" t="s">
        <v>77</v>
      </c>
      <c r="O1844">
        <v>139</v>
      </c>
      <c r="P1844">
        <v>1</v>
      </c>
      <c r="Q1844">
        <v>4954.37</v>
      </c>
      <c r="R1844" s="4">
        <v>45600</v>
      </c>
      <c r="S1844" s="6">
        <v>0.33825231481481483</v>
      </c>
      <c r="T1844">
        <f t="shared" si="114"/>
        <v>16</v>
      </c>
      <c r="U1844" t="str" cm="1">
        <f t="array" ref="U1844">_xlfn.IFS(M1844&lt;=34,"YOUNG",M1844&lt;=54,"MIDDLE AGE",M1844&gt;=55,"OLD")</f>
        <v>OLD</v>
      </c>
      <c r="V1844" t="str">
        <f t="shared" si="115"/>
        <v>NORMAL</v>
      </c>
    </row>
    <row r="1845" spans="1:22" x14ac:dyDescent="0.35">
      <c r="A1845" t="s">
        <v>3705</v>
      </c>
      <c r="B1845" t="s">
        <v>396</v>
      </c>
      <c r="C1845">
        <v>276.56</v>
      </c>
      <c r="D1845" s="1">
        <v>45026.726550925923</v>
      </c>
      <c r="E1845" s="2">
        <f t="shared" si="112"/>
        <v>0.72655092592322035</v>
      </c>
      <c r="F1845" s="3">
        <f t="shared" si="113"/>
        <v>45026</v>
      </c>
      <c r="G1845" t="s">
        <v>17</v>
      </c>
      <c r="H1845" t="s">
        <v>119</v>
      </c>
      <c r="I1845" t="s">
        <v>559</v>
      </c>
      <c r="J1845" t="s">
        <v>3035</v>
      </c>
      <c r="K1845" t="s">
        <v>43</v>
      </c>
      <c r="L1845" t="s">
        <v>69</v>
      </c>
      <c r="M1845">
        <v>68</v>
      </c>
      <c r="N1845" t="s">
        <v>23</v>
      </c>
      <c r="O1845">
        <v>15</v>
      </c>
      <c r="P1845">
        <v>1</v>
      </c>
      <c r="Q1845">
        <v>8942.58</v>
      </c>
      <c r="R1845" s="4">
        <v>45600</v>
      </c>
      <c r="S1845" s="6">
        <v>0.33954861111111112</v>
      </c>
      <c r="T1845">
        <f t="shared" si="114"/>
        <v>17</v>
      </c>
      <c r="U1845" t="str" cm="1">
        <f t="array" ref="U1845">_xlfn.IFS(M1845&lt;=34,"YOUNG",M1845&lt;=54,"MIDDLE AGE",M1845&gt;=55,"OLD")</f>
        <v>OLD</v>
      </c>
      <c r="V1845" t="str">
        <f t="shared" si="115"/>
        <v>NORMAL</v>
      </c>
    </row>
    <row r="1846" spans="1:22" x14ac:dyDescent="0.35">
      <c r="A1846" t="s">
        <v>3706</v>
      </c>
      <c r="B1846" t="s">
        <v>1794</v>
      </c>
      <c r="C1846">
        <v>8.75</v>
      </c>
      <c r="D1846" s="1">
        <v>45092.674201388887</v>
      </c>
      <c r="E1846" s="2">
        <f t="shared" si="112"/>
        <v>0.67420138888701331</v>
      </c>
      <c r="F1846" s="3">
        <f t="shared" si="113"/>
        <v>45092</v>
      </c>
      <c r="G1846" t="s">
        <v>17</v>
      </c>
      <c r="H1846" t="s">
        <v>108</v>
      </c>
      <c r="I1846" t="s">
        <v>2809</v>
      </c>
      <c r="J1846" t="s">
        <v>1048</v>
      </c>
      <c r="K1846" t="s">
        <v>169</v>
      </c>
      <c r="L1846" t="s">
        <v>22</v>
      </c>
      <c r="M1846">
        <v>79</v>
      </c>
      <c r="N1846" t="s">
        <v>70</v>
      </c>
      <c r="O1846">
        <v>199</v>
      </c>
      <c r="P1846">
        <v>1</v>
      </c>
      <c r="Q1846">
        <v>4044.62</v>
      </c>
      <c r="R1846" s="4">
        <v>45600</v>
      </c>
      <c r="S1846" s="6">
        <v>0.34047453703703706</v>
      </c>
      <c r="T1846">
        <f t="shared" si="114"/>
        <v>16</v>
      </c>
      <c r="U1846" t="str" cm="1">
        <f t="array" ref="U1846">_xlfn.IFS(M1846&lt;=34,"YOUNG",M1846&lt;=54,"MIDDLE AGE",M1846&gt;=55,"OLD")</f>
        <v>OLD</v>
      </c>
      <c r="V1846" t="str">
        <f t="shared" si="115"/>
        <v>NORMAL</v>
      </c>
    </row>
    <row r="1847" spans="1:22" x14ac:dyDescent="0.35">
      <c r="A1847" t="s">
        <v>3707</v>
      </c>
      <c r="B1847" t="s">
        <v>1644</v>
      </c>
      <c r="C1847">
        <v>637.48</v>
      </c>
      <c r="D1847" s="1">
        <v>45187.686018518521</v>
      </c>
      <c r="E1847" s="2">
        <f t="shared" si="112"/>
        <v>0.68601851852145046</v>
      </c>
      <c r="F1847" s="3">
        <f t="shared" si="113"/>
        <v>45187</v>
      </c>
      <c r="G1847" t="s">
        <v>17</v>
      </c>
      <c r="H1847" t="s">
        <v>521</v>
      </c>
      <c r="I1847" t="s">
        <v>2333</v>
      </c>
      <c r="J1847" t="s">
        <v>1366</v>
      </c>
      <c r="K1847" t="s">
        <v>1810</v>
      </c>
      <c r="L1847" t="s">
        <v>36</v>
      </c>
      <c r="M1847">
        <v>65</v>
      </c>
      <c r="N1847" t="s">
        <v>70</v>
      </c>
      <c r="O1847">
        <v>207</v>
      </c>
      <c r="P1847">
        <v>1</v>
      </c>
      <c r="Q1847">
        <v>4148.8500000000004</v>
      </c>
      <c r="R1847" s="4">
        <v>45600</v>
      </c>
      <c r="S1847" s="6">
        <v>0.33899305555555553</v>
      </c>
      <c r="T1847">
        <f t="shared" si="114"/>
        <v>16</v>
      </c>
      <c r="U1847" t="str" cm="1">
        <f t="array" ref="U1847">_xlfn.IFS(M1847&lt;=34,"YOUNG",M1847&lt;=54,"MIDDLE AGE",M1847&gt;=55,"OLD")</f>
        <v>OLD</v>
      </c>
      <c r="V1847" t="str">
        <f t="shared" si="115"/>
        <v>NORMAL</v>
      </c>
    </row>
    <row r="1848" spans="1:22" x14ac:dyDescent="0.35">
      <c r="A1848" t="s">
        <v>3708</v>
      </c>
      <c r="B1848" t="s">
        <v>1197</v>
      </c>
      <c r="C1848">
        <v>103.15</v>
      </c>
      <c r="D1848" s="1">
        <v>45168.747766203705</v>
      </c>
      <c r="E1848" s="2">
        <f t="shared" si="112"/>
        <v>0.74776620370539604</v>
      </c>
      <c r="F1848" s="3">
        <f t="shared" si="113"/>
        <v>45168</v>
      </c>
      <c r="G1848" t="s">
        <v>17</v>
      </c>
      <c r="H1848" t="s">
        <v>18</v>
      </c>
      <c r="I1848" t="s">
        <v>1132</v>
      </c>
      <c r="J1848" t="s">
        <v>643</v>
      </c>
      <c r="K1848" t="s">
        <v>752</v>
      </c>
      <c r="L1848" t="s">
        <v>69</v>
      </c>
      <c r="M1848">
        <v>51</v>
      </c>
      <c r="N1848" t="s">
        <v>23</v>
      </c>
      <c r="O1848">
        <v>179</v>
      </c>
      <c r="P1848">
        <v>1</v>
      </c>
      <c r="Q1848">
        <v>11388.15</v>
      </c>
      <c r="R1848" s="4">
        <v>45600</v>
      </c>
      <c r="S1848" s="6">
        <v>0.33850694444444446</v>
      </c>
      <c r="T1848">
        <f t="shared" si="114"/>
        <v>17</v>
      </c>
      <c r="U1848" t="str" cm="1">
        <f t="array" ref="U1848">_xlfn.IFS(M1848&lt;=34,"YOUNG",M1848&lt;=54,"MIDDLE AGE",M1848&gt;=55,"OLD")</f>
        <v>MIDDLE AGE</v>
      </c>
      <c r="V1848" t="str">
        <f t="shared" si="115"/>
        <v>NORMAL</v>
      </c>
    </row>
    <row r="1849" spans="1:22" x14ac:dyDescent="0.35">
      <c r="A1849" t="s">
        <v>3709</v>
      </c>
      <c r="B1849" t="s">
        <v>899</v>
      </c>
      <c r="C1849">
        <v>505.6</v>
      </c>
      <c r="D1849" s="1">
        <v>44971.747754629629</v>
      </c>
      <c r="E1849" s="2">
        <f t="shared" si="112"/>
        <v>0.74775462962861639</v>
      </c>
      <c r="F1849" s="3">
        <f t="shared" si="113"/>
        <v>44971</v>
      </c>
      <c r="G1849" t="s">
        <v>17</v>
      </c>
      <c r="H1849" t="s">
        <v>114</v>
      </c>
      <c r="I1849" t="s">
        <v>3710</v>
      </c>
      <c r="J1849" t="s">
        <v>1277</v>
      </c>
      <c r="K1849" t="s">
        <v>1037</v>
      </c>
      <c r="L1849" t="s">
        <v>69</v>
      </c>
      <c r="M1849">
        <v>52</v>
      </c>
      <c r="N1849" t="s">
        <v>70</v>
      </c>
      <c r="O1849">
        <v>183</v>
      </c>
      <c r="P1849">
        <v>1</v>
      </c>
      <c r="Q1849">
        <v>5347.57</v>
      </c>
      <c r="R1849" s="4">
        <v>45600</v>
      </c>
      <c r="S1849" s="6">
        <v>0.34038194444444442</v>
      </c>
      <c r="T1849">
        <f t="shared" si="114"/>
        <v>17</v>
      </c>
      <c r="U1849" t="str" cm="1">
        <f t="array" ref="U1849">_xlfn.IFS(M1849&lt;=34,"YOUNG",M1849&lt;=54,"MIDDLE AGE",M1849&gt;=55,"OLD")</f>
        <v>MIDDLE AGE</v>
      </c>
      <c r="V1849" t="str">
        <f t="shared" si="115"/>
        <v>NORMAL</v>
      </c>
    </row>
    <row r="1850" spans="1:22" x14ac:dyDescent="0.35">
      <c r="A1850" t="s">
        <v>3711</v>
      </c>
      <c r="B1850" t="s">
        <v>537</v>
      </c>
      <c r="C1850">
        <v>371.86</v>
      </c>
      <c r="D1850" s="1">
        <v>44977.728437500002</v>
      </c>
      <c r="E1850" s="2">
        <f t="shared" si="112"/>
        <v>0.72843750000174623</v>
      </c>
      <c r="F1850" s="3">
        <f t="shared" si="113"/>
        <v>44977</v>
      </c>
      <c r="G1850" t="s">
        <v>17</v>
      </c>
      <c r="H1850" t="s">
        <v>172</v>
      </c>
      <c r="I1850" t="s">
        <v>2721</v>
      </c>
      <c r="J1850" t="s">
        <v>2104</v>
      </c>
      <c r="K1850" t="s">
        <v>89</v>
      </c>
      <c r="L1850" t="s">
        <v>22</v>
      </c>
      <c r="M1850">
        <v>46</v>
      </c>
      <c r="N1850" t="s">
        <v>23</v>
      </c>
      <c r="O1850">
        <v>91</v>
      </c>
      <c r="P1850">
        <v>1</v>
      </c>
      <c r="Q1850">
        <v>1329.45</v>
      </c>
      <c r="R1850" s="4">
        <v>45600</v>
      </c>
      <c r="S1850" s="6">
        <v>0.33910879629629631</v>
      </c>
      <c r="T1850">
        <f t="shared" si="114"/>
        <v>17</v>
      </c>
      <c r="U1850" t="str" cm="1">
        <f t="array" ref="U1850">_xlfn.IFS(M1850&lt;=34,"YOUNG",M1850&lt;=54,"MIDDLE AGE",M1850&gt;=55,"OLD")</f>
        <v>MIDDLE AGE</v>
      </c>
      <c r="V1850" t="str">
        <f t="shared" si="115"/>
        <v>NORMAL</v>
      </c>
    </row>
    <row r="1851" spans="1:22" x14ac:dyDescent="0.35">
      <c r="A1851" t="s">
        <v>3712</v>
      </c>
      <c r="B1851" t="s">
        <v>2125</v>
      </c>
      <c r="C1851">
        <v>14.26</v>
      </c>
      <c r="D1851" s="1">
        <v>45257.711435185185</v>
      </c>
      <c r="E1851" s="2">
        <f t="shared" si="112"/>
        <v>0.71143518518510973</v>
      </c>
      <c r="F1851" s="3">
        <f t="shared" si="113"/>
        <v>45257</v>
      </c>
      <c r="G1851" t="s">
        <v>17</v>
      </c>
      <c r="H1851" t="s">
        <v>301</v>
      </c>
      <c r="I1851" t="s">
        <v>2230</v>
      </c>
      <c r="J1851" t="s">
        <v>493</v>
      </c>
      <c r="K1851" t="s">
        <v>209</v>
      </c>
      <c r="L1851" t="s">
        <v>69</v>
      </c>
      <c r="M1851">
        <v>50</v>
      </c>
      <c r="N1851" t="s">
        <v>77</v>
      </c>
      <c r="O1851">
        <v>37</v>
      </c>
      <c r="P1851">
        <v>1</v>
      </c>
      <c r="Q1851">
        <v>2475.65</v>
      </c>
      <c r="R1851" s="4">
        <v>45600</v>
      </c>
      <c r="S1851" s="6">
        <v>0.33974537037037039</v>
      </c>
      <c r="T1851">
        <f t="shared" si="114"/>
        <v>17</v>
      </c>
      <c r="U1851" t="str" cm="1">
        <f t="array" ref="U1851">_xlfn.IFS(M1851&lt;=34,"YOUNG",M1851&lt;=54,"MIDDLE AGE",M1851&gt;=55,"OLD")</f>
        <v>MIDDLE AGE</v>
      </c>
      <c r="V1851" t="str">
        <f t="shared" si="115"/>
        <v>NORMAL</v>
      </c>
    </row>
    <row r="1852" spans="1:22" x14ac:dyDescent="0.35">
      <c r="A1852" t="s">
        <v>3713</v>
      </c>
      <c r="B1852" t="s">
        <v>935</v>
      </c>
      <c r="C1852">
        <v>13.16</v>
      </c>
      <c r="D1852" s="1">
        <v>45047.733449074076</v>
      </c>
      <c r="E1852" s="2">
        <f t="shared" si="112"/>
        <v>0.73344907407590654</v>
      </c>
      <c r="F1852" s="3">
        <f t="shared" si="113"/>
        <v>45047</v>
      </c>
      <c r="G1852" t="s">
        <v>17</v>
      </c>
      <c r="H1852" t="s">
        <v>32</v>
      </c>
      <c r="I1852" t="s">
        <v>360</v>
      </c>
      <c r="J1852" t="s">
        <v>643</v>
      </c>
      <c r="K1852" t="s">
        <v>820</v>
      </c>
      <c r="L1852" t="s">
        <v>69</v>
      </c>
      <c r="M1852">
        <v>43</v>
      </c>
      <c r="N1852" t="s">
        <v>77</v>
      </c>
      <c r="O1852">
        <v>98</v>
      </c>
      <c r="P1852">
        <v>1</v>
      </c>
      <c r="Q1852">
        <v>1019.46</v>
      </c>
      <c r="R1852" s="4">
        <v>45600</v>
      </c>
      <c r="S1852" s="6">
        <v>0.34062500000000001</v>
      </c>
      <c r="T1852">
        <f t="shared" si="114"/>
        <v>17</v>
      </c>
      <c r="U1852" t="str" cm="1">
        <f t="array" ref="U1852">_xlfn.IFS(M1852&lt;=34,"YOUNG",M1852&lt;=54,"MIDDLE AGE",M1852&gt;=55,"OLD")</f>
        <v>MIDDLE AGE</v>
      </c>
      <c r="V1852" t="str">
        <f t="shared" si="115"/>
        <v>NORMAL</v>
      </c>
    </row>
    <row r="1853" spans="1:22" x14ac:dyDescent="0.35">
      <c r="A1853" t="s">
        <v>3714</v>
      </c>
      <c r="B1853" t="s">
        <v>855</v>
      </c>
      <c r="C1853">
        <v>167.92</v>
      </c>
      <c r="D1853" s="1">
        <v>45103.745995370373</v>
      </c>
      <c r="E1853" s="2">
        <f t="shared" si="112"/>
        <v>0.74599537037283881</v>
      </c>
      <c r="F1853" s="3">
        <f t="shared" si="113"/>
        <v>45103</v>
      </c>
      <c r="G1853" t="s">
        <v>17</v>
      </c>
      <c r="H1853" t="s">
        <v>92</v>
      </c>
      <c r="I1853" t="s">
        <v>120</v>
      </c>
      <c r="J1853" t="s">
        <v>2314</v>
      </c>
      <c r="K1853" t="s">
        <v>1345</v>
      </c>
      <c r="L1853" t="s">
        <v>22</v>
      </c>
      <c r="M1853">
        <v>40</v>
      </c>
      <c r="N1853" t="s">
        <v>23</v>
      </c>
      <c r="O1853">
        <v>136</v>
      </c>
      <c r="P1853">
        <v>2</v>
      </c>
      <c r="Q1853">
        <v>14321.73</v>
      </c>
      <c r="R1853" s="4">
        <v>45600</v>
      </c>
      <c r="S1853" s="6">
        <v>0.33905092592592595</v>
      </c>
      <c r="T1853">
        <f t="shared" si="114"/>
        <v>17</v>
      </c>
      <c r="U1853" t="str" cm="1">
        <f t="array" ref="U1853">_xlfn.IFS(M1853&lt;=34,"YOUNG",M1853&lt;=54,"MIDDLE AGE",M1853&gt;=55,"OLD")</f>
        <v>MIDDLE AGE</v>
      </c>
      <c r="V1853" t="str">
        <f t="shared" si="115"/>
        <v>HIGH</v>
      </c>
    </row>
    <row r="1854" spans="1:22" x14ac:dyDescent="0.35">
      <c r="A1854" t="s">
        <v>3715</v>
      </c>
      <c r="B1854" t="s">
        <v>1027</v>
      </c>
      <c r="C1854">
        <v>73.010000000000005</v>
      </c>
      <c r="D1854" s="1">
        <v>45055.710046296299</v>
      </c>
      <c r="E1854" s="2">
        <f t="shared" si="112"/>
        <v>0.71004629629896954</v>
      </c>
      <c r="F1854" s="3">
        <f t="shared" si="113"/>
        <v>45055</v>
      </c>
      <c r="G1854" t="s">
        <v>17</v>
      </c>
      <c r="H1854" t="s">
        <v>26</v>
      </c>
      <c r="I1854" t="s">
        <v>1340</v>
      </c>
      <c r="J1854" t="s">
        <v>870</v>
      </c>
      <c r="K1854" t="s">
        <v>272</v>
      </c>
      <c r="L1854" t="s">
        <v>22</v>
      </c>
      <c r="M1854">
        <v>56</v>
      </c>
      <c r="N1854" t="s">
        <v>70</v>
      </c>
      <c r="O1854">
        <v>101</v>
      </c>
      <c r="P1854">
        <v>1</v>
      </c>
      <c r="Q1854">
        <v>2833.12</v>
      </c>
      <c r="R1854" s="4">
        <v>45600</v>
      </c>
      <c r="S1854" s="6">
        <v>0.34013888888888888</v>
      </c>
      <c r="T1854">
        <f t="shared" si="114"/>
        <v>17</v>
      </c>
      <c r="U1854" t="str" cm="1">
        <f t="array" ref="U1854">_xlfn.IFS(M1854&lt;=34,"YOUNG",M1854&lt;=54,"MIDDLE AGE",M1854&gt;=55,"OLD")</f>
        <v>OLD</v>
      </c>
      <c r="V1854" t="str">
        <f t="shared" si="115"/>
        <v>NORMAL</v>
      </c>
    </row>
    <row r="1855" spans="1:22" x14ac:dyDescent="0.35">
      <c r="A1855" t="s">
        <v>3716</v>
      </c>
      <c r="B1855" t="s">
        <v>1802</v>
      </c>
      <c r="C1855">
        <v>201.5</v>
      </c>
      <c r="D1855" s="1">
        <v>45121.758113425924</v>
      </c>
      <c r="E1855" s="2">
        <f t="shared" si="112"/>
        <v>0.75811342592351139</v>
      </c>
      <c r="F1855" s="3">
        <f t="shared" si="113"/>
        <v>45121</v>
      </c>
      <c r="G1855" t="s">
        <v>46</v>
      </c>
      <c r="H1855" t="s">
        <v>323</v>
      </c>
      <c r="I1855" t="s">
        <v>778</v>
      </c>
      <c r="J1855" t="s">
        <v>104</v>
      </c>
      <c r="K1855" t="s">
        <v>386</v>
      </c>
      <c r="L1855" t="s">
        <v>36</v>
      </c>
      <c r="M1855">
        <v>61</v>
      </c>
      <c r="N1855" t="s">
        <v>23</v>
      </c>
      <c r="O1855">
        <v>196</v>
      </c>
      <c r="P1855">
        <v>1</v>
      </c>
      <c r="Q1855">
        <v>12148.32</v>
      </c>
      <c r="R1855" s="4">
        <v>45600</v>
      </c>
      <c r="S1855" s="6">
        <v>0.33944444444444444</v>
      </c>
      <c r="T1855">
        <f t="shared" si="114"/>
        <v>18</v>
      </c>
      <c r="U1855" t="str" cm="1">
        <f t="array" ref="U1855">_xlfn.IFS(M1855&lt;=34,"YOUNG",M1855&lt;=54,"MIDDLE AGE",M1855&gt;=55,"OLD")</f>
        <v>OLD</v>
      </c>
      <c r="V1855" t="str">
        <f t="shared" si="115"/>
        <v>NORMAL</v>
      </c>
    </row>
    <row r="1856" spans="1:22" x14ac:dyDescent="0.35">
      <c r="A1856" t="s">
        <v>3717</v>
      </c>
      <c r="B1856" t="s">
        <v>2877</v>
      </c>
      <c r="C1856">
        <v>150.30000000000001</v>
      </c>
      <c r="D1856" s="1">
        <v>45145.726307870369</v>
      </c>
      <c r="E1856" s="2">
        <f t="shared" si="112"/>
        <v>0.72630787036905531</v>
      </c>
      <c r="F1856" s="3">
        <f t="shared" si="113"/>
        <v>45145</v>
      </c>
      <c r="G1856" t="s">
        <v>17</v>
      </c>
      <c r="H1856" t="s">
        <v>146</v>
      </c>
      <c r="I1856" t="s">
        <v>1891</v>
      </c>
      <c r="J1856" t="s">
        <v>2579</v>
      </c>
      <c r="K1856" t="s">
        <v>543</v>
      </c>
      <c r="L1856" t="s">
        <v>36</v>
      </c>
      <c r="M1856">
        <v>41</v>
      </c>
      <c r="N1856" t="s">
        <v>23</v>
      </c>
      <c r="O1856">
        <v>204</v>
      </c>
      <c r="P1856">
        <v>1</v>
      </c>
      <c r="Q1856">
        <v>14371.08</v>
      </c>
      <c r="R1856" s="4">
        <v>45600</v>
      </c>
      <c r="S1856" s="6">
        <v>0.33923611111111113</v>
      </c>
      <c r="T1856">
        <f t="shared" si="114"/>
        <v>17</v>
      </c>
      <c r="U1856" t="str" cm="1">
        <f t="array" ref="U1856">_xlfn.IFS(M1856&lt;=34,"YOUNG",M1856&lt;=54,"MIDDLE AGE",M1856&gt;=55,"OLD")</f>
        <v>MIDDLE AGE</v>
      </c>
      <c r="V1856" t="str">
        <f t="shared" si="115"/>
        <v>NORMAL</v>
      </c>
    </row>
    <row r="1857" spans="1:22" x14ac:dyDescent="0.35">
      <c r="A1857" t="s">
        <v>3718</v>
      </c>
      <c r="B1857" t="s">
        <v>2179</v>
      </c>
      <c r="C1857">
        <v>23.7</v>
      </c>
      <c r="D1857" s="1">
        <v>45225.744120370371</v>
      </c>
      <c r="E1857" s="2">
        <f t="shared" si="112"/>
        <v>0.74412037037109258</v>
      </c>
      <c r="F1857" s="3">
        <f t="shared" si="113"/>
        <v>45225</v>
      </c>
      <c r="G1857" t="s">
        <v>17</v>
      </c>
      <c r="H1857" t="s">
        <v>212</v>
      </c>
      <c r="I1857" t="s">
        <v>152</v>
      </c>
      <c r="J1857" t="s">
        <v>42</v>
      </c>
      <c r="K1857" t="s">
        <v>358</v>
      </c>
      <c r="L1857" t="s">
        <v>22</v>
      </c>
      <c r="M1857">
        <v>46</v>
      </c>
      <c r="N1857" t="s">
        <v>23</v>
      </c>
      <c r="O1857">
        <v>32</v>
      </c>
      <c r="P1857">
        <v>1</v>
      </c>
      <c r="Q1857">
        <v>7947.44</v>
      </c>
      <c r="R1857" s="4">
        <v>45600</v>
      </c>
      <c r="S1857" s="6">
        <v>0.3414814814814815</v>
      </c>
      <c r="T1857">
        <f t="shared" si="114"/>
        <v>17</v>
      </c>
      <c r="U1857" t="str" cm="1">
        <f t="array" ref="U1857">_xlfn.IFS(M1857&lt;=34,"YOUNG",M1857&lt;=54,"MIDDLE AGE",M1857&gt;=55,"OLD")</f>
        <v>MIDDLE AGE</v>
      </c>
      <c r="V1857" t="str">
        <f t="shared" si="115"/>
        <v>NORMAL</v>
      </c>
    </row>
    <row r="1858" spans="1:22" x14ac:dyDescent="0.35">
      <c r="A1858" t="s">
        <v>3719</v>
      </c>
      <c r="B1858" t="s">
        <v>3720</v>
      </c>
      <c r="C1858">
        <v>49.59</v>
      </c>
      <c r="D1858" s="1">
        <v>45163.698148148149</v>
      </c>
      <c r="E1858" s="2">
        <f t="shared" ref="E1858:E1921" si="116">D1858-INT(D1858)</f>
        <v>0.69814814814890269</v>
      </c>
      <c r="F1858" s="3">
        <f t="shared" ref="F1858:F1921" si="117">INT(D1858)</f>
        <v>45163</v>
      </c>
      <c r="G1858" t="s">
        <v>17</v>
      </c>
      <c r="H1858" t="s">
        <v>388</v>
      </c>
      <c r="I1858" t="s">
        <v>2763</v>
      </c>
      <c r="J1858" t="s">
        <v>3721</v>
      </c>
      <c r="K1858" t="s">
        <v>548</v>
      </c>
      <c r="L1858" t="s">
        <v>69</v>
      </c>
      <c r="M1858">
        <v>48</v>
      </c>
      <c r="N1858" t="s">
        <v>77</v>
      </c>
      <c r="O1858">
        <v>147</v>
      </c>
      <c r="P1858">
        <v>1</v>
      </c>
      <c r="Q1858">
        <v>6037.03</v>
      </c>
      <c r="R1858" s="4">
        <v>45600</v>
      </c>
      <c r="S1858" s="6">
        <v>0.34023148148148147</v>
      </c>
      <c r="T1858">
        <f t="shared" si="114"/>
        <v>16</v>
      </c>
      <c r="U1858" t="str" cm="1">
        <f t="array" ref="U1858">_xlfn.IFS(M1858&lt;=34,"YOUNG",M1858&lt;=54,"MIDDLE AGE",M1858&gt;=55,"OLD")</f>
        <v>MIDDLE AGE</v>
      </c>
      <c r="V1858" t="str">
        <f t="shared" si="115"/>
        <v>NORMAL</v>
      </c>
    </row>
    <row r="1859" spans="1:22" x14ac:dyDescent="0.35">
      <c r="A1859" t="s">
        <v>3722</v>
      </c>
      <c r="B1859" t="s">
        <v>905</v>
      </c>
      <c r="C1859">
        <v>720.13</v>
      </c>
      <c r="D1859" s="1">
        <v>44971.748969907407</v>
      </c>
      <c r="E1859" s="2">
        <f t="shared" si="116"/>
        <v>0.74896990740671754</v>
      </c>
      <c r="F1859" s="3">
        <f t="shared" si="117"/>
        <v>44971</v>
      </c>
      <c r="G1859" t="s">
        <v>46</v>
      </c>
      <c r="H1859" t="s">
        <v>296</v>
      </c>
      <c r="I1859" t="s">
        <v>2340</v>
      </c>
      <c r="J1859" t="s">
        <v>1202</v>
      </c>
      <c r="K1859" t="s">
        <v>1209</v>
      </c>
      <c r="L1859" t="s">
        <v>22</v>
      </c>
      <c r="M1859">
        <v>22</v>
      </c>
      <c r="N1859" t="s">
        <v>37</v>
      </c>
      <c r="O1859">
        <v>96</v>
      </c>
      <c r="P1859">
        <v>1</v>
      </c>
      <c r="Q1859">
        <v>387.02</v>
      </c>
      <c r="R1859" s="4">
        <v>45600</v>
      </c>
      <c r="S1859" s="6">
        <v>0.33855324074074072</v>
      </c>
      <c r="T1859">
        <f t="shared" ref="T1859:T1922" si="118">HOUR(E1859)</f>
        <v>17</v>
      </c>
      <c r="U1859" t="str" cm="1">
        <f t="array" ref="U1859">_xlfn.IFS(M1859&lt;=34,"YOUNG",M1859&lt;=54,"MIDDLE AGE",M1859&gt;=55,"OLD")</f>
        <v>YOUNG</v>
      </c>
      <c r="V1859" t="str">
        <f t="shared" ref="V1859:V1922" si="119">IF(P1859&gt;1,"HIGH","NORMAL")</f>
        <v>NORMAL</v>
      </c>
    </row>
    <row r="1860" spans="1:22" x14ac:dyDescent="0.35">
      <c r="A1860" t="s">
        <v>3723</v>
      </c>
      <c r="B1860" t="s">
        <v>52</v>
      </c>
      <c r="C1860">
        <v>134.91999999999999</v>
      </c>
      <c r="D1860" s="1">
        <v>45230.698819444442</v>
      </c>
      <c r="E1860" s="2">
        <f t="shared" si="116"/>
        <v>0.69881944444205146</v>
      </c>
      <c r="F1860" s="3">
        <f t="shared" si="117"/>
        <v>45230</v>
      </c>
      <c r="G1860" t="s">
        <v>17</v>
      </c>
      <c r="H1860" t="s">
        <v>140</v>
      </c>
      <c r="I1860" t="s">
        <v>3082</v>
      </c>
      <c r="J1860" t="s">
        <v>352</v>
      </c>
      <c r="K1860" t="s">
        <v>1037</v>
      </c>
      <c r="L1860" t="s">
        <v>36</v>
      </c>
      <c r="M1860">
        <v>19</v>
      </c>
      <c r="N1860" t="s">
        <v>37</v>
      </c>
      <c r="O1860">
        <v>101</v>
      </c>
      <c r="P1860">
        <v>1</v>
      </c>
      <c r="Q1860">
        <v>1081.97</v>
      </c>
      <c r="R1860" s="4">
        <v>45600</v>
      </c>
      <c r="S1860" s="6">
        <v>0.34004629629629629</v>
      </c>
      <c r="T1860">
        <f t="shared" si="118"/>
        <v>16</v>
      </c>
      <c r="U1860" t="str" cm="1">
        <f t="array" ref="U1860">_xlfn.IFS(M1860&lt;=34,"YOUNG",M1860&lt;=54,"MIDDLE AGE",M1860&gt;=55,"OLD")</f>
        <v>YOUNG</v>
      </c>
      <c r="V1860" t="str">
        <f t="shared" si="119"/>
        <v>NORMAL</v>
      </c>
    </row>
    <row r="1861" spans="1:22" x14ac:dyDescent="0.35">
      <c r="A1861" t="s">
        <v>3724</v>
      </c>
      <c r="B1861" t="s">
        <v>1311</v>
      </c>
      <c r="C1861">
        <v>116.97</v>
      </c>
      <c r="D1861" s="1">
        <v>45119.703402777777</v>
      </c>
      <c r="E1861" s="2">
        <f t="shared" si="116"/>
        <v>0.70340277777722804</v>
      </c>
      <c r="F1861" s="3">
        <f t="shared" si="117"/>
        <v>45119</v>
      </c>
      <c r="G1861" t="s">
        <v>17</v>
      </c>
      <c r="H1861" t="s">
        <v>53</v>
      </c>
      <c r="I1861" t="s">
        <v>103</v>
      </c>
      <c r="J1861" t="s">
        <v>681</v>
      </c>
      <c r="K1861" t="s">
        <v>576</v>
      </c>
      <c r="L1861" t="s">
        <v>22</v>
      </c>
      <c r="M1861">
        <v>18</v>
      </c>
      <c r="N1861" t="s">
        <v>37</v>
      </c>
      <c r="O1861">
        <v>299</v>
      </c>
      <c r="P1861">
        <v>1</v>
      </c>
      <c r="Q1861">
        <v>729.7</v>
      </c>
      <c r="R1861" s="4">
        <v>45600</v>
      </c>
      <c r="S1861" s="6">
        <v>0.33916666666666667</v>
      </c>
      <c r="T1861">
        <f t="shared" si="118"/>
        <v>16</v>
      </c>
      <c r="U1861" t="str" cm="1">
        <f t="array" ref="U1861">_xlfn.IFS(M1861&lt;=34,"YOUNG",M1861&lt;=54,"MIDDLE AGE",M1861&gt;=55,"OLD")</f>
        <v>YOUNG</v>
      </c>
      <c r="V1861" t="str">
        <f t="shared" si="119"/>
        <v>NORMAL</v>
      </c>
    </row>
    <row r="1862" spans="1:22" x14ac:dyDescent="0.35">
      <c r="A1862" t="s">
        <v>3725</v>
      </c>
      <c r="B1862" t="s">
        <v>2690</v>
      </c>
      <c r="C1862">
        <v>11.06</v>
      </c>
      <c r="D1862" s="1">
        <v>45231.749351851853</v>
      </c>
      <c r="E1862" s="2">
        <f t="shared" si="116"/>
        <v>0.74935185185313458</v>
      </c>
      <c r="F1862" s="3">
        <f t="shared" si="117"/>
        <v>45231</v>
      </c>
      <c r="G1862" t="s">
        <v>17</v>
      </c>
      <c r="H1862" t="s">
        <v>521</v>
      </c>
      <c r="I1862" t="s">
        <v>1956</v>
      </c>
      <c r="J1862" t="s">
        <v>811</v>
      </c>
      <c r="K1862" t="s">
        <v>980</v>
      </c>
      <c r="L1862" t="s">
        <v>22</v>
      </c>
      <c r="M1862">
        <v>34</v>
      </c>
      <c r="N1862" t="s">
        <v>77</v>
      </c>
      <c r="O1862">
        <v>13</v>
      </c>
      <c r="P1862">
        <v>3</v>
      </c>
      <c r="Q1862">
        <v>2782.21</v>
      </c>
      <c r="R1862" s="4">
        <v>45600</v>
      </c>
      <c r="S1862" s="6">
        <v>0.33828703703703705</v>
      </c>
      <c r="T1862">
        <f t="shared" si="118"/>
        <v>17</v>
      </c>
      <c r="U1862" t="str" cm="1">
        <f t="array" ref="U1862">_xlfn.IFS(M1862&lt;=34,"YOUNG",M1862&lt;=54,"MIDDLE AGE",M1862&gt;=55,"OLD")</f>
        <v>YOUNG</v>
      </c>
      <c r="V1862" t="str">
        <f t="shared" si="119"/>
        <v>HIGH</v>
      </c>
    </row>
    <row r="1863" spans="1:22" x14ac:dyDescent="0.35">
      <c r="A1863" t="s">
        <v>3726</v>
      </c>
      <c r="B1863" t="s">
        <v>1381</v>
      </c>
      <c r="C1863">
        <v>88.29</v>
      </c>
      <c r="D1863" s="1">
        <v>44946.698680555557</v>
      </c>
      <c r="E1863" s="2">
        <f t="shared" si="116"/>
        <v>0.69868055555707542</v>
      </c>
      <c r="F1863" s="3">
        <f t="shared" si="117"/>
        <v>44946</v>
      </c>
      <c r="G1863" t="s">
        <v>46</v>
      </c>
      <c r="H1863" t="s">
        <v>26</v>
      </c>
      <c r="I1863" t="s">
        <v>1258</v>
      </c>
      <c r="J1863" t="s">
        <v>3087</v>
      </c>
      <c r="K1863" t="s">
        <v>137</v>
      </c>
      <c r="L1863" t="s">
        <v>36</v>
      </c>
      <c r="M1863">
        <v>50</v>
      </c>
      <c r="N1863" t="s">
        <v>77</v>
      </c>
      <c r="O1863">
        <v>287</v>
      </c>
      <c r="P1863">
        <v>1</v>
      </c>
      <c r="Q1863">
        <v>5245.93</v>
      </c>
      <c r="R1863" s="4">
        <v>45600</v>
      </c>
      <c r="S1863" s="6">
        <v>0.33978009259259262</v>
      </c>
      <c r="T1863">
        <f t="shared" si="118"/>
        <v>16</v>
      </c>
      <c r="U1863" t="str" cm="1">
        <f t="array" ref="U1863">_xlfn.IFS(M1863&lt;=34,"YOUNG",M1863&lt;=54,"MIDDLE AGE",M1863&gt;=55,"OLD")</f>
        <v>MIDDLE AGE</v>
      </c>
      <c r="V1863" t="str">
        <f t="shared" si="119"/>
        <v>NORMAL</v>
      </c>
    </row>
    <row r="1864" spans="1:22" x14ac:dyDescent="0.35">
      <c r="A1864" t="s">
        <v>3727</v>
      </c>
      <c r="B1864" t="s">
        <v>1186</v>
      </c>
      <c r="C1864">
        <v>5.81</v>
      </c>
      <c r="D1864" s="1">
        <v>45100.733657407407</v>
      </c>
      <c r="E1864" s="2">
        <f t="shared" si="116"/>
        <v>0.73365740740700858</v>
      </c>
      <c r="F1864" s="3">
        <f t="shared" si="117"/>
        <v>45100</v>
      </c>
      <c r="G1864" t="s">
        <v>17</v>
      </c>
      <c r="H1864" t="s">
        <v>26</v>
      </c>
      <c r="I1864" t="s">
        <v>900</v>
      </c>
      <c r="J1864" t="s">
        <v>747</v>
      </c>
      <c r="K1864" t="s">
        <v>331</v>
      </c>
      <c r="L1864" t="s">
        <v>22</v>
      </c>
      <c r="M1864">
        <v>25</v>
      </c>
      <c r="N1864" t="s">
        <v>37</v>
      </c>
      <c r="O1864">
        <v>222</v>
      </c>
      <c r="P1864">
        <v>1</v>
      </c>
      <c r="Q1864">
        <v>1290.95</v>
      </c>
      <c r="R1864" s="4">
        <v>45600</v>
      </c>
      <c r="S1864" s="6">
        <v>0.33891203703703704</v>
      </c>
      <c r="T1864">
        <f t="shared" si="118"/>
        <v>17</v>
      </c>
      <c r="U1864" t="str" cm="1">
        <f t="array" ref="U1864">_xlfn.IFS(M1864&lt;=34,"YOUNG",M1864&lt;=54,"MIDDLE AGE",M1864&gt;=55,"OLD")</f>
        <v>YOUNG</v>
      </c>
      <c r="V1864" t="str">
        <f t="shared" si="119"/>
        <v>NORMAL</v>
      </c>
    </row>
    <row r="1865" spans="1:22" x14ac:dyDescent="0.35">
      <c r="A1865" t="s">
        <v>3728</v>
      </c>
      <c r="B1865" t="s">
        <v>2532</v>
      </c>
      <c r="C1865">
        <v>103.48</v>
      </c>
      <c r="D1865" s="1">
        <v>44956.669641203705</v>
      </c>
      <c r="E1865" s="2">
        <f t="shared" si="116"/>
        <v>0.66964120370539604</v>
      </c>
      <c r="F1865" s="3">
        <f t="shared" si="117"/>
        <v>44956</v>
      </c>
      <c r="G1865" t="s">
        <v>17</v>
      </c>
      <c r="H1865" t="s">
        <v>197</v>
      </c>
      <c r="I1865" t="s">
        <v>1148</v>
      </c>
      <c r="J1865" t="s">
        <v>2864</v>
      </c>
      <c r="K1865" t="s">
        <v>312</v>
      </c>
      <c r="L1865" t="s">
        <v>22</v>
      </c>
      <c r="M1865">
        <v>32</v>
      </c>
      <c r="N1865" t="s">
        <v>77</v>
      </c>
      <c r="O1865">
        <v>33</v>
      </c>
      <c r="P1865">
        <v>1</v>
      </c>
      <c r="Q1865">
        <v>6494.25</v>
      </c>
      <c r="R1865" s="4">
        <v>45600</v>
      </c>
      <c r="S1865" s="6">
        <v>0.33997685185185184</v>
      </c>
      <c r="T1865">
        <f t="shared" si="118"/>
        <v>16</v>
      </c>
      <c r="U1865" t="str" cm="1">
        <f t="array" ref="U1865">_xlfn.IFS(M1865&lt;=34,"YOUNG",M1865&lt;=54,"MIDDLE AGE",M1865&gt;=55,"OLD")</f>
        <v>YOUNG</v>
      </c>
      <c r="V1865" t="str">
        <f t="shared" si="119"/>
        <v>NORMAL</v>
      </c>
    </row>
    <row r="1866" spans="1:22" x14ac:dyDescent="0.35">
      <c r="A1866" t="s">
        <v>3729</v>
      </c>
      <c r="B1866" t="s">
        <v>2024</v>
      </c>
      <c r="C1866">
        <v>156.74</v>
      </c>
      <c r="D1866" s="1">
        <v>44981.765636574077</v>
      </c>
      <c r="E1866" s="2">
        <f t="shared" si="116"/>
        <v>0.76563657407677965</v>
      </c>
      <c r="F1866" s="3">
        <f t="shared" si="117"/>
        <v>44981</v>
      </c>
      <c r="G1866" t="s">
        <v>17</v>
      </c>
      <c r="H1866" t="s">
        <v>53</v>
      </c>
      <c r="I1866" t="s">
        <v>807</v>
      </c>
      <c r="J1866" t="s">
        <v>623</v>
      </c>
      <c r="K1866" t="s">
        <v>752</v>
      </c>
      <c r="L1866" t="s">
        <v>22</v>
      </c>
      <c r="M1866">
        <v>70</v>
      </c>
      <c r="N1866" t="s">
        <v>70</v>
      </c>
      <c r="O1866">
        <v>136</v>
      </c>
      <c r="P1866">
        <v>1</v>
      </c>
      <c r="Q1866">
        <v>4004.35</v>
      </c>
      <c r="R1866" s="4">
        <v>45600</v>
      </c>
      <c r="S1866" s="6">
        <v>0.33923611111111113</v>
      </c>
      <c r="T1866">
        <f t="shared" si="118"/>
        <v>18</v>
      </c>
      <c r="U1866" t="str" cm="1">
        <f t="array" ref="U1866">_xlfn.IFS(M1866&lt;=34,"YOUNG",M1866&lt;=54,"MIDDLE AGE",M1866&gt;=55,"OLD")</f>
        <v>OLD</v>
      </c>
      <c r="V1866" t="str">
        <f t="shared" si="119"/>
        <v>NORMAL</v>
      </c>
    </row>
    <row r="1867" spans="1:22" x14ac:dyDescent="0.35">
      <c r="A1867" t="s">
        <v>3730</v>
      </c>
      <c r="B1867" t="s">
        <v>16</v>
      </c>
      <c r="C1867">
        <v>505.14</v>
      </c>
      <c r="D1867" s="1">
        <v>44929.731874999998</v>
      </c>
      <c r="E1867" s="2">
        <f t="shared" si="116"/>
        <v>0.73187499999767169</v>
      </c>
      <c r="F1867" s="3">
        <f t="shared" si="117"/>
        <v>44929</v>
      </c>
      <c r="G1867" t="s">
        <v>17</v>
      </c>
      <c r="H1867" t="s">
        <v>595</v>
      </c>
      <c r="I1867" t="s">
        <v>1924</v>
      </c>
      <c r="J1867" t="s">
        <v>1797</v>
      </c>
      <c r="K1867" t="s">
        <v>707</v>
      </c>
      <c r="L1867" t="s">
        <v>22</v>
      </c>
      <c r="M1867">
        <v>68</v>
      </c>
      <c r="N1867" t="s">
        <v>70</v>
      </c>
      <c r="O1867">
        <v>179</v>
      </c>
      <c r="P1867">
        <v>1</v>
      </c>
      <c r="Q1867">
        <v>2525.4699999999998</v>
      </c>
      <c r="R1867" s="4">
        <v>45600</v>
      </c>
      <c r="S1867" s="6">
        <v>0.34115740740740741</v>
      </c>
      <c r="T1867">
        <f t="shared" si="118"/>
        <v>17</v>
      </c>
      <c r="U1867" t="str" cm="1">
        <f t="array" ref="U1867">_xlfn.IFS(M1867&lt;=34,"YOUNG",M1867&lt;=54,"MIDDLE AGE",M1867&gt;=55,"OLD")</f>
        <v>OLD</v>
      </c>
      <c r="V1867" t="str">
        <f t="shared" si="119"/>
        <v>NORMAL</v>
      </c>
    </row>
    <row r="1868" spans="1:22" x14ac:dyDescent="0.35">
      <c r="A1868" t="s">
        <v>3731</v>
      </c>
      <c r="B1868" t="s">
        <v>1044</v>
      </c>
      <c r="C1868">
        <v>31.06</v>
      </c>
      <c r="D1868" s="1">
        <v>45250.707789351851</v>
      </c>
      <c r="E1868" s="2">
        <f t="shared" si="116"/>
        <v>0.70778935185080627</v>
      </c>
      <c r="F1868" s="3">
        <f t="shared" si="117"/>
        <v>45250</v>
      </c>
      <c r="G1868" t="s">
        <v>17</v>
      </c>
      <c r="H1868" t="s">
        <v>291</v>
      </c>
      <c r="I1868" t="s">
        <v>48</v>
      </c>
      <c r="J1868" t="s">
        <v>1127</v>
      </c>
      <c r="K1868" t="s">
        <v>831</v>
      </c>
      <c r="L1868" t="s">
        <v>22</v>
      </c>
      <c r="M1868">
        <v>46</v>
      </c>
      <c r="N1868" t="s">
        <v>23</v>
      </c>
      <c r="O1868">
        <v>61</v>
      </c>
      <c r="P1868">
        <v>1</v>
      </c>
      <c r="Q1868">
        <v>11014.25</v>
      </c>
      <c r="R1868" s="4">
        <v>45600</v>
      </c>
      <c r="S1868" s="6">
        <v>0.33847222222222223</v>
      </c>
      <c r="T1868">
        <f t="shared" si="118"/>
        <v>16</v>
      </c>
      <c r="U1868" t="str" cm="1">
        <f t="array" ref="U1868">_xlfn.IFS(M1868&lt;=34,"YOUNG",M1868&lt;=54,"MIDDLE AGE",M1868&gt;=55,"OLD")</f>
        <v>MIDDLE AGE</v>
      </c>
      <c r="V1868" t="str">
        <f t="shared" si="119"/>
        <v>NORMAL</v>
      </c>
    </row>
    <row r="1869" spans="1:22" x14ac:dyDescent="0.35">
      <c r="A1869" t="s">
        <v>3732</v>
      </c>
      <c r="B1869" t="s">
        <v>1696</v>
      </c>
      <c r="C1869">
        <v>7.61</v>
      </c>
      <c r="D1869" s="1">
        <v>45190.759467592594</v>
      </c>
      <c r="E1869" s="2">
        <f t="shared" si="116"/>
        <v>0.75946759259386454</v>
      </c>
      <c r="F1869" s="3">
        <f t="shared" si="117"/>
        <v>45190</v>
      </c>
      <c r="G1869" t="s">
        <v>17</v>
      </c>
      <c r="H1869" t="s">
        <v>47</v>
      </c>
      <c r="I1869" t="s">
        <v>902</v>
      </c>
      <c r="J1869" t="s">
        <v>897</v>
      </c>
      <c r="K1869" t="s">
        <v>154</v>
      </c>
      <c r="L1869" t="s">
        <v>22</v>
      </c>
      <c r="M1869">
        <v>50</v>
      </c>
      <c r="N1869" t="s">
        <v>23</v>
      </c>
      <c r="O1869">
        <v>163</v>
      </c>
      <c r="P1869">
        <v>1</v>
      </c>
      <c r="Q1869">
        <v>6275</v>
      </c>
      <c r="R1869" s="4">
        <v>45600</v>
      </c>
      <c r="S1869" s="6">
        <v>0.33900462962962963</v>
      </c>
      <c r="T1869">
        <f t="shared" si="118"/>
        <v>18</v>
      </c>
      <c r="U1869" t="str" cm="1">
        <f t="array" ref="U1869">_xlfn.IFS(M1869&lt;=34,"YOUNG",M1869&lt;=54,"MIDDLE AGE",M1869&gt;=55,"OLD")</f>
        <v>MIDDLE AGE</v>
      </c>
      <c r="V1869" t="str">
        <f t="shared" si="119"/>
        <v>NORMAL</v>
      </c>
    </row>
    <row r="1870" spans="1:22" x14ac:dyDescent="0.35">
      <c r="A1870" t="s">
        <v>3733</v>
      </c>
      <c r="B1870" t="s">
        <v>2637</v>
      </c>
      <c r="C1870">
        <v>276.16000000000003</v>
      </c>
      <c r="D1870" s="1">
        <v>44970.676585648151</v>
      </c>
      <c r="E1870" s="2">
        <f t="shared" si="116"/>
        <v>0.67658564815064892</v>
      </c>
      <c r="F1870" s="3">
        <f t="shared" si="117"/>
        <v>44970</v>
      </c>
      <c r="G1870" t="s">
        <v>46</v>
      </c>
      <c r="H1870" t="s">
        <v>595</v>
      </c>
      <c r="I1870" t="s">
        <v>1697</v>
      </c>
      <c r="J1870" t="s">
        <v>1772</v>
      </c>
      <c r="K1870" t="s">
        <v>62</v>
      </c>
      <c r="L1870" t="s">
        <v>22</v>
      </c>
      <c r="M1870">
        <v>53</v>
      </c>
      <c r="N1870" t="s">
        <v>70</v>
      </c>
      <c r="O1870">
        <v>71</v>
      </c>
      <c r="P1870">
        <v>1</v>
      </c>
      <c r="Q1870">
        <v>1733.34</v>
      </c>
      <c r="R1870" s="4">
        <v>45600</v>
      </c>
      <c r="S1870" s="6">
        <v>0.34163194444444445</v>
      </c>
      <c r="T1870">
        <f t="shared" si="118"/>
        <v>16</v>
      </c>
      <c r="U1870" t="str" cm="1">
        <f t="array" ref="U1870">_xlfn.IFS(M1870&lt;=34,"YOUNG",M1870&lt;=54,"MIDDLE AGE",M1870&gt;=55,"OLD")</f>
        <v>MIDDLE AGE</v>
      </c>
      <c r="V1870" t="str">
        <f t="shared" si="119"/>
        <v>NORMAL</v>
      </c>
    </row>
    <row r="1871" spans="1:22" x14ac:dyDescent="0.35">
      <c r="A1871" t="s">
        <v>3734</v>
      </c>
      <c r="B1871" t="s">
        <v>550</v>
      </c>
      <c r="C1871">
        <v>145.77000000000001</v>
      </c>
      <c r="D1871" s="1">
        <v>45021.672372685185</v>
      </c>
      <c r="E1871" s="2">
        <f t="shared" si="116"/>
        <v>0.67237268518510973</v>
      </c>
      <c r="F1871" s="3">
        <f t="shared" si="117"/>
        <v>45021</v>
      </c>
      <c r="G1871" t="s">
        <v>17</v>
      </c>
      <c r="H1871" t="s">
        <v>92</v>
      </c>
      <c r="I1871" t="s">
        <v>1640</v>
      </c>
      <c r="J1871" t="s">
        <v>3074</v>
      </c>
      <c r="K1871" t="s">
        <v>143</v>
      </c>
      <c r="L1871" t="s">
        <v>22</v>
      </c>
      <c r="M1871">
        <v>68</v>
      </c>
      <c r="N1871" t="s">
        <v>70</v>
      </c>
      <c r="O1871">
        <v>237</v>
      </c>
      <c r="P1871">
        <v>1</v>
      </c>
      <c r="Q1871">
        <v>5294.98</v>
      </c>
      <c r="R1871" s="4">
        <v>45600</v>
      </c>
      <c r="S1871" s="6">
        <v>0.34126157407407409</v>
      </c>
      <c r="T1871">
        <f t="shared" si="118"/>
        <v>16</v>
      </c>
      <c r="U1871" t="str" cm="1">
        <f t="array" ref="U1871">_xlfn.IFS(M1871&lt;=34,"YOUNG",M1871&lt;=54,"MIDDLE AGE",M1871&gt;=55,"OLD")</f>
        <v>OLD</v>
      </c>
      <c r="V1871" t="str">
        <f t="shared" si="119"/>
        <v>NORMAL</v>
      </c>
    </row>
    <row r="1872" spans="1:22" x14ac:dyDescent="0.35">
      <c r="A1872" t="s">
        <v>3735</v>
      </c>
      <c r="B1872" t="s">
        <v>274</v>
      </c>
      <c r="C1872">
        <v>369.44</v>
      </c>
      <c r="D1872" s="1">
        <v>45250.715995370374</v>
      </c>
      <c r="E1872" s="2">
        <f t="shared" si="116"/>
        <v>0.71599537037400296</v>
      </c>
      <c r="F1872" s="3">
        <f t="shared" si="117"/>
        <v>45250</v>
      </c>
      <c r="G1872" t="s">
        <v>17</v>
      </c>
      <c r="H1872" t="s">
        <v>73</v>
      </c>
      <c r="I1872" t="s">
        <v>3197</v>
      </c>
      <c r="J1872" t="s">
        <v>3605</v>
      </c>
      <c r="K1872" t="s">
        <v>209</v>
      </c>
      <c r="L1872" t="s">
        <v>36</v>
      </c>
      <c r="M1872">
        <v>34</v>
      </c>
      <c r="N1872" t="s">
        <v>77</v>
      </c>
      <c r="O1872">
        <v>19</v>
      </c>
      <c r="P1872">
        <v>1</v>
      </c>
      <c r="Q1872">
        <v>5018.67</v>
      </c>
      <c r="R1872" s="4">
        <v>45600</v>
      </c>
      <c r="S1872" s="6">
        <v>0.33925925925925926</v>
      </c>
      <c r="T1872">
        <f t="shared" si="118"/>
        <v>17</v>
      </c>
      <c r="U1872" t="str" cm="1">
        <f t="array" ref="U1872">_xlfn.IFS(M1872&lt;=34,"YOUNG",M1872&lt;=54,"MIDDLE AGE",M1872&gt;=55,"OLD")</f>
        <v>YOUNG</v>
      </c>
      <c r="V1872" t="str">
        <f t="shared" si="119"/>
        <v>NORMAL</v>
      </c>
    </row>
    <row r="1873" spans="1:22" x14ac:dyDescent="0.35">
      <c r="A1873" t="s">
        <v>3736</v>
      </c>
      <c r="B1873" t="s">
        <v>1343</v>
      </c>
      <c r="C1873">
        <v>558.86</v>
      </c>
      <c r="D1873" s="1">
        <v>45000.727511574078</v>
      </c>
      <c r="E1873" s="2">
        <f t="shared" si="116"/>
        <v>0.72751157407765277</v>
      </c>
      <c r="F1873" s="3">
        <f t="shared" si="117"/>
        <v>45000</v>
      </c>
      <c r="G1873" t="s">
        <v>17</v>
      </c>
      <c r="H1873" t="s">
        <v>119</v>
      </c>
      <c r="I1873" t="s">
        <v>1305</v>
      </c>
      <c r="J1873" t="s">
        <v>401</v>
      </c>
      <c r="K1873" t="s">
        <v>143</v>
      </c>
      <c r="L1873" t="s">
        <v>22</v>
      </c>
      <c r="M1873">
        <v>60</v>
      </c>
      <c r="N1873" t="s">
        <v>23</v>
      </c>
      <c r="O1873">
        <v>95</v>
      </c>
      <c r="P1873">
        <v>1</v>
      </c>
      <c r="Q1873">
        <v>9844.32</v>
      </c>
      <c r="R1873" s="4">
        <v>45600</v>
      </c>
      <c r="S1873" s="6">
        <v>0.34119212962962964</v>
      </c>
      <c r="T1873">
        <f t="shared" si="118"/>
        <v>17</v>
      </c>
      <c r="U1873" t="str" cm="1">
        <f t="array" ref="U1873">_xlfn.IFS(M1873&lt;=34,"YOUNG",M1873&lt;=54,"MIDDLE AGE",M1873&gt;=55,"OLD")</f>
        <v>OLD</v>
      </c>
      <c r="V1873" t="str">
        <f t="shared" si="119"/>
        <v>NORMAL</v>
      </c>
    </row>
    <row r="1874" spans="1:22" x14ac:dyDescent="0.35">
      <c r="A1874" t="s">
        <v>3737</v>
      </c>
      <c r="B1874" t="s">
        <v>629</v>
      </c>
      <c r="C1874">
        <v>429.15</v>
      </c>
      <c r="D1874" s="1">
        <v>44994.681354166663</v>
      </c>
      <c r="E1874" s="2">
        <f t="shared" si="116"/>
        <v>0.68135416666336823</v>
      </c>
      <c r="F1874" s="3">
        <f t="shared" si="117"/>
        <v>44994</v>
      </c>
      <c r="G1874" t="s">
        <v>17</v>
      </c>
      <c r="H1874" t="s">
        <v>146</v>
      </c>
      <c r="I1874" t="s">
        <v>2811</v>
      </c>
      <c r="J1874" t="s">
        <v>1127</v>
      </c>
      <c r="K1874" t="s">
        <v>56</v>
      </c>
      <c r="L1874" t="s">
        <v>69</v>
      </c>
      <c r="M1874">
        <v>26</v>
      </c>
      <c r="N1874" t="s">
        <v>37</v>
      </c>
      <c r="O1874">
        <v>218</v>
      </c>
      <c r="P1874">
        <v>1</v>
      </c>
      <c r="Q1874">
        <v>712.13</v>
      </c>
      <c r="R1874" s="4">
        <v>45600</v>
      </c>
      <c r="S1874" s="6">
        <v>0.34131944444444445</v>
      </c>
      <c r="T1874">
        <f t="shared" si="118"/>
        <v>16</v>
      </c>
      <c r="U1874" t="str" cm="1">
        <f t="array" ref="U1874">_xlfn.IFS(M1874&lt;=34,"YOUNG",M1874&lt;=54,"MIDDLE AGE",M1874&gt;=55,"OLD")</f>
        <v>YOUNG</v>
      </c>
      <c r="V1874" t="str">
        <f t="shared" si="119"/>
        <v>NORMAL</v>
      </c>
    </row>
    <row r="1875" spans="1:22" x14ac:dyDescent="0.35">
      <c r="A1875" t="s">
        <v>3738</v>
      </c>
      <c r="B1875" t="s">
        <v>986</v>
      </c>
      <c r="C1875">
        <v>36.74</v>
      </c>
      <c r="D1875" s="1">
        <v>44963.723344907405</v>
      </c>
      <c r="E1875" s="2">
        <f t="shared" si="116"/>
        <v>0.72334490740468027</v>
      </c>
      <c r="F1875" s="3">
        <f t="shared" si="117"/>
        <v>44963</v>
      </c>
      <c r="G1875" t="s">
        <v>17</v>
      </c>
      <c r="H1875" t="s">
        <v>255</v>
      </c>
      <c r="I1875" t="s">
        <v>3739</v>
      </c>
      <c r="J1875" t="s">
        <v>1657</v>
      </c>
      <c r="K1875" t="s">
        <v>209</v>
      </c>
      <c r="L1875" t="s">
        <v>69</v>
      </c>
      <c r="M1875">
        <v>33</v>
      </c>
      <c r="N1875" t="s">
        <v>23</v>
      </c>
      <c r="O1875">
        <v>133</v>
      </c>
      <c r="P1875">
        <v>1</v>
      </c>
      <c r="Q1875">
        <v>6217.58</v>
      </c>
      <c r="R1875" s="4">
        <v>45600</v>
      </c>
      <c r="S1875" s="6">
        <v>0.33885416666666668</v>
      </c>
      <c r="T1875">
        <f t="shared" si="118"/>
        <v>17</v>
      </c>
      <c r="U1875" t="str" cm="1">
        <f t="array" ref="U1875">_xlfn.IFS(M1875&lt;=34,"YOUNG",M1875&lt;=54,"MIDDLE AGE",M1875&gt;=55,"OLD")</f>
        <v>YOUNG</v>
      </c>
      <c r="V1875" t="str">
        <f t="shared" si="119"/>
        <v>NORMAL</v>
      </c>
    </row>
    <row r="1876" spans="1:22" x14ac:dyDescent="0.35">
      <c r="A1876" t="s">
        <v>3740</v>
      </c>
      <c r="B1876" t="s">
        <v>817</v>
      </c>
      <c r="C1876">
        <v>79.14</v>
      </c>
      <c r="D1876" s="1">
        <v>45028.723275462966</v>
      </c>
      <c r="E1876" s="2">
        <f t="shared" si="116"/>
        <v>0.72327546296583023</v>
      </c>
      <c r="F1876" s="3">
        <f t="shared" si="117"/>
        <v>45028</v>
      </c>
      <c r="G1876" t="s">
        <v>46</v>
      </c>
      <c r="H1876" t="s">
        <v>595</v>
      </c>
      <c r="I1876" t="s">
        <v>633</v>
      </c>
      <c r="J1876" t="s">
        <v>2402</v>
      </c>
      <c r="K1876" t="s">
        <v>885</v>
      </c>
      <c r="L1876" t="s">
        <v>36</v>
      </c>
      <c r="M1876">
        <v>57</v>
      </c>
      <c r="N1876" t="s">
        <v>70</v>
      </c>
      <c r="O1876">
        <v>22</v>
      </c>
      <c r="P1876">
        <v>1</v>
      </c>
      <c r="Q1876">
        <v>2229.56</v>
      </c>
      <c r="R1876" s="4">
        <v>45600</v>
      </c>
      <c r="S1876" s="6">
        <v>0.33949074074074076</v>
      </c>
      <c r="T1876">
        <f t="shared" si="118"/>
        <v>17</v>
      </c>
      <c r="U1876" t="str" cm="1">
        <f t="array" ref="U1876">_xlfn.IFS(M1876&lt;=34,"YOUNG",M1876&lt;=54,"MIDDLE AGE",M1876&gt;=55,"OLD")</f>
        <v>OLD</v>
      </c>
      <c r="V1876" t="str">
        <f t="shared" si="119"/>
        <v>NORMAL</v>
      </c>
    </row>
    <row r="1877" spans="1:22" x14ac:dyDescent="0.35">
      <c r="A1877" t="s">
        <v>3741</v>
      </c>
      <c r="B1877" t="s">
        <v>1874</v>
      </c>
      <c r="C1877">
        <v>132.47999999999999</v>
      </c>
      <c r="D1877" s="1">
        <v>45147.776956018519</v>
      </c>
      <c r="E1877" s="2">
        <f t="shared" si="116"/>
        <v>0.77695601851883112</v>
      </c>
      <c r="F1877" s="3">
        <f t="shared" si="117"/>
        <v>45147</v>
      </c>
      <c r="G1877" t="s">
        <v>17</v>
      </c>
      <c r="H1877" t="s">
        <v>249</v>
      </c>
      <c r="I1877" t="s">
        <v>426</v>
      </c>
      <c r="J1877" t="s">
        <v>547</v>
      </c>
      <c r="K1877" t="s">
        <v>619</v>
      </c>
      <c r="L1877" t="s">
        <v>69</v>
      </c>
      <c r="M1877">
        <v>36</v>
      </c>
      <c r="N1877" t="s">
        <v>77</v>
      </c>
      <c r="O1877">
        <v>101</v>
      </c>
      <c r="P1877">
        <v>1</v>
      </c>
      <c r="Q1877">
        <v>9313.0499999999993</v>
      </c>
      <c r="R1877" s="4">
        <v>45600</v>
      </c>
      <c r="S1877" s="6">
        <v>0.33833333333333332</v>
      </c>
      <c r="T1877">
        <f t="shared" si="118"/>
        <v>18</v>
      </c>
      <c r="U1877" t="str" cm="1">
        <f t="array" ref="U1877">_xlfn.IFS(M1877&lt;=34,"YOUNG",M1877&lt;=54,"MIDDLE AGE",M1877&gt;=55,"OLD")</f>
        <v>MIDDLE AGE</v>
      </c>
      <c r="V1877" t="str">
        <f t="shared" si="119"/>
        <v>NORMAL</v>
      </c>
    </row>
    <row r="1878" spans="1:22" x14ac:dyDescent="0.35">
      <c r="A1878" t="s">
        <v>3742</v>
      </c>
      <c r="B1878" t="s">
        <v>2345</v>
      </c>
      <c r="C1878">
        <v>136.47999999999999</v>
      </c>
      <c r="D1878" s="1">
        <v>45152.698912037034</v>
      </c>
      <c r="E1878" s="2">
        <f t="shared" si="116"/>
        <v>0.69891203703446081</v>
      </c>
      <c r="F1878" s="3">
        <f t="shared" si="117"/>
        <v>45152</v>
      </c>
      <c r="G1878" t="s">
        <v>17</v>
      </c>
      <c r="H1878" t="s">
        <v>249</v>
      </c>
      <c r="I1878" t="s">
        <v>1809</v>
      </c>
      <c r="J1878" t="s">
        <v>1225</v>
      </c>
      <c r="K1878" t="s">
        <v>1281</v>
      </c>
      <c r="L1878" t="s">
        <v>36</v>
      </c>
      <c r="M1878">
        <v>52</v>
      </c>
      <c r="N1878" t="s">
        <v>77</v>
      </c>
      <c r="O1878">
        <v>138</v>
      </c>
      <c r="P1878">
        <v>4</v>
      </c>
      <c r="Q1878">
        <v>4618.53</v>
      </c>
      <c r="R1878" s="4">
        <v>45600</v>
      </c>
      <c r="S1878" s="6">
        <v>0.34</v>
      </c>
      <c r="T1878">
        <f t="shared" si="118"/>
        <v>16</v>
      </c>
      <c r="U1878" t="str" cm="1">
        <f t="array" ref="U1878">_xlfn.IFS(M1878&lt;=34,"YOUNG",M1878&lt;=54,"MIDDLE AGE",M1878&gt;=55,"OLD")</f>
        <v>MIDDLE AGE</v>
      </c>
      <c r="V1878" t="str">
        <f t="shared" si="119"/>
        <v>HIGH</v>
      </c>
    </row>
    <row r="1879" spans="1:22" x14ac:dyDescent="0.35">
      <c r="A1879" t="s">
        <v>3743</v>
      </c>
      <c r="B1879" t="s">
        <v>134</v>
      </c>
      <c r="C1879">
        <v>203.76</v>
      </c>
      <c r="D1879" s="1">
        <v>45201.689687500002</v>
      </c>
      <c r="E1879" s="2">
        <f t="shared" si="116"/>
        <v>0.68968750000203727</v>
      </c>
      <c r="F1879" s="3">
        <f t="shared" si="117"/>
        <v>45201</v>
      </c>
      <c r="G1879" t="s">
        <v>17</v>
      </c>
      <c r="H1879" t="s">
        <v>521</v>
      </c>
      <c r="I1879" t="s">
        <v>1941</v>
      </c>
      <c r="J1879" t="s">
        <v>2718</v>
      </c>
      <c r="K1879" t="s">
        <v>445</v>
      </c>
      <c r="L1879" t="s">
        <v>69</v>
      </c>
      <c r="M1879">
        <v>55</v>
      </c>
      <c r="N1879" t="s">
        <v>70</v>
      </c>
      <c r="O1879">
        <v>37</v>
      </c>
      <c r="P1879">
        <v>1</v>
      </c>
      <c r="Q1879">
        <v>6747.16</v>
      </c>
      <c r="R1879" s="4">
        <v>45600</v>
      </c>
      <c r="S1879" s="6">
        <v>0.34010416666666665</v>
      </c>
      <c r="T1879">
        <f t="shared" si="118"/>
        <v>16</v>
      </c>
      <c r="U1879" t="str" cm="1">
        <f t="array" ref="U1879">_xlfn.IFS(M1879&lt;=34,"YOUNG",M1879&lt;=54,"MIDDLE AGE",M1879&gt;=55,"OLD")</f>
        <v>OLD</v>
      </c>
      <c r="V1879" t="str">
        <f t="shared" si="119"/>
        <v>NORMAL</v>
      </c>
    </row>
    <row r="1880" spans="1:22" x14ac:dyDescent="0.35">
      <c r="A1880" t="s">
        <v>3744</v>
      </c>
      <c r="B1880" t="s">
        <v>839</v>
      </c>
      <c r="C1880">
        <v>750.95</v>
      </c>
      <c r="D1880" s="1">
        <v>45177.761469907404</v>
      </c>
      <c r="E1880" s="2">
        <f t="shared" si="116"/>
        <v>0.76146990740380716</v>
      </c>
      <c r="F1880" s="3">
        <f t="shared" si="117"/>
        <v>45177</v>
      </c>
      <c r="G1880" t="s">
        <v>17</v>
      </c>
      <c r="H1880" t="s">
        <v>265</v>
      </c>
      <c r="I1880" t="s">
        <v>960</v>
      </c>
      <c r="J1880" t="s">
        <v>1701</v>
      </c>
      <c r="K1880" t="s">
        <v>740</v>
      </c>
      <c r="L1880" t="s">
        <v>69</v>
      </c>
      <c r="M1880">
        <v>78</v>
      </c>
      <c r="N1880" t="s">
        <v>70</v>
      </c>
      <c r="O1880">
        <v>27</v>
      </c>
      <c r="P1880">
        <v>1</v>
      </c>
      <c r="Q1880">
        <v>5134.37</v>
      </c>
      <c r="R1880" s="4">
        <v>45600</v>
      </c>
      <c r="S1880" s="6">
        <v>0.34107638888888892</v>
      </c>
      <c r="T1880">
        <f t="shared" si="118"/>
        <v>18</v>
      </c>
      <c r="U1880" t="str" cm="1">
        <f t="array" ref="U1880">_xlfn.IFS(M1880&lt;=34,"YOUNG",M1880&lt;=54,"MIDDLE AGE",M1880&gt;=55,"OLD")</f>
        <v>OLD</v>
      </c>
      <c r="V1880" t="str">
        <f t="shared" si="119"/>
        <v>NORMAL</v>
      </c>
    </row>
    <row r="1881" spans="1:22" x14ac:dyDescent="0.35">
      <c r="A1881" t="s">
        <v>3745</v>
      </c>
      <c r="B1881" t="s">
        <v>367</v>
      </c>
      <c r="C1881">
        <v>0.84</v>
      </c>
      <c r="D1881" s="1">
        <v>45292.698564814818</v>
      </c>
      <c r="E1881" s="2">
        <f t="shared" si="116"/>
        <v>0.69856481481838273</v>
      </c>
      <c r="F1881" s="3">
        <f t="shared" si="117"/>
        <v>45292</v>
      </c>
      <c r="G1881" t="s">
        <v>17</v>
      </c>
      <c r="H1881" t="s">
        <v>119</v>
      </c>
      <c r="I1881" t="s">
        <v>2437</v>
      </c>
      <c r="J1881" t="s">
        <v>2416</v>
      </c>
      <c r="K1881" t="s">
        <v>308</v>
      </c>
      <c r="L1881" t="s">
        <v>22</v>
      </c>
      <c r="M1881">
        <v>52</v>
      </c>
      <c r="N1881" t="s">
        <v>77</v>
      </c>
      <c r="O1881">
        <v>31</v>
      </c>
      <c r="P1881">
        <v>1</v>
      </c>
      <c r="Q1881">
        <v>2207.54</v>
      </c>
      <c r="R1881" s="4">
        <v>45600</v>
      </c>
      <c r="S1881" s="6">
        <v>0.33835648148148151</v>
      </c>
      <c r="T1881">
        <f t="shared" si="118"/>
        <v>16</v>
      </c>
      <c r="U1881" t="str" cm="1">
        <f t="array" ref="U1881">_xlfn.IFS(M1881&lt;=34,"YOUNG",M1881&lt;=54,"MIDDLE AGE",M1881&gt;=55,"OLD")</f>
        <v>MIDDLE AGE</v>
      </c>
      <c r="V1881" t="str">
        <f t="shared" si="119"/>
        <v>NORMAL</v>
      </c>
    </row>
    <row r="1882" spans="1:22" x14ac:dyDescent="0.35">
      <c r="A1882" t="s">
        <v>3746</v>
      </c>
      <c r="B1882" t="s">
        <v>1044</v>
      </c>
      <c r="C1882">
        <v>257.18</v>
      </c>
      <c r="D1882" s="1">
        <v>45117.708368055559</v>
      </c>
      <c r="E1882" s="2">
        <f t="shared" si="116"/>
        <v>0.70836805555882165</v>
      </c>
      <c r="F1882" s="3">
        <f t="shared" si="117"/>
        <v>45117</v>
      </c>
      <c r="G1882" t="s">
        <v>17</v>
      </c>
      <c r="H1882" t="s">
        <v>140</v>
      </c>
      <c r="I1882" t="s">
        <v>1771</v>
      </c>
      <c r="J1882" t="s">
        <v>2725</v>
      </c>
      <c r="K1882" t="s">
        <v>752</v>
      </c>
      <c r="L1882" t="s">
        <v>36</v>
      </c>
      <c r="M1882">
        <v>67</v>
      </c>
      <c r="N1882" t="s">
        <v>23</v>
      </c>
      <c r="O1882">
        <v>28</v>
      </c>
      <c r="P1882">
        <v>1</v>
      </c>
      <c r="Q1882">
        <v>13336.15</v>
      </c>
      <c r="R1882" s="4">
        <v>45600</v>
      </c>
      <c r="S1882" s="6">
        <v>0.34045138888888887</v>
      </c>
      <c r="T1882">
        <f t="shared" si="118"/>
        <v>17</v>
      </c>
      <c r="U1882" t="str" cm="1">
        <f t="array" ref="U1882">_xlfn.IFS(M1882&lt;=34,"YOUNG",M1882&lt;=54,"MIDDLE AGE",M1882&gt;=55,"OLD")</f>
        <v>OLD</v>
      </c>
      <c r="V1882" t="str">
        <f t="shared" si="119"/>
        <v>NORMAL</v>
      </c>
    </row>
    <row r="1883" spans="1:22" x14ac:dyDescent="0.35">
      <c r="A1883" t="s">
        <v>3747</v>
      </c>
      <c r="B1883" t="s">
        <v>1020</v>
      </c>
      <c r="C1883">
        <v>767.66</v>
      </c>
      <c r="D1883" s="1">
        <v>45054.739282407405</v>
      </c>
      <c r="E1883" s="2">
        <f t="shared" si="116"/>
        <v>0.73928240740497131</v>
      </c>
      <c r="F1883" s="3">
        <f t="shared" si="117"/>
        <v>45054</v>
      </c>
      <c r="G1883" t="s">
        <v>17</v>
      </c>
      <c r="H1883" t="s">
        <v>223</v>
      </c>
      <c r="I1883" t="s">
        <v>2428</v>
      </c>
      <c r="J1883" t="s">
        <v>3109</v>
      </c>
      <c r="K1883" t="s">
        <v>674</v>
      </c>
      <c r="L1883" t="s">
        <v>22</v>
      </c>
      <c r="M1883">
        <v>63</v>
      </c>
      <c r="N1883" t="s">
        <v>23</v>
      </c>
      <c r="O1883">
        <v>155</v>
      </c>
      <c r="P1883">
        <v>1</v>
      </c>
      <c r="Q1883">
        <v>1801.69</v>
      </c>
      <c r="R1883" s="4">
        <v>45600</v>
      </c>
      <c r="S1883" s="6">
        <v>0.34171296296296294</v>
      </c>
      <c r="T1883">
        <f t="shared" si="118"/>
        <v>17</v>
      </c>
      <c r="U1883" t="str" cm="1">
        <f t="array" ref="U1883">_xlfn.IFS(M1883&lt;=34,"YOUNG",M1883&lt;=54,"MIDDLE AGE",M1883&gt;=55,"OLD")</f>
        <v>OLD</v>
      </c>
      <c r="V1883" t="str">
        <f t="shared" si="119"/>
        <v>NORMAL</v>
      </c>
    </row>
    <row r="1884" spans="1:22" x14ac:dyDescent="0.35">
      <c r="A1884" t="s">
        <v>3748</v>
      </c>
      <c r="B1884" t="s">
        <v>617</v>
      </c>
      <c r="C1884">
        <v>182.29</v>
      </c>
      <c r="D1884" s="1">
        <v>45056.705520833333</v>
      </c>
      <c r="E1884" s="2">
        <f t="shared" si="116"/>
        <v>0.70552083333313931</v>
      </c>
      <c r="F1884" s="3">
        <f t="shared" si="117"/>
        <v>45056</v>
      </c>
      <c r="G1884" t="s">
        <v>17</v>
      </c>
      <c r="H1884" t="s">
        <v>18</v>
      </c>
      <c r="I1884" t="s">
        <v>2811</v>
      </c>
      <c r="J1884" t="s">
        <v>1887</v>
      </c>
      <c r="K1884" t="s">
        <v>418</v>
      </c>
      <c r="L1884" t="s">
        <v>36</v>
      </c>
      <c r="M1884">
        <v>54</v>
      </c>
      <c r="N1884" t="s">
        <v>23</v>
      </c>
      <c r="O1884">
        <v>123</v>
      </c>
      <c r="P1884">
        <v>1</v>
      </c>
      <c r="Q1884">
        <v>522.39</v>
      </c>
      <c r="R1884" s="4">
        <v>45600</v>
      </c>
      <c r="S1884" s="6">
        <v>0.33916666666666667</v>
      </c>
      <c r="T1884">
        <f t="shared" si="118"/>
        <v>16</v>
      </c>
      <c r="U1884" t="str" cm="1">
        <f t="array" ref="U1884">_xlfn.IFS(M1884&lt;=34,"YOUNG",M1884&lt;=54,"MIDDLE AGE",M1884&gt;=55,"OLD")</f>
        <v>MIDDLE AGE</v>
      </c>
      <c r="V1884" t="str">
        <f t="shared" si="119"/>
        <v>NORMAL</v>
      </c>
    </row>
    <row r="1885" spans="1:22" x14ac:dyDescent="0.35">
      <c r="A1885" t="s">
        <v>3749</v>
      </c>
      <c r="B1885" t="s">
        <v>2128</v>
      </c>
      <c r="C1885">
        <v>184.51</v>
      </c>
      <c r="D1885" s="1">
        <v>45173.690891203703</v>
      </c>
      <c r="E1885" s="2">
        <f t="shared" si="116"/>
        <v>0.69089120370335877</v>
      </c>
      <c r="F1885" s="3">
        <f t="shared" si="117"/>
        <v>45173</v>
      </c>
      <c r="G1885" t="s">
        <v>46</v>
      </c>
      <c r="H1885" t="s">
        <v>595</v>
      </c>
      <c r="I1885" t="s">
        <v>1386</v>
      </c>
      <c r="J1885" t="s">
        <v>1396</v>
      </c>
      <c r="K1885" t="s">
        <v>1037</v>
      </c>
      <c r="L1885" t="s">
        <v>36</v>
      </c>
      <c r="M1885">
        <v>54</v>
      </c>
      <c r="N1885" t="s">
        <v>23</v>
      </c>
      <c r="O1885">
        <v>118</v>
      </c>
      <c r="P1885">
        <v>1</v>
      </c>
      <c r="Q1885">
        <v>9381.64</v>
      </c>
      <c r="R1885" s="4">
        <v>45600</v>
      </c>
      <c r="S1885" s="6">
        <v>0.33993055555555557</v>
      </c>
      <c r="T1885">
        <f t="shared" si="118"/>
        <v>16</v>
      </c>
      <c r="U1885" t="str" cm="1">
        <f t="array" ref="U1885">_xlfn.IFS(M1885&lt;=34,"YOUNG",M1885&lt;=54,"MIDDLE AGE",M1885&gt;=55,"OLD")</f>
        <v>MIDDLE AGE</v>
      </c>
      <c r="V1885" t="str">
        <f t="shared" si="119"/>
        <v>NORMAL</v>
      </c>
    </row>
    <row r="1886" spans="1:22" x14ac:dyDescent="0.35">
      <c r="A1886" t="s">
        <v>3750</v>
      </c>
      <c r="B1886" t="s">
        <v>2024</v>
      </c>
      <c r="C1886">
        <v>451.31</v>
      </c>
      <c r="D1886" s="1">
        <v>45264.706701388888</v>
      </c>
      <c r="E1886" s="2">
        <f t="shared" si="116"/>
        <v>0.70670138888817746</v>
      </c>
      <c r="F1886" s="3">
        <f t="shared" si="117"/>
        <v>45264</v>
      </c>
      <c r="G1886" t="s">
        <v>17</v>
      </c>
      <c r="H1886" t="s">
        <v>157</v>
      </c>
      <c r="I1886" t="s">
        <v>1408</v>
      </c>
      <c r="J1886" t="s">
        <v>1850</v>
      </c>
      <c r="K1886" t="s">
        <v>246</v>
      </c>
      <c r="L1886" t="s">
        <v>22</v>
      </c>
      <c r="M1886">
        <v>62</v>
      </c>
      <c r="N1886" t="s">
        <v>70</v>
      </c>
      <c r="O1886">
        <v>166</v>
      </c>
      <c r="P1886">
        <v>5</v>
      </c>
      <c r="Q1886">
        <v>2963.29</v>
      </c>
      <c r="R1886" s="4">
        <v>45600</v>
      </c>
      <c r="S1886" s="6">
        <v>0.33863425925925927</v>
      </c>
      <c r="T1886">
        <f t="shared" si="118"/>
        <v>16</v>
      </c>
      <c r="U1886" t="str" cm="1">
        <f t="array" ref="U1886">_xlfn.IFS(M1886&lt;=34,"YOUNG",M1886&lt;=54,"MIDDLE AGE",M1886&gt;=55,"OLD")</f>
        <v>OLD</v>
      </c>
      <c r="V1886" t="str">
        <f t="shared" si="119"/>
        <v>HIGH</v>
      </c>
    </row>
    <row r="1887" spans="1:22" x14ac:dyDescent="0.35">
      <c r="A1887" t="s">
        <v>3751</v>
      </c>
      <c r="B1887" t="s">
        <v>781</v>
      </c>
      <c r="C1887">
        <v>144.1</v>
      </c>
      <c r="D1887" s="1">
        <v>45114.725486111114</v>
      </c>
      <c r="E1887" s="2">
        <f t="shared" si="116"/>
        <v>0.72548611111415084</v>
      </c>
      <c r="F1887" s="3">
        <f t="shared" si="117"/>
        <v>45114</v>
      </c>
      <c r="G1887" t="s">
        <v>17</v>
      </c>
      <c r="H1887" t="s">
        <v>265</v>
      </c>
      <c r="I1887" t="s">
        <v>939</v>
      </c>
      <c r="J1887" t="s">
        <v>230</v>
      </c>
      <c r="K1887" t="s">
        <v>149</v>
      </c>
      <c r="L1887" t="s">
        <v>69</v>
      </c>
      <c r="M1887">
        <v>57</v>
      </c>
      <c r="N1887" t="s">
        <v>23</v>
      </c>
      <c r="O1887">
        <v>30</v>
      </c>
      <c r="P1887">
        <v>1</v>
      </c>
      <c r="Q1887">
        <v>11523.64</v>
      </c>
      <c r="R1887" s="4">
        <v>45600</v>
      </c>
      <c r="S1887" s="6">
        <v>0.34031250000000002</v>
      </c>
      <c r="T1887">
        <f t="shared" si="118"/>
        <v>17</v>
      </c>
      <c r="U1887" t="str" cm="1">
        <f t="array" ref="U1887">_xlfn.IFS(M1887&lt;=34,"YOUNG",M1887&lt;=54,"MIDDLE AGE",M1887&gt;=55,"OLD")</f>
        <v>OLD</v>
      </c>
      <c r="V1887" t="str">
        <f t="shared" si="119"/>
        <v>NORMAL</v>
      </c>
    </row>
    <row r="1888" spans="1:22" x14ac:dyDescent="0.35">
      <c r="A1888" t="s">
        <v>3752</v>
      </c>
      <c r="B1888" t="s">
        <v>1057</v>
      </c>
      <c r="C1888">
        <v>72.5</v>
      </c>
      <c r="D1888" s="1">
        <v>45026.741875</v>
      </c>
      <c r="E1888" s="2">
        <f t="shared" si="116"/>
        <v>0.74187499999970896</v>
      </c>
      <c r="F1888" s="3">
        <f t="shared" si="117"/>
        <v>45026</v>
      </c>
      <c r="G1888" t="s">
        <v>17</v>
      </c>
      <c r="H1888" t="s">
        <v>157</v>
      </c>
      <c r="I1888" t="s">
        <v>1924</v>
      </c>
      <c r="J1888" t="s">
        <v>1246</v>
      </c>
      <c r="K1888" t="s">
        <v>200</v>
      </c>
      <c r="L1888" t="s">
        <v>22</v>
      </c>
      <c r="M1888">
        <v>40</v>
      </c>
      <c r="N1888" t="s">
        <v>23</v>
      </c>
      <c r="O1888">
        <v>30</v>
      </c>
      <c r="P1888">
        <v>1</v>
      </c>
      <c r="Q1888">
        <v>12723.62</v>
      </c>
      <c r="R1888" s="4">
        <v>45600</v>
      </c>
      <c r="S1888" s="6">
        <v>0.34152777777777776</v>
      </c>
      <c r="T1888">
        <f t="shared" si="118"/>
        <v>17</v>
      </c>
      <c r="U1888" t="str" cm="1">
        <f t="array" ref="U1888">_xlfn.IFS(M1888&lt;=34,"YOUNG",M1888&lt;=54,"MIDDLE AGE",M1888&gt;=55,"OLD")</f>
        <v>MIDDLE AGE</v>
      </c>
      <c r="V1888" t="str">
        <f t="shared" si="119"/>
        <v>NORMAL</v>
      </c>
    </row>
    <row r="1889" spans="1:22" x14ac:dyDescent="0.35">
      <c r="A1889" t="s">
        <v>3753</v>
      </c>
      <c r="B1889" t="s">
        <v>3754</v>
      </c>
      <c r="C1889">
        <v>74.11</v>
      </c>
      <c r="D1889" s="1">
        <v>45177.673437500001</v>
      </c>
      <c r="E1889" s="2">
        <f t="shared" si="116"/>
        <v>0.67343750000145519</v>
      </c>
      <c r="F1889" s="3">
        <f t="shared" si="117"/>
        <v>45177</v>
      </c>
      <c r="G1889" t="s">
        <v>46</v>
      </c>
      <c r="H1889" t="s">
        <v>301</v>
      </c>
      <c r="I1889" t="s">
        <v>1160</v>
      </c>
      <c r="J1889" t="s">
        <v>828</v>
      </c>
      <c r="K1889" t="s">
        <v>149</v>
      </c>
      <c r="L1889" t="s">
        <v>36</v>
      </c>
      <c r="M1889">
        <v>69</v>
      </c>
      <c r="N1889" t="s">
        <v>70</v>
      </c>
      <c r="O1889">
        <v>71</v>
      </c>
      <c r="P1889">
        <v>4</v>
      </c>
      <c r="Q1889">
        <v>3920.11</v>
      </c>
      <c r="R1889" s="4">
        <v>45600</v>
      </c>
      <c r="S1889" s="6">
        <v>0.33921296296296294</v>
      </c>
      <c r="T1889">
        <f t="shared" si="118"/>
        <v>16</v>
      </c>
      <c r="U1889" t="str" cm="1">
        <f t="array" ref="U1889">_xlfn.IFS(M1889&lt;=34,"YOUNG",M1889&lt;=54,"MIDDLE AGE",M1889&gt;=55,"OLD")</f>
        <v>OLD</v>
      </c>
      <c r="V1889" t="str">
        <f t="shared" si="119"/>
        <v>HIGH</v>
      </c>
    </row>
    <row r="1890" spans="1:22" x14ac:dyDescent="0.35">
      <c r="A1890" t="s">
        <v>3755</v>
      </c>
      <c r="B1890" t="s">
        <v>880</v>
      </c>
      <c r="C1890">
        <v>22.15</v>
      </c>
      <c r="D1890" s="1">
        <v>45049.684814814813</v>
      </c>
      <c r="E1890" s="2">
        <f t="shared" si="116"/>
        <v>0.684814814812853</v>
      </c>
      <c r="F1890" s="3">
        <f t="shared" si="117"/>
        <v>45049</v>
      </c>
      <c r="G1890" t="s">
        <v>17</v>
      </c>
      <c r="H1890" t="s">
        <v>114</v>
      </c>
      <c r="I1890" t="s">
        <v>1704</v>
      </c>
      <c r="J1890" t="s">
        <v>1740</v>
      </c>
      <c r="K1890" t="s">
        <v>149</v>
      </c>
      <c r="L1890" t="s">
        <v>69</v>
      </c>
      <c r="M1890">
        <v>44</v>
      </c>
      <c r="N1890" t="s">
        <v>23</v>
      </c>
      <c r="O1890">
        <v>73</v>
      </c>
      <c r="P1890">
        <v>1</v>
      </c>
      <c r="Q1890">
        <v>7451.83</v>
      </c>
      <c r="R1890" s="4">
        <v>45600</v>
      </c>
      <c r="S1890" s="6">
        <v>0.34100694444444446</v>
      </c>
      <c r="T1890">
        <f t="shared" si="118"/>
        <v>16</v>
      </c>
      <c r="U1890" t="str" cm="1">
        <f t="array" ref="U1890">_xlfn.IFS(M1890&lt;=34,"YOUNG",M1890&lt;=54,"MIDDLE AGE",M1890&gt;=55,"OLD")</f>
        <v>MIDDLE AGE</v>
      </c>
      <c r="V1890" t="str">
        <f t="shared" si="119"/>
        <v>NORMAL</v>
      </c>
    </row>
    <row r="1891" spans="1:22" x14ac:dyDescent="0.35">
      <c r="A1891" t="s">
        <v>3756</v>
      </c>
      <c r="B1891" t="s">
        <v>1620</v>
      </c>
      <c r="C1891">
        <v>777.92</v>
      </c>
      <c r="D1891" s="1">
        <v>45089.789560185185</v>
      </c>
      <c r="E1891" s="2">
        <f t="shared" si="116"/>
        <v>0.78956018518510973</v>
      </c>
      <c r="F1891" s="3">
        <f t="shared" si="117"/>
        <v>45089</v>
      </c>
      <c r="G1891" t="s">
        <v>17</v>
      </c>
      <c r="H1891" t="s">
        <v>119</v>
      </c>
      <c r="I1891" t="s">
        <v>3757</v>
      </c>
      <c r="J1891" t="s">
        <v>849</v>
      </c>
      <c r="K1891" t="s">
        <v>414</v>
      </c>
      <c r="L1891" t="s">
        <v>69</v>
      </c>
      <c r="M1891">
        <v>62</v>
      </c>
      <c r="N1891" t="s">
        <v>23</v>
      </c>
      <c r="O1891">
        <v>97</v>
      </c>
      <c r="P1891">
        <v>1</v>
      </c>
      <c r="Q1891">
        <v>7061.58</v>
      </c>
      <c r="R1891" s="4">
        <v>45600</v>
      </c>
      <c r="S1891" s="6">
        <v>0.3399537037037037</v>
      </c>
      <c r="T1891">
        <f t="shared" si="118"/>
        <v>18</v>
      </c>
      <c r="U1891" t="str" cm="1">
        <f t="array" ref="U1891">_xlfn.IFS(M1891&lt;=34,"YOUNG",M1891&lt;=54,"MIDDLE AGE",M1891&gt;=55,"OLD")</f>
        <v>OLD</v>
      </c>
      <c r="V1891" t="str">
        <f t="shared" si="119"/>
        <v>NORMAL</v>
      </c>
    </row>
    <row r="1892" spans="1:22" x14ac:dyDescent="0.35">
      <c r="A1892" t="s">
        <v>3758</v>
      </c>
      <c r="B1892" t="s">
        <v>1030</v>
      </c>
      <c r="C1892">
        <v>790.07</v>
      </c>
      <c r="D1892" s="1">
        <v>45072.730891203704</v>
      </c>
      <c r="E1892" s="2">
        <f t="shared" si="116"/>
        <v>0.73089120370423188</v>
      </c>
      <c r="F1892" s="3">
        <f t="shared" si="117"/>
        <v>45072</v>
      </c>
      <c r="G1892" t="s">
        <v>17</v>
      </c>
      <c r="H1892" t="s">
        <v>172</v>
      </c>
      <c r="I1892" t="s">
        <v>1615</v>
      </c>
      <c r="J1892" t="s">
        <v>1064</v>
      </c>
      <c r="K1892" t="s">
        <v>1287</v>
      </c>
      <c r="L1892" t="s">
        <v>36</v>
      </c>
      <c r="M1892">
        <v>28</v>
      </c>
      <c r="N1892" t="s">
        <v>37</v>
      </c>
      <c r="O1892">
        <v>197</v>
      </c>
      <c r="P1892">
        <v>1</v>
      </c>
      <c r="Q1892">
        <v>985.77</v>
      </c>
      <c r="R1892" s="4">
        <v>45600</v>
      </c>
      <c r="S1892" s="6">
        <v>0.34081018518518519</v>
      </c>
      <c r="T1892">
        <f t="shared" si="118"/>
        <v>17</v>
      </c>
      <c r="U1892" t="str" cm="1">
        <f t="array" ref="U1892">_xlfn.IFS(M1892&lt;=34,"YOUNG",M1892&lt;=54,"MIDDLE AGE",M1892&gt;=55,"OLD")</f>
        <v>YOUNG</v>
      </c>
      <c r="V1892" t="str">
        <f t="shared" si="119"/>
        <v>NORMAL</v>
      </c>
    </row>
    <row r="1893" spans="1:22" x14ac:dyDescent="0.35">
      <c r="A1893" t="s">
        <v>3759</v>
      </c>
      <c r="B1893" t="s">
        <v>1123</v>
      </c>
      <c r="C1893">
        <v>406.33</v>
      </c>
      <c r="D1893" s="1">
        <v>45201.695729166669</v>
      </c>
      <c r="E1893" s="2">
        <f t="shared" si="116"/>
        <v>0.69572916666948004</v>
      </c>
      <c r="F1893" s="3">
        <f t="shared" si="117"/>
        <v>45201</v>
      </c>
      <c r="G1893" t="s">
        <v>46</v>
      </c>
      <c r="H1893" t="s">
        <v>172</v>
      </c>
      <c r="I1893" t="s">
        <v>341</v>
      </c>
      <c r="J1893" t="s">
        <v>1195</v>
      </c>
      <c r="K1893" t="s">
        <v>386</v>
      </c>
      <c r="L1893" t="s">
        <v>69</v>
      </c>
      <c r="M1893">
        <v>59</v>
      </c>
      <c r="N1893" t="s">
        <v>77</v>
      </c>
      <c r="O1893">
        <v>103</v>
      </c>
      <c r="P1893">
        <v>1</v>
      </c>
      <c r="Q1893">
        <v>4298.34</v>
      </c>
      <c r="R1893" s="4">
        <v>45600</v>
      </c>
      <c r="S1893" s="6">
        <v>0.3386689814814815</v>
      </c>
      <c r="T1893">
        <f t="shared" si="118"/>
        <v>16</v>
      </c>
      <c r="U1893" t="str" cm="1">
        <f t="array" ref="U1893">_xlfn.IFS(M1893&lt;=34,"YOUNG",M1893&lt;=54,"MIDDLE AGE",M1893&gt;=55,"OLD")</f>
        <v>OLD</v>
      </c>
      <c r="V1893" t="str">
        <f t="shared" si="119"/>
        <v>NORMAL</v>
      </c>
    </row>
    <row r="1894" spans="1:22" x14ac:dyDescent="0.35">
      <c r="A1894" t="s">
        <v>3760</v>
      </c>
      <c r="B1894" t="s">
        <v>1339</v>
      </c>
      <c r="C1894">
        <v>767.41</v>
      </c>
      <c r="D1894" s="1">
        <v>45176.686331018522</v>
      </c>
      <c r="E1894" s="2">
        <f t="shared" si="116"/>
        <v>0.6863310185217415</v>
      </c>
      <c r="F1894" s="3">
        <f t="shared" si="117"/>
        <v>45176</v>
      </c>
      <c r="G1894" t="s">
        <v>17</v>
      </c>
      <c r="H1894" t="s">
        <v>157</v>
      </c>
      <c r="I1894" t="s">
        <v>1967</v>
      </c>
      <c r="J1894" t="s">
        <v>94</v>
      </c>
      <c r="K1894" t="s">
        <v>1037</v>
      </c>
      <c r="L1894" t="s">
        <v>22</v>
      </c>
      <c r="M1894">
        <v>56</v>
      </c>
      <c r="N1894" t="s">
        <v>23</v>
      </c>
      <c r="O1894">
        <v>27</v>
      </c>
      <c r="P1894">
        <v>1</v>
      </c>
      <c r="Q1894">
        <v>12799.34</v>
      </c>
      <c r="R1894" s="4">
        <v>45600</v>
      </c>
      <c r="S1894" s="6">
        <v>0.33952546296296299</v>
      </c>
      <c r="T1894">
        <f t="shared" si="118"/>
        <v>16</v>
      </c>
      <c r="U1894" t="str" cm="1">
        <f t="array" ref="U1894">_xlfn.IFS(M1894&lt;=34,"YOUNG",M1894&lt;=54,"MIDDLE AGE",M1894&gt;=55,"OLD")</f>
        <v>OLD</v>
      </c>
      <c r="V1894" t="str">
        <f t="shared" si="119"/>
        <v>NORMAL</v>
      </c>
    </row>
    <row r="1895" spans="1:22" x14ac:dyDescent="0.35">
      <c r="A1895" t="s">
        <v>3761</v>
      </c>
      <c r="B1895" t="s">
        <v>1854</v>
      </c>
      <c r="C1895">
        <v>4.58</v>
      </c>
      <c r="D1895" s="1">
        <v>45218.676041666666</v>
      </c>
      <c r="E1895" s="2">
        <f t="shared" si="116"/>
        <v>0.67604166666569654</v>
      </c>
      <c r="F1895" s="3">
        <f t="shared" si="117"/>
        <v>45218</v>
      </c>
      <c r="G1895" t="s">
        <v>46</v>
      </c>
      <c r="H1895" t="s">
        <v>47</v>
      </c>
      <c r="I1895" t="s">
        <v>158</v>
      </c>
      <c r="J1895" t="s">
        <v>1163</v>
      </c>
      <c r="K1895" t="s">
        <v>514</v>
      </c>
      <c r="L1895" t="s">
        <v>36</v>
      </c>
      <c r="M1895">
        <v>21</v>
      </c>
      <c r="N1895" t="s">
        <v>37</v>
      </c>
      <c r="O1895">
        <v>135</v>
      </c>
      <c r="P1895">
        <v>1</v>
      </c>
      <c r="Q1895">
        <v>811.24</v>
      </c>
      <c r="R1895" s="4">
        <v>45600</v>
      </c>
      <c r="S1895" s="6">
        <v>0.33780092592592592</v>
      </c>
      <c r="T1895">
        <f t="shared" si="118"/>
        <v>16</v>
      </c>
      <c r="U1895" t="str" cm="1">
        <f t="array" ref="U1895">_xlfn.IFS(M1895&lt;=34,"YOUNG",M1895&lt;=54,"MIDDLE AGE",M1895&gt;=55,"OLD")</f>
        <v>YOUNG</v>
      </c>
      <c r="V1895" t="str">
        <f t="shared" si="119"/>
        <v>NORMAL</v>
      </c>
    </row>
    <row r="1896" spans="1:22" x14ac:dyDescent="0.35">
      <c r="A1896" t="s">
        <v>3762</v>
      </c>
      <c r="B1896" t="s">
        <v>328</v>
      </c>
      <c r="C1896">
        <v>447.83</v>
      </c>
      <c r="D1896" s="1">
        <v>45153.682013888887</v>
      </c>
      <c r="E1896" s="2">
        <f t="shared" si="116"/>
        <v>0.68201388888701331</v>
      </c>
      <c r="F1896" s="3">
        <f t="shared" si="117"/>
        <v>45153</v>
      </c>
      <c r="G1896" t="s">
        <v>46</v>
      </c>
      <c r="H1896" t="s">
        <v>47</v>
      </c>
      <c r="I1896" t="s">
        <v>2222</v>
      </c>
      <c r="J1896" t="s">
        <v>1775</v>
      </c>
      <c r="K1896" t="s">
        <v>95</v>
      </c>
      <c r="L1896" t="s">
        <v>69</v>
      </c>
      <c r="M1896">
        <v>53</v>
      </c>
      <c r="N1896" t="s">
        <v>23</v>
      </c>
      <c r="O1896">
        <v>88</v>
      </c>
      <c r="P1896">
        <v>1</v>
      </c>
      <c r="Q1896">
        <v>13273.08</v>
      </c>
      <c r="R1896" s="4">
        <v>45600</v>
      </c>
      <c r="S1896" s="6">
        <v>0.33853009259259259</v>
      </c>
      <c r="T1896">
        <f t="shared" si="118"/>
        <v>16</v>
      </c>
      <c r="U1896" t="str" cm="1">
        <f t="array" ref="U1896">_xlfn.IFS(M1896&lt;=34,"YOUNG",M1896&lt;=54,"MIDDLE AGE",M1896&gt;=55,"OLD")</f>
        <v>MIDDLE AGE</v>
      </c>
      <c r="V1896" t="str">
        <f t="shared" si="119"/>
        <v>NORMAL</v>
      </c>
    </row>
    <row r="1897" spans="1:22" x14ac:dyDescent="0.35">
      <c r="A1897" t="s">
        <v>3763</v>
      </c>
      <c r="B1897" t="s">
        <v>868</v>
      </c>
      <c r="C1897">
        <v>49.67</v>
      </c>
      <c r="D1897" s="1">
        <v>44977.783935185187</v>
      </c>
      <c r="E1897" s="2">
        <f t="shared" si="116"/>
        <v>0.783935185187147</v>
      </c>
      <c r="F1897" s="3">
        <f t="shared" si="117"/>
        <v>44977</v>
      </c>
      <c r="G1897" t="s">
        <v>17</v>
      </c>
      <c r="H1897" t="s">
        <v>47</v>
      </c>
      <c r="I1897" t="s">
        <v>1859</v>
      </c>
      <c r="J1897" t="s">
        <v>2389</v>
      </c>
      <c r="K1897" t="s">
        <v>95</v>
      </c>
      <c r="L1897" t="s">
        <v>36</v>
      </c>
      <c r="M1897">
        <v>21</v>
      </c>
      <c r="N1897" t="s">
        <v>37</v>
      </c>
      <c r="O1897">
        <v>146</v>
      </c>
      <c r="P1897">
        <v>1</v>
      </c>
      <c r="Q1897">
        <v>842.94</v>
      </c>
      <c r="R1897" s="4">
        <v>45600</v>
      </c>
      <c r="S1897" s="6">
        <v>0.33915509259259258</v>
      </c>
      <c r="T1897">
        <f t="shared" si="118"/>
        <v>18</v>
      </c>
      <c r="U1897" t="str" cm="1">
        <f t="array" ref="U1897">_xlfn.IFS(M1897&lt;=34,"YOUNG",M1897&lt;=54,"MIDDLE AGE",M1897&gt;=55,"OLD")</f>
        <v>YOUNG</v>
      </c>
      <c r="V1897" t="str">
        <f t="shared" si="119"/>
        <v>NORMAL</v>
      </c>
    </row>
    <row r="1898" spans="1:22" x14ac:dyDescent="0.35">
      <c r="A1898" t="s">
        <v>3764</v>
      </c>
      <c r="B1898" t="s">
        <v>3765</v>
      </c>
      <c r="C1898">
        <v>77.83</v>
      </c>
      <c r="D1898" s="1">
        <v>45287.694456018522</v>
      </c>
      <c r="E1898" s="2">
        <f t="shared" si="116"/>
        <v>0.69445601852203254</v>
      </c>
      <c r="F1898" s="3">
        <f t="shared" si="117"/>
        <v>45287</v>
      </c>
      <c r="G1898" t="s">
        <v>46</v>
      </c>
      <c r="H1898" t="s">
        <v>291</v>
      </c>
      <c r="I1898" t="s">
        <v>2445</v>
      </c>
      <c r="J1898" t="s">
        <v>1629</v>
      </c>
      <c r="K1898" t="s">
        <v>652</v>
      </c>
      <c r="L1898" t="s">
        <v>69</v>
      </c>
      <c r="M1898">
        <v>49</v>
      </c>
      <c r="N1898" t="s">
        <v>77</v>
      </c>
      <c r="O1898">
        <v>146</v>
      </c>
      <c r="P1898">
        <v>1</v>
      </c>
      <c r="Q1898">
        <v>2471.5300000000002</v>
      </c>
      <c r="R1898" s="4">
        <v>45600</v>
      </c>
      <c r="S1898" s="6">
        <v>0.34063657407407405</v>
      </c>
      <c r="T1898">
        <f t="shared" si="118"/>
        <v>16</v>
      </c>
      <c r="U1898" t="str" cm="1">
        <f t="array" ref="U1898">_xlfn.IFS(M1898&lt;=34,"YOUNG",M1898&lt;=54,"MIDDLE AGE",M1898&gt;=55,"OLD")</f>
        <v>MIDDLE AGE</v>
      </c>
      <c r="V1898" t="str">
        <f t="shared" si="119"/>
        <v>NORMAL</v>
      </c>
    </row>
    <row r="1899" spans="1:22" x14ac:dyDescent="0.35">
      <c r="A1899" t="s">
        <v>3766</v>
      </c>
      <c r="B1899" t="s">
        <v>107</v>
      </c>
      <c r="C1899">
        <v>702.87</v>
      </c>
      <c r="D1899" s="1">
        <v>45084.712743055556</v>
      </c>
      <c r="E1899" s="2">
        <f t="shared" si="116"/>
        <v>0.71274305555562023</v>
      </c>
      <c r="F1899" s="3">
        <f t="shared" si="117"/>
        <v>45084</v>
      </c>
      <c r="G1899" t="s">
        <v>17</v>
      </c>
      <c r="H1899" t="s">
        <v>453</v>
      </c>
      <c r="I1899" t="s">
        <v>1834</v>
      </c>
      <c r="J1899" t="s">
        <v>3767</v>
      </c>
      <c r="K1899" t="s">
        <v>450</v>
      </c>
      <c r="L1899" t="s">
        <v>22</v>
      </c>
      <c r="M1899">
        <v>19</v>
      </c>
      <c r="N1899" t="s">
        <v>37</v>
      </c>
      <c r="O1899">
        <v>184</v>
      </c>
      <c r="P1899">
        <v>1</v>
      </c>
      <c r="Q1899">
        <v>1237.5</v>
      </c>
      <c r="R1899" s="4">
        <v>45600</v>
      </c>
      <c r="S1899" s="6">
        <v>0.34113425925925928</v>
      </c>
      <c r="T1899">
        <f t="shared" si="118"/>
        <v>17</v>
      </c>
      <c r="U1899" t="str" cm="1">
        <f t="array" ref="U1899">_xlfn.IFS(M1899&lt;=34,"YOUNG",M1899&lt;=54,"MIDDLE AGE",M1899&gt;=55,"OLD")</f>
        <v>YOUNG</v>
      </c>
      <c r="V1899" t="str">
        <f t="shared" si="119"/>
        <v>NORMAL</v>
      </c>
    </row>
    <row r="1900" spans="1:22" x14ac:dyDescent="0.35">
      <c r="A1900" t="s">
        <v>3768</v>
      </c>
      <c r="B1900" t="s">
        <v>1874</v>
      </c>
      <c r="C1900">
        <v>133.56</v>
      </c>
      <c r="D1900" s="1">
        <v>44950.779930555553</v>
      </c>
      <c r="E1900" s="2">
        <f t="shared" si="116"/>
        <v>0.77993055555270985</v>
      </c>
      <c r="F1900" s="3">
        <f t="shared" si="117"/>
        <v>44950</v>
      </c>
      <c r="G1900" t="s">
        <v>17</v>
      </c>
      <c r="H1900" t="s">
        <v>47</v>
      </c>
      <c r="I1900" t="s">
        <v>987</v>
      </c>
      <c r="J1900" t="s">
        <v>1494</v>
      </c>
      <c r="K1900" t="s">
        <v>358</v>
      </c>
      <c r="L1900" t="s">
        <v>36</v>
      </c>
      <c r="M1900">
        <v>25</v>
      </c>
      <c r="N1900" t="s">
        <v>37</v>
      </c>
      <c r="O1900">
        <v>177</v>
      </c>
      <c r="P1900">
        <v>1</v>
      </c>
      <c r="Q1900">
        <v>783.83</v>
      </c>
      <c r="R1900" s="4">
        <v>45600</v>
      </c>
      <c r="S1900" s="6">
        <v>0.33817129629629628</v>
      </c>
      <c r="T1900">
        <f t="shared" si="118"/>
        <v>18</v>
      </c>
      <c r="U1900" t="str" cm="1">
        <f t="array" ref="U1900">_xlfn.IFS(M1900&lt;=34,"YOUNG",M1900&lt;=54,"MIDDLE AGE",M1900&gt;=55,"OLD")</f>
        <v>YOUNG</v>
      </c>
      <c r="V1900" t="str">
        <f t="shared" si="119"/>
        <v>NORMAL</v>
      </c>
    </row>
    <row r="1901" spans="1:22" x14ac:dyDescent="0.35">
      <c r="A1901" t="s">
        <v>3769</v>
      </c>
      <c r="B1901" t="s">
        <v>2366</v>
      </c>
      <c r="C1901">
        <v>868.05</v>
      </c>
      <c r="D1901" s="1">
        <v>44938.691388888888</v>
      </c>
      <c r="E1901" s="2">
        <f t="shared" si="116"/>
        <v>0.6913888888884685</v>
      </c>
      <c r="F1901" s="3">
        <f t="shared" si="117"/>
        <v>44938</v>
      </c>
      <c r="G1901" t="s">
        <v>46</v>
      </c>
      <c r="H1901" t="s">
        <v>18</v>
      </c>
      <c r="I1901" t="s">
        <v>2916</v>
      </c>
      <c r="J1901" t="s">
        <v>2107</v>
      </c>
      <c r="K1901" t="s">
        <v>1209</v>
      </c>
      <c r="L1901" t="s">
        <v>36</v>
      </c>
      <c r="M1901">
        <v>49</v>
      </c>
      <c r="N1901" t="s">
        <v>77</v>
      </c>
      <c r="O1901">
        <v>119</v>
      </c>
      <c r="P1901">
        <v>1</v>
      </c>
      <c r="Q1901">
        <v>3931.03</v>
      </c>
      <c r="R1901" s="4">
        <v>45600</v>
      </c>
      <c r="S1901" s="6">
        <v>0.34024305555555556</v>
      </c>
      <c r="T1901">
        <f t="shared" si="118"/>
        <v>16</v>
      </c>
      <c r="U1901" t="str" cm="1">
        <f t="array" ref="U1901">_xlfn.IFS(M1901&lt;=34,"YOUNG",M1901&lt;=54,"MIDDLE AGE",M1901&gt;=55,"OLD")</f>
        <v>MIDDLE AGE</v>
      </c>
      <c r="V1901" t="str">
        <f t="shared" si="119"/>
        <v>NORMAL</v>
      </c>
    </row>
    <row r="1902" spans="1:22" x14ac:dyDescent="0.35">
      <c r="A1902" t="s">
        <v>3770</v>
      </c>
      <c r="B1902" t="s">
        <v>1069</v>
      </c>
      <c r="C1902">
        <v>52.87</v>
      </c>
      <c r="D1902" s="1">
        <v>45016.725949074076</v>
      </c>
      <c r="E1902" s="2">
        <f t="shared" si="116"/>
        <v>0.72594907407619758</v>
      </c>
      <c r="F1902" s="3">
        <f t="shared" si="117"/>
        <v>45016</v>
      </c>
      <c r="G1902" t="s">
        <v>17</v>
      </c>
      <c r="H1902" t="s">
        <v>65</v>
      </c>
      <c r="I1902" t="s">
        <v>1828</v>
      </c>
      <c r="J1902" t="s">
        <v>3032</v>
      </c>
      <c r="K1902" t="s">
        <v>288</v>
      </c>
      <c r="L1902" t="s">
        <v>69</v>
      </c>
      <c r="M1902">
        <v>24</v>
      </c>
      <c r="N1902" t="s">
        <v>37</v>
      </c>
      <c r="O1902">
        <v>70</v>
      </c>
      <c r="P1902">
        <v>1</v>
      </c>
      <c r="Q1902">
        <v>960.96</v>
      </c>
      <c r="R1902" s="4">
        <v>45600</v>
      </c>
      <c r="S1902" s="6">
        <v>0.34153935185185186</v>
      </c>
      <c r="T1902">
        <f t="shared" si="118"/>
        <v>17</v>
      </c>
      <c r="U1902" t="str" cm="1">
        <f t="array" ref="U1902">_xlfn.IFS(M1902&lt;=34,"YOUNG",M1902&lt;=54,"MIDDLE AGE",M1902&gt;=55,"OLD")</f>
        <v>YOUNG</v>
      </c>
      <c r="V1902" t="str">
        <f t="shared" si="119"/>
        <v>NORMAL</v>
      </c>
    </row>
    <row r="1903" spans="1:22" x14ac:dyDescent="0.35">
      <c r="A1903" t="s">
        <v>3771</v>
      </c>
      <c r="B1903" t="s">
        <v>625</v>
      </c>
      <c r="C1903">
        <v>179</v>
      </c>
      <c r="D1903" s="1">
        <v>45175.667766203704</v>
      </c>
      <c r="E1903" s="2">
        <f t="shared" si="116"/>
        <v>0.66776620370364981</v>
      </c>
      <c r="F1903" s="3">
        <f t="shared" si="117"/>
        <v>45175</v>
      </c>
      <c r="G1903" t="s">
        <v>17</v>
      </c>
      <c r="H1903" t="s">
        <v>26</v>
      </c>
      <c r="I1903" t="s">
        <v>1075</v>
      </c>
      <c r="J1903" t="s">
        <v>3772</v>
      </c>
      <c r="K1903" t="s">
        <v>200</v>
      </c>
      <c r="L1903" t="s">
        <v>22</v>
      </c>
      <c r="M1903">
        <v>78</v>
      </c>
      <c r="N1903" t="s">
        <v>70</v>
      </c>
      <c r="O1903">
        <v>121</v>
      </c>
      <c r="P1903">
        <v>1</v>
      </c>
      <c r="Q1903">
        <v>7310.88</v>
      </c>
      <c r="R1903" s="4">
        <v>45600</v>
      </c>
      <c r="S1903" s="6">
        <v>0.3404861111111111</v>
      </c>
      <c r="T1903">
        <f t="shared" si="118"/>
        <v>16</v>
      </c>
      <c r="U1903" t="str" cm="1">
        <f t="array" ref="U1903">_xlfn.IFS(M1903&lt;=34,"YOUNG",M1903&lt;=54,"MIDDLE AGE",M1903&gt;=55,"OLD")</f>
        <v>OLD</v>
      </c>
      <c r="V1903" t="str">
        <f t="shared" si="119"/>
        <v>NORMAL</v>
      </c>
    </row>
    <row r="1904" spans="1:22" x14ac:dyDescent="0.35">
      <c r="A1904" t="s">
        <v>3773</v>
      </c>
      <c r="B1904" t="s">
        <v>557</v>
      </c>
      <c r="C1904">
        <v>1168.26</v>
      </c>
      <c r="D1904" s="1">
        <v>45089.684270833335</v>
      </c>
      <c r="E1904" s="2">
        <f t="shared" si="116"/>
        <v>0.68427083333517658</v>
      </c>
      <c r="F1904" s="3">
        <f t="shared" si="117"/>
        <v>45089</v>
      </c>
      <c r="G1904" t="s">
        <v>46</v>
      </c>
      <c r="H1904" t="s">
        <v>243</v>
      </c>
      <c r="I1904" t="s">
        <v>1633</v>
      </c>
      <c r="J1904" t="s">
        <v>718</v>
      </c>
      <c r="K1904" t="s">
        <v>262</v>
      </c>
      <c r="L1904" t="s">
        <v>36</v>
      </c>
      <c r="M1904">
        <v>73</v>
      </c>
      <c r="N1904" t="s">
        <v>70</v>
      </c>
      <c r="O1904">
        <v>37</v>
      </c>
      <c r="P1904">
        <v>1</v>
      </c>
      <c r="Q1904">
        <v>1385.74</v>
      </c>
      <c r="R1904" s="4">
        <v>45600</v>
      </c>
      <c r="S1904" s="6">
        <v>0.34019675925925924</v>
      </c>
      <c r="T1904">
        <f t="shared" si="118"/>
        <v>16</v>
      </c>
      <c r="U1904" t="str" cm="1">
        <f t="array" ref="U1904">_xlfn.IFS(M1904&lt;=34,"YOUNG",M1904&lt;=54,"MIDDLE AGE",M1904&gt;=55,"OLD")</f>
        <v>OLD</v>
      </c>
      <c r="V1904" t="str">
        <f t="shared" si="119"/>
        <v>NORMAL</v>
      </c>
    </row>
    <row r="1905" spans="1:22" x14ac:dyDescent="0.35">
      <c r="A1905" t="s">
        <v>3774</v>
      </c>
      <c r="B1905" t="s">
        <v>3702</v>
      </c>
      <c r="C1905">
        <v>384.11</v>
      </c>
      <c r="D1905" s="1">
        <v>45061.691469907404</v>
      </c>
      <c r="E1905" s="2">
        <f t="shared" si="116"/>
        <v>0.69146990740409819</v>
      </c>
      <c r="F1905" s="3">
        <f t="shared" si="117"/>
        <v>45061</v>
      </c>
      <c r="G1905" t="s">
        <v>17</v>
      </c>
      <c r="H1905" t="s">
        <v>157</v>
      </c>
      <c r="I1905" t="s">
        <v>2770</v>
      </c>
      <c r="J1905" t="s">
        <v>849</v>
      </c>
      <c r="K1905" t="s">
        <v>418</v>
      </c>
      <c r="L1905" t="s">
        <v>22</v>
      </c>
      <c r="M1905">
        <v>58</v>
      </c>
      <c r="N1905" t="s">
        <v>70</v>
      </c>
      <c r="O1905">
        <v>12</v>
      </c>
      <c r="P1905">
        <v>1</v>
      </c>
      <c r="Q1905">
        <v>7902.52</v>
      </c>
      <c r="R1905" s="4">
        <v>45600</v>
      </c>
      <c r="S1905" s="6">
        <v>0.33791666666666664</v>
      </c>
      <c r="T1905">
        <f t="shared" si="118"/>
        <v>16</v>
      </c>
      <c r="U1905" t="str" cm="1">
        <f t="array" ref="U1905">_xlfn.IFS(M1905&lt;=34,"YOUNG",M1905&lt;=54,"MIDDLE AGE",M1905&gt;=55,"OLD")</f>
        <v>OLD</v>
      </c>
      <c r="V1905" t="str">
        <f t="shared" si="119"/>
        <v>NORMAL</v>
      </c>
    </row>
    <row r="1906" spans="1:22" x14ac:dyDescent="0.35">
      <c r="A1906" t="s">
        <v>3775</v>
      </c>
      <c r="B1906" t="s">
        <v>1854</v>
      </c>
      <c r="C1906">
        <v>227.61</v>
      </c>
      <c r="D1906" s="1">
        <v>45145.678078703706</v>
      </c>
      <c r="E1906" s="2">
        <f t="shared" si="116"/>
        <v>0.67807870370597811</v>
      </c>
      <c r="F1906" s="3">
        <f t="shared" si="117"/>
        <v>45145</v>
      </c>
      <c r="G1906" t="s">
        <v>17</v>
      </c>
      <c r="H1906" t="s">
        <v>26</v>
      </c>
      <c r="I1906" t="s">
        <v>158</v>
      </c>
      <c r="J1906" t="s">
        <v>1462</v>
      </c>
      <c r="K1906" t="s">
        <v>105</v>
      </c>
      <c r="L1906" t="s">
        <v>36</v>
      </c>
      <c r="M1906">
        <v>71</v>
      </c>
      <c r="N1906" t="s">
        <v>70</v>
      </c>
      <c r="O1906">
        <v>61</v>
      </c>
      <c r="P1906">
        <v>1</v>
      </c>
      <c r="Q1906">
        <v>4405.28</v>
      </c>
      <c r="R1906" s="4">
        <v>45600</v>
      </c>
      <c r="S1906" s="6">
        <v>0.3386689814814815</v>
      </c>
      <c r="T1906">
        <f t="shared" si="118"/>
        <v>16</v>
      </c>
      <c r="U1906" t="str" cm="1">
        <f t="array" ref="U1906">_xlfn.IFS(M1906&lt;=34,"YOUNG",M1906&lt;=54,"MIDDLE AGE",M1906&gt;=55,"OLD")</f>
        <v>OLD</v>
      </c>
      <c r="V1906" t="str">
        <f t="shared" si="119"/>
        <v>NORMAL</v>
      </c>
    </row>
    <row r="1907" spans="1:22" x14ac:dyDescent="0.35">
      <c r="A1907" t="s">
        <v>3776</v>
      </c>
      <c r="B1907" t="s">
        <v>380</v>
      </c>
      <c r="C1907">
        <v>40.83</v>
      </c>
      <c r="D1907" s="1">
        <v>45154.695034722223</v>
      </c>
      <c r="E1907" s="2">
        <f t="shared" si="116"/>
        <v>0.69503472222277196</v>
      </c>
      <c r="F1907" s="3">
        <f t="shared" si="117"/>
        <v>45154</v>
      </c>
      <c r="G1907" t="s">
        <v>17</v>
      </c>
      <c r="H1907" t="s">
        <v>65</v>
      </c>
      <c r="I1907" t="s">
        <v>244</v>
      </c>
      <c r="J1907" t="s">
        <v>3057</v>
      </c>
      <c r="K1907" t="s">
        <v>143</v>
      </c>
      <c r="L1907" t="s">
        <v>22</v>
      </c>
      <c r="M1907">
        <v>48</v>
      </c>
      <c r="N1907" t="s">
        <v>77</v>
      </c>
      <c r="O1907">
        <v>24</v>
      </c>
      <c r="P1907">
        <v>1</v>
      </c>
      <c r="Q1907">
        <v>3944.12</v>
      </c>
      <c r="R1907" s="4">
        <v>45600</v>
      </c>
      <c r="S1907" s="6">
        <v>0.34171296296296294</v>
      </c>
      <c r="T1907">
        <f t="shared" si="118"/>
        <v>16</v>
      </c>
      <c r="U1907" t="str" cm="1">
        <f t="array" ref="U1907">_xlfn.IFS(M1907&lt;=34,"YOUNG",M1907&lt;=54,"MIDDLE AGE",M1907&gt;=55,"OLD")</f>
        <v>MIDDLE AGE</v>
      </c>
      <c r="V1907" t="str">
        <f t="shared" si="119"/>
        <v>NORMAL</v>
      </c>
    </row>
    <row r="1908" spans="1:22" x14ac:dyDescent="0.35">
      <c r="A1908" t="s">
        <v>3777</v>
      </c>
      <c r="B1908" t="s">
        <v>1554</v>
      </c>
      <c r="C1908">
        <v>19.760000000000002</v>
      </c>
      <c r="D1908" s="1">
        <v>45016.743159722224</v>
      </c>
      <c r="E1908" s="2">
        <f t="shared" si="116"/>
        <v>0.74315972222393611</v>
      </c>
      <c r="F1908" s="3">
        <f t="shared" si="117"/>
        <v>45016</v>
      </c>
      <c r="G1908" t="s">
        <v>17</v>
      </c>
      <c r="H1908" t="s">
        <v>80</v>
      </c>
      <c r="I1908" t="s">
        <v>204</v>
      </c>
      <c r="J1908" t="s">
        <v>1571</v>
      </c>
      <c r="K1908" t="s">
        <v>980</v>
      </c>
      <c r="L1908" t="s">
        <v>22</v>
      </c>
      <c r="M1908">
        <v>20</v>
      </c>
      <c r="N1908" t="s">
        <v>37</v>
      </c>
      <c r="O1908">
        <v>240</v>
      </c>
      <c r="P1908">
        <v>1</v>
      </c>
      <c r="Q1908">
        <v>1523.04</v>
      </c>
      <c r="R1908" s="4">
        <v>45600</v>
      </c>
      <c r="S1908" s="6">
        <v>0.34037037037037038</v>
      </c>
      <c r="T1908">
        <f t="shared" si="118"/>
        <v>17</v>
      </c>
      <c r="U1908" t="str" cm="1">
        <f t="array" ref="U1908">_xlfn.IFS(M1908&lt;=34,"YOUNG",M1908&lt;=54,"MIDDLE AGE",M1908&gt;=55,"OLD")</f>
        <v>YOUNG</v>
      </c>
      <c r="V1908" t="str">
        <f t="shared" si="119"/>
        <v>NORMAL</v>
      </c>
    </row>
    <row r="1909" spans="1:22" x14ac:dyDescent="0.35">
      <c r="A1909" t="s">
        <v>3778</v>
      </c>
      <c r="B1909" t="s">
        <v>1902</v>
      </c>
      <c r="C1909">
        <v>484.24</v>
      </c>
      <c r="D1909" s="1">
        <v>45075.694618055553</v>
      </c>
      <c r="E1909" s="2">
        <f t="shared" si="116"/>
        <v>0.69461805555329192</v>
      </c>
      <c r="F1909" s="3">
        <f t="shared" si="117"/>
        <v>45075</v>
      </c>
      <c r="G1909" t="s">
        <v>17</v>
      </c>
      <c r="H1909" t="s">
        <v>40</v>
      </c>
      <c r="I1909" t="s">
        <v>368</v>
      </c>
      <c r="J1909" t="s">
        <v>225</v>
      </c>
      <c r="K1909" t="s">
        <v>62</v>
      </c>
      <c r="L1909" t="s">
        <v>69</v>
      </c>
      <c r="M1909">
        <v>67</v>
      </c>
      <c r="N1909" t="s">
        <v>23</v>
      </c>
      <c r="O1909">
        <v>77</v>
      </c>
      <c r="P1909">
        <v>1</v>
      </c>
      <c r="Q1909">
        <v>8042.3</v>
      </c>
      <c r="R1909" s="4">
        <v>45600</v>
      </c>
      <c r="S1909" s="6">
        <v>0.33800925925925923</v>
      </c>
      <c r="T1909">
        <f t="shared" si="118"/>
        <v>16</v>
      </c>
      <c r="U1909" t="str" cm="1">
        <f t="array" ref="U1909">_xlfn.IFS(M1909&lt;=34,"YOUNG",M1909&lt;=54,"MIDDLE AGE",M1909&gt;=55,"OLD")</f>
        <v>OLD</v>
      </c>
      <c r="V1909" t="str">
        <f t="shared" si="119"/>
        <v>NORMAL</v>
      </c>
    </row>
    <row r="1910" spans="1:22" x14ac:dyDescent="0.35">
      <c r="A1910" t="s">
        <v>3779</v>
      </c>
      <c r="B1910" t="s">
        <v>322</v>
      </c>
      <c r="C1910">
        <v>494.66</v>
      </c>
      <c r="D1910" s="1">
        <v>45096.708043981482</v>
      </c>
      <c r="E1910" s="2">
        <f t="shared" si="116"/>
        <v>0.70804398148175096</v>
      </c>
      <c r="F1910" s="3">
        <f t="shared" si="117"/>
        <v>45096</v>
      </c>
      <c r="G1910" t="s">
        <v>17</v>
      </c>
      <c r="H1910" t="s">
        <v>26</v>
      </c>
      <c r="I1910" t="s">
        <v>66</v>
      </c>
      <c r="J1910" t="s">
        <v>153</v>
      </c>
      <c r="K1910" t="s">
        <v>35</v>
      </c>
      <c r="L1910" t="s">
        <v>36</v>
      </c>
      <c r="M1910">
        <v>33</v>
      </c>
      <c r="N1910" t="s">
        <v>23</v>
      </c>
      <c r="O1910">
        <v>110</v>
      </c>
      <c r="P1910">
        <v>1</v>
      </c>
      <c r="Q1910">
        <v>5531.93</v>
      </c>
      <c r="R1910" s="4">
        <v>45600</v>
      </c>
      <c r="S1910" s="6">
        <v>0.33778935185185183</v>
      </c>
      <c r="T1910">
        <f t="shared" si="118"/>
        <v>16</v>
      </c>
      <c r="U1910" t="str" cm="1">
        <f t="array" ref="U1910">_xlfn.IFS(M1910&lt;=34,"YOUNG",M1910&lt;=54,"MIDDLE AGE",M1910&gt;=55,"OLD")</f>
        <v>YOUNG</v>
      </c>
      <c r="V1910" t="str">
        <f t="shared" si="119"/>
        <v>NORMAL</v>
      </c>
    </row>
    <row r="1911" spans="1:22" x14ac:dyDescent="0.35">
      <c r="A1911" t="s">
        <v>3780</v>
      </c>
      <c r="B1911" t="s">
        <v>2695</v>
      </c>
      <c r="C1911">
        <v>301.47000000000003</v>
      </c>
      <c r="D1911" s="1">
        <v>44952.675868055558</v>
      </c>
      <c r="E1911" s="2">
        <f t="shared" si="116"/>
        <v>0.6758680555576575</v>
      </c>
      <c r="F1911" s="3">
        <f t="shared" si="117"/>
        <v>44952</v>
      </c>
      <c r="G1911" t="s">
        <v>17</v>
      </c>
      <c r="H1911" t="s">
        <v>521</v>
      </c>
      <c r="I1911" t="s">
        <v>796</v>
      </c>
      <c r="J1911" t="s">
        <v>436</v>
      </c>
      <c r="K1911" t="s">
        <v>143</v>
      </c>
      <c r="L1911" t="s">
        <v>69</v>
      </c>
      <c r="M1911">
        <v>21</v>
      </c>
      <c r="N1911" t="s">
        <v>37</v>
      </c>
      <c r="O1911">
        <v>291</v>
      </c>
      <c r="P1911">
        <v>1</v>
      </c>
      <c r="Q1911">
        <v>560.73</v>
      </c>
      <c r="R1911" s="4">
        <v>45600</v>
      </c>
      <c r="S1911" s="6">
        <v>0.33987268518518521</v>
      </c>
      <c r="T1911">
        <f t="shared" si="118"/>
        <v>16</v>
      </c>
      <c r="U1911" t="str" cm="1">
        <f t="array" ref="U1911">_xlfn.IFS(M1911&lt;=34,"YOUNG",M1911&lt;=54,"MIDDLE AGE",M1911&gt;=55,"OLD")</f>
        <v>YOUNG</v>
      </c>
      <c r="V1911" t="str">
        <f t="shared" si="119"/>
        <v>NORMAL</v>
      </c>
    </row>
    <row r="1912" spans="1:22" x14ac:dyDescent="0.35">
      <c r="A1912" t="s">
        <v>3781</v>
      </c>
      <c r="B1912" t="s">
        <v>1066</v>
      </c>
      <c r="C1912">
        <v>199.09</v>
      </c>
      <c r="D1912" s="1">
        <v>45065.704351851855</v>
      </c>
      <c r="E1912" s="2">
        <f t="shared" si="116"/>
        <v>0.70435185185488081</v>
      </c>
      <c r="F1912" s="3">
        <f t="shared" si="117"/>
        <v>45065</v>
      </c>
      <c r="G1912" t="s">
        <v>17</v>
      </c>
      <c r="H1912" t="s">
        <v>73</v>
      </c>
      <c r="I1912" t="s">
        <v>579</v>
      </c>
      <c r="J1912" t="s">
        <v>1868</v>
      </c>
      <c r="K1912" t="s">
        <v>303</v>
      </c>
      <c r="L1912" t="s">
        <v>36</v>
      </c>
      <c r="M1912">
        <v>70</v>
      </c>
      <c r="N1912" t="s">
        <v>23</v>
      </c>
      <c r="O1912">
        <v>89</v>
      </c>
      <c r="P1912">
        <v>1</v>
      </c>
      <c r="Q1912">
        <v>1658.52</v>
      </c>
      <c r="R1912" s="4">
        <v>45600</v>
      </c>
      <c r="S1912" s="6">
        <v>0.3394212962962963</v>
      </c>
      <c r="T1912">
        <f t="shared" si="118"/>
        <v>16</v>
      </c>
      <c r="U1912" t="str" cm="1">
        <f t="array" ref="U1912">_xlfn.IFS(M1912&lt;=34,"YOUNG",M1912&lt;=54,"MIDDLE AGE",M1912&gt;=55,"OLD")</f>
        <v>OLD</v>
      </c>
      <c r="V1912" t="str">
        <f t="shared" si="119"/>
        <v>NORMAL</v>
      </c>
    </row>
    <row r="1913" spans="1:22" x14ac:dyDescent="0.35">
      <c r="A1913" t="s">
        <v>3782</v>
      </c>
      <c r="B1913" t="s">
        <v>737</v>
      </c>
      <c r="C1913">
        <v>38.950000000000003</v>
      </c>
      <c r="D1913" s="1">
        <v>45217.697418981479</v>
      </c>
      <c r="E1913" s="2">
        <f t="shared" si="116"/>
        <v>0.69741898147913162</v>
      </c>
      <c r="F1913" s="3">
        <f t="shared" si="117"/>
        <v>45217</v>
      </c>
      <c r="G1913" t="s">
        <v>17</v>
      </c>
      <c r="H1913" t="s">
        <v>140</v>
      </c>
      <c r="I1913" t="s">
        <v>1952</v>
      </c>
      <c r="J1913" t="s">
        <v>1083</v>
      </c>
      <c r="K1913" t="s">
        <v>740</v>
      </c>
      <c r="L1913" t="s">
        <v>36</v>
      </c>
      <c r="M1913">
        <v>27</v>
      </c>
      <c r="N1913" t="s">
        <v>77</v>
      </c>
      <c r="O1913">
        <v>50</v>
      </c>
      <c r="P1913">
        <v>1</v>
      </c>
      <c r="Q1913">
        <v>731.52</v>
      </c>
      <c r="R1913" s="4">
        <v>45600</v>
      </c>
      <c r="S1913" s="6">
        <v>0.33945601851851853</v>
      </c>
      <c r="T1913">
        <f t="shared" si="118"/>
        <v>16</v>
      </c>
      <c r="U1913" t="str" cm="1">
        <f t="array" ref="U1913">_xlfn.IFS(M1913&lt;=34,"YOUNG",M1913&lt;=54,"MIDDLE AGE",M1913&gt;=55,"OLD")</f>
        <v>YOUNG</v>
      </c>
      <c r="V1913" t="str">
        <f t="shared" si="119"/>
        <v>NORMAL</v>
      </c>
    </row>
    <row r="1914" spans="1:22" x14ac:dyDescent="0.35">
      <c r="A1914" t="s">
        <v>3783</v>
      </c>
      <c r="B1914" t="s">
        <v>993</v>
      </c>
      <c r="C1914">
        <v>515.94000000000005</v>
      </c>
      <c r="D1914" s="1">
        <v>45282.696215277778</v>
      </c>
      <c r="E1914" s="2">
        <f t="shared" si="116"/>
        <v>0.69621527777781012</v>
      </c>
      <c r="F1914" s="3">
        <f t="shared" si="117"/>
        <v>45282</v>
      </c>
      <c r="G1914" t="s">
        <v>17</v>
      </c>
      <c r="H1914" t="s">
        <v>212</v>
      </c>
      <c r="I1914" t="s">
        <v>750</v>
      </c>
      <c r="J1914" t="s">
        <v>929</v>
      </c>
      <c r="K1914" t="s">
        <v>474</v>
      </c>
      <c r="L1914" t="s">
        <v>22</v>
      </c>
      <c r="M1914">
        <v>29</v>
      </c>
      <c r="N1914" t="s">
        <v>77</v>
      </c>
      <c r="O1914">
        <v>37</v>
      </c>
      <c r="P1914">
        <v>1</v>
      </c>
      <c r="Q1914">
        <v>1389.89</v>
      </c>
      <c r="R1914" s="4">
        <v>45600</v>
      </c>
      <c r="S1914" s="6">
        <v>0.34108796296296295</v>
      </c>
      <c r="T1914">
        <f t="shared" si="118"/>
        <v>16</v>
      </c>
      <c r="U1914" t="str" cm="1">
        <f t="array" ref="U1914">_xlfn.IFS(M1914&lt;=34,"YOUNG",M1914&lt;=54,"MIDDLE AGE",M1914&gt;=55,"OLD")</f>
        <v>YOUNG</v>
      </c>
      <c r="V1914" t="str">
        <f t="shared" si="119"/>
        <v>NORMAL</v>
      </c>
    </row>
    <row r="1915" spans="1:22" x14ac:dyDescent="0.35">
      <c r="A1915" t="s">
        <v>3784</v>
      </c>
      <c r="B1915" t="s">
        <v>1587</v>
      </c>
      <c r="C1915">
        <v>41.93</v>
      </c>
      <c r="D1915" s="1">
        <v>44970.697430555556</v>
      </c>
      <c r="E1915" s="2">
        <f t="shared" si="116"/>
        <v>0.69743055555591127</v>
      </c>
      <c r="F1915" s="3">
        <f t="shared" si="117"/>
        <v>44970</v>
      </c>
      <c r="G1915" t="s">
        <v>17</v>
      </c>
      <c r="H1915" t="s">
        <v>558</v>
      </c>
      <c r="I1915" t="s">
        <v>668</v>
      </c>
      <c r="J1915" t="s">
        <v>2131</v>
      </c>
      <c r="K1915" t="s">
        <v>288</v>
      </c>
      <c r="L1915" t="s">
        <v>22</v>
      </c>
      <c r="M1915">
        <v>48</v>
      </c>
      <c r="N1915" t="s">
        <v>77</v>
      </c>
      <c r="O1915">
        <v>136</v>
      </c>
      <c r="P1915">
        <v>1</v>
      </c>
      <c r="Q1915">
        <v>5081.26</v>
      </c>
      <c r="R1915" s="4">
        <v>45600</v>
      </c>
      <c r="S1915" s="6">
        <v>0.33777777777777779</v>
      </c>
      <c r="T1915">
        <f t="shared" si="118"/>
        <v>16</v>
      </c>
      <c r="U1915" t="str" cm="1">
        <f t="array" ref="U1915">_xlfn.IFS(M1915&lt;=34,"YOUNG",M1915&lt;=54,"MIDDLE AGE",M1915&gt;=55,"OLD")</f>
        <v>MIDDLE AGE</v>
      </c>
      <c r="V1915" t="str">
        <f t="shared" si="119"/>
        <v>NORMAL</v>
      </c>
    </row>
    <row r="1916" spans="1:22" x14ac:dyDescent="0.35">
      <c r="A1916" t="s">
        <v>3785</v>
      </c>
      <c r="B1916" t="s">
        <v>2889</v>
      </c>
      <c r="C1916">
        <v>137.84</v>
      </c>
      <c r="D1916" s="1">
        <v>45243.668761574074</v>
      </c>
      <c r="E1916" s="2">
        <f t="shared" si="116"/>
        <v>0.66876157407386927</v>
      </c>
      <c r="F1916" s="3">
        <f t="shared" si="117"/>
        <v>45243</v>
      </c>
      <c r="G1916" t="s">
        <v>17</v>
      </c>
      <c r="H1916" t="s">
        <v>296</v>
      </c>
      <c r="I1916" t="s">
        <v>654</v>
      </c>
      <c r="J1916" t="s">
        <v>606</v>
      </c>
      <c r="K1916" t="s">
        <v>853</v>
      </c>
      <c r="L1916" t="s">
        <v>22</v>
      </c>
      <c r="M1916">
        <v>27</v>
      </c>
      <c r="N1916" t="s">
        <v>37</v>
      </c>
      <c r="O1916">
        <v>83</v>
      </c>
      <c r="P1916">
        <v>1</v>
      </c>
      <c r="Q1916">
        <v>1000.35</v>
      </c>
      <c r="R1916" s="4">
        <v>45600</v>
      </c>
      <c r="S1916" s="6">
        <v>0.33988425925925925</v>
      </c>
      <c r="T1916">
        <f t="shared" si="118"/>
        <v>16</v>
      </c>
      <c r="U1916" t="str" cm="1">
        <f t="array" ref="U1916">_xlfn.IFS(M1916&lt;=34,"YOUNG",M1916&lt;=54,"MIDDLE AGE",M1916&gt;=55,"OLD")</f>
        <v>YOUNG</v>
      </c>
      <c r="V1916" t="str">
        <f t="shared" si="119"/>
        <v>NORMAL</v>
      </c>
    </row>
    <row r="1917" spans="1:22" x14ac:dyDescent="0.35">
      <c r="A1917" t="s">
        <v>3786</v>
      </c>
      <c r="B1917" t="s">
        <v>1304</v>
      </c>
      <c r="C1917">
        <v>95.35</v>
      </c>
      <c r="D1917" s="1">
        <v>45133.685636574075</v>
      </c>
      <c r="E1917" s="2">
        <f t="shared" si="116"/>
        <v>0.68563657407503342</v>
      </c>
      <c r="F1917" s="3">
        <f t="shared" si="117"/>
        <v>45133</v>
      </c>
      <c r="G1917" t="s">
        <v>17</v>
      </c>
      <c r="H1917" t="s">
        <v>265</v>
      </c>
      <c r="I1917" t="s">
        <v>1154</v>
      </c>
      <c r="J1917" t="s">
        <v>1576</v>
      </c>
      <c r="K1917" t="s">
        <v>418</v>
      </c>
      <c r="L1917" t="s">
        <v>36</v>
      </c>
      <c r="M1917">
        <v>21</v>
      </c>
      <c r="N1917" t="s">
        <v>37</v>
      </c>
      <c r="O1917">
        <v>131</v>
      </c>
      <c r="P1917">
        <v>1</v>
      </c>
      <c r="Q1917">
        <v>1639.9</v>
      </c>
      <c r="R1917" s="4">
        <v>45600</v>
      </c>
      <c r="S1917" s="6">
        <v>0.3384490740740741</v>
      </c>
      <c r="T1917">
        <f t="shared" si="118"/>
        <v>16</v>
      </c>
      <c r="U1917" t="str" cm="1">
        <f t="array" ref="U1917">_xlfn.IFS(M1917&lt;=34,"YOUNG",M1917&lt;=54,"MIDDLE AGE",M1917&gt;=55,"OLD")</f>
        <v>YOUNG</v>
      </c>
      <c r="V1917" t="str">
        <f t="shared" si="119"/>
        <v>NORMAL</v>
      </c>
    </row>
    <row r="1918" spans="1:22" x14ac:dyDescent="0.35">
      <c r="A1918" t="s">
        <v>3787</v>
      </c>
      <c r="B1918" t="s">
        <v>452</v>
      </c>
      <c r="C1918">
        <v>93.14</v>
      </c>
      <c r="D1918" s="1">
        <v>44928.699432870373</v>
      </c>
      <c r="E1918" s="2">
        <f t="shared" si="116"/>
        <v>0.69943287037312984</v>
      </c>
      <c r="F1918" s="3">
        <f t="shared" si="117"/>
        <v>44928</v>
      </c>
      <c r="G1918" t="s">
        <v>17</v>
      </c>
      <c r="H1918" t="s">
        <v>92</v>
      </c>
      <c r="I1918" t="s">
        <v>2657</v>
      </c>
      <c r="J1918" t="s">
        <v>1204</v>
      </c>
      <c r="K1918" t="s">
        <v>186</v>
      </c>
      <c r="L1918" t="s">
        <v>36</v>
      </c>
      <c r="M1918">
        <v>67</v>
      </c>
      <c r="N1918" t="s">
        <v>70</v>
      </c>
      <c r="O1918">
        <v>151</v>
      </c>
      <c r="P1918">
        <v>1</v>
      </c>
      <c r="Q1918">
        <v>5473.82</v>
      </c>
      <c r="R1918" s="4">
        <v>45600</v>
      </c>
      <c r="S1918" s="6">
        <v>0.33880787037037036</v>
      </c>
      <c r="T1918">
        <f t="shared" si="118"/>
        <v>16</v>
      </c>
      <c r="U1918" t="str" cm="1">
        <f t="array" ref="U1918">_xlfn.IFS(M1918&lt;=34,"YOUNG",M1918&lt;=54,"MIDDLE AGE",M1918&gt;=55,"OLD")</f>
        <v>OLD</v>
      </c>
      <c r="V1918" t="str">
        <f t="shared" si="119"/>
        <v>NORMAL</v>
      </c>
    </row>
    <row r="1919" spans="1:22" x14ac:dyDescent="0.35">
      <c r="A1919" t="s">
        <v>3788</v>
      </c>
      <c r="B1919" t="s">
        <v>621</v>
      </c>
      <c r="C1919">
        <v>1427.71</v>
      </c>
      <c r="D1919" s="1">
        <v>44950.726782407408</v>
      </c>
      <c r="E1919" s="2">
        <f t="shared" si="116"/>
        <v>0.72678240740788169</v>
      </c>
      <c r="F1919" s="3">
        <f t="shared" si="117"/>
        <v>44950</v>
      </c>
      <c r="G1919" t="s">
        <v>17</v>
      </c>
      <c r="H1919" t="s">
        <v>203</v>
      </c>
      <c r="I1919" t="s">
        <v>618</v>
      </c>
      <c r="J1919" t="s">
        <v>1306</v>
      </c>
      <c r="K1919" t="s">
        <v>572</v>
      </c>
      <c r="L1919" t="s">
        <v>69</v>
      </c>
      <c r="M1919">
        <v>64</v>
      </c>
      <c r="N1919" t="s">
        <v>23</v>
      </c>
      <c r="O1919">
        <v>159</v>
      </c>
      <c r="P1919">
        <v>1</v>
      </c>
      <c r="Q1919">
        <v>1729.26</v>
      </c>
      <c r="R1919" s="4">
        <v>45600</v>
      </c>
      <c r="S1919" s="6">
        <v>0.33993055555555557</v>
      </c>
      <c r="T1919">
        <f t="shared" si="118"/>
        <v>17</v>
      </c>
      <c r="U1919" t="str" cm="1">
        <f t="array" ref="U1919">_xlfn.IFS(M1919&lt;=34,"YOUNG",M1919&lt;=54,"MIDDLE AGE",M1919&gt;=55,"OLD")</f>
        <v>OLD</v>
      </c>
      <c r="V1919" t="str">
        <f t="shared" si="119"/>
        <v>NORMAL</v>
      </c>
    </row>
    <row r="1920" spans="1:22" x14ac:dyDescent="0.35">
      <c r="A1920" t="s">
        <v>3789</v>
      </c>
      <c r="B1920" t="s">
        <v>1653</v>
      </c>
      <c r="C1920">
        <v>79.33</v>
      </c>
      <c r="D1920" s="1">
        <v>45266.673611111109</v>
      </c>
      <c r="E1920" s="2">
        <f t="shared" si="116"/>
        <v>0.67361111110949423</v>
      </c>
      <c r="F1920" s="3">
        <f t="shared" si="117"/>
        <v>45266</v>
      </c>
      <c r="G1920" t="s">
        <v>46</v>
      </c>
      <c r="H1920" t="s">
        <v>146</v>
      </c>
      <c r="I1920" t="s">
        <v>1224</v>
      </c>
      <c r="J1920" t="s">
        <v>1772</v>
      </c>
      <c r="K1920" t="s">
        <v>607</v>
      </c>
      <c r="L1920" t="s">
        <v>36</v>
      </c>
      <c r="M1920">
        <v>51</v>
      </c>
      <c r="N1920" t="s">
        <v>23</v>
      </c>
      <c r="O1920">
        <v>109</v>
      </c>
      <c r="P1920">
        <v>1</v>
      </c>
      <c r="Q1920">
        <v>14798.1</v>
      </c>
      <c r="R1920" s="4">
        <v>45600</v>
      </c>
      <c r="S1920" s="6">
        <v>0.33826388888888886</v>
      </c>
      <c r="T1920">
        <f t="shared" si="118"/>
        <v>16</v>
      </c>
      <c r="U1920" t="str" cm="1">
        <f t="array" ref="U1920">_xlfn.IFS(M1920&lt;=34,"YOUNG",M1920&lt;=54,"MIDDLE AGE",M1920&gt;=55,"OLD")</f>
        <v>MIDDLE AGE</v>
      </c>
      <c r="V1920" t="str">
        <f t="shared" si="119"/>
        <v>NORMAL</v>
      </c>
    </row>
    <row r="1921" spans="1:22" x14ac:dyDescent="0.35">
      <c r="A1921" t="s">
        <v>3790</v>
      </c>
      <c r="B1921" t="s">
        <v>1814</v>
      </c>
      <c r="C1921">
        <v>76.89</v>
      </c>
      <c r="D1921" s="1">
        <v>45056.743020833332</v>
      </c>
      <c r="E1921" s="2">
        <f t="shared" si="116"/>
        <v>0.74302083333168412</v>
      </c>
      <c r="F1921" s="3">
        <f t="shared" si="117"/>
        <v>45056</v>
      </c>
      <c r="G1921" t="s">
        <v>17</v>
      </c>
      <c r="H1921" t="s">
        <v>265</v>
      </c>
      <c r="I1921" t="s">
        <v>120</v>
      </c>
      <c r="J1921" t="s">
        <v>1467</v>
      </c>
      <c r="K1921" t="s">
        <v>1349</v>
      </c>
      <c r="L1921" t="s">
        <v>22</v>
      </c>
      <c r="M1921">
        <v>55</v>
      </c>
      <c r="N1921" t="s">
        <v>23</v>
      </c>
      <c r="O1921">
        <v>132</v>
      </c>
      <c r="P1921">
        <v>1</v>
      </c>
      <c r="Q1921">
        <v>7374.26</v>
      </c>
      <c r="R1921" s="4">
        <v>45600</v>
      </c>
      <c r="S1921" s="6">
        <v>0.34063657407407405</v>
      </c>
      <c r="T1921">
        <f t="shared" si="118"/>
        <v>17</v>
      </c>
      <c r="U1921" t="str" cm="1">
        <f t="array" ref="U1921">_xlfn.IFS(M1921&lt;=34,"YOUNG",M1921&lt;=54,"MIDDLE AGE",M1921&gt;=55,"OLD")</f>
        <v>OLD</v>
      </c>
      <c r="V1921" t="str">
        <f t="shared" si="119"/>
        <v>NORMAL</v>
      </c>
    </row>
    <row r="1922" spans="1:22" x14ac:dyDescent="0.35">
      <c r="A1922" t="s">
        <v>3791</v>
      </c>
      <c r="B1922" t="s">
        <v>1183</v>
      </c>
      <c r="C1922">
        <v>233.71</v>
      </c>
      <c r="D1922" s="1">
        <v>44998.729398148149</v>
      </c>
      <c r="E1922" s="2">
        <f t="shared" ref="E1922:E1985" si="120">D1922-INT(D1922)</f>
        <v>0.72939814814890269</v>
      </c>
      <c r="F1922" s="3">
        <f t="shared" ref="F1922:F1985" si="121">INT(D1922)</f>
        <v>44998</v>
      </c>
      <c r="G1922" t="s">
        <v>17</v>
      </c>
      <c r="H1922" t="s">
        <v>392</v>
      </c>
      <c r="I1922" t="s">
        <v>994</v>
      </c>
      <c r="J1922" t="s">
        <v>3470</v>
      </c>
      <c r="K1922" t="s">
        <v>143</v>
      </c>
      <c r="L1922" t="s">
        <v>36</v>
      </c>
      <c r="M1922">
        <v>19</v>
      </c>
      <c r="N1922" t="s">
        <v>37</v>
      </c>
      <c r="O1922">
        <v>297</v>
      </c>
      <c r="P1922">
        <v>1</v>
      </c>
      <c r="Q1922">
        <v>1231.98</v>
      </c>
      <c r="R1922" s="4">
        <v>45600</v>
      </c>
      <c r="S1922" s="6">
        <v>0.34177083333333336</v>
      </c>
      <c r="T1922">
        <f t="shared" si="118"/>
        <v>17</v>
      </c>
      <c r="U1922" t="str" cm="1">
        <f t="array" ref="U1922">_xlfn.IFS(M1922&lt;=34,"YOUNG",M1922&lt;=54,"MIDDLE AGE",M1922&gt;=55,"OLD")</f>
        <v>YOUNG</v>
      </c>
      <c r="V1922" t="str">
        <f t="shared" si="119"/>
        <v>NORMAL</v>
      </c>
    </row>
    <row r="1923" spans="1:22" x14ac:dyDescent="0.35">
      <c r="A1923" t="s">
        <v>3792</v>
      </c>
      <c r="B1923" t="s">
        <v>2530</v>
      </c>
      <c r="C1923">
        <v>14.92</v>
      </c>
      <c r="D1923" s="1">
        <v>45068.702407407407</v>
      </c>
      <c r="E1923" s="2">
        <f t="shared" si="120"/>
        <v>0.70240740740700858</v>
      </c>
      <c r="F1923" s="3">
        <f t="shared" si="121"/>
        <v>45068</v>
      </c>
      <c r="G1923" t="s">
        <v>17</v>
      </c>
      <c r="H1923" t="s">
        <v>146</v>
      </c>
      <c r="I1923" t="s">
        <v>3045</v>
      </c>
      <c r="J1923" t="s">
        <v>1551</v>
      </c>
      <c r="K1923" t="s">
        <v>252</v>
      </c>
      <c r="L1923" t="s">
        <v>69</v>
      </c>
      <c r="M1923">
        <v>26</v>
      </c>
      <c r="N1923" t="s">
        <v>77</v>
      </c>
      <c r="O1923">
        <v>120</v>
      </c>
      <c r="P1923">
        <v>1</v>
      </c>
      <c r="Q1923">
        <v>6611.26</v>
      </c>
      <c r="R1923" s="4">
        <v>45600</v>
      </c>
      <c r="S1923" s="6">
        <v>0.33857638888888891</v>
      </c>
      <c r="T1923">
        <f t="shared" ref="T1923:T1986" si="122">HOUR(E1923)</f>
        <v>16</v>
      </c>
      <c r="U1923" t="str" cm="1">
        <f t="array" ref="U1923">_xlfn.IFS(M1923&lt;=34,"YOUNG",M1923&lt;=54,"MIDDLE AGE",M1923&gt;=55,"OLD")</f>
        <v>YOUNG</v>
      </c>
      <c r="V1923" t="str">
        <f t="shared" ref="V1923:V1986" si="123">IF(P1923&gt;1,"HIGH","NORMAL")</f>
        <v>NORMAL</v>
      </c>
    </row>
    <row r="1924" spans="1:22" x14ac:dyDescent="0.35">
      <c r="A1924" t="s">
        <v>3793</v>
      </c>
      <c r="B1924" t="s">
        <v>868</v>
      </c>
      <c r="C1924">
        <v>242.17</v>
      </c>
      <c r="D1924" s="1">
        <v>45085.68644675926</v>
      </c>
      <c r="E1924" s="2">
        <f t="shared" si="120"/>
        <v>0.68644675926043419</v>
      </c>
      <c r="F1924" s="3">
        <f t="shared" si="121"/>
        <v>45085</v>
      </c>
      <c r="G1924" t="s">
        <v>17</v>
      </c>
      <c r="H1924" t="s">
        <v>392</v>
      </c>
      <c r="I1924" t="s">
        <v>306</v>
      </c>
      <c r="J1924" t="s">
        <v>518</v>
      </c>
      <c r="K1924" t="s">
        <v>418</v>
      </c>
      <c r="L1924" t="s">
        <v>22</v>
      </c>
      <c r="M1924">
        <v>60</v>
      </c>
      <c r="N1924" t="s">
        <v>23</v>
      </c>
      <c r="O1924">
        <v>147</v>
      </c>
      <c r="P1924">
        <v>1</v>
      </c>
      <c r="Q1924">
        <v>883.72</v>
      </c>
      <c r="R1924" s="4">
        <v>45600</v>
      </c>
      <c r="S1924" s="6">
        <v>0.34075231481481483</v>
      </c>
      <c r="T1924">
        <f t="shared" si="122"/>
        <v>16</v>
      </c>
      <c r="U1924" t="str" cm="1">
        <f t="array" ref="U1924">_xlfn.IFS(M1924&lt;=34,"YOUNG",M1924&lt;=54,"MIDDLE AGE",M1924&gt;=55,"OLD")</f>
        <v>OLD</v>
      </c>
      <c r="V1924" t="str">
        <f t="shared" si="123"/>
        <v>NORMAL</v>
      </c>
    </row>
    <row r="1925" spans="1:22" x14ac:dyDescent="0.35">
      <c r="A1925" t="s">
        <v>3794</v>
      </c>
      <c r="B1925" t="s">
        <v>2352</v>
      </c>
      <c r="C1925">
        <v>122.98</v>
      </c>
      <c r="D1925" s="1">
        <v>45131.677754629629</v>
      </c>
      <c r="E1925" s="2">
        <f t="shared" si="120"/>
        <v>0.67775462962890742</v>
      </c>
      <c r="F1925" s="3">
        <f t="shared" si="121"/>
        <v>45131</v>
      </c>
      <c r="G1925" t="s">
        <v>17</v>
      </c>
      <c r="H1925" t="s">
        <v>392</v>
      </c>
      <c r="I1925" t="s">
        <v>3366</v>
      </c>
      <c r="J1925" t="s">
        <v>3101</v>
      </c>
      <c r="K1925" t="s">
        <v>68</v>
      </c>
      <c r="L1925" t="s">
        <v>36</v>
      </c>
      <c r="M1925">
        <v>79</v>
      </c>
      <c r="N1925" t="s">
        <v>70</v>
      </c>
      <c r="O1925">
        <v>228</v>
      </c>
      <c r="P1925">
        <v>1</v>
      </c>
      <c r="Q1925">
        <v>5055.99</v>
      </c>
      <c r="R1925" s="4">
        <v>45600</v>
      </c>
      <c r="S1925" s="6">
        <v>0.34016203703703701</v>
      </c>
      <c r="T1925">
        <f t="shared" si="122"/>
        <v>16</v>
      </c>
      <c r="U1925" t="str" cm="1">
        <f t="array" ref="U1925">_xlfn.IFS(M1925&lt;=34,"YOUNG",M1925&lt;=54,"MIDDLE AGE",M1925&gt;=55,"OLD")</f>
        <v>OLD</v>
      </c>
      <c r="V1925" t="str">
        <f t="shared" si="123"/>
        <v>NORMAL</v>
      </c>
    </row>
    <row r="1926" spans="1:22" x14ac:dyDescent="0.35">
      <c r="A1926" t="s">
        <v>3795</v>
      </c>
      <c r="B1926" t="s">
        <v>720</v>
      </c>
      <c r="C1926">
        <v>129.35</v>
      </c>
      <c r="D1926" s="1">
        <v>45166.688750000001</v>
      </c>
      <c r="E1926" s="2">
        <f t="shared" si="120"/>
        <v>0.68875000000116415</v>
      </c>
      <c r="F1926" s="3">
        <f t="shared" si="121"/>
        <v>45166</v>
      </c>
      <c r="G1926" t="s">
        <v>17</v>
      </c>
      <c r="H1926" t="s">
        <v>146</v>
      </c>
      <c r="I1926" t="s">
        <v>833</v>
      </c>
      <c r="J1926" t="s">
        <v>298</v>
      </c>
      <c r="K1926" t="s">
        <v>143</v>
      </c>
      <c r="L1926" t="s">
        <v>22</v>
      </c>
      <c r="M1926">
        <v>52</v>
      </c>
      <c r="N1926" t="s">
        <v>77</v>
      </c>
      <c r="O1926">
        <v>130</v>
      </c>
      <c r="P1926">
        <v>1</v>
      </c>
      <c r="Q1926">
        <v>7166.88</v>
      </c>
      <c r="R1926" s="4">
        <v>45600</v>
      </c>
      <c r="S1926" s="6">
        <v>0.34005787037037039</v>
      </c>
      <c r="T1926">
        <f t="shared" si="122"/>
        <v>16</v>
      </c>
      <c r="U1926" t="str" cm="1">
        <f t="array" ref="U1926">_xlfn.IFS(M1926&lt;=34,"YOUNG",M1926&lt;=54,"MIDDLE AGE",M1926&gt;=55,"OLD")</f>
        <v>MIDDLE AGE</v>
      </c>
      <c r="V1926" t="str">
        <f t="shared" si="123"/>
        <v>NORMAL</v>
      </c>
    </row>
    <row r="1927" spans="1:22" x14ac:dyDescent="0.35">
      <c r="A1927" t="s">
        <v>3796</v>
      </c>
      <c r="B1927" t="s">
        <v>733</v>
      </c>
      <c r="C1927">
        <v>138.33000000000001</v>
      </c>
      <c r="D1927" s="1">
        <v>45114.74894675926</v>
      </c>
      <c r="E1927" s="2">
        <f t="shared" si="120"/>
        <v>0.74894675926043419</v>
      </c>
      <c r="F1927" s="3">
        <f t="shared" si="121"/>
        <v>45114</v>
      </c>
      <c r="G1927" t="s">
        <v>17</v>
      </c>
      <c r="H1927" t="s">
        <v>323</v>
      </c>
      <c r="I1927" t="s">
        <v>936</v>
      </c>
      <c r="J1927" t="s">
        <v>857</v>
      </c>
      <c r="K1927" t="s">
        <v>1349</v>
      </c>
      <c r="L1927" t="s">
        <v>36</v>
      </c>
      <c r="M1927">
        <v>21</v>
      </c>
      <c r="N1927" t="s">
        <v>37</v>
      </c>
      <c r="O1927">
        <v>69</v>
      </c>
      <c r="P1927">
        <v>1</v>
      </c>
      <c r="Q1927">
        <v>232.56</v>
      </c>
      <c r="R1927" s="4">
        <v>45600</v>
      </c>
      <c r="S1927" s="6">
        <v>0.33978009259259262</v>
      </c>
      <c r="T1927">
        <f t="shared" si="122"/>
        <v>17</v>
      </c>
      <c r="U1927" t="str" cm="1">
        <f t="array" ref="U1927">_xlfn.IFS(M1927&lt;=34,"YOUNG",M1927&lt;=54,"MIDDLE AGE",M1927&gt;=55,"OLD")</f>
        <v>YOUNG</v>
      </c>
      <c r="V1927" t="str">
        <f t="shared" si="123"/>
        <v>NORMAL</v>
      </c>
    </row>
    <row r="1928" spans="1:22" x14ac:dyDescent="0.35">
      <c r="A1928" t="s">
        <v>3797</v>
      </c>
      <c r="B1928" t="s">
        <v>989</v>
      </c>
      <c r="C1928">
        <v>39.31</v>
      </c>
      <c r="D1928" s="1">
        <v>45229.725636574076</v>
      </c>
      <c r="E1928" s="2">
        <f t="shared" si="120"/>
        <v>0.72563657407590654</v>
      </c>
      <c r="F1928" s="3">
        <f t="shared" si="121"/>
        <v>45229</v>
      </c>
      <c r="G1928" t="s">
        <v>17</v>
      </c>
      <c r="H1928" t="s">
        <v>595</v>
      </c>
      <c r="I1928" t="s">
        <v>3798</v>
      </c>
      <c r="J1928" t="s">
        <v>1534</v>
      </c>
      <c r="K1928" t="s">
        <v>200</v>
      </c>
      <c r="L1928" t="s">
        <v>36</v>
      </c>
      <c r="M1928">
        <v>25</v>
      </c>
      <c r="N1928" t="s">
        <v>37</v>
      </c>
      <c r="O1928">
        <v>178</v>
      </c>
      <c r="P1928">
        <v>1</v>
      </c>
      <c r="Q1928">
        <v>1236.3800000000001</v>
      </c>
      <c r="R1928" s="4">
        <v>45600</v>
      </c>
      <c r="S1928" s="6">
        <v>0.33804398148148146</v>
      </c>
      <c r="T1928">
        <f t="shared" si="122"/>
        <v>17</v>
      </c>
      <c r="U1928" t="str" cm="1">
        <f t="array" ref="U1928">_xlfn.IFS(M1928&lt;=34,"YOUNG",M1928&lt;=54,"MIDDLE AGE",M1928&gt;=55,"OLD")</f>
        <v>YOUNG</v>
      </c>
      <c r="V1928" t="str">
        <f t="shared" si="123"/>
        <v>NORMAL</v>
      </c>
    </row>
    <row r="1929" spans="1:22" x14ac:dyDescent="0.35">
      <c r="A1929" t="s">
        <v>3799</v>
      </c>
      <c r="B1929" t="s">
        <v>2125</v>
      </c>
      <c r="C1929">
        <v>91.85</v>
      </c>
      <c r="D1929" s="1">
        <v>45215.701747685183</v>
      </c>
      <c r="E1929" s="2">
        <f t="shared" si="120"/>
        <v>0.7017476851833635</v>
      </c>
      <c r="F1929" s="3">
        <f t="shared" si="121"/>
        <v>45215</v>
      </c>
      <c r="G1929" t="s">
        <v>17</v>
      </c>
      <c r="H1929" t="s">
        <v>59</v>
      </c>
      <c r="I1929" t="s">
        <v>2278</v>
      </c>
      <c r="J1929" t="s">
        <v>1165</v>
      </c>
      <c r="K1929" t="s">
        <v>143</v>
      </c>
      <c r="L1929" t="s">
        <v>36</v>
      </c>
      <c r="M1929">
        <v>21</v>
      </c>
      <c r="N1929" t="s">
        <v>37</v>
      </c>
      <c r="O1929">
        <v>148</v>
      </c>
      <c r="P1929">
        <v>1</v>
      </c>
      <c r="Q1929">
        <v>802.09</v>
      </c>
      <c r="R1929" s="4">
        <v>45600</v>
      </c>
      <c r="S1929" s="6">
        <v>0.34182870370370372</v>
      </c>
      <c r="T1929">
        <f t="shared" si="122"/>
        <v>16</v>
      </c>
      <c r="U1929" t="str" cm="1">
        <f t="array" ref="U1929">_xlfn.IFS(M1929&lt;=34,"YOUNG",M1929&lt;=54,"MIDDLE AGE",M1929&gt;=55,"OLD")</f>
        <v>YOUNG</v>
      </c>
      <c r="V1929" t="str">
        <f t="shared" si="123"/>
        <v>NORMAL</v>
      </c>
    </row>
    <row r="1930" spans="1:22" x14ac:dyDescent="0.35">
      <c r="A1930" t="s">
        <v>3800</v>
      </c>
      <c r="B1930" t="s">
        <v>2525</v>
      </c>
      <c r="C1930">
        <v>277.7</v>
      </c>
      <c r="D1930" s="1">
        <v>45099.69358796296</v>
      </c>
      <c r="E1930" s="2">
        <f t="shared" si="120"/>
        <v>0.69358796296000946</v>
      </c>
      <c r="F1930" s="3">
        <f t="shared" si="121"/>
        <v>45099</v>
      </c>
      <c r="G1930" t="s">
        <v>17</v>
      </c>
      <c r="H1930" t="s">
        <v>80</v>
      </c>
      <c r="I1930" t="s">
        <v>3801</v>
      </c>
      <c r="J1930" t="s">
        <v>449</v>
      </c>
      <c r="K1930" t="s">
        <v>1349</v>
      </c>
      <c r="L1930" t="s">
        <v>69</v>
      </c>
      <c r="M1930">
        <v>58</v>
      </c>
      <c r="N1930" t="s">
        <v>77</v>
      </c>
      <c r="O1930">
        <v>107</v>
      </c>
      <c r="P1930">
        <v>1</v>
      </c>
      <c r="Q1930">
        <v>1423.2</v>
      </c>
      <c r="R1930" s="4">
        <v>45600</v>
      </c>
      <c r="S1930" s="6">
        <v>0.3414699074074074</v>
      </c>
      <c r="T1930">
        <f t="shared" si="122"/>
        <v>16</v>
      </c>
      <c r="U1930" t="str" cm="1">
        <f t="array" ref="U1930">_xlfn.IFS(M1930&lt;=34,"YOUNG",M1930&lt;=54,"MIDDLE AGE",M1930&gt;=55,"OLD")</f>
        <v>OLD</v>
      </c>
      <c r="V1930" t="str">
        <f t="shared" si="123"/>
        <v>NORMAL</v>
      </c>
    </row>
    <row r="1931" spans="1:22" x14ac:dyDescent="0.35">
      <c r="A1931" t="s">
        <v>3802</v>
      </c>
      <c r="B1931" t="s">
        <v>1361</v>
      </c>
      <c r="C1931">
        <v>114.03</v>
      </c>
      <c r="D1931" s="1">
        <v>45254.687743055554</v>
      </c>
      <c r="E1931" s="2">
        <f t="shared" si="120"/>
        <v>0.68774305555416504</v>
      </c>
      <c r="F1931" s="3">
        <f t="shared" si="121"/>
        <v>45254</v>
      </c>
      <c r="G1931" t="s">
        <v>17</v>
      </c>
      <c r="H1931" t="s">
        <v>595</v>
      </c>
      <c r="I1931" t="s">
        <v>2773</v>
      </c>
      <c r="J1931" t="s">
        <v>824</v>
      </c>
      <c r="K1931" t="s">
        <v>427</v>
      </c>
      <c r="L1931" t="s">
        <v>22</v>
      </c>
      <c r="M1931">
        <v>51</v>
      </c>
      <c r="N1931" t="s">
        <v>23</v>
      </c>
      <c r="O1931">
        <v>172</v>
      </c>
      <c r="P1931">
        <v>1</v>
      </c>
      <c r="Q1931">
        <v>13388.56</v>
      </c>
      <c r="R1931" s="4">
        <v>45600</v>
      </c>
      <c r="S1931" s="6">
        <v>0.34145833333333331</v>
      </c>
      <c r="T1931">
        <f t="shared" si="122"/>
        <v>16</v>
      </c>
      <c r="U1931" t="str" cm="1">
        <f t="array" ref="U1931">_xlfn.IFS(M1931&lt;=34,"YOUNG",M1931&lt;=54,"MIDDLE AGE",M1931&gt;=55,"OLD")</f>
        <v>MIDDLE AGE</v>
      </c>
      <c r="V1931" t="str">
        <f t="shared" si="123"/>
        <v>NORMAL</v>
      </c>
    </row>
    <row r="1932" spans="1:22" x14ac:dyDescent="0.35">
      <c r="A1932" t="s">
        <v>3803</v>
      </c>
      <c r="B1932" t="s">
        <v>399</v>
      </c>
      <c r="C1932">
        <v>302.63</v>
      </c>
      <c r="D1932" s="1">
        <v>44985.725300925929</v>
      </c>
      <c r="E1932" s="2">
        <f t="shared" si="120"/>
        <v>0.72530092592933215</v>
      </c>
      <c r="F1932" s="3">
        <f t="shared" si="121"/>
        <v>44985</v>
      </c>
      <c r="G1932" t="s">
        <v>46</v>
      </c>
      <c r="H1932" t="s">
        <v>223</v>
      </c>
      <c r="I1932" t="s">
        <v>1550</v>
      </c>
      <c r="J1932" t="s">
        <v>710</v>
      </c>
      <c r="K1932" t="s">
        <v>29</v>
      </c>
      <c r="L1932" t="s">
        <v>69</v>
      </c>
      <c r="M1932">
        <v>27</v>
      </c>
      <c r="N1932" t="s">
        <v>77</v>
      </c>
      <c r="O1932">
        <v>10</v>
      </c>
      <c r="P1932">
        <v>1</v>
      </c>
      <c r="Q1932">
        <v>2801.28</v>
      </c>
      <c r="R1932" s="4">
        <v>45600</v>
      </c>
      <c r="S1932" s="6">
        <v>0.33839120370370368</v>
      </c>
      <c r="T1932">
        <f t="shared" si="122"/>
        <v>17</v>
      </c>
      <c r="U1932" t="str" cm="1">
        <f t="array" ref="U1932">_xlfn.IFS(M1932&lt;=34,"YOUNG",M1932&lt;=54,"MIDDLE AGE",M1932&gt;=55,"OLD")</f>
        <v>YOUNG</v>
      </c>
      <c r="V1932" t="str">
        <f t="shared" si="123"/>
        <v>NORMAL</v>
      </c>
    </row>
    <row r="1933" spans="1:22" x14ac:dyDescent="0.35">
      <c r="A1933" t="s">
        <v>3804</v>
      </c>
      <c r="B1933" t="s">
        <v>39</v>
      </c>
      <c r="C1933">
        <v>31.19</v>
      </c>
      <c r="D1933" s="1">
        <v>45041.683321759258</v>
      </c>
      <c r="E1933" s="2">
        <f t="shared" si="120"/>
        <v>0.68332175925752381</v>
      </c>
      <c r="F1933" s="3">
        <f t="shared" si="121"/>
        <v>45041</v>
      </c>
      <c r="G1933" t="s">
        <v>17</v>
      </c>
      <c r="H1933" t="s">
        <v>249</v>
      </c>
      <c r="I1933" t="s">
        <v>385</v>
      </c>
      <c r="J1933" t="s">
        <v>2838</v>
      </c>
      <c r="K1933" t="s">
        <v>282</v>
      </c>
      <c r="L1933" t="s">
        <v>22</v>
      </c>
      <c r="M1933">
        <v>52</v>
      </c>
      <c r="N1933" t="s">
        <v>77</v>
      </c>
      <c r="O1933">
        <v>74</v>
      </c>
      <c r="P1933">
        <v>1</v>
      </c>
      <c r="Q1933">
        <v>5545.96</v>
      </c>
      <c r="R1933" s="4">
        <v>45600</v>
      </c>
      <c r="S1933" s="6">
        <v>0.3399652777777778</v>
      </c>
      <c r="T1933">
        <f t="shared" si="122"/>
        <v>16</v>
      </c>
      <c r="U1933" t="str" cm="1">
        <f t="array" ref="U1933">_xlfn.IFS(M1933&lt;=34,"YOUNG",M1933&lt;=54,"MIDDLE AGE",M1933&gt;=55,"OLD")</f>
        <v>MIDDLE AGE</v>
      </c>
      <c r="V1933" t="str">
        <f t="shared" si="123"/>
        <v>NORMAL</v>
      </c>
    </row>
    <row r="1934" spans="1:22" x14ac:dyDescent="0.35">
      <c r="A1934" t="s">
        <v>3805</v>
      </c>
      <c r="B1934" t="s">
        <v>604</v>
      </c>
      <c r="C1934">
        <v>112.91</v>
      </c>
      <c r="D1934" s="1">
        <v>45245.753032407411</v>
      </c>
      <c r="E1934" s="2">
        <f t="shared" si="120"/>
        <v>0.75303240741050104</v>
      </c>
      <c r="F1934" s="3">
        <f t="shared" si="121"/>
        <v>45245</v>
      </c>
      <c r="G1934" t="s">
        <v>46</v>
      </c>
      <c r="H1934" t="s">
        <v>255</v>
      </c>
      <c r="I1934" t="s">
        <v>665</v>
      </c>
      <c r="J1934" t="s">
        <v>121</v>
      </c>
      <c r="K1934" t="s">
        <v>1000</v>
      </c>
      <c r="L1934" t="s">
        <v>36</v>
      </c>
      <c r="M1934">
        <v>27</v>
      </c>
      <c r="N1934" t="s">
        <v>77</v>
      </c>
      <c r="O1934">
        <v>135</v>
      </c>
      <c r="P1934">
        <v>1</v>
      </c>
      <c r="Q1934">
        <v>4764.4799999999996</v>
      </c>
      <c r="R1934" s="4">
        <v>45600</v>
      </c>
      <c r="S1934" s="6">
        <v>0.34</v>
      </c>
      <c r="T1934">
        <f t="shared" si="122"/>
        <v>18</v>
      </c>
      <c r="U1934" t="str" cm="1">
        <f t="array" ref="U1934">_xlfn.IFS(M1934&lt;=34,"YOUNG",M1934&lt;=54,"MIDDLE AGE",M1934&gt;=55,"OLD")</f>
        <v>YOUNG</v>
      </c>
      <c r="V1934" t="str">
        <f t="shared" si="123"/>
        <v>NORMAL</v>
      </c>
    </row>
    <row r="1935" spans="1:22" x14ac:dyDescent="0.35">
      <c r="A1935" t="s">
        <v>3806</v>
      </c>
      <c r="B1935" t="s">
        <v>1016</v>
      </c>
      <c r="C1935">
        <v>742.26</v>
      </c>
      <c r="D1935" s="1">
        <v>45097.711134259262</v>
      </c>
      <c r="E1935" s="2">
        <f t="shared" si="120"/>
        <v>0.71113425926159834</v>
      </c>
      <c r="F1935" s="3">
        <f t="shared" si="121"/>
        <v>45097</v>
      </c>
      <c r="G1935" t="s">
        <v>17</v>
      </c>
      <c r="H1935" t="s">
        <v>18</v>
      </c>
      <c r="I1935" t="s">
        <v>717</v>
      </c>
      <c r="J1935" t="s">
        <v>3182</v>
      </c>
      <c r="K1935" t="s">
        <v>682</v>
      </c>
      <c r="L1935" t="s">
        <v>36</v>
      </c>
      <c r="M1935">
        <v>27</v>
      </c>
      <c r="N1935" t="s">
        <v>77</v>
      </c>
      <c r="O1935">
        <v>36</v>
      </c>
      <c r="P1935">
        <v>1</v>
      </c>
      <c r="Q1935">
        <v>7868.19</v>
      </c>
      <c r="R1935" s="4">
        <v>45600</v>
      </c>
      <c r="S1935" s="6">
        <v>0.34028935185185183</v>
      </c>
      <c r="T1935">
        <f t="shared" si="122"/>
        <v>17</v>
      </c>
      <c r="U1935" t="str" cm="1">
        <f t="array" ref="U1935">_xlfn.IFS(M1935&lt;=34,"YOUNG",M1935&lt;=54,"MIDDLE AGE",M1935&gt;=55,"OLD")</f>
        <v>YOUNG</v>
      </c>
      <c r="V1935" t="str">
        <f t="shared" si="123"/>
        <v>NORMAL</v>
      </c>
    </row>
    <row r="1936" spans="1:22" x14ac:dyDescent="0.35">
      <c r="A1936" t="s">
        <v>3807</v>
      </c>
      <c r="B1936" t="s">
        <v>1889</v>
      </c>
      <c r="C1936">
        <v>256.8</v>
      </c>
      <c r="D1936" s="1">
        <v>44981.701284722221</v>
      </c>
      <c r="E1936" s="2">
        <f t="shared" si="120"/>
        <v>0.70128472222131677</v>
      </c>
      <c r="F1936" s="3">
        <f t="shared" si="121"/>
        <v>44981</v>
      </c>
      <c r="G1936" t="s">
        <v>17</v>
      </c>
      <c r="H1936" t="s">
        <v>249</v>
      </c>
      <c r="I1936" t="s">
        <v>3808</v>
      </c>
      <c r="J1936" t="s">
        <v>1149</v>
      </c>
      <c r="K1936" t="s">
        <v>240</v>
      </c>
      <c r="L1936" t="s">
        <v>22</v>
      </c>
      <c r="M1936">
        <v>26</v>
      </c>
      <c r="N1936" t="s">
        <v>37</v>
      </c>
      <c r="O1936">
        <v>80</v>
      </c>
      <c r="P1936">
        <v>1</v>
      </c>
      <c r="Q1936">
        <v>1128.3800000000001</v>
      </c>
      <c r="R1936" s="4">
        <v>45600</v>
      </c>
      <c r="S1936" s="6">
        <v>0.33983796296296298</v>
      </c>
      <c r="T1936">
        <f t="shared" si="122"/>
        <v>16</v>
      </c>
      <c r="U1936" t="str" cm="1">
        <f t="array" ref="U1936">_xlfn.IFS(M1936&lt;=34,"YOUNG",M1936&lt;=54,"MIDDLE AGE",M1936&gt;=55,"OLD")</f>
        <v>YOUNG</v>
      </c>
      <c r="V1936" t="str">
        <f t="shared" si="123"/>
        <v>NORMAL</v>
      </c>
    </row>
    <row r="1937" spans="1:22" x14ac:dyDescent="0.35">
      <c r="A1937" t="s">
        <v>3809</v>
      </c>
      <c r="B1937" t="s">
        <v>2073</v>
      </c>
      <c r="C1937">
        <v>378.68</v>
      </c>
      <c r="D1937" s="1">
        <v>44932.724988425929</v>
      </c>
      <c r="E1937" s="2">
        <f t="shared" si="120"/>
        <v>0.72498842592904111</v>
      </c>
      <c r="F1937" s="3">
        <f t="shared" si="121"/>
        <v>44932</v>
      </c>
      <c r="G1937" t="s">
        <v>17</v>
      </c>
      <c r="H1937" t="s">
        <v>157</v>
      </c>
      <c r="I1937" t="s">
        <v>2110</v>
      </c>
      <c r="J1937" t="s">
        <v>2521</v>
      </c>
      <c r="K1937" t="s">
        <v>312</v>
      </c>
      <c r="L1937" t="s">
        <v>22</v>
      </c>
      <c r="M1937">
        <v>60</v>
      </c>
      <c r="N1937" t="s">
        <v>23</v>
      </c>
      <c r="O1937">
        <v>239</v>
      </c>
      <c r="P1937">
        <v>1</v>
      </c>
      <c r="Q1937">
        <v>7627.04</v>
      </c>
      <c r="R1937" s="4">
        <v>45600</v>
      </c>
      <c r="S1937" s="6">
        <v>0.33832175925925928</v>
      </c>
      <c r="T1937">
        <f t="shared" si="122"/>
        <v>17</v>
      </c>
      <c r="U1937" t="str" cm="1">
        <f t="array" ref="U1937">_xlfn.IFS(M1937&lt;=34,"YOUNG",M1937&lt;=54,"MIDDLE AGE",M1937&gt;=55,"OLD")</f>
        <v>OLD</v>
      </c>
      <c r="V1937" t="str">
        <f t="shared" si="123"/>
        <v>NORMAL</v>
      </c>
    </row>
    <row r="1938" spans="1:22" x14ac:dyDescent="0.35">
      <c r="A1938" t="s">
        <v>3810</v>
      </c>
      <c r="B1938" t="s">
        <v>3811</v>
      </c>
      <c r="C1938">
        <v>571.92999999999995</v>
      </c>
      <c r="D1938" s="1">
        <v>45189.739317129628</v>
      </c>
      <c r="E1938" s="2">
        <f t="shared" si="120"/>
        <v>0.73931712962803431</v>
      </c>
      <c r="F1938" s="3">
        <f t="shared" si="121"/>
        <v>45189</v>
      </c>
      <c r="G1938" t="s">
        <v>17</v>
      </c>
      <c r="H1938" t="s">
        <v>453</v>
      </c>
      <c r="I1938" t="s">
        <v>1317</v>
      </c>
      <c r="J1938" t="s">
        <v>2316</v>
      </c>
      <c r="K1938" t="s">
        <v>122</v>
      </c>
      <c r="L1938" t="s">
        <v>36</v>
      </c>
      <c r="M1938">
        <v>52</v>
      </c>
      <c r="N1938" t="s">
        <v>70</v>
      </c>
      <c r="O1938">
        <v>119</v>
      </c>
      <c r="P1938">
        <v>1</v>
      </c>
      <c r="Q1938">
        <v>4026.03</v>
      </c>
      <c r="R1938" s="4">
        <v>45600</v>
      </c>
      <c r="S1938" s="6">
        <v>0.3379861111111111</v>
      </c>
      <c r="T1938">
        <f t="shared" si="122"/>
        <v>17</v>
      </c>
      <c r="U1938" t="str" cm="1">
        <f t="array" ref="U1938">_xlfn.IFS(M1938&lt;=34,"YOUNG",M1938&lt;=54,"MIDDLE AGE",M1938&gt;=55,"OLD")</f>
        <v>MIDDLE AGE</v>
      </c>
      <c r="V1938" t="str">
        <f t="shared" si="123"/>
        <v>NORMAL</v>
      </c>
    </row>
    <row r="1939" spans="1:22" x14ac:dyDescent="0.35">
      <c r="A1939" t="s">
        <v>3812</v>
      </c>
      <c r="B1939" t="s">
        <v>2986</v>
      </c>
      <c r="C1939">
        <v>26.31</v>
      </c>
      <c r="D1939" s="1">
        <v>45149.693240740744</v>
      </c>
      <c r="E1939" s="2">
        <f t="shared" si="120"/>
        <v>0.69324074074393138</v>
      </c>
      <c r="F1939" s="3">
        <f t="shared" si="121"/>
        <v>45149</v>
      </c>
      <c r="G1939" t="s">
        <v>46</v>
      </c>
      <c r="H1939" t="s">
        <v>119</v>
      </c>
      <c r="I1939" t="s">
        <v>3813</v>
      </c>
      <c r="J1939" t="s">
        <v>199</v>
      </c>
      <c r="K1939" t="s">
        <v>165</v>
      </c>
      <c r="L1939" t="s">
        <v>36</v>
      </c>
      <c r="M1939">
        <v>77</v>
      </c>
      <c r="N1939" t="s">
        <v>70</v>
      </c>
      <c r="O1939">
        <v>163</v>
      </c>
      <c r="P1939">
        <v>1</v>
      </c>
      <c r="Q1939">
        <v>7095.76</v>
      </c>
      <c r="R1939" s="4">
        <v>45600</v>
      </c>
      <c r="S1939" s="6">
        <v>0.33812500000000001</v>
      </c>
      <c r="T1939">
        <f t="shared" si="122"/>
        <v>16</v>
      </c>
      <c r="U1939" t="str" cm="1">
        <f t="array" ref="U1939">_xlfn.IFS(M1939&lt;=34,"YOUNG",M1939&lt;=54,"MIDDLE AGE",M1939&gt;=55,"OLD")</f>
        <v>OLD</v>
      </c>
      <c r="V1939" t="str">
        <f t="shared" si="123"/>
        <v>NORMAL</v>
      </c>
    </row>
    <row r="1940" spans="1:22" x14ac:dyDescent="0.35">
      <c r="A1940" t="s">
        <v>3814</v>
      </c>
      <c r="B1940" t="s">
        <v>1114</v>
      </c>
      <c r="C1940">
        <v>205.58</v>
      </c>
      <c r="D1940" s="1">
        <v>45154.742511574077</v>
      </c>
      <c r="E1940" s="2">
        <f t="shared" si="120"/>
        <v>0.74251157407707069</v>
      </c>
      <c r="F1940" s="3">
        <f t="shared" si="121"/>
        <v>45154</v>
      </c>
      <c r="G1940" t="s">
        <v>17</v>
      </c>
      <c r="H1940" t="s">
        <v>595</v>
      </c>
      <c r="I1940" t="s">
        <v>2123</v>
      </c>
      <c r="J1940" t="s">
        <v>1790</v>
      </c>
      <c r="K1940" t="s">
        <v>262</v>
      </c>
      <c r="L1940" t="s">
        <v>36</v>
      </c>
      <c r="M1940">
        <v>20</v>
      </c>
      <c r="N1940" t="s">
        <v>37</v>
      </c>
      <c r="O1940">
        <v>159</v>
      </c>
      <c r="P1940">
        <v>1</v>
      </c>
      <c r="Q1940">
        <v>1501.95</v>
      </c>
      <c r="R1940" s="4">
        <v>45600</v>
      </c>
      <c r="S1940" s="6">
        <v>0.33883101851851855</v>
      </c>
      <c r="T1940">
        <f t="shared" si="122"/>
        <v>17</v>
      </c>
      <c r="U1940" t="str" cm="1">
        <f t="array" ref="U1940">_xlfn.IFS(M1940&lt;=34,"YOUNG",M1940&lt;=54,"MIDDLE AGE",M1940&gt;=55,"OLD")</f>
        <v>YOUNG</v>
      </c>
      <c r="V1940" t="str">
        <f t="shared" si="123"/>
        <v>NORMAL</v>
      </c>
    </row>
    <row r="1941" spans="1:22" x14ac:dyDescent="0.35">
      <c r="A1941" t="s">
        <v>3815</v>
      </c>
      <c r="B1941" t="s">
        <v>781</v>
      </c>
      <c r="C1941">
        <v>533.61</v>
      </c>
      <c r="D1941" s="1">
        <v>45280.678599537037</v>
      </c>
      <c r="E1941" s="2">
        <f t="shared" si="120"/>
        <v>0.67859953703737119</v>
      </c>
      <c r="F1941" s="3">
        <f t="shared" si="121"/>
        <v>45280</v>
      </c>
      <c r="G1941" t="s">
        <v>17</v>
      </c>
      <c r="H1941" t="s">
        <v>32</v>
      </c>
      <c r="I1941" t="s">
        <v>2743</v>
      </c>
      <c r="J1941" t="s">
        <v>2175</v>
      </c>
      <c r="K1941" t="s">
        <v>169</v>
      </c>
      <c r="L1941" t="s">
        <v>36</v>
      </c>
      <c r="M1941">
        <v>48</v>
      </c>
      <c r="N1941" t="s">
        <v>77</v>
      </c>
      <c r="O1941">
        <v>115</v>
      </c>
      <c r="P1941">
        <v>1</v>
      </c>
      <c r="Q1941">
        <v>3656.93</v>
      </c>
      <c r="R1941" s="4">
        <v>45600</v>
      </c>
      <c r="S1941" s="6">
        <v>0.3414699074074074</v>
      </c>
      <c r="T1941">
        <f t="shared" si="122"/>
        <v>16</v>
      </c>
      <c r="U1941" t="str" cm="1">
        <f t="array" ref="U1941">_xlfn.IFS(M1941&lt;=34,"YOUNG",M1941&lt;=54,"MIDDLE AGE",M1941&gt;=55,"OLD")</f>
        <v>MIDDLE AGE</v>
      </c>
      <c r="V1941" t="str">
        <f t="shared" si="123"/>
        <v>NORMAL</v>
      </c>
    </row>
    <row r="1942" spans="1:22" x14ac:dyDescent="0.35">
      <c r="A1942" t="s">
        <v>3816</v>
      </c>
      <c r="B1942" t="s">
        <v>1512</v>
      </c>
      <c r="C1942">
        <v>428.62</v>
      </c>
      <c r="D1942" s="1">
        <v>45082.66810185185</v>
      </c>
      <c r="E1942" s="2">
        <f t="shared" si="120"/>
        <v>0.66810185185022419</v>
      </c>
      <c r="F1942" s="3">
        <f t="shared" si="121"/>
        <v>45082</v>
      </c>
      <c r="G1942" t="s">
        <v>17</v>
      </c>
      <c r="H1942" t="s">
        <v>40</v>
      </c>
      <c r="I1942" t="s">
        <v>135</v>
      </c>
      <c r="J1942" t="s">
        <v>3350</v>
      </c>
      <c r="K1942" t="s">
        <v>165</v>
      </c>
      <c r="L1942" t="s">
        <v>69</v>
      </c>
      <c r="M1942">
        <v>55</v>
      </c>
      <c r="N1942" t="s">
        <v>70</v>
      </c>
      <c r="O1942">
        <v>72</v>
      </c>
      <c r="P1942">
        <v>1</v>
      </c>
      <c r="Q1942">
        <v>3473.24</v>
      </c>
      <c r="R1942" s="4">
        <v>45600</v>
      </c>
      <c r="S1942" s="6">
        <v>0.34055555555555556</v>
      </c>
      <c r="T1942">
        <f t="shared" si="122"/>
        <v>16</v>
      </c>
      <c r="U1942" t="str" cm="1">
        <f t="array" ref="U1942">_xlfn.IFS(M1942&lt;=34,"YOUNG",M1942&lt;=54,"MIDDLE AGE",M1942&gt;=55,"OLD")</f>
        <v>OLD</v>
      </c>
      <c r="V1942" t="str">
        <f t="shared" si="123"/>
        <v>NORMAL</v>
      </c>
    </row>
    <row r="1943" spans="1:22" x14ac:dyDescent="0.35">
      <c r="A1943" t="s">
        <v>3817</v>
      </c>
      <c r="B1943" t="s">
        <v>1736</v>
      </c>
      <c r="C1943">
        <v>361.22</v>
      </c>
      <c r="D1943" s="1">
        <v>45033.749247685184</v>
      </c>
      <c r="E1943" s="2">
        <f t="shared" si="120"/>
        <v>0.74924768518394558</v>
      </c>
      <c r="F1943" s="3">
        <f t="shared" si="121"/>
        <v>45033</v>
      </c>
      <c r="G1943" t="s">
        <v>17</v>
      </c>
      <c r="H1943" t="s">
        <v>40</v>
      </c>
      <c r="I1943" t="s">
        <v>3818</v>
      </c>
      <c r="J1943" t="s">
        <v>257</v>
      </c>
      <c r="K1943" t="s">
        <v>165</v>
      </c>
      <c r="L1943" t="s">
        <v>22</v>
      </c>
      <c r="M1943">
        <v>64</v>
      </c>
      <c r="N1943" t="s">
        <v>70</v>
      </c>
      <c r="O1943">
        <v>167</v>
      </c>
      <c r="P1943">
        <v>1</v>
      </c>
      <c r="Q1943">
        <v>7061.73</v>
      </c>
      <c r="R1943" s="4">
        <v>45600</v>
      </c>
      <c r="S1943" s="6">
        <v>0.34055555555555556</v>
      </c>
      <c r="T1943">
        <f t="shared" si="122"/>
        <v>17</v>
      </c>
      <c r="U1943" t="str" cm="1">
        <f t="array" ref="U1943">_xlfn.IFS(M1943&lt;=34,"YOUNG",M1943&lt;=54,"MIDDLE AGE",M1943&gt;=55,"OLD")</f>
        <v>OLD</v>
      </c>
      <c r="V1943" t="str">
        <f t="shared" si="123"/>
        <v>NORMAL</v>
      </c>
    </row>
    <row r="1944" spans="1:22" x14ac:dyDescent="0.35">
      <c r="A1944" t="s">
        <v>3819</v>
      </c>
      <c r="B1944" t="s">
        <v>868</v>
      </c>
      <c r="C1944">
        <v>837.29</v>
      </c>
      <c r="D1944" s="1">
        <v>45257.676678240743</v>
      </c>
      <c r="E1944" s="2">
        <f t="shared" si="120"/>
        <v>0.67667824074305827</v>
      </c>
      <c r="F1944" s="3">
        <f t="shared" si="121"/>
        <v>45257</v>
      </c>
      <c r="G1944" t="s">
        <v>17</v>
      </c>
      <c r="H1944" t="s">
        <v>425</v>
      </c>
      <c r="I1944" t="s">
        <v>3187</v>
      </c>
      <c r="J1944" t="s">
        <v>1133</v>
      </c>
      <c r="K1944" t="s">
        <v>43</v>
      </c>
      <c r="L1944" t="s">
        <v>69</v>
      </c>
      <c r="M1944">
        <v>25</v>
      </c>
      <c r="N1944" t="s">
        <v>37</v>
      </c>
      <c r="O1944">
        <v>216</v>
      </c>
      <c r="P1944">
        <v>1</v>
      </c>
      <c r="Q1944">
        <v>6012.67</v>
      </c>
      <c r="R1944" s="4">
        <v>45600</v>
      </c>
      <c r="S1944" s="6">
        <v>0.33833333333333332</v>
      </c>
      <c r="T1944">
        <f t="shared" si="122"/>
        <v>16</v>
      </c>
      <c r="U1944" t="str" cm="1">
        <f t="array" ref="U1944">_xlfn.IFS(M1944&lt;=34,"YOUNG",M1944&lt;=54,"MIDDLE AGE",M1944&gt;=55,"OLD")</f>
        <v>YOUNG</v>
      </c>
      <c r="V1944" t="str">
        <f t="shared" si="123"/>
        <v>NORMAL</v>
      </c>
    </row>
    <row r="1945" spans="1:22" x14ac:dyDescent="0.35">
      <c r="A1945" t="s">
        <v>3820</v>
      </c>
      <c r="B1945" t="s">
        <v>1620</v>
      </c>
      <c r="C1945">
        <v>117.25</v>
      </c>
      <c r="D1945" s="1">
        <v>45019.691319444442</v>
      </c>
      <c r="E1945" s="2">
        <f t="shared" si="120"/>
        <v>0.6913194444423425</v>
      </c>
      <c r="F1945" s="3">
        <f t="shared" si="121"/>
        <v>45019</v>
      </c>
      <c r="G1945" t="s">
        <v>46</v>
      </c>
      <c r="H1945" t="s">
        <v>47</v>
      </c>
      <c r="I1945" t="s">
        <v>1269</v>
      </c>
      <c r="J1945" t="s">
        <v>1112</v>
      </c>
      <c r="K1945" t="s">
        <v>50</v>
      </c>
      <c r="L1945" t="s">
        <v>36</v>
      </c>
      <c r="M1945">
        <v>31</v>
      </c>
      <c r="N1945" t="s">
        <v>23</v>
      </c>
      <c r="O1945">
        <v>73</v>
      </c>
      <c r="P1945">
        <v>1</v>
      </c>
      <c r="Q1945">
        <v>13694.68</v>
      </c>
      <c r="R1945" s="4">
        <v>45600</v>
      </c>
      <c r="S1945" s="6">
        <v>0.33922453703703703</v>
      </c>
      <c r="T1945">
        <f t="shared" si="122"/>
        <v>16</v>
      </c>
      <c r="U1945" t="str" cm="1">
        <f t="array" ref="U1945">_xlfn.IFS(M1945&lt;=34,"YOUNG",M1945&lt;=54,"MIDDLE AGE",M1945&gt;=55,"OLD")</f>
        <v>YOUNG</v>
      </c>
      <c r="V1945" t="str">
        <f t="shared" si="123"/>
        <v>NORMAL</v>
      </c>
    </row>
    <row r="1946" spans="1:22" x14ac:dyDescent="0.35">
      <c r="A1946" t="s">
        <v>3821</v>
      </c>
      <c r="B1946" t="s">
        <v>1333</v>
      </c>
      <c r="C1946">
        <v>135.27000000000001</v>
      </c>
      <c r="D1946" s="1">
        <v>45148.678252314814</v>
      </c>
      <c r="E1946" s="2">
        <f t="shared" si="120"/>
        <v>0.67825231481401715</v>
      </c>
      <c r="F1946" s="3">
        <f t="shared" si="121"/>
        <v>45148</v>
      </c>
      <c r="G1946" t="s">
        <v>17</v>
      </c>
      <c r="H1946" t="s">
        <v>47</v>
      </c>
      <c r="I1946" t="s">
        <v>472</v>
      </c>
      <c r="J1946" t="s">
        <v>1819</v>
      </c>
      <c r="K1946" t="s">
        <v>1345</v>
      </c>
      <c r="L1946" t="s">
        <v>22</v>
      </c>
      <c r="M1946">
        <v>48</v>
      </c>
      <c r="N1946" t="s">
        <v>23</v>
      </c>
      <c r="O1946">
        <v>131</v>
      </c>
      <c r="P1946">
        <v>1</v>
      </c>
      <c r="Q1946">
        <v>9410.51</v>
      </c>
      <c r="R1946" s="4">
        <v>45600</v>
      </c>
      <c r="S1946" s="6">
        <v>0.3399537037037037</v>
      </c>
      <c r="T1946">
        <f t="shared" si="122"/>
        <v>16</v>
      </c>
      <c r="U1946" t="str" cm="1">
        <f t="array" ref="U1946">_xlfn.IFS(M1946&lt;=34,"YOUNG",M1946&lt;=54,"MIDDLE AGE",M1946&gt;=55,"OLD")</f>
        <v>MIDDLE AGE</v>
      </c>
      <c r="V1946" t="str">
        <f t="shared" si="123"/>
        <v>NORMAL</v>
      </c>
    </row>
    <row r="1947" spans="1:22" x14ac:dyDescent="0.35">
      <c r="A1947" t="s">
        <v>3822</v>
      </c>
      <c r="B1947" t="s">
        <v>965</v>
      </c>
      <c r="C1947">
        <v>185.1</v>
      </c>
      <c r="D1947" s="1">
        <v>45146.681261574071</v>
      </c>
      <c r="E1947" s="2">
        <f t="shared" si="120"/>
        <v>0.68126157407095889</v>
      </c>
      <c r="F1947" s="3">
        <f t="shared" si="121"/>
        <v>45146</v>
      </c>
      <c r="G1947" t="s">
        <v>17</v>
      </c>
      <c r="H1947" t="s">
        <v>86</v>
      </c>
      <c r="I1947" t="s">
        <v>1426</v>
      </c>
      <c r="J1947" t="s">
        <v>999</v>
      </c>
      <c r="K1947" t="s">
        <v>262</v>
      </c>
      <c r="L1947" t="s">
        <v>69</v>
      </c>
      <c r="M1947">
        <v>53</v>
      </c>
      <c r="N1947" t="s">
        <v>70</v>
      </c>
      <c r="O1947">
        <v>23</v>
      </c>
      <c r="P1947">
        <v>1</v>
      </c>
      <c r="Q1947">
        <v>6115.63</v>
      </c>
      <c r="R1947" s="4">
        <v>45600</v>
      </c>
      <c r="S1947" s="6">
        <v>0.34075231481481483</v>
      </c>
      <c r="T1947">
        <f t="shared" si="122"/>
        <v>16</v>
      </c>
      <c r="U1947" t="str" cm="1">
        <f t="array" ref="U1947">_xlfn.IFS(M1947&lt;=34,"YOUNG",M1947&lt;=54,"MIDDLE AGE",M1947&gt;=55,"OLD")</f>
        <v>MIDDLE AGE</v>
      </c>
      <c r="V1947" t="str">
        <f t="shared" si="123"/>
        <v>NORMAL</v>
      </c>
    </row>
    <row r="1948" spans="1:22" x14ac:dyDescent="0.35">
      <c r="A1948" t="s">
        <v>3823</v>
      </c>
      <c r="B1948" t="s">
        <v>1167</v>
      </c>
      <c r="C1948">
        <v>113.54</v>
      </c>
      <c r="D1948" s="1">
        <v>45191.69636574074</v>
      </c>
      <c r="E1948" s="2">
        <f t="shared" si="120"/>
        <v>0.69636574073956581</v>
      </c>
      <c r="F1948" s="3">
        <f t="shared" si="121"/>
        <v>45191</v>
      </c>
      <c r="G1948" t="s">
        <v>17</v>
      </c>
      <c r="H1948" t="s">
        <v>125</v>
      </c>
      <c r="I1948" t="s">
        <v>1838</v>
      </c>
      <c r="J1948" t="s">
        <v>918</v>
      </c>
      <c r="K1948" t="s">
        <v>308</v>
      </c>
      <c r="L1948" t="s">
        <v>36</v>
      </c>
      <c r="M1948">
        <v>38</v>
      </c>
      <c r="N1948" t="s">
        <v>77</v>
      </c>
      <c r="O1948">
        <v>273</v>
      </c>
      <c r="P1948">
        <v>1</v>
      </c>
      <c r="Q1948">
        <v>5581.21</v>
      </c>
      <c r="R1948" s="4">
        <v>45600</v>
      </c>
      <c r="S1948" s="6">
        <v>0.33940972222222221</v>
      </c>
      <c r="T1948">
        <f t="shared" si="122"/>
        <v>16</v>
      </c>
      <c r="U1948" t="str" cm="1">
        <f t="array" ref="U1948">_xlfn.IFS(M1948&lt;=34,"YOUNG",M1948&lt;=54,"MIDDLE AGE",M1948&gt;=55,"OLD")</f>
        <v>MIDDLE AGE</v>
      </c>
      <c r="V1948" t="str">
        <f t="shared" si="123"/>
        <v>NORMAL</v>
      </c>
    </row>
    <row r="1949" spans="1:22" x14ac:dyDescent="0.35">
      <c r="A1949" t="s">
        <v>3824</v>
      </c>
      <c r="B1949" t="s">
        <v>3006</v>
      </c>
      <c r="C1949">
        <v>354.96</v>
      </c>
      <c r="D1949" s="1">
        <v>45259.685856481483</v>
      </c>
      <c r="E1949" s="2">
        <f t="shared" si="120"/>
        <v>0.68585648148291511</v>
      </c>
      <c r="F1949" s="3">
        <f t="shared" si="121"/>
        <v>45259</v>
      </c>
      <c r="G1949" t="s">
        <v>17</v>
      </c>
      <c r="H1949" t="s">
        <v>157</v>
      </c>
      <c r="I1949" t="s">
        <v>198</v>
      </c>
      <c r="J1949" t="s">
        <v>2325</v>
      </c>
      <c r="K1949" t="s">
        <v>240</v>
      </c>
      <c r="L1949" t="s">
        <v>36</v>
      </c>
      <c r="M1949">
        <v>69</v>
      </c>
      <c r="N1949" t="s">
        <v>23</v>
      </c>
      <c r="O1949">
        <v>96</v>
      </c>
      <c r="P1949">
        <v>1</v>
      </c>
      <c r="Q1949">
        <v>6712.94</v>
      </c>
      <c r="R1949" s="4">
        <v>45600</v>
      </c>
      <c r="S1949" s="6">
        <v>0.33910879629629631</v>
      </c>
      <c r="T1949">
        <f t="shared" si="122"/>
        <v>16</v>
      </c>
      <c r="U1949" t="str" cm="1">
        <f t="array" ref="U1949">_xlfn.IFS(M1949&lt;=34,"YOUNG",M1949&lt;=54,"MIDDLE AGE",M1949&gt;=55,"OLD")</f>
        <v>OLD</v>
      </c>
      <c r="V1949" t="str">
        <f t="shared" si="123"/>
        <v>NORMAL</v>
      </c>
    </row>
    <row r="1950" spans="1:22" x14ac:dyDescent="0.35">
      <c r="A1950" t="s">
        <v>3825</v>
      </c>
      <c r="B1950" t="s">
        <v>2681</v>
      </c>
      <c r="C1950">
        <v>224.22</v>
      </c>
      <c r="D1950" s="1">
        <v>44949.78125</v>
      </c>
      <c r="E1950" s="2">
        <f t="shared" si="120"/>
        <v>0.78125</v>
      </c>
      <c r="F1950" s="3">
        <f t="shared" si="121"/>
        <v>44949</v>
      </c>
      <c r="G1950" t="s">
        <v>17</v>
      </c>
      <c r="H1950" t="s">
        <v>558</v>
      </c>
      <c r="I1950" t="s">
        <v>1234</v>
      </c>
      <c r="J1950" t="s">
        <v>1448</v>
      </c>
      <c r="K1950" t="s">
        <v>572</v>
      </c>
      <c r="L1950" t="s">
        <v>69</v>
      </c>
      <c r="M1950">
        <v>53</v>
      </c>
      <c r="N1950" t="s">
        <v>23</v>
      </c>
      <c r="O1950">
        <v>37</v>
      </c>
      <c r="P1950">
        <v>1</v>
      </c>
      <c r="Q1950">
        <v>8400.8700000000008</v>
      </c>
      <c r="R1950" s="4">
        <v>45600</v>
      </c>
      <c r="S1950" s="6">
        <v>0.34187499999999998</v>
      </c>
      <c r="T1950">
        <f t="shared" si="122"/>
        <v>18</v>
      </c>
      <c r="U1950" t="str" cm="1">
        <f t="array" ref="U1950">_xlfn.IFS(M1950&lt;=34,"YOUNG",M1950&lt;=54,"MIDDLE AGE",M1950&gt;=55,"OLD")</f>
        <v>MIDDLE AGE</v>
      </c>
      <c r="V1950" t="str">
        <f t="shared" si="123"/>
        <v>NORMAL</v>
      </c>
    </row>
    <row r="1951" spans="1:22" x14ac:dyDescent="0.35">
      <c r="A1951" t="s">
        <v>3826</v>
      </c>
      <c r="B1951" t="s">
        <v>2162</v>
      </c>
      <c r="C1951">
        <v>737.1</v>
      </c>
      <c r="D1951" s="1">
        <v>45126.674317129633</v>
      </c>
      <c r="E1951" s="2">
        <f t="shared" si="120"/>
        <v>0.67431712963298196</v>
      </c>
      <c r="F1951" s="3">
        <f t="shared" si="121"/>
        <v>45126</v>
      </c>
      <c r="G1951" t="s">
        <v>17</v>
      </c>
      <c r="H1951" t="s">
        <v>453</v>
      </c>
      <c r="I1951" t="s">
        <v>917</v>
      </c>
      <c r="J1951" t="s">
        <v>3061</v>
      </c>
      <c r="K1951" t="s">
        <v>418</v>
      </c>
      <c r="L1951" t="s">
        <v>22</v>
      </c>
      <c r="M1951">
        <v>60</v>
      </c>
      <c r="N1951" t="s">
        <v>70</v>
      </c>
      <c r="O1951">
        <v>92</v>
      </c>
      <c r="P1951">
        <v>1</v>
      </c>
      <c r="Q1951">
        <v>4644.1899999999996</v>
      </c>
      <c r="R1951" s="4">
        <v>45600</v>
      </c>
      <c r="S1951" s="6">
        <v>0.34106481481481482</v>
      </c>
      <c r="T1951">
        <f t="shared" si="122"/>
        <v>16</v>
      </c>
      <c r="U1951" t="str" cm="1">
        <f t="array" ref="U1951">_xlfn.IFS(M1951&lt;=34,"YOUNG",M1951&lt;=54,"MIDDLE AGE",M1951&gt;=55,"OLD")</f>
        <v>OLD</v>
      </c>
      <c r="V1951" t="str">
        <f t="shared" si="123"/>
        <v>NORMAL</v>
      </c>
    </row>
    <row r="1952" spans="1:22" x14ac:dyDescent="0.35">
      <c r="A1952" t="s">
        <v>3827</v>
      </c>
      <c r="B1952" t="s">
        <v>621</v>
      </c>
      <c r="C1952">
        <v>223.22</v>
      </c>
      <c r="D1952" s="1">
        <v>45124.680868055555</v>
      </c>
      <c r="E1952" s="2">
        <f t="shared" si="120"/>
        <v>0.68086805555503815</v>
      </c>
      <c r="F1952" s="3">
        <f t="shared" si="121"/>
        <v>45124</v>
      </c>
      <c r="G1952" t="s">
        <v>17</v>
      </c>
      <c r="H1952" t="s">
        <v>157</v>
      </c>
      <c r="I1952" t="s">
        <v>275</v>
      </c>
      <c r="J1952" t="s">
        <v>2175</v>
      </c>
      <c r="K1952" t="s">
        <v>762</v>
      </c>
      <c r="L1952" t="s">
        <v>22</v>
      </c>
      <c r="M1952">
        <v>27</v>
      </c>
      <c r="N1952" t="s">
        <v>37</v>
      </c>
      <c r="O1952">
        <v>96</v>
      </c>
      <c r="P1952">
        <v>1</v>
      </c>
      <c r="Q1952">
        <v>1734.22</v>
      </c>
      <c r="R1952" s="4">
        <v>45600</v>
      </c>
      <c r="S1952" s="6">
        <v>0.33906249999999999</v>
      </c>
      <c r="T1952">
        <f t="shared" si="122"/>
        <v>16</v>
      </c>
      <c r="U1952" t="str" cm="1">
        <f t="array" ref="U1952">_xlfn.IFS(M1952&lt;=34,"YOUNG",M1952&lt;=54,"MIDDLE AGE",M1952&gt;=55,"OLD")</f>
        <v>YOUNG</v>
      </c>
      <c r="V1952" t="str">
        <f t="shared" si="123"/>
        <v>NORMAL</v>
      </c>
    </row>
    <row r="1953" spans="1:22" x14ac:dyDescent="0.35">
      <c r="A1953" t="s">
        <v>3828</v>
      </c>
      <c r="B1953" t="s">
        <v>1190</v>
      </c>
      <c r="C1953">
        <v>557.26</v>
      </c>
      <c r="D1953" s="1">
        <v>45203.713159722225</v>
      </c>
      <c r="E1953" s="2">
        <f t="shared" si="120"/>
        <v>0.71315972222510027</v>
      </c>
      <c r="F1953" s="3">
        <f t="shared" si="121"/>
        <v>45203</v>
      </c>
      <c r="G1953" t="s">
        <v>17</v>
      </c>
      <c r="H1953" t="s">
        <v>223</v>
      </c>
      <c r="I1953" t="s">
        <v>2032</v>
      </c>
      <c r="J1953" t="s">
        <v>1852</v>
      </c>
      <c r="K1953" t="s">
        <v>592</v>
      </c>
      <c r="L1953" t="s">
        <v>22</v>
      </c>
      <c r="M1953">
        <v>69</v>
      </c>
      <c r="N1953" t="s">
        <v>23</v>
      </c>
      <c r="O1953">
        <v>53</v>
      </c>
      <c r="P1953">
        <v>1</v>
      </c>
      <c r="Q1953">
        <v>5237.12</v>
      </c>
      <c r="R1953" s="4">
        <v>45600</v>
      </c>
      <c r="S1953" s="6">
        <v>0.34015046296296297</v>
      </c>
      <c r="T1953">
        <f t="shared" si="122"/>
        <v>17</v>
      </c>
      <c r="U1953" t="str" cm="1">
        <f t="array" ref="U1953">_xlfn.IFS(M1953&lt;=34,"YOUNG",M1953&lt;=54,"MIDDLE AGE",M1953&gt;=55,"OLD")</f>
        <v>OLD</v>
      </c>
      <c r="V1953" t="str">
        <f t="shared" si="123"/>
        <v>NORMAL</v>
      </c>
    </row>
    <row r="1954" spans="1:22" x14ac:dyDescent="0.35">
      <c r="A1954" t="s">
        <v>3829</v>
      </c>
      <c r="B1954" t="s">
        <v>1635</v>
      </c>
      <c r="C1954">
        <v>1496.57</v>
      </c>
      <c r="D1954" s="1">
        <v>44984.679490740738</v>
      </c>
      <c r="E1954" s="2">
        <f t="shared" si="120"/>
        <v>0.67949074073840166</v>
      </c>
      <c r="F1954" s="3">
        <f t="shared" si="121"/>
        <v>44984</v>
      </c>
      <c r="G1954" t="s">
        <v>17</v>
      </c>
      <c r="H1954" t="s">
        <v>92</v>
      </c>
      <c r="I1954" t="s">
        <v>910</v>
      </c>
      <c r="J1954" t="s">
        <v>2065</v>
      </c>
      <c r="K1954" t="s">
        <v>186</v>
      </c>
      <c r="L1954" t="s">
        <v>36</v>
      </c>
      <c r="M1954">
        <v>33</v>
      </c>
      <c r="N1954" t="s">
        <v>77</v>
      </c>
      <c r="O1954">
        <v>95</v>
      </c>
      <c r="P1954">
        <v>1</v>
      </c>
      <c r="Q1954">
        <v>969.06</v>
      </c>
      <c r="R1954" s="4">
        <v>45600</v>
      </c>
      <c r="S1954" s="6">
        <v>0.33792824074074074</v>
      </c>
      <c r="T1954">
        <f t="shared" si="122"/>
        <v>16</v>
      </c>
      <c r="U1954" t="str" cm="1">
        <f t="array" ref="U1954">_xlfn.IFS(M1954&lt;=34,"YOUNG",M1954&lt;=54,"MIDDLE AGE",M1954&gt;=55,"OLD")</f>
        <v>YOUNG</v>
      </c>
      <c r="V1954" t="str">
        <f t="shared" si="123"/>
        <v>NORMAL</v>
      </c>
    </row>
    <row r="1955" spans="1:22" x14ac:dyDescent="0.35">
      <c r="A1955" t="s">
        <v>3830</v>
      </c>
      <c r="B1955" t="s">
        <v>716</v>
      </c>
      <c r="C1955">
        <v>27.44</v>
      </c>
      <c r="D1955" s="1">
        <v>45236.724803240744</v>
      </c>
      <c r="E1955" s="2">
        <f t="shared" si="120"/>
        <v>0.72480324074422242</v>
      </c>
      <c r="F1955" s="3">
        <f t="shared" si="121"/>
        <v>45236</v>
      </c>
      <c r="G1955" t="s">
        <v>17</v>
      </c>
      <c r="H1955" t="s">
        <v>388</v>
      </c>
      <c r="I1955" t="s">
        <v>1479</v>
      </c>
      <c r="J1955" t="s">
        <v>2984</v>
      </c>
      <c r="K1955" t="s">
        <v>100</v>
      </c>
      <c r="L1955" t="s">
        <v>22</v>
      </c>
      <c r="M1955">
        <v>62</v>
      </c>
      <c r="N1955" t="s">
        <v>70</v>
      </c>
      <c r="O1955">
        <v>164</v>
      </c>
      <c r="P1955">
        <v>1</v>
      </c>
      <c r="Q1955">
        <v>5950.48</v>
      </c>
      <c r="R1955" s="4">
        <v>45600</v>
      </c>
      <c r="S1955" s="6">
        <v>0.33938657407407408</v>
      </c>
      <c r="T1955">
        <f t="shared" si="122"/>
        <v>17</v>
      </c>
      <c r="U1955" t="str" cm="1">
        <f t="array" ref="U1955">_xlfn.IFS(M1955&lt;=34,"YOUNG",M1955&lt;=54,"MIDDLE AGE",M1955&gt;=55,"OLD")</f>
        <v>OLD</v>
      </c>
      <c r="V1955" t="str">
        <f t="shared" si="123"/>
        <v>NORMAL</v>
      </c>
    </row>
    <row r="1956" spans="1:22" x14ac:dyDescent="0.35">
      <c r="A1956" t="s">
        <v>3831</v>
      </c>
      <c r="B1956" t="s">
        <v>2986</v>
      </c>
      <c r="C1956">
        <v>310.08999999999997</v>
      </c>
      <c r="D1956" s="1">
        <v>45254.70103009259</v>
      </c>
      <c r="E1956" s="2">
        <f t="shared" si="120"/>
        <v>0.70103009259037208</v>
      </c>
      <c r="F1956" s="3">
        <f t="shared" si="121"/>
        <v>45254</v>
      </c>
      <c r="G1956" t="s">
        <v>17</v>
      </c>
      <c r="H1956" t="s">
        <v>73</v>
      </c>
      <c r="I1956" t="s">
        <v>2008</v>
      </c>
      <c r="J1956" t="s">
        <v>3486</v>
      </c>
      <c r="K1956" t="s">
        <v>1524</v>
      </c>
      <c r="L1956" t="s">
        <v>69</v>
      </c>
      <c r="M1956">
        <v>36</v>
      </c>
      <c r="N1956" t="s">
        <v>23</v>
      </c>
      <c r="O1956">
        <v>166</v>
      </c>
      <c r="P1956">
        <v>1</v>
      </c>
      <c r="Q1956">
        <v>9962.5</v>
      </c>
      <c r="R1956" s="4">
        <v>45600</v>
      </c>
      <c r="S1956" s="6">
        <v>0.34087962962962964</v>
      </c>
      <c r="T1956">
        <f t="shared" si="122"/>
        <v>16</v>
      </c>
      <c r="U1956" t="str" cm="1">
        <f t="array" ref="U1956">_xlfn.IFS(M1956&lt;=34,"YOUNG",M1956&lt;=54,"MIDDLE AGE",M1956&gt;=55,"OLD")</f>
        <v>MIDDLE AGE</v>
      </c>
      <c r="V1956" t="str">
        <f t="shared" si="123"/>
        <v>NORMAL</v>
      </c>
    </row>
    <row r="1957" spans="1:22" x14ac:dyDescent="0.35">
      <c r="A1957" t="s">
        <v>3832</v>
      </c>
      <c r="B1957" t="s">
        <v>1878</v>
      </c>
      <c r="C1957">
        <v>80.38</v>
      </c>
      <c r="D1957" s="1">
        <v>44991.684629629628</v>
      </c>
      <c r="E1957" s="2">
        <f t="shared" si="120"/>
        <v>0.68462962962803431</v>
      </c>
      <c r="F1957" s="3">
        <f t="shared" si="121"/>
        <v>44991</v>
      </c>
      <c r="G1957" t="s">
        <v>17</v>
      </c>
      <c r="H1957" t="s">
        <v>291</v>
      </c>
      <c r="I1957" t="s">
        <v>1334</v>
      </c>
      <c r="J1957" t="s">
        <v>3057</v>
      </c>
      <c r="K1957" t="s">
        <v>331</v>
      </c>
      <c r="L1957" t="s">
        <v>36</v>
      </c>
      <c r="M1957">
        <v>52</v>
      </c>
      <c r="N1957" t="s">
        <v>23</v>
      </c>
      <c r="O1957">
        <v>116</v>
      </c>
      <c r="P1957">
        <v>1</v>
      </c>
      <c r="Q1957">
        <v>9662.8799999999992</v>
      </c>
      <c r="R1957" s="4">
        <v>45600</v>
      </c>
      <c r="S1957" s="6">
        <v>0.34020833333333333</v>
      </c>
      <c r="T1957">
        <f t="shared" si="122"/>
        <v>16</v>
      </c>
      <c r="U1957" t="str" cm="1">
        <f t="array" ref="U1957">_xlfn.IFS(M1957&lt;=34,"YOUNG",M1957&lt;=54,"MIDDLE AGE",M1957&gt;=55,"OLD")</f>
        <v>MIDDLE AGE</v>
      </c>
      <c r="V1957" t="str">
        <f t="shared" si="123"/>
        <v>NORMAL</v>
      </c>
    </row>
    <row r="1958" spans="1:22" x14ac:dyDescent="0.35">
      <c r="A1958" t="s">
        <v>3833</v>
      </c>
      <c r="B1958" t="s">
        <v>1238</v>
      </c>
      <c r="C1958">
        <v>26.1</v>
      </c>
      <c r="D1958" s="1">
        <v>45261.739641203705</v>
      </c>
      <c r="E1958" s="2">
        <f t="shared" si="120"/>
        <v>0.739641203705105</v>
      </c>
      <c r="F1958" s="3">
        <f t="shared" si="121"/>
        <v>45261</v>
      </c>
      <c r="G1958" t="s">
        <v>46</v>
      </c>
      <c r="H1958" t="s">
        <v>73</v>
      </c>
      <c r="I1958" t="s">
        <v>2870</v>
      </c>
      <c r="J1958" t="s">
        <v>3274</v>
      </c>
      <c r="K1958" t="s">
        <v>418</v>
      </c>
      <c r="L1958" t="s">
        <v>69</v>
      </c>
      <c r="M1958">
        <v>66</v>
      </c>
      <c r="N1958" t="s">
        <v>23</v>
      </c>
      <c r="O1958">
        <v>115</v>
      </c>
      <c r="P1958">
        <v>1</v>
      </c>
      <c r="Q1958">
        <v>5243</v>
      </c>
      <c r="R1958" s="4">
        <v>45600</v>
      </c>
      <c r="S1958" s="6">
        <v>0.34055555555555556</v>
      </c>
      <c r="T1958">
        <f t="shared" si="122"/>
        <v>17</v>
      </c>
      <c r="U1958" t="str" cm="1">
        <f t="array" ref="U1958">_xlfn.IFS(M1958&lt;=34,"YOUNG",M1958&lt;=54,"MIDDLE AGE",M1958&gt;=55,"OLD")</f>
        <v>OLD</v>
      </c>
      <c r="V1958" t="str">
        <f t="shared" si="123"/>
        <v>NORMAL</v>
      </c>
    </row>
    <row r="1959" spans="1:22" x14ac:dyDescent="0.35">
      <c r="A1959" t="s">
        <v>3834</v>
      </c>
      <c r="B1959" t="s">
        <v>899</v>
      </c>
      <c r="C1959">
        <v>845.14</v>
      </c>
      <c r="D1959" s="1">
        <v>44935.681655092594</v>
      </c>
      <c r="E1959" s="2">
        <f t="shared" si="120"/>
        <v>0.68165509259415558</v>
      </c>
      <c r="F1959" s="3">
        <f t="shared" si="121"/>
        <v>44935</v>
      </c>
      <c r="G1959" t="s">
        <v>46</v>
      </c>
      <c r="H1959" t="s">
        <v>53</v>
      </c>
      <c r="I1959" t="s">
        <v>1224</v>
      </c>
      <c r="J1959" t="s">
        <v>882</v>
      </c>
      <c r="K1959" t="s">
        <v>607</v>
      </c>
      <c r="L1959" t="s">
        <v>69</v>
      </c>
      <c r="M1959">
        <v>73</v>
      </c>
      <c r="N1959" t="s">
        <v>70</v>
      </c>
      <c r="O1959">
        <v>183</v>
      </c>
      <c r="P1959">
        <v>1</v>
      </c>
      <c r="Q1959">
        <v>1702.65</v>
      </c>
      <c r="R1959" s="4">
        <v>45600</v>
      </c>
      <c r="S1959" s="6">
        <v>0.34108796296296295</v>
      </c>
      <c r="T1959">
        <f t="shared" si="122"/>
        <v>16</v>
      </c>
      <c r="U1959" t="str" cm="1">
        <f t="array" ref="U1959">_xlfn.IFS(M1959&lt;=34,"YOUNG",M1959&lt;=54,"MIDDLE AGE",M1959&gt;=55,"OLD")</f>
        <v>OLD</v>
      </c>
      <c r="V1959" t="str">
        <f t="shared" si="123"/>
        <v>NORMAL</v>
      </c>
    </row>
    <row r="1960" spans="1:22" x14ac:dyDescent="0.35">
      <c r="A1960" t="s">
        <v>3835</v>
      </c>
      <c r="B1960" t="s">
        <v>1085</v>
      </c>
      <c r="C1960">
        <v>59.73</v>
      </c>
      <c r="D1960" s="1">
        <v>45068.693506944444</v>
      </c>
      <c r="E1960" s="2">
        <f t="shared" si="120"/>
        <v>0.69350694444437977</v>
      </c>
      <c r="F1960" s="3">
        <f t="shared" si="121"/>
        <v>45068</v>
      </c>
      <c r="G1960" t="s">
        <v>17</v>
      </c>
      <c r="H1960" t="s">
        <v>558</v>
      </c>
      <c r="I1960" t="s">
        <v>2086</v>
      </c>
      <c r="J1960" t="s">
        <v>2761</v>
      </c>
      <c r="K1960" t="s">
        <v>62</v>
      </c>
      <c r="L1960" t="s">
        <v>22</v>
      </c>
      <c r="M1960">
        <v>27</v>
      </c>
      <c r="N1960" t="s">
        <v>37</v>
      </c>
      <c r="O1960">
        <v>56</v>
      </c>
      <c r="P1960">
        <v>1</v>
      </c>
      <c r="Q1960">
        <v>800.93</v>
      </c>
      <c r="R1960" s="4">
        <v>45600</v>
      </c>
      <c r="S1960" s="6">
        <v>0.34039351851851851</v>
      </c>
      <c r="T1960">
        <f t="shared" si="122"/>
        <v>16</v>
      </c>
      <c r="U1960" t="str" cm="1">
        <f t="array" ref="U1960">_xlfn.IFS(M1960&lt;=34,"YOUNG",M1960&lt;=54,"MIDDLE AGE",M1960&gt;=55,"OLD")</f>
        <v>YOUNG</v>
      </c>
      <c r="V1960" t="str">
        <f t="shared" si="123"/>
        <v>NORMAL</v>
      </c>
    </row>
    <row r="1961" spans="1:22" x14ac:dyDescent="0.35">
      <c r="A1961" t="s">
        <v>3836</v>
      </c>
      <c r="B1961" t="s">
        <v>648</v>
      </c>
      <c r="C1961">
        <v>758.77</v>
      </c>
      <c r="D1961" s="1">
        <v>45100.675173611111</v>
      </c>
      <c r="E1961" s="2">
        <f t="shared" si="120"/>
        <v>0.67517361111094942</v>
      </c>
      <c r="F1961" s="3">
        <f t="shared" si="121"/>
        <v>45100</v>
      </c>
      <c r="G1961" t="s">
        <v>17</v>
      </c>
      <c r="H1961" t="s">
        <v>237</v>
      </c>
      <c r="I1961" t="s">
        <v>1135</v>
      </c>
      <c r="J1961" t="s">
        <v>3837</v>
      </c>
      <c r="K1961" t="s">
        <v>35</v>
      </c>
      <c r="L1961" t="s">
        <v>22</v>
      </c>
      <c r="M1961">
        <v>60</v>
      </c>
      <c r="N1961" t="s">
        <v>77</v>
      </c>
      <c r="O1961">
        <v>114</v>
      </c>
      <c r="P1961">
        <v>1</v>
      </c>
      <c r="Q1961">
        <v>7231.47</v>
      </c>
      <c r="R1961" s="4">
        <v>45600</v>
      </c>
      <c r="S1961" s="6">
        <v>0.33916666666666667</v>
      </c>
      <c r="T1961">
        <f t="shared" si="122"/>
        <v>16</v>
      </c>
      <c r="U1961" t="str" cm="1">
        <f t="array" ref="U1961">_xlfn.IFS(M1961&lt;=34,"YOUNG",M1961&lt;=54,"MIDDLE AGE",M1961&gt;=55,"OLD")</f>
        <v>OLD</v>
      </c>
      <c r="V1961" t="str">
        <f t="shared" si="123"/>
        <v>NORMAL</v>
      </c>
    </row>
    <row r="1962" spans="1:22" x14ac:dyDescent="0.35">
      <c r="A1962" t="s">
        <v>3838</v>
      </c>
      <c r="B1962" t="s">
        <v>2525</v>
      </c>
      <c r="C1962">
        <v>301.51</v>
      </c>
      <c r="D1962" s="1">
        <v>44981.689965277779</v>
      </c>
      <c r="E1962" s="2">
        <f t="shared" si="120"/>
        <v>0.68996527777926531</v>
      </c>
      <c r="F1962" s="3">
        <f t="shared" si="121"/>
        <v>44981</v>
      </c>
      <c r="G1962" t="s">
        <v>17</v>
      </c>
      <c r="H1962" t="s">
        <v>249</v>
      </c>
      <c r="I1962" t="s">
        <v>3193</v>
      </c>
      <c r="J1962" t="s">
        <v>2523</v>
      </c>
      <c r="K1962" t="s">
        <v>548</v>
      </c>
      <c r="L1962" t="s">
        <v>22</v>
      </c>
      <c r="M1962">
        <v>22</v>
      </c>
      <c r="N1962" t="s">
        <v>37</v>
      </c>
      <c r="O1962">
        <v>284</v>
      </c>
      <c r="P1962">
        <v>1</v>
      </c>
      <c r="Q1962">
        <v>1052.31</v>
      </c>
      <c r="R1962" s="4">
        <v>45600</v>
      </c>
      <c r="S1962" s="6">
        <v>0.34107638888888892</v>
      </c>
      <c r="T1962">
        <f t="shared" si="122"/>
        <v>16</v>
      </c>
      <c r="U1962" t="str" cm="1">
        <f t="array" ref="U1962">_xlfn.IFS(M1962&lt;=34,"YOUNG",M1962&lt;=54,"MIDDLE AGE",M1962&gt;=55,"OLD")</f>
        <v>YOUNG</v>
      </c>
      <c r="V1962" t="str">
        <f t="shared" si="123"/>
        <v>NORMAL</v>
      </c>
    </row>
    <row r="1963" spans="1:22" x14ac:dyDescent="0.35">
      <c r="A1963" t="s">
        <v>3839</v>
      </c>
      <c r="B1963" t="s">
        <v>2003</v>
      </c>
      <c r="C1963">
        <v>418.03</v>
      </c>
      <c r="D1963" s="1">
        <v>45173.740740740737</v>
      </c>
      <c r="E1963" s="2">
        <f t="shared" si="120"/>
        <v>0.7407407407372375</v>
      </c>
      <c r="F1963" s="3">
        <f t="shared" si="121"/>
        <v>45173</v>
      </c>
      <c r="G1963" t="s">
        <v>17</v>
      </c>
      <c r="H1963" t="s">
        <v>119</v>
      </c>
      <c r="I1963" t="s">
        <v>1323</v>
      </c>
      <c r="J1963" t="s">
        <v>2273</v>
      </c>
      <c r="K1963" t="s">
        <v>267</v>
      </c>
      <c r="L1963" t="s">
        <v>36</v>
      </c>
      <c r="M1963">
        <v>58</v>
      </c>
      <c r="N1963" t="s">
        <v>23</v>
      </c>
      <c r="O1963">
        <v>161</v>
      </c>
      <c r="P1963">
        <v>1</v>
      </c>
      <c r="Q1963">
        <v>10721.29</v>
      </c>
      <c r="R1963" s="4">
        <v>45600</v>
      </c>
      <c r="S1963" s="6">
        <v>0.33938657407407408</v>
      </c>
      <c r="T1963">
        <f t="shared" si="122"/>
        <v>17</v>
      </c>
      <c r="U1963" t="str" cm="1">
        <f t="array" ref="U1963">_xlfn.IFS(M1963&lt;=34,"YOUNG",M1963&lt;=54,"MIDDLE AGE",M1963&gt;=55,"OLD")</f>
        <v>OLD</v>
      </c>
      <c r="V1963" t="str">
        <f t="shared" si="123"/>
        <v>NORMAL</v>
      </c>
    </row>
    <row r="1964" spans="1:22" x14ac:dyDescent="0.35">
      <c r="A1964" t="s">
        <v>3840</v>
      </c>
      <c r="B1964" t="s">
        <v>333</v>
      </c>
      <c r="C1964">
        <v>118.06</v>
      </c>
      <c r="D1964" s="1">
        <v>45070.713854166665</v>
      </c>
      <c r="E1964" s="2">
        <f t="shared" si="120"/>
        <v>0.71385416666453239</v>
      </c>
      <c r="F1964" s="3">
        <f t="shared" si="121"/>
        <v>45070</v>
      </c>
      <c r="G1964" t="s">
        <v>46</v>
      </c>
      <c r="H1964" t="s">
        <v>146</v>
      </c>
      <c r="I1964" t="s">
        <v>1815</v>
      </c>
      <c r="J1964" t="s">
        <v>342</v>
      </c>
      <c r="K1964" t="s">
        <v>984</v>
      </c>
      <c r="L1964" t="s">
        <v>69</v>
      </c>
      <c r="M1964">
        <v>32</v>
      </c>
      <c r="N1964" t="s">
        <v>23</v>
      </c>
      <c r="O1964">
        <v>31</v>
      </c>
      <c r="P1964">
        <v>1</v>
      </c>
      <c r="Q1964">
        <v>13560.63</v>
      </c>
      <c r="R1964" s="4">
        <v>45600</v>
      </c>
      <c r="S1964" s="6">
        <v>0.33831018518518519</v>
      </c>
      <c r="T1964">
        <f t="shared" si="122"/>
        <v>17</v>
      </c>
      <c r="U1964" t="str" cm="1">
        <f t="array" ref="U1964">_xlfn.IFS(M1964&lt;=34,"YOUNG",M1964&lt;=54,"MIDDLE AGE",M1964&gt;=55,"OLD")</f>
        <v>YOUNG</v>
      </c>
      <c r="V1964" t="str">
        <f t="shared" si="123"/>
        <v>NORMAL</v>
      </c>
    </row>
    <row r="1965" spans="1:22" x14ac:dyDescent="0.35">
      <c r="A1965" t="s">
        <v>3841</v>
      </c>
      <c r="B1965" t="s">
        <v>434</v>
      </c>
      <c r="C1965">
        <v>483.92</v>
      </c>
      <c r="D1965" s="1">
        <v>45215.789930555555</v>
      </c>
      <c r="E1965" s="2">
        <f t="shared" si="120"/>
        <v>0.78993055555474712</v>
      </c>
      <c r="F1965" s="3">
        <f t="shared" si="121"/>
        <v>45215</v>
      </c>
      <c r="G1965" t="s">
        <v>17</v>
      </c>
      <c r="H1965" t="s">
        <v>203</v>
      </c>
      <c r="I1965" t="s">
        <v>173</v>
      </c>
      <c r="J1965" t="s">
        <v>3347</v>
      </c>
      <c r="K1965" t="s">
        <v>186</v>
      </c>
      <c r="L1965" t="s">
        <v>22</v>
      </c>
      <c r="M1965">
        <v>70</v>
      </c>
      <c r="N1965" t="s">
        <v>70</v>
      </c>
      <c r="O1965">
        <v>115</v>
      </c>
      <c r="P1965">
        <v>1</v>
      </c>
      <c r="Q1965">
        <v>3138</v>
      </c>
      <c r="R1965" s="4">
        <v>45600</v>
      </c>
      <c r="S1965" s="6">
        <v>0.33818287037037037</v>
      </c>
      <c r="T1965">
        <f t="shared" si="122"/>
        <v>18</v>
      </c>
      <c r="U1965" t="str" cm="1">
        <f t="array" ref="U1965">_xlfn.IFS(M1965&lt;=34,"YOUNG",M1965&lt;=54,"MIDDLE AGE",M1965&gt;=55,"OLD")</f>
        <v>OLD</v>
      </c>
      <c r="V1965" t="str">
        <f t="shared" si="123"/>
        <v>NORMAL</v>
      </c>
    </row>
    <row r="1966" spans="1:22" x14ac:dyDescent="0.35">
      <c r="A1966" t="s">
        <v>3842</v>
      </c>
      <c r="B1966" t="s">
        <v>884</v>
      </c>
      <c r="C1966">
        <v>78.930000000000007</v>
      </c>
      <c r="D1966" s="1">
        <v>44974.695497685185</v>
      </c>
      <c r="E1966" s="2">
        <f t="shared" si="120"/>
        <v>0.69549768518481869</v>
      </c>
      <c r="F1966" s="3">
        <f t="shared" si="121"/>
        <v>44974</v>
      </c>
      <c r="G1966" t="s">
        <v>17</v>
      </c>
      <c r="H1966" t="s">
        <v>32</v>
      </c>
      <c r="I1966" t="s">
        <v>1362</v>
      </c>
      <c r="J1966" t="s">
        <v>2131</v>
      </c>
      <c r="K1966" t="s">
        <v>514</v>
      </c>
      <c r="L1966" t="s">
        <v>22</v>
      </c>
      <c r="M1966">
        <v>38</v>
      </c>
      <c r="N1966" t="s">
        <v>23</v>
      </c>
      <c r="O1966">
        <v>145</v>
      </c>
      <c r="P1966">
        <v>1</v>
      </c>
      <c r="Q1966">
        <v>9916.24</v>
      </c>
      <c r="R1966" s="4">
        <v>45600</v>
      </c>
      <c r="S1966" s="6">
        <v>0.34186342592592595</v>
      </c>
      <c r="T1966">
        <f t="shared" si="122"/>
        <v>16</v>
      </c>
      <c r="U1966" t="str" cm="1">
        <f t="array" ref="U1966">_xlfn.IFS(M1966&lt;=34,"YOUNG",M1966&lt;=54,"MIDDLE AGE",M1966&gt;=55,"OLD")</f>
        <v>MIDDLE AGE</v>
      </c>
      <c r="V1966" t="str">
        <f t="shared" si="123"/>
        <v>NORMAL</v>
      </c>
    </row>
    <row r="1967" spans="1:22" x14ac:dyDescent="0.35">
      <c r="A1967" t="s">
        <v>3843</v>
      </c>
      <c r="B1967" t="s">
        <v>1267</v>
      </c>
      <c r="C1967">
        <v>36.630000000000003</v>
      </c>
      <c r="D1967" s="1">
        <v>45050.710358796299</v>
      </c>
      <c r="E1967" s="2">
        <f t="shared" si="120"/>
        <v>0.71035879629926058</v>
      </c>
      <c r="F1967" s="3">
        <f t="shared" si="121"/>
        <v>45050</v>
      </c>
      <c r="G1967" t="s">
        <v>17</v>
      </c>
      <c r="H1967" t="s">
        <v>172</v>
      </c>
      <c r="I1967" t="s">
        <v>1859</v>
      </c>
      <c r="J1967" t="s">
        <v>2025</v>
      </c>
      <c r="K1967" t="s">
        <v>209</v>
      </c>
      <c r="L1967" t="s">
        <v>22</v>
      </c>
      <c r="M1967">
        <v>75</v>
      </c>
      <c r="N1967" t="s">
        <v>70</v>
      </c>
      <c r="O1967">
        <v>261</v>
      </c>
      <c r="P1967">
        <v>1</v>
      </c>
      <c r="Q1967">
        <v>7941.73</v>
      </c>
      <c r="R1967" s="4">
        <v>45600</v>
      </c>
      <c r="S1967" s="6">
        <v>0.33859953703703705</v>
      </c>
      <c r="T1967">
        <f t="shared" si="122"/>
        <v>17</v>
      </c>
      <c r="U1967" t="str" cm="1">
        <f t="array" ref="U1967">_xlfn.IFS(M1967&lt;=34,"YOUNG",M1967&lt;=54,"MIDDLE AGE",M1967&gt;=55,"OLD")</f>
        <v>OLD</v>
      </c>
      <c r="V1967" t="str">
        <f t="shared" si="123"/>
        <v>NORMAL</v>
      </c>
    </row>
    <row r="1968" spans="1:22" x14ac:dyDescent="0.35">
      <c r="A1968" t="s">
        <v>3844</v>
      </c>
      <c r="B1968" t="s">
        <v>1440</v>
      </c>
      <c r="C1968">
        <v>87.85</v>
      </c>
      <c r="D1968" s="1">
        <v>45273.726319444446</v>
      </c>
      <c r="E1968" s="2">
        <f t="shared" si="120"/>
        <v>0.72631944444583496</v>
      </c>
      <c r="F1968" s="3">
        <f t="shared" si="121"/>
        <v>45273</v>
      </c>
      <c r="G1968" t="s">
        <v>17</v>
      </c>
      <c r="H1968" t="s">
        <v>521</v>
      </c>
      <c r="I1968" t="s">
        <v>3845</v>
      </c>
      <c r="J1968" t="s">
        <v>903</v>
      </c>
      <c r="K1968" t="s">
        <v>619</v>
      </c>
      <c r="L1968" t="s">
        <v>69</v>
      </c>
      <c r="M1968">
        <v>49</v>
      </c>
      <c r="N1968" t="s">
        <v>77</v>
      </c>
      <c r="O1968">
        <v>63</v>
      </c>
      <c r="P1968">
        <v>1</v>
      </c>
      <c r="Q1968">
        <v>3753.24</v>
      </c>
      <c r="R1968" s="4">
        <v>45600</v>
      </c>
      <c r="S1968" s="6">
        <v>0.33837962962962964</v>
      </c>
      <c r="T1968">
        <f t="shared" si="122"/>
        <v>17</v>
      </c>
      <c r="U1968" t="str" cm="1">
        <f t="array" ref="U1968">_xlfn.IFS(M1968&lt;=34,"YOUNG",M1968&lt;=54,"MIDDLE AGE",M1968&gt;=55,"OLD")</f>
        <v>MIDDLE AGE</v>
      </c>
      <c r="V1968" t="str">
        <f t="shared" si="123"/>
        <v>NORMAL</v>
      </c>
    </row>
    <row r="1969" spans="1:22" x14ac:dyDescent="0.35">
      <c r="A1969" t="s">
        <v>3846</v>
      </c>
      <c r="B1969" t="s">
        <v>629</v>
      </c>
      <c r="C1969">
        <v>1001.83</v>
      </c>
      <c r="D1969" s="1">
        <v>45124.740347222221</v>
      </c>
      <c r="E1969" s="2">
        <f t="shared" si="120"/>
        <v>0.74034722222131677</v>
      </c>
      <c r="F1969" s="3">
        <f t="shared" si="121"/>
        <v>45124</v>
      </c>
      <c r="G1969" t="s">
        <v>17</v>
      </c>
      <c r="H1969" t="s">
        <v>243</v>
      </c>
      <c r="I1969" t="s">
        <v>1489</v>
      </c>
      <c r="J1969" t="s">
        <v>3486</v>
      </c>
      <c r="K1969" t="s">
        <v>267</v>
      </c>
      <c r="L1969" t="s">
        <v>36</v>
      </c>
      <c r="M1969">
        <v>31</v>
      </c>
      <c r="N1969" t="s">
        <v>23</v>
      </c>
      <c r="O1969">
        <v>55</v>
      </c>
      <c r="P1969">
        <v>1</v>
      </c>
      <c r="Q1969">
        <v>9733.83</v>
      </c>
      <c r="R1969" s="4">
        <v>45600</v>
      </c>
      <c r="S1969" s="6">
        <v>0.3414699074074074</v>
      </c>
      <c r="T1969">
        <f t="shared" si="122"/>
        <v>17</v>
      </c>
      <c r="U1969" t="str" cm="1">
        <f t="array" ref="U1969">_xlfn.IFS(M1969&lt;=34,"YOUNG",M1969&lt;=54,"MIDDLE AGE",M1969&gt;=55,"OLD")</f>
        <v>YOUNG</v>
      </c>
      <c r="V1969" t="str">
        <f t="shared" si="123"/>
        <v>NORMAL</v>
      </c>
    </row>
    <row r="1970" spans="1:22" x14ac:dyDescent="0.35">
      <c r="A1970" t="s">
        <v>3847</v>
      </c>
      <c r="B1970" t="s">
        <v>2802</v>
      </c>
      <c r="C1970">
        <v>705.34</v>
      </c>
      <c r="D1970" s="1">
        <v>45181.786759259259</v>
      </c>
      <c r="E1970" s="2">
        <f t="shared" si="120"/>
        <v>0.78675925925927004</v>
      </c>
      <c r="F1970" s="3">
        <f t="shared" si="121"/>
        <v>45181</v>
      </c>
      <c r="G1970" t="s">
        <v>17</v>
      </c>
      <c r="H1970" t="s">
        <v>453</v>
      </c>
      <c r="I1970" t="s">
        <v>3848</v>
      </c>
      <c r="J1970" t="s">
        <v>602</v>
      </c>
      <c r="K1970" t="s">
        <v>607</v>
      </c>
      <c r="L1970" t="s">
        <v>36</v>
      </c>
      <c r="M1970">
        <v>59</v>
      </c>
      <c r="N1970" t="s">
        <v>23</v>
      </c>
      <c r="O1970">
        <v>124</v>
      </c>
      <c r="P1970">
        <v>1</v>
      </c>
      <c r="Q1970">
        <v>5003.22</v>
      </c>
      <c r="R1970" s="4">
        <v>45600</v>
      </c>
      <c r="S1970" s="6">
        <v>0.34187499999999998</v>
      </c>
      <c r="T1970">
        <f t="shared" si="122"/>
        <v>18</v>
      </c>
      <c r="U1970" t="str" cm="1">
        <f t="array" ref="U1970">_xlfn.IFS(M1970&lt;=34,"YOUNG",M1970&lt;=54,"MIDDLE AGE",M1970&gt;=55,"OLD")</f>
        <v>OLD</v>
      </c>
      <c r="V1970" t="str">
        <f t="shared" si="123"/>
        <v>NORMAL</v>
      </c>
    </row>
    <row r="1971" spans="1:22" x14ac:dyDescent="0.35">
      <c r="A1971" t="s">
        <v>3849</v>
      </c>
      <c r="B1971" t="s">
        <v>1144</v>
      </c>
      <c r="C1971">
        <v>146.55000000000001</v>
      </c>
      <c r="D1971" s="1">
        <v>45141.774930555555</v>
      </c>
      <c r="E1971" s="2">
        <f t="shared" si="120"/>
        <v>0.77493055555532919</v>
      </c>
      <c r="F1971" s="3">
        <f t="shared" si="121"/>
        <v>45141</v>
      </c>
      <c r="G1971" t="s">
        <v>17</v>
      </c>
      <c r="H1971" t="s">
        <v>301</v>
      </c>
      <c r="I1971" t="s">
        <v>2209</v>
      </c>
      <c r="J1971" t="s">
        <v>1064</v>
      </c>
      <c r="K1971" t="s">
        <v>43</v>
      </c>
      <c r="L1971" t="s">
        <v>36</v>
      </c>
      <c r="M1971">
        <v>54</v>
      </c>
      <c r="N1971" t="s">
        <v>70</v>
      </c>
      <c r="O1971">
        <v>124</v>
      </c>
      <c r="P1971">
        <v>5</v>
      </c>
      <c r="Q1971">
        <v>4087.44</v>
      </c>
      <c r="R1971" s="4">
        <v>45600</v>
      </c>
      <c r="S1971" s="6">
        <v>0.33863425925925927</v>
      </c>
      <c r="T1971">
        <f t="shared" si="122"/>
        <v>18</v>
      </c>
      <c r="U1971" t="str" cm="1">
        <f t="array" ref="U1971">_xlfn.IFS(M1971&lt;=34,"YOUNG",M1971&lt;=54,"MIDDLE AGE",M1971&gt;=55,"OLD")</f>
        <v>MIDDLE AGE</v>
      </c>
      <c r="V1971" t="str">
        <f t="shared" si="123"/>
        <v>HIGH</v>
      </c>
    </row>
    <row r="1972" spans="1:22" x14ac:dyDescent="0.35">
      <c r="A1972" t="s">
        <v>3850</v>
      </c>
      <c r="B1972" t="s">
        <v>843</v>
      </c>
      <c r="C1972">
        <v>116.89</v>
      </c>
      <c r="D1972" s="1">
        <v>45250.688368055555</v>
      </c>
      <c r="E1972" s="2">
        <f t="shared" si="120"/>
        <v>0.68836805555474712</v>
      </c>
      <c r="F1972" s="3">
        <f t="shared" si="121"/>
        <v>45250</v>
      </c>
      <c r="G1972" t="s">
        <v>17</v>
      </c>
      <c r="H1972" t="s">
        <v>125</v>
      </c>
      <c r="I1972" t="s">
        <v>3370</v>
      </c>
      <c r="J1972" t="s">
        <v>3061</v>
      </c>
      <c r="K1972" t="s">
        <v>331</v>
      </c>
      <c r="L1972" t="s">
        <v>36</v>
      </c>
      <c r="M1972">
        <v>71</v>
      </c>
      <c r="N1972" t="s">
        <v>70</v>
      </c>
      <c r="O1972">
        <v>226</v>
      </c>
      <c r="P1972">
        <v>1</v>
      </c>
      <c r="Q1972">
        <v>4880.3100000000004</v>
      </c>
      <c r="R1972" s="4">
        <v>45600</v>
      </c>
      <c r="S1972" s="6">
        <v>0.33792824074074074</v>
      </c>
      <c r="T1972">
        <f t="shared" si="122"/>
        <v>16</v>
      </c>
      <c r="U1972" t="str" cm="1">
        <f t="array" ref="U1972">_xlfn.IFS(M1972&lt;=34,"YOUNG",M1972&lt;=54,"MIDDLE AGE",M1972&gt;=55,"OLD")</f>
        <v>OLD</v>
      </c>
      <c r="V1972" t="str">
        <f t="shared" si="123"/>
        <v>NORMAL</v>
      </c>
    </row>
    <row r="1973" spans="1:22" x14ac:dyDescent="0.35">
      <c r="A1973" t="s">
        <v>3851</v>
      </c>
      <c r="B1973" t="s">
        <v>2208</v>
      </c>
      <c r="C1973">
        <v>106.41</v>
      </c>
      <c r="D1973" s="1">
        <v>44942.692754629628</v>
      </c>
      <c r="E1973" s="2">
        <f t="shared" si="120"/>
        <v>0.69275462962832535</v>
      </c>
      <c r="F1973" s="3">
        <f t="shared" si="121"/>
        <v>44942</v>
      </c>
      <c r="G1973" t="s">
        <v>17</v>
      </c>
      <c r="H1973" t="s">
        <v>140</v>
      </c>
      <c r="I1973" t="s">
        <v>1294</v>
      </c>
      <c r="J1973" t="s">
        <v>1603</v>
      </c>
      <c r="K1973" t="s">
        <v>370</v>
      </c>
      <c r="L1973" t="s">
        <v>69</v>
      </c>
      <c r="M1973">
        <v>57</v>
      </c>
      <c r="N1973" t="s">
        <v>70</v>
      </c>
      <c r="O1973">
        <v>87</v>
      </c>
      <c r="P1973">
        <v>1</v>
      </c>
      <c r="Q1973">
        <v>1310.3800000000001</v>
      </c>
      <c r="R1973" s="4">
        <v>45600</v>
      </c>
      <c r="S1973" s="6">
        <v>0.3382060185185185</v>
      </c>
      <c r="T1973">
        <f t="shared" si="122"/>
        <v>16</v>
      </c>
      <c r="U1973" t="str" cm="1">
        <f t="array" ref="U1973">_xlfn.IFS(M1973&lt;=34,"YOUNG",M1973&lt;=54,"MIDDLE AGE",M1973&gt;=55,"OLD")</f>
        <v>OLD</v>
      </c>
      <c r="V1973" t="str">
        <f t="shared" si="123"/>
        <v>NORMAL</v>
      </c>
    </row>
    <row r="1974" spans="1:22" x14ac:dyDescent="0.35">
      <c r="A1974" t="s">
        <v>3852</v>
      </c>
      <c r="B1974" t="s">
        <v>242</v>
      </c>
      <c r="C1974">
        <v>1087.9000000000001</v>
      </c>
      <c r="D1974" s="1">
        <v>45012.754363425927</v>
      </c>
      <c r="E1974" s="2">
        <f t="shared" si="120"/>
        <v>0.75436342592729488</v>
      </c>
      <c r="F1974" s="3">
        <f t="shared" si="121"/>
        <v>45012</v>
      </c>
      <c r="G1974" t="s">
        <v>17</v>
      </c>
      <c r="H1974" t="s">
        <v>388</v>
      </c>
      <c r="I1974" t="s">
        <v>1558</v>
      </c>
      <c r="J1974" t="s">
        <v>1315</v>
      </c>
      <c r="K1974" t="s">
        <v>200</v>
      </c>
      <c r="L1974" t="s">
        <v>22</v>
      </c>
      <c r="M1974">
        <v>78</v>
      </c>
      <c r="N1974" t="s">
        <v>70</v>
      </c>
      <c r="O1974">
        <v>103</v>
      </c>
      <c r="P1974">
        <v>1</v>
      </c>
      <c r="Q1974">
        <v>2513.5100000000002</v>
      </c>
      <c r="R1974" s="4">
        <v>45600</v>
      </c>
      <c r="S1974" s="6">
        <v>0.34171296296296294</v>
      </c>
      <c r="T1974">
        <f t="shared" si="122"/>
        <v>18</v>
      </c>
      <c r="U1974" t="str" cm="1">
        <f t="array" ref="U1974">_xlfn.IFS(M1974&lt;=34,"YOUNG",M1974&lt;=54,"MIDDLE AGE",M1974&gt;=55,"OLD")</f>
        <v>OLD</v>
      </c>
      <c r="V1974" t="str">
        <f t="shared" si="123"/>
        <v>NORMAL</v>
      </c>
    </row>
    <row r="1975" spans="1:22" x14ac:dyDescent="0.35">
      <c r="A1975" t="s">
        <v>3853</v>
      </c>
      <c r="B1975" t="s">
        <v>1569</v>
      </c>
      <c r="C1975">
        <v>584.41</v>
      </c>
      <c r="D1975" s="1">
        <v>44928.702627314815</v>
      </c>
      <c r="E1975" s="2">
        <f t="shared" si="120"/>
        <v>0.70262731481489027</v>
      </c>
      <c r="F1975" s="3">
        <f t="shared" si="121"/>
        <v>44928</v>
      </c>
      <c r="G1975" t="s">
        <v>17</v>
      </c>
      <c r="H1975" t="s">
        <v>146</v>
      </c>
      <c r="I1975" t="s">
        <v>3094</v>
      </c>
      <c r="J1975" t="s">
        <v>1034</v>
      </c>
      <c r="K1975" t="s">
        <v>267</v>
      </c>
      <c r="L1975" t="s">
        <v>22</v>
      </c>
      <c r="M1975">
        <v>23</v>
      </c>
      <c r="N1975" t="s">
        <v>37</v>
      </c>
      <c r="O1975">
        <v>41</v>
      </c>
      <c r="P1975">
        <v>1</v>
      </c>
      <c r="Q1975">
        <v>4475.22</v>
      </c>
      <c r="R1975" s="4">
        <v>45600</v>
      </c>
      <c r="S1975" s="6">
        <v>0.34130787037037036</v>
      </c>
      <c r="T1975">
        <f t="shared" si="122"/>
        <v>16</v>
      </c>
      <c r="U1975" t="str" cm="1">
        <f t="array" ref="U1975">_xlfn.IFS(M1975&lt;=34,"YOUNG",M1975&lt;=54,"MIDDLE AGE",M1975&gt;=55,"OLD")</f>
        <v>YOUNG</v>
      </c>
      <c r="V1975" t="str">
        <f t="shared" si="123"/>
        <v>NORMAL</v>
      </c>
    </row>
    <row r="1976" spans="1:22" x14ac:dyDescent="0.35">
      <c r="A1976" t="s">
        <v>3854</v>
      </c>
      <c r="B1976" t="s">
        <v>3855</v>
      </c>
      <c r="C1976">
        <v>584.98</v>
      </c>
      <c r="D1976" s="1">
        <v>45089.684282407405</v>
      </c>
      <c r="E1976" s="2">
        <f t="shared" si="120"/>
        <v>0.68428240740468027</v>
      </c>
      <c r="F1976" s="3">
        <f t="shared" si="121"/>
        <v>45089</v>
      </c>
      <c r="G1976" t="s">
        <v>46</v>
      </c>
      <c r="H1976" t="s">
        <v>265</v>
      </c>
      <c r="I1976" t="s">
        <v>1640</v>
      </c>
      <c r="J1976" t="s">
        <v>1953</v>
      </c>
      <c r="K1976" t="s">
        <v>482</v>
      </c>
      <c r="L1976" t="s">
        <v>69</v>
      </c>
      <c r="M1976">
        <v>55</v>
      </c>
      <c r="N1976" t="s">
        <v>70</v>
      </c>
      <c r="O1976">
        <v>121</v>
      </c>
      <c r="P1976">
        <v>1</v>
      </c>
      <c r="Q1976">
        <v>6521.05</v>
      </c>
      <c r="R1976" s="4">
        <v>45600</v>
      </c>
      <c r="S1976" s="6">
        <v>0.33887731481481481</v>
      </c>
      <c r="T1976">
        <f t="shared" si="122"/>
        <v>16</v>
      </c>
      <c r="U1976" t="str" cm="1">
        <f t="array" ref="U1976">_xlfn.IFS(M1976&lt;=34,"YOUNG",M1976&lt;=54,"MIDDLE AGE",M1976&gt;=55,"OLD")</f>
        <v>OLD</v>
      </c>
      <c r="V1976" t="str">
        <f t="shared" si="123"/>
        <v>NORMAL</v>
      </c>
    </row>
    <row r="1977" spans="1:22" x14ac:dyDescent="0.35">
      <c r="A1977" t="s">
        <v>3856</v>
      </c>
      <c r="B1977" t="s">
        <v>1009</v>
      </c>
      <c r="C1977">
        <v>79.209999999999994</v>
      </c>
      <c r="D1977" s="1">
        <v>45254.744837962964</v>
      </c>
      <c r="E1977" s="2">
        <f t="shared" si="120"/>
        <v>0.744837962964084</v>
      </c>
      <c r="F1977" s="3">
        <f t="shared" si="121"/>
        <v>45254</v>
      </c>
      <c r="G1977" t="s">
        <v>17</v>
      </c>
      <c r="H1977" t="s">
        <v>521</v>
      </c>
      <c r="I1977" t="s">
        <v>862</v>
      </c>
      <c r="J1977" t="s">
        <v>3857</v>
      </c>
      <c r="K1977" t="s">
        <v>288</v>
      </c>
      <c r="L1977" t="s">
        <v>69</v>
      </c>
      <c r="M1977">
        <v>56</v>
      </c>
      <c r="N1977" t="s">
        <v>70</v>
      </c>
      <c r="O1977">
        <v>140</v>
      </c>
      <c r="P1977">
        <v>1</v>
      </c>
      <c r="Q1977">
        <v>1615.04</v>
      </c>
      <c r="R1977" s="4">
        <v>45600</v>
      </c>
      <c r="S1977" s="6">
        <v>0.3382060185185185</v>
      </c>
      <c r="T1977">
        <f t="shared" si="122"/>
        <v>17</v>
      </c>
      <c r="U1977" t="str" cm="1">
        <f t="array" ref="U1977">_xlfn.IFS(M1977&lt;=34,"YOUNG",M1977&lt;=54,"MIDDLE AGE",M1977&gt;=55,"OLD")</f>
        <v>OLD</v>
      </c>
      <c r="V1977" t="str">
        <f t="shared" si="123"/>
        <v>NORMAL</v>
      </c>
    </row>
    <row r="1978" spans="1:22" x14ac:dyDescent="0.35">
      <c r="A1978" t="s">
        <v>3858</v>
      </c>
      <c r="B1978" t="s">
        <v>909</v>
      </c>
      <c r="C1978">
        <v>173.13</v>
      </c>
      <c r="D1978" s="1">
        <v>45204.698969907404</v>
      </c>
      <c r="E1978" s="2">
        <f t="shared" si="120"/>
        <v>0.69896990740380716</v>
      </c>
      <c r="F1978" s="3">
        <f t="shared" si="121"/>
        <v>45204</v>
      </c>
      <c r="G1978" t="s">
        <v>46</v>
      </c>
      <c r="H1978" t="s">
        <v>47</v>
      </c>
      <c r="I1978" t="s">
        <v>966</v>
      </c>
      <c r="J1978" t="s">
        <v>2325</v>
      </c>
      <c r="K1978" t="s">
        <v>252</v>
      </c>
      <c r="L1978" t="s">
        <v>36</v>
      </c>
      <c r="M1978">
        <v>20</v>
      </c>
      <c r="N1978" t="s">
        <v>37</v>
      </c>
      <c r="O1978">
        <v>288</v>
      </c>
      <c r="P1978">
        <v>1</v>
      </c>
      <c r="Q1978">
        <v>1490.34</v>
      </c>
      <c r="R1978" s="4">
        <v>45600</v>
      </c>
      <c r="S1978" s="6">
        <v>0.33847222222222223</v>
      </c>
      <c r="T1978">
        <f t="shared" si="122"/>
        <v>16</v>
      </c>
      <c r="U1978" t="str" cm="1">
        <f t="array" ref="U1978">_xlfn.IFS(M1978&lt;=34,"YOUNG",M1978&lt;=54,"MIDDLE AGE",M1978&gt;=55,"OLD")</f>
        <v>YOUNG</v>
      </c>
      <c r="V1978" t="str">
        <f t="shared" si="123"/>
        <v>NORMAL</v>
      </c>
    </row>
    <row r="1979" spans="1:22" x14ac:dyDescent="0.35">
      <c r="A1979" t="s">
        <v>3859</v>
      </c>
      <c r="B1979" t="s">
        <v>3332</v>
      </c>
      <c r="C1979">
        <v>335.7</v>
      </c>
      <c r="D1979" s="1">
        <v>44956.741446759261</v>
      </c>
      <c r="E1979" s="2">
        <f t="shared" si="120"/>
        <v>0.74144675926072523</v>
      </c>
      <c r="F1979" s="3">
        <f t="shared" si="121"/>
        <v>44956</v>
      </c>
      <c r="G1979" t="s">
        <v>17</v>
      </c>
      <c r="H1979" t="s">
        <v>506</v>
      </c>
      <c r="I1979" t="s">
        <v>389</v>
      </c>
      <c r="J1979" t="s">
        <v>2348</v>
      </c>
      <c r="K1979" t="s">
        <v>445</v>
      </c>
      <c r="L1979" t="s">
        <v>22</v>
      </c>
      <c r="M1979">
        <v>80</v>
      </c>
      <c r="N1979" t="s">
        <v>70</v>
      </c>
      <c r="O1979">
        <v>57</v>
      </c>
      <c r="P1979">
        <v>1</v>
      </c>
      <c r="Q1979">
        <v>6601.44</v>
      </c>
      <c r="R1979" s="4">
        <v>45600</v>
      </c>
      <c r="S1979" s="6">
        <v>0.34040509259259261</v>
      </c>
      <c r="T1979">
        <f t="shared" si="122"/>
        <v>17</v>
      </c>
      <c r="U1979" t="str" cm="1">
        <f t="array" ref="U1979">_xlfn.IFS(M1979&lt;=34,"YOUNG",M1979&lt;=54,"MIDDLE AGE",M1979&gt;=55,"OLD")</f>
        <v>OLD</v>
      </c>
      <c r="V1979" t="str">
        <f t="shared" si="123"/>
        <v>NORMAL</v>
      </c>
    </row>
    <row r="1980" spans="1:22" x14ac:dyDescent="0.35">
      <c r="A1980" t="s">
        <v>3860</v>
      </c>
      <c r="B1980" t="s">
        <v>1357</v>
      </c>
      <c r="C1980">
        <v>1225.5</v>
      </c>
      <c r="D1980" s="1">
        <v>45257.66814814815</v>
      </c>
      <c r="E1980" s="2">
        <f t="shared" si="120"/>
        <v>0.66814814815006685</v>
      </c>
      <c r="F1980" s="3">
        <f t="shared" si="121"/>
        <v>45257</v>
      </c>
      <c r="G1980" t="s">
        <v>46</v>
      </c>
      <c r="H1980" t="s">
        <v>146</v>
      </c>
      <c r="I1980" t="s">
        <v>1010</v>
      </c>
      <c r="J1980" t="s">
        <v>2501</v>
      </c>
      <c r="K1980" t="s">
        <v>386</v>
      </c>
      <c r="L1980" t="s">
        <v>36</v>
      </c>
      <c r="M1980">
        <v>50</v>
      </c>
      <c r="N1980" t="s">
        <v>23</v>
      </c>
      <c r="O1980">
        <v>109</v>
      </c>
      <c r="P1980">
        <v>1</v>
      </c>
      <c r="Q1980">
        <v>8611.17</v>
      </c>
      <c r="R1980" s="4">
        <v>45600</v>
      </c>
      <c r="S1980" s="6">
        <v>0.34144675925925927</v>
      </c>
      <c r="T1980">
        <f t="shared" si="122"/>
        <v>16</v>
      </c>
      <c r="U1980" t="str" cm="1">
        <f t="array" ref="U1980">_xlfn.IFS(M1980&lt;=34,"YOUNG",M1980&lt;=54,"MIDDLE AGE",M1980&gt;=55,"OLD")</f>
        <v>MIDDLE AGE</v>
      </c>
      <c r="V1980" t="str">
        <f t="shared" si="123"/>
        <v>NORMAL</v>
      </c>
    </row>
    <row r="1981" spans="1:22" x14ac:dyDescent="0.35">
      <c r="A1981" t="s">
        <v>3861</v>
      </c>
      <c r="B1981" t="s">
        <v>525</v>
      </c>
      <c r="C1981">
        <v>422.81</v>
      </c>
      <c r="D1981" s="1">
        <v>45250.671759259261</v>
      </c>
      <c r="E1981" s="2">
        <f t="shared" si="120"/>
        <v>0.67175925926130731</v>
      </c>
      <c r="F1981" s="3">
        <f t="shared" si="121"/>
        <v>45250</v>
      </c>
      <c r="G1981" t="s">
        <v>17</v>
      </c>
      <c r="H1981" t="s">
        <v>140</v>
      </c>
      <c r="I1981" t="s">
        <v>2947</v>
      </c>
      <c r="J1981" t="s">
        <v>2434</v>
      </c>
      <c r="K1981" t="s">
        <v>308</v>
      </c>
      <c r="L1981" t="s">
        <v>69</v>
      </c>
      <c r="M1981">
        <v>28</v>
      </c>
      <c r="N1981" t="s">
        <v>37</v>
      </c>
      <c r="O1981">
        <v>193</v>
      </c>
      <c r="P1981">
        <v>1</v>
      </c>
      <c r="Q1981">
        <v>1929.28</v>
      </c>
      <c r="R1981" s="4">
        <v>45600</v>
      </c>
      <c r="S1981" s="6">
        <v>0.34060185185185188</v>
      </c>
      <c r="T1981">
        <f t="shared" si="122"/>
        <v>16</v>
      </c>
      <c r="U1981" t="str" cm="1">
        <f t="array" ref="U1981">_xlfn.IFS(M1981&lt;=34,"YOUNG",M1981&lt;=54,"MIDDLE AGE",M1981&gt;=55,"OLD")</f>
        <v>YOUNG</v>
      </c>
      <c r="V1981" t="str">
        <f t="shared" si="123"/>
        <v>NORMAL</v>
      </c>
    </row>
    <row r="1982" spans="1:22" x14ac:dyDescent="0.35">
      <c r="A1982" t="s">
        <v>3862</v>
      </c>
      <c r="B1982" t="s">
        <v>1200</v>
      </c>
      <c r="C1982">
        <v>135.43</v>
      </c>
      <c r="D1982" s="1">
        <v>45205.676979166667</v>
      </c>
      <c r="E1982" s="2">
        <f t="shared" si="120"/>
        <v>0.67697916666656965</v>
      </c>
      <c r="F1982" s="3">
        <f t="shared" si="121"/>
        <v>45205</v>
      </c>
      <c r="G1982" t="s">
        <v>17</v>
      </c>
      <c r="H1982" t="s">
        <v>223</v>
      </c>
      <c r="I1982" t="s">
        <v>807</v>
      </c>
      <c r="J1982" t="s">
        <v>136</v>
      </c>
      <c r="K1982" t="s">
        <v>1000</v>
      </c>
      <c r="L1982" t="s">
        <v>22</v>
      </c>
      <c r="M1982">
        <v>57</v>
      </c>
      <c r="N1982" t="s">
        <v>70</v>
      </c>
      <c r="O1982">
        <v>92</v>
      </c>
      <c r="P1982">
        <v>1</v>
      </c>
      <c r="Q1982">
        <v>5315.83</v>
      </c>
      <c r="R1982" s="4">
        <v>45600</v>
      </c>
      <c r="S1982" s="6">
        <v>0.33954861111111112</v>
      </c>
      <c r="T1982">
        <f t="shared" si="122"/>
        <v>16</v>
      </c>
      <c r="U1982" t="str" cm="1">
        <f t="array" ref="U1982">_xlfn.IFS(M1982&lt;=34,"YOUNG",M1982&lt;=54,"MIDDLE AGE",M1982&gt;=55,"OLD")</f>
        <v>OLD</v>
      </c>
      <c r="V1982" t="str">
        <f t="shared" si="123"/>
        <v>NORMAL</v>
      </c>
    </row>
    <row r="1983" spans="1:22" x14ac:dyDescent="0.35">
      <c r="A1983" t="s">
        <v>3863</v>
      </c>
      <c r="B1983" t="s">
        <v>1655</v>
      </c>
      <c r="C1983">
        <v>584.88</v>
      </c>
      <c r="D1983" s="1">
        <v>45279.722071759257</v>
      </c>
      <c r="E1983" s="2">
        <f t="shared" si="120"/>
        <v>0.72207175925723277</v>
      </c>
      <c r="F1983" s="3">
        <f t="shared" si="121"/>
        <v>45279</v>
      </c>
      <c r="G1983" t="s">
        <v>17</v>
      </c>
      <c r="H1983" t="s">
        <v>243</v>
      </c>
      <c r="I1983" t="s">
        <v>2687</v>
      </c>
      <c r="J1983" t="s">
        <v>933</v>
      </c>
      <c r="K1983" t="s">
        <v>564</v>
      </c>
      <c r="L1983" t="s">
        <v>22</v>
      </c>
      <c r="M1983">
        <v>26</v>
      </c>
      <c r="N1983" t="s">
        <v>37</v>
      </c>
      <c r="O1983">
        <v>121</v>
      </c>
      <c r="P1983">
        <v>1</v>
      </c>
      <c r="Q1983">
        <v>548.45000000000005</v>
      </c>
      <c r="R1983" s="4">
        <v>45600</v>
      </c>
      <c r="S1983" s="6">
        <v>0.34100694444444446</v>
      </c>
      <c r="T1983">
        <f t="shared" si="122"/>
        <v>17</v>
      </c>
      <c r="U1983" t="str" cm="1">
        <f t="array" ref="U1983">_xlfn.IFS(M1983&lt;=34,"YOUNG",M1983&lt;=54,"MIDDLE AGE",M1983&gt;=55,"OLD")</f>
        <v>YOUNG</v>
      </c>
      <c r="V1983" t="str">
        <f t="shared" si="123"/>
        <v>NORMAL</v>
      </c>
    </row>
    <row r="1984" spans="1:22" x14ac:dyDescent="0.35">
      <c r="A1984" t="s">
        <v>3864</v>
      </c>
      <c r="B1984" t="s">
        <v>274</v>
      </c>
      <c r="C1984">
        <v>308.94</v>
      </c>
      <c r="D1984" s="1">
        <v>45019.691307870373</v>
      </c>
      <c r="E1984" s="2">
        <f t="shared" si="120"/>
        <v>0.69130787037283881</v>
      </c>
      <c r="F1984" s="3">
        <f t="shared" si="121"/>
        <v>45019</v>
      </c>
      <c r="G1984" t="s">
        <v>17</v>
      </c>
      <c r="H1984" t="s">
        <v>140</v>
      </c>
      <c r="I1984" t="s">
        <v>1724</v>
      </c>
      <c r="J1984" t="s">
        <v>234</v>
      </c>
      <c r="K1984" t="s">
        <v>186</v>
      </c>
      <c r="L1984" t="s">
        <v>36</v>
      </c>
      <c r="M1984">
        <v>25</v>
      </c>
      <c r="N1984" t="s">
        <v>37</v>
      </c>
      <c r="O1984">
        <v>167</v>
      </c>
      <c r="P1984">
        <v>1</v>
      </c>
      <c r="Q1984">
        <v>1931.66</v>
      </c>
      <c r="R1984" s="4">
        <v>45600</v>
      </c>
      <c r="S1984" s="6">
        <v>0.3387384259259259</v>
      </c>
      <c r="T1984">
        <f t="shared" si="122"/>
        <v>16</v>
      </c>
      <c r="U1984" t="str" cm="1">
        <f t="array" ref="U1984">_xlfn.IFS(M1984&lt;=34,"YOUNG",M1984&lt;=54,"MIDDLE AGE",M1984&gt;=55,"OLD")</f>
        <v>YOUNG</v>
      </c>
      <c r="V1984" t="str">
        <f t="shared" si="123"/>
        <v>NORMAL</v>
      </c>
    </row>
    <row r="1985" spans="1:22" x14ac:dyDescent="0.35">
      <c r="A1985" t="s">
        <v>3865</v>
      </c>
      <c r="B1985" t="s">
        <v>3866</v>
      </c>
      <c r="C1985">
        <v>295.93</v>
      </c>
      <c r="D1985" s="1">
        <v>44977.726840277777</v>
      </c>
      <c r="E1985" s="2">
        <f t="shared" si="120"/>
        <v>0.72684027777722804</v>
      </c>
      <c r="F1985" s="3">
        <f t="shared" si="121"/>
        <v>44977</v>
      </c>
      <c r="G1985" t="s">
        <v>17</v>
      </c>
      <c r="H1985" t="s">
        <v>388</v>
      </c>
      <c r="I1985" t="s">
        <v>827</v>
      </c>
      <c r="J1985" t="s">
        <v>3347</v>
      </c>
      <c r="K1985" t="s">
        <v>1037</v>
      </c>
      <c r="L1985" t="s">
        <v>69</v>
      </c>
      <c r="M1985">
        <v>36</v>
      </c>
      <c r="N1985" t="s">
        <v>23</v>
      </c>
      <c r="O1985">
        <v>117</v>
      </c>
      <c r="P1985">
        <v>1</v>
      </c>
      <c r="Q1985">
        <v>1050.6300000000001</v>
      </c>
      <c r="R1985" s="4">
        <v>45600</v>
      </c>
      <c r="S1985" s="6">
        <v>0.34023148148148147</v>
      </c>
      <c r="T1985">
        <f t="shared" si="122"/>
        <v>17</v>
      </c>
      <c r="U1985" t="str" cm="1">
        <f t="array" ref="U1985">_xlfn.IFS(M1985&lt;=34,"YOUNG",M1985&lt;=54,"MIDDLE AGE",M1985&gt;=55,"OLD")</f>
        <v>MIDDLE AGE</v>
      </c>
      <c r="V1985" t="str">
        <f t="shared" si="123"/>
        <v>NORMAL</v>
      </c>
    </row>
    <row r="1986" spans="1:22" x14ac:dyDescent="0.35">
      <c r="A1986" t="s">
        <v>3867</v>
      </c>
      <c r="B1986" t="s">
        <v>447</v>
      </c>
      <c r="C1986">
        <v>1512.99</v>
      </c>
      <c r="D1986" s="1">
        <v>45146.719328703701</v>
      </c>
      <c r="E1986" s="2">
        <f t="shared" ref="E1986:E2049" si="124">D1986-INT(D1986)</f>
        <v>0.71932870370073942</v>
      </c>
      <c r="F1986" s="3">
        <f t="shared" ref="F1986:F2049" si="125">INT(D1986)</f>
        <v>45146</v>
      </c>
      <c r="G1986" t="s">
        <v>17</v>
      </c>
      <c r="H1986" t="s">
        <v>243</v>
      </c>
      <c r="I1986" t="s">
        <v>98</v>
      </c>
      <c r="J1986" t="s">
        <v>1188</v>
      </c>
      <c r="K1986" t="s">
        <v>358</v>
      </c>
      <c r="L1986" t="s">
        <v>36</v>
      </c>
      <c r="M1986">
        <v>19</v>
      </c>
      <c r="N1986" t="s">
        <v>37</v>
      </c>
      <c r="O1986">
        <v>50</v>
      </c>
      <c r="P1986">
        <v>1</v>
      </c>
      <c r="Q1986">
        <v>9963.39</v>
      </c>
      <c r="R1986" s="4">
        <v>45600</v>
      </c>
      <c r="S1986" s="6">
        <v>0.34010416666666665</v>
      </c>
      <c r="T1986">
        <f t="shared" si="122"/>
        <v>17</v>
      </c>
      <c r="U1986" t="str" cm="1">
        <f t="array" ref="U1986">_xlfn.IFS(M1986&lt;=34,"YOUNG",M1986&lt;=54,"MIDDLE AGE",M1986&gt;=55,"OLD")</f>
        <v>YOUNG</v>
      </c>
      <c r="V1986" t="str">
        <f t="shared" si="123"/>
        <v>NORMAL</v>
      </c>
    </row>
    <row r="1987" spans="1:22" x14ac:dyDescent="0.35">
      <c r="A1987" t="s">
        <v>3868</v>
      </c>
      <c r="B1987" t="s">
        <v>2779</v>
      </c>
      <c r="C1987">
        <v>77.44</v>
      </c>
      <c r="D1987" s="1">
        <v>45103.686793981484</v>
      </c>
      <c r="E1987" s="2">
        <f t="shared" si="124"/>
        <v>0.68679398148378823</v>
      </c>
      <c r="F1987" s="3">
        <f t="shared" si="125"/>
        <v>45103</v>
      </c>
      <c r="G1987" t="s">
        <v>17</v>
      </c>
      <c r="H1987" t="s">
        <v>453</v>
      </c>
      <c r="I1987" t="s">
        <v>1731</v>
      </c>
      <c r="J1987" t="s">
        <v>1188</v>
      </c>
      <c r="K1987" t="s">
        <v>1349</v>
      </c>
      <c r="L1987" t="s">
        <v>69</v>
      </c>
      <c r="M1987">
        <v>58</v>
      </c>
      <c r="N1987" t="s">
        <v>70</v>
      </c>
      <c r="O1987">
        <v>268</v>
      </c>
      <c r="P1987">
        <v>1</v>
      </c>
      <c r="Q1987">
        <v>1950.63</v>
      </c>
      <c r="R1987" s="4">
        <v>45600</v>
      </c>
      <c r="S1987" s="6">
        <v>0.34096064814814814</v>
      </c>
      <c r="T1987">
        <f t="shared" ref="T1987:T2050" si="126">HOUR(E1987)</f>
        <v>16</v>
      </c>
      <c r="U1987" t="str" cm="1">
        <f t="array" ref="U1987">_xlfn.IFS(M1987&lt;=34,"YOUNG",M1987&lt;=54,"MIDDLE AGE",M1987&gt;=55,"OLD")</f>
        <v>OLD</v>
      </c>
      <c r="V1987" t="str">
        <f t="shared" ref="V1987:V2050" si="127">IF(P1987&gt;1,"HIGH","NORMAL")</f>
        <v>NORMAL</v>
      </c>
    </row>
    <row r="1988" spans="1:22" x14ac:dyDescent="0.35">
      <c r="A1988" t="s">
        <v>3869</v>
      </c>
      <c r="B1988" t="s">
        <v>1398</v>
      </c>
      <c r="C1988">
        <v>92.5</v>
      </c>
      <c r="D1988" s="1">
        <v>45194.682060185187</v>
      </c>
      <c r="E1988" s="2">
        <f t="shared" si="124"/>
        <v>0.68206018518685596</v>
      </c>
      <c r="F1988" s="3">
        <f t="shared" si="125"/>
        <v>45194</v>
      </c>
      <c r="G1988" t="s">
        <v>46</v>
      </c>
      <c r="H1988" t="s">
        <v>59</v>
      </c>
      <c r="I1988" t="s">
        <v>3870</v>
      </c>
      <c r="J1988" t="s">
        <v>2316</v>
      </c>
      <c r="K1988" t="s">
        <v>1014</v>
      </c>
      <c r="L1988" t="s">
        <v>36</v>
      </c>
      <c r="M1988">
        <v>40</v>
      </c>
      <c r="N1988" t="s">
        <v>77</v>
      </c>
      <c r="O1988">
        <v>70</v>
      </c>
      <c r="P1988">
        <v>1</v>
      </c>
      <c r="Q1988">
        <v>6295.45</v>
      </c>
      <c r="R1988" s="4">
        <v>45600</v>
      </c>
      <c r="S1988" s="6">
        <v>0.33917824074074077</v>
      </c>
      <c r="T1988">
        <f t="shared" si="126"/>
        <v>16</v>
      </c>
      <c r="U1988" t="str" cm="1">
        <f t="array" ref="U1988">_xlfn.IFS(M1988&lt;=34,"YOUNG",M1988&lt;=54,"MIDDLE AGE",M1988&gt;=55,"OLD")</f>
        <v>MIDDLE AGE</v>
      </c>
      <c r="V1988" t="str">
        <f t="shared" si="127"/>
        <v>NORMAL</v>
      </c>
    </row>
    <row r="1989" spans="1:22" x14ac:dyDescent="0.35">
      <c r="A1989" t="s">
        <v>3871</v>
      </c>
      <c r="B1989" t="s">
        <v>801</v>
      </c>
      <c r="C1989">
        <v>97.74</v>
      </c>
      <c r="D1989" s="1">
        <v>45173.698946759258</v>
      </c>
      <c r="E1989" s="2">
        <f t="shared" si="124"/>
        <v>0.69894675925752381</v>
      </c>
      <c r="F1989" s="3">
        <f t="shared" si="125"/>
        <v>45173</v>
      </c>
      <c r="G1989" t="s">
        <v>46</v>
      </c>
      <c r="H1989" t="s">
        <v>140</v>
      </c>
      <c r="I1989" t="s">
        <v>2548</v>
      </c>
      <c r="J1989" t="s">
        <v>983</v>
      </c>
      <c r="K1989" t="s">
        <v>246</v>
      </c>
      <c r="L1989" t="s">
        <v>36</v>
      </c>
      <c r="M1989">
        <v>41</v>
      </c>
      <c r="N1989" t="s">
        <v>77</v>
      </c>
      <c r="O1989">
        <v>137</v>
      </c>
      <c r="P1989">
        <v>1</v>
      </c>
      <c r="Q1989">
        <v>4113.63</v>
      </c>
      <c r="R1989" s="4">
        <v>45600</v>
      </c>
      <c r="S1989" s="6">
        <v>0.33836805555555555</v>
      </c>
      <c r="T1989">
        <f t="shared" si="126"/>
        <v>16</v>
      </c>
      <c r="U1989" t="str" cm="1">
        <f t="array" ref="U1989">_xlfn.IFS(M1989&lt;=34,"YOUNG",M1989&lt;=54,"MIDDLE AGE",M1989&gt;=55,"OLD")</f>
        <v>MIDDLE AGE</v>
      </c>
      <c r="V1989" t="str">
        <f t="shared" si="127"/>
        <v>NORMAL</v>
      </c>
    </row>
    <row r="1990" spans="1:22" x14ac:dyDescent="0.35">
      <c r="A1990" t="s">
        <v>3872</v>
      </c>
      <c r="B1990" t="s">
        <v>2432</v>
      </c>
      <c r="C1990">
        <v>291.68</v>
      </c>
      <c r="D1990" s="1">
        <v>45145.755520833336</v>
      </c>
      <c r="E1990" s="2">
        <f t="shared" si="124"/>
        <v>0.75552083333604969</v>
      </c>
      <c r="F1990" s="3">
        <f t="shared" si="125"/>
        <v>45145</v>
      </c>
      <c r="G1990" t="s">
        <v>17</v>
      </c>
      <c r="H1990" t="s">
        <v>125</v>
      </c>
      <c r="I1990" t="s">
        <v>601</v>
      </c>
      <c r="J1990" t="s">
        <v>1455</v>
      </c>
      <c r="K1990" t="s">
        <v>707</v>
      </c>
      <c r="L1990" t="s">
        <v>22</v>
      </c>
      <c r="M1990">
        <v>21</v>
      </c>
      <c r="N1990" t="s">
        <v>37</v>
      </c>
      <c r="O1990">
        <v>90</v>
      </c>
      <c r="P1990">
        <v>1</v>
      </c>
      <c r="Q1990">
        <v>1451.02</v>
      </c>
      <c r="R1990" s="4">
        <v>45600</v>
      </c>
      <c r="S1990" s="6">
        <v>0.34165509259259258</v>
      </c>
      <c r="T1990">
        <f t="shared" si="126"/>
        <v>18</v>
      </c>
      <c r="U1990" t="str" cm="1">
        <f t="array" ref="U1990">_xlfn.IFS(M1990&lt;=34,"YOUNG",M1990&lt;=54,"MIDDLE AGE",M1990&gt;=55,"OLD")</f>
        <v>YOUNG</v>
      </c>
      <c r="V1990" t="str">
        <f t="shared" si="127"/>
        <v>NORMAL</v>
      </c>
    </row>
    <row r="1991" spans="1:22" x14ac:dyDescent="0.35">
      <c r="A1991" t="s">
        <v>3873</v>
      </c>
      <c r="B1991" t="s">
        <v>589</v>
      </c>
      <c r="C1991">
        <v>56.96</v>
      </c>
      <c r="D1991" s="1">
        <v>45103.735069444447</v>
      </c>
      <c r="E1991" s="2">
        <f t="shared" si="124"/>
        <v>0.73506944444670808</v>
      </c>
      <c r="F1991" s="3">
        <f t="shared" si="125"/>
        <v>45103</v>
      </c>
      <c r="G1991" t="s">
        <v>17</v>
      </c>
      <c r="H1991" t="s">
        <v>86</v>
      </c>
      <c r="I1991" t="s">
        <v>1912</v>
      </c>
      <c r="J1991" t="s">
        <v>1348</v>
      </c>
      <c r="K1991" t="s">
        <v>1349</v>
      </c>
      <c r="L1991" t="s">
        <v>22</v>
      </c>
      <c r="M1991">
        <v>22</v>
      </c>
      <c r="N1991" t="s">
        <v>37</v>
      </c>
      <c r="O1991">
        <v>135</v>
      </c>
      <c r="P1991">
        <v>1</v>
      </c>
      <c r="Q1991">
        <v>1597.85</v>
      </c>
      <c r="R1991" s="4">
        <v>45600</v>
      </c>
      <c r="S1991" s="6">
        <v>0.33840277777777777</v>
      </c>
      <c r="T1991">
        <f t="shared" si="126"/>
        <v>17</v>
      </c>
      <c r="U1991" t="str" cm="1">
        <f t="array" ref="U1991">_xlfn.IFS(M1991&lt;=34,"YOUNG",M1991&lt;=54,"MIDDLE AGE",M1991&gt;=55,"OLD")</f>
        <v>YOUNG</v>
      </c>
      <c r="V1991" t="str">
        <f t="shared" si="127"/>
        <v>NORMAL</v>
      </c>
    </row>
    <row r="1992" spans="1:22" x14ac:dyDescent="0.35">
      <c r="A1992" t="s">
        <v>3874</v>
      </c>
      <c r="B1992" t="s">
        <v>3754</v>
      </c>
      <c r="C1992">
        <v>436.8</v>
      </c>
      <c r="D1992" s="1">
        <v>45110.677210648151</v>
      </c>
      <c r="E1992" s="2">
        <f t="shared" si="124"/>
        <v>0.677210648151231</v>
      </c>
      <c r="F1992" s="3">
        <f t="shared" si="125"/>
        <v>45110</v>
      </c>
      <c r="G1992" t="s">
        <v>17</v>
      </c>
      <c r="H1992" t="s">
        <v>59</v>
      </c>
      <c r="I1992" t="s">
        <v>2902</v>
      </c>
      <c r="J1992" t="s">
        <v>2111</v>
      </c>
      <c r="K1992" t="s">
        <v>984</v>
      </c>
      <c r="L1992" t="s">
        <v>36</v>
      </c>
      <c r="M1992">
        <v>27</v>
      </c>
      <c r="N1992" t="s">
        <v>37</v>
      </c>
      <c r="O1992">
        <v>92</v>
      </c>
      <c r="P1992">
        <v>1</v>
      </c>
      <c r="Q1992">
        <v>1256.33</v>
      </c>
      <c r="R1992" s="4">
        <v>45600</v>
      </c>
      <c r="S1992" s="6">
        <v>0.34027777777777779</v>
      </c>
      <c r="T1992">
        <f t="shared" si="126"/>
        <v>16</v>
      </c>
      <c r="U1992" t="str" cm="1">
        <f t="array" ref="U1992">_xlfn.IFS(M1992&lt;=34,"YOUNG",M1992&lt;=54,"MIDDLE AGE",M1992&gt;=55,"OLD")</f>
        <v>YOUNG</v>
      </c>
      <c r="V1992" t="str">
        <f t="shared" si="127"/>
        <v>NORMAL</v>
      </c>
    </row>
    <row r="1993" spans="1:22" x14ac:dyDescent="0.35">
      <c r="A1993" t="s">
        <v>3875</v>
      </c>
      <c r="B1993" t="s">
        <v>1391</v>
      </c>
      <c r="C1993">
        <v>259.49</v>
      </c>
      <c r="D1993" s="1">
        <v>45086.688842592594</v>
      </c>
      <c r="E1993" s="2">
        <f t="shared" si="124"/>
        <v>0.6888425925935735</v>
      </c>
      <c r="F1993" s="3">
        <f t="shared" si="125"/>
        <v>45086</v>
      </c>
      <c r="G1993" t="s">
        <v>17</v>
      </c>
      <c r="H1993" t="s">
        <v>119</v>
      </c>
      <c r="I1993" t="s">
        <v>1227</v>
      </c>
      <c r="J1993" t="s">
        <v>1775</v>
      </c>
      <c r="K1993" t="s">
        <v>414</v>
      </c>
      <c r="L1993" t="s">
        <v>36</v>
      </c>
      <c r="M1993">
        <v>72</v>
      </c>
      <c r="N1993" t="s">
        <v>70</v>
      </c>
      <c r="O1993">
        <v>292</v>
      </c>
      <c r="P1993">
        <v>1</v>
      </c>
      <c r="Q1993">
        <v>7320.61</v>
      </c>
      <c r="R1993" s="4">
        <v>45600</v>
      </c>
      <c r="S1993" s="6">
        <v>0.33855324074074072</v>
      </c>
      <c r="T1993">
        <f t="shared" si="126"/>
        <v>16</v>
      </c>
      <c r="U1993" t="str" cm="1">
        <f t="array" ref="U1993">_xlfn.IFS(M1993&lt;=34,"YOUNG",M1993&lt;=54,"MIDDLE AGE",M1993&gt;=55,"OLD")</f>
        <v>OLD</v>
      </c>
      <c r="V1993" t="str">
        <f t="shared" si="127"/>
        <v>NORMAL</v>
      </c>
    </row>
    <row r="1994" spans="1:22" x14ac:dyDescent="0.35">
      <c r="A1994" t="s">
        <v>3876</v>
      </c>
      <c r="B1994" t="s">
        <v>1069</v>
      </c>
      <c r="C1994">
        <v>726.26</v>
      </c>
      <c r="D1994" s="1">
        <v>44970.717928240738</v>
      </c>
      <c r="E1994" s="2">
        <f t="shared" si="124"/>
        <v>0.71792824073781958</v>
      </c>
      <c r="F1994" s="3">
        <f t="shared" si="125"/>
        <v>44970</v>
      </c>
      <c r="G1994" t="s">
        <v>17</v>
      </c>
      <c r="H1994" t="s">
        <v>296</v>
      </c>
      <c r="I1994" t="s">
        <v>1510</v>
      </c>
      <c r="J1994" t="s">
        <v>2287</v>
      </c>
      <c r="K1994" t="s">
        <v>76</v>
      </c>
      <c r="L1994" t="s">
        <v>36</v>
      </c>
      <c r="M1994">
        <v>57</v>
      </c>
      <c r="N1994" t="s">
        <v>70</v>
      </c>
      <c r="O1994">
        <v>147</v>
      </c>
      <c r="P1994">
        <v>1</v>
      </c>
      <c r="Q1994">
        <v>2150.38</v>
      </c>
      <c r="R1994" s="4">
        <v>45600</v>
      </c>
      <c r="S1994" s="6">
        <v>0.33806712962962965</v>
      </c>
      <c r="T1994">
        <f t="shared" si="126"/>
        <v>17</v>
      </c>
      <c r="U1994" t="str" cm="1">
        <f t="array" ref="U1994">_xlfn.IFS(M1994&lt;=34,"YOUNG",M1994&lt;=54,"MIDDLE AGE",M1994&gt;=55,"OLD")</f>
        <v>OLD</v>
      </c>
      <c r="V1994" t="str">
        <f t="shared" si="127"/>
        <v>NORMAL</v>
      </c>
    </row>
    <row r="1995" spans="1:22" x14ac:dyDescent="0.35">
      <c r="A1995" t="s">
        <v>3877</v>
      </c>
      <c r="B1995" t="s">
        <v>3006</v>
      </c>
      <c r="C1995">
        <v>568.67999999999995</v>
      </c>
      <c r="D1995" s="1">
        <v>45041.782824074071</v>
      </c>
      <c r="E1995" s="2">
        <f t="shared" si="124"/>
        <v>0.78282407407095889</v>
      </c>
      <c r="F1995" s="3">
        <f t="shared" si="125"/>
        <v>45041</v>
      </c>
      <c r="G1995" t="s">
        <v>17</v>
      </c>
      <c r="H1995" t="s">
        <v>26</v>
      </c>
      <c r="I1995" t="s">
        <v>1302</v>
      </c>
      <c r="J1995" t="s">
        <v>1845</v>
      </c>
      <c r="K1995" t="s">
        <v>326</v>
      </c>
      <c r="L1995" t="s">
        <v>22</v>
      </c>
      <c r="M1995">
        <v>72</v>
      </c>
      <c r="N1995" t="s">
        <v>70</v>
      </c>
      <c r="O1995">
        <v>101</v>
      </c>
      <c r="P1995">
        <v>1</v>
      </c>
      <c r="Q1995">
        <v>2940.04</v>
      </c>
      <c r="R1995" s="4">
        <v>45600</v>
      </c>
      <c r="S1995" s="6">
        <v>0.33934027777777775</v>
      </c>
      <c r="T1995">
        <f t="shared" si="126"/>
        <v>18</v>
      </c>
      <c r="U1995" t="str" cm="1">
        <f t="array" ref="U1995">_xlfn.IFS(M1995&lt;=34,"YOUNG",M1995&lt;=54,"MIDDLE AGE",M1995&gt;=55,"OLD")</f>
        <v>OLD</v>
      </c>
      <c r="V1995" t="str">
        <f t="shared" si="127"/>
        <v>NORMAL</v>
      </c>
    </row>
    <row r="1996" spans="1:22" x14ac:dyDescent="0.35">
      <c r="A1996" t="s">
        <v>3878</v>
      </c>
      <c r="B1996" t="s">
        <v>660</v>
      </c>
      <c r="C1996">
        <v>77.569999999999993</v>
      </c>
      <c r="D1996" s="1">
        <v>45273.709965277776</v>
      </c>
      <c r="E1996" s="2">
        <f t="shared" si="124"/>
        <v>0.70996527777606389</v>
      </c>
      <c r="F1996" s="3">
        <f t="shared" si="125"/>
        <v>45273</v>
      </c>
      <c r="G1996" t="s">
        <v>17</v>
      </c>
      <c r="H1996" t="s">
        <v>47</v>
      </c>
      <c r="I1996" t="s">
        <v>1815</v>
      </c>
      <c r="J1996" t="s">
        <v>944</v>
      </c>
      <c r="K1996" t="s">
        <v>50</v>
      </c>
      <c r="L1996" t="s">
        <v>36</v>
      </c>
      <c r="M1996">
        <v>49</v>
      </c>
      <c r="N1996" t="s">
        <v>23</v>
      </c>
      <c r="O1996">
        <v>225</v>
      </c>
      <c r="P1996">
        <v>1</v>
      </c>
      <c r="Q1996">
        <v>12801.93</v>
      </c>
      <c r="R1996" s="4">
        <v>45600</v>
      </c>
      <c r="S1996" s="6">
        <v>0.33881944444444445</v>
      </c>
      <c r="T1996">
        <f t="shared" si="126"/>
        <v>17</v>
      </c>
      <c r="U1996" t="str" cm="1">
        <f t="array" ref="U1996">_xlfn.IFS(M1996&lt;=34,"YOUNG",M1996&lt;=54,"MIDDLE AGE",M1996&gt;=55,"OLD")</f>
        <v>MIDDLE AGE</v>
      </c>
      <c r="V1996" t="str">
        <f t="shared" si="127"/>
        <v>NORMAL</v>
      </c>
    </row>
    <row r="1997" spans="1:22" x14ac:dyDescent="0.35">
      <c r="A1997" t="s">
        <v>3879</v>
      </c>
      <c r="B1997" t="s">
        <v>367</v>
      </c>
      <c r="C1997">
        <v>999.28</v>
      </c>
      <c r="D1997" s="1">
        <v>45068.740162037036</v>
      </c>
      <c r="E1997" s="2">
        <f t="shared" si="124"/>
        <v>0.74016203703649808</v>
      </c>
      <c r="F1997" s="3">
        <f t="shared" si="125"/>
        <v>45068</v>
      </c>
      <c r="G1997" t="s">
        <v>17</v>
      </c>
      <c r="H1997" t="s">
        <v>388</v>
      </c>
      <c r="I1997" t="s">
        <v>98</v>
      </c>
      <c r="J1997" t="s">
        <v>378</v>
      </c>
      <c r="K1997" t="s">
        <v>1345</v>
      </c>
      <c r="L1997" t="s">
        <v>36</v>
      </c>
      <c r="M1997">
        <v>29</v>
      </c>
      <c r="N1997" t="s">
        <v>77</v>
      </c>
      <c r="O1997">
        <v>40</v>
      </c>
      <c r="P1997">
        <v>1</v>
      </c>
      <c r="Q1997">
        <v>4272.41</v>
      </c>
      <c r="R1997" s="4">
        <v>45600</v>
      </c>
      <c r="S1997" s="6">
        <v>0.34184027777777776</v>
      </c>
      <c r="T1997">
        <f t="shared" si="126"/>
        <v>17</v>
      </c>
      <c r="U1997" t="str" cm="1">
        <f t="array" ref="U1997">_xlfn.IFS(M1997&lt;=34,"YOUNG",M1997&lt;=54,"MIDDLE AGE",M1997&gt;=55,"OLD")</f>
        <v>YOUNG</v>
      </c>
      <c r="V1997" t="str">
        <f t="shared" si="127"/>
        <v>NORMAL</v>
      </c>
    </row>
    <row r="1998" spans="1:22" x14ac:dyDescent="0.35">
      <c r="A1998" t="s">
        <v>3880</v>
      </c>
      <c r="B1998" t="s">
        <v>452</v>
      </c>
      <c r="C1998">
        <v>14.16</v>
      </c>
      <c r="D1998" s="1">
        <v>44935.700775462959</v>
      </c>
      <c r="E1998" s="2">
        <f t="shared" si="124"/>
        <v>0.70077546295942739</v>
      </c>
      <c r="F1998" s="3">
        <f t="shared" si="125"/>
        <v>44935</v>
      </c>
      <c r="G1998" t="s">
        <v>46</v>
      </c>
      <c r="H1998" t="s">
        <v>53</v>
      </c>
      <c r="I1998" t="s">
        <v>1664</v>
      </c>
      <c r="J1998" t="s">
        <v>3881</v>
      </c>
      <c r="K1998" t="s">
        <v>592</v>
      </c>
      <c r="L1998" t="s">
        <v>69</v>
      </c>
      <c r="M1998">
        <v>74</v>
      </c>
      <c r="N1998" t="s">
        <v>70</v>
      </c>
      <c r="O1998">
        <v>290</v>
      </c>
      <c r="P1998">
        <v>1</v>
      </c>
      <c r="Q1998">
        <v>5399.76</v>
      </c>
      <c r="R1998" s="4">
        <v>45600</v>
      </c>
      <c r="S1998" s="6">
        <v>0.34050925925925923</v>
      </c>
      <c r="T1998">
        <f t="shared" si="126"/>
        <v>16</v>
      </c>
      <c r="U1998" t="str" cm="1">
        <f t="array" ref="U1998">_xlfn.IFS(M1998&lt;=34,"YOUNG",M1998&lt;=54,"MIDDLE AGE",M1998&gt;=55,"OLD")</f>
        <v>OLD</v>
      </c>
      <c r="V1998" t="str">
        <f t="shared" si="127"/>
        <v>NORMAL</v>
      </c>
    </row>
    <row r="1999" spans="1:22" x14ac:dyDescent="0.35">
      <c r="A1999" t="s">
        <v>3882</v>
      </c>
      <c r="B1999" t="s">
        <v>1394</v>
      </c>
      <c r="C1999">
        <v>1142.83</v>
      </c>
      <c r="D1999" s="1">
        <v>45121.739155092589</v>
      </c>
      <c r="E1999" s="2">
        <f t="shared" si="124"/>
        <v>0.73915509258949896</v>
      </c>
      <c r="F1999" s="3">
        <f t="shared" si="125"/>
        <v>45121</v>
      </c>
      <c r="G1999" t="s">
        <v>46</v>
      </c>
      <c r="H1999" t="s">
        <v>296</v>
      </c>
      <c r="I1999" t="s">
        <v>2203</v>
      </c>
      <c r="J1999" t="s">
        <v>1477</v>
      </c>
      <c r="K1999" t="s">
        <v>165</v>
      </c>
      <c r="L1999" t="s">
        <v>69</v>
      </c>
      <c r="M1999">
        <v>61</v>
      </c>
      <c r="N1999" t="s">
        <v>70</v>
      </c>
      <c r="O1999">
        <v>48</v>
      </c>
      <c r="P1999">
        <v>1</v>
      </c>
      <c r="Q1999">
        <v>2467.39</v>
      </c>
      <c r="R1999" s="4">
        <v>45600</v>
      </c>
      <c r="S1999" s="6">
        <v>0.34127314814814813</v>
      </c>
      <c r="T1999">
        <f t="shared" si="126"/>
        <v>17</v>
      </c>
      <c r="U1999" t="str" cm="1">
        <f t="array" ref="U1999">_xlfn.IFS(M1999&lt;=34,"YOUNG",M1999&lt;=54,"MIDDLE AGE",M1999&gt;=55,"OLD")</f>
        <v>OLD</v>
      </c>
      <c r="V1999" t="str">
        <f t="shared" si="127"/>
        <v>NORMAL</v>
      </c>
    </row>
    <row r="2000" spans="1:22" x14ac:dyDescent="0.35">
      <c r="A2000" t="s">
        <v>3883</v>
      </c>
      <c r="B2000" t="s">
        <v>520</v>
      </c>
      <c r="C2000">
        <v>61.33</v>
      </c>
      <c r="D2000" s="1">
        <v>45189.762499999997</v>
      </c>
      <c r="E2000" s="2">
        <f t="shared" si="124"/>
        <v>0.76249999999708962</v>
      </c>
      <c r="F2000" s="3">
        <f t="shared" si="125"/>
        <v>45189</v>
      </c>
      <c r="G2000" t="s">
        <v>17</v>
      </c>
      <c r="H2000" t="s">
        <v>40</v>
      </c>
      <c r="I2000" t="s">
        <v>381</v>
      </c>
      <c r="J2000" t="s">
        <v>2378</v>
      </c>
      <c r="K2000" t="s">
        <v>762</v>
      </c>
      <c r="L2000" t="s">
        <v>22</v>
      </c>
      <c r="M2000">
        <v>27</v>
      </c>
      <c r="N2000" t="s">
        <v>77</v>
      </c>
      <c r="O2000">
        <v>129</v>
      </c>
      <c r="P2000">
        <v>1</v>
      </c>
      <c r="Q2000">
        <v>7537.4</v>
      </c>
      <c r="R2000" s="4">
        <v>45600</v>
      </c>
      <c r="S2000" s="6">
        <v>0.33781250000000002</v>
      </c>
      <c r="T2000">
        <f t="shared" si="126"/>
        <v>18</v>
      </c>
      <c r="U2000" t="str" cm="1">
        <f t="array" ref="U2000">_xlfn.IFS(M2000&lt;=34,"YOUNG",M2000&lt;=54,"MIDDLE AGE",M2000&gt;=55,"OLD")</f>
        <v>YOUNG</v>
      </c>
      <c r="V2000" t="str">
        <f t="shared" si="127"/>
        <v>NORMAL</v>
      </c>
    </row>
    <row r="2001" spans="1:22" x14ac:dyDescent="0.35">
      <c r="A2001" t="s">
        <v>3884</v>
      </c>
      <c r="B2001" t="s">
        <v>1327</v>
      </c>
      <c r="C2001">
        <v>27.64</v>
      </c>
      <c r="D2001" s="1">
        <v>45086.718356481484</v>
      </c>
      <c r="E2001" s="2">
        <f t="shared" si="124"/>
        <v>0.71835648148407927</v>
      </c>
      <c r="F2001" s="3">
        <f t="shared" si="125"/>
        <v>45086</v>
      </c>
      <c r="G2001" t="s">
        <v>17</v>
      </c>
      <c r="H2001" t="s">
        <v>203</v>
      </c>
      <c r="I2001" t="s">
        <v>2447</v>
      </c>
      <c r="J2001" t="s">
        <v>3885</v>
      </c>
      <c r="K2001" t="s">
        <v>149</v>
      </c>
      <c r="L2001" t="s">
        <v>36</v>
      </c>
      <c r="M2001">
        <v>54</v>
      </c>
      <c r="N2001" t="s">
        <v>77</v>
      </c>
      <c r="O2001">
        <v>23</v>
      </c>
      <c r="P2001">
        <v>1</v>
      </c>
      <c r="Q2001">
        <v>7498.51</v>
      </c>
      <c r="R2001" s="4">
        <v>45600</v>
      </c>
      <c r="S2001" s="6">
        <v>0.33914351851851854</v>
      </c>
      <c r="T2001">
        <f t="shared" si="126"/>
        <v>17</v>
      </c>
      <c r="U2001" t="str" cm="1">
        <f t="array" ref="U2001">_xlfn.IFS(M2001&lt;=34,"YOUNG",M2001&lt;=54,"MIDDLE AGE",M2001&gt;=55,"OLD")</f>
        <v>MIDDLE AGE</v>
      </c>
      <c r="V2001" t="str">
        <f t="shared" si="127"/>
        <v>NORMAL</v>
      </c>
    </row>
    <row r="2002" spans="1:22" x14ac:dyDescent="0.35">
      <c r="A2002" t="s">
        <v>3886</v>
      </c>
      <c r="B2002" t="s">
        <v>322</v>
      </c>
      <c r="C2002">
        <v>3.85</v>
      </c>
      <c r="D2002" s="1">
        <v>45033.685729166667</v>
      </c>
      <c r="E2002" s="2">
        <f t="shared" si="124"/>
        <v>0.68572916666744277</v>
      </c>
      <c r="F2002" s="3">
        <f t="shared" si="125"/>
        <v>45033</v>
      </c>
      <c r="G2002" t="s">
        <v>17</v>
      </c>
      <c r="H2002" t="s">
        <v>223</v>
      </c>
      <c r="I2002" t="s">
        <v>1967</v>
      </c>
      <c r="J2002" t="s">
        <v>1366</v>
      </c>
      <c r="K2002" t="s">
        <v>105</v>
      </c>
      <c r="L2002" t="s">
        <v>22</v>
      </c>
      <c r="M2002">
        <v>29</v>
      </c>
      <c r="N2002" t="s">
        <v>23</v>
      </c>
      <c r="O2002">
        <v>32</v>
      </c>
      <c r="P2002">
        <v>1</v>
      </c>
      <c r="Q2002">
        <v>10506.41</v>
      </c>
      <c r="R2002" s="4">
        <v>45600</v>
      </c>
      <c r="S2002" s="6">
        <v>0.33947916666666667</v>
      </c>
      <c r="T2002">
        <f t="shared" si="126"/>
        <v>16</v>
      </c>
      <c r="U2002" t="str" cm="1">
        <f t="array" ref="U2002">_xlfn.IFS(M2002&lt;=34,"YOUNG",M2002&lt;=54,"MIDDLE AGE",M2002&gt;=55,"OLD")</f>
        <v>YOUNG</v>
      </c>
      <c r="V2002" t="str">
        <f t="shared" si="127"/>
        <v>NORMAL</v>
      </c>
    </row>
    <row r="2003" spans="1:22" x14ac:dyDescent="0.35">
      <c r="A2003" t="s">
        <v>3887</v>
      </c>
      <c r="B2003" t="s">
        <v>749</v>
      </c>
      <c r="C2003">
        <v>431.22</v>
      </c>
      <c r="D2003" s="1">
        <v>45037.684594907405</v>
      </c>
      <c r="E2003" s="2">
        <f t="shared" si="124"/>
        <v>0.68459490740497131</v>
      </c>
      <c r="F2003" s="3">
        <f t="shared" si="125"/>
        <v>45037</v>
      </c>
      <c r="G2003" t="s">
        <v>46</v>
      </c>
      <c r="H2003" t="s">
        <v>119</v>
      </c>
      <c r="I2003" t="s">
        <v>810</v>
      </c>
      <c r="J2003" t="s">
        <v>518</v>
      </c>
      <c r="K2003" t="s">
        <v>267</v>
      </c>
      <c r="L2003" t="s">
        <v>69</v>
      </c>
      <c r="M2003">
        <v>73</v>
      </c>
      <c r="N2003" t="s">
        <v>70</v>
      </c>
      <c r="O2003">
        <v>129</v>
      </c>
      <c r="P2003">
        <v>1</v>
      </c>
      <c r="Q2003">
        <v>6505.98</v>
      </c>
      <c r="R2003" s="4">
        <v>45600</v>
      </c>
      <c r="S2003" s="6">
        <v>0.33854166666666669</v>
      </c>
      <c r="T2003">
        <f t="shared" si="126"/>
        <v>16</v>
      </c>
      <c r="U2003" t="str" cm="1">
        <f t="array" ref="U2003">_xlfn.IFS(M2003&lt;=34,"YOUNG",M2003&lt;=54,"MIDDLE AGE",M2003&gt;=55,"OLD")</f>
        <v>OLD</v>
      </c>
      <c r="V2003" t="str">
        <f t="shared" si="127"/>
        <v>NORMAL</v>
      </c>
    </row>
    <row r="2004" spans="1:22" x14ac:dyDescent="0.35">
      <c r="A2004" t="s">
        <v>3888</v>
      </c>
      <c r="B2004" t="s">
        <v>2779</v>
      </c>
      <c r="C2004">
        <v>178.55</v>
      </c>
      <c r="D2004" s="1">
        <v>45275.678124999999</v>
      </c>
      <c r="E2004" s="2">
        <f t="shared" si="124"/>
        <v>0.67812499999854481</v>
      </c>
      <c r="F2004" s="3">
        <f t="shared" si="125"/>
        <v>45275</v>
      </c>
      <c r="G2004" t="s">
        <v>17</v>
      </c>
      <c r="H2004" t="s">
        <v>26</v>
      </c>
      <c r="I2004" t="s">
        <v>1600</v>
      </c>
      <c r="J2004" t="s">
        <v>3588</v>
      </c>
      <c r="K2004" t="s">
        <v>592</v>
      </c>
      <c r="L2004" t="s">
        <v>69</v>
      </c>
      <c r="M2004">
        <v>55</v>
      </c>
      <c r="N2004" t="s">
        <v>77</v>
      </c>
      <c r="O2004">
        <v>67</v>
      </c>
      <c r="P2004">
        <v>1</v>
      </c>
      <c r="Q2004">
        <v>7568.4</v>
      </c>
      <c r="R2004" s="4">
        <v>45600</v>
      </c>
      <c r="S2004" s="6">
        <v>0.34190972222222221</v>
      </c>
      <c r="T2004">
        <f t="shared" si="126"/>
        <v>16</v>
      </c>
      <c r="U2004" t="str" cm="1">
        <f t="array" ref="U2004">_xlfn.IFS(M2004&lt;=34,"YOUNG",M2004&lt;=54,"MIDDLE AGE",M2004&gt;=55,"OLD")</f>
        <v>OLD</v>
      </c>
      <c r="V2004" t="str">
        <f t="shared" si="127"/>
        <v>NORMAL</v>
      </c>
    </row>
    <row r="2005" spans="1:22" x14ac:dyDescent="0.35">
      <c r="A2005" t="s">
        <v>3889</v>
      </c>
      <c r="B2005" t="s">
        <v>3890</v>
      </c>
      <c r="C2005">
        <v>248.76</v>
      </c>
      <c r="D2005" s="1">
        <v>45070.675208333334</v>
      </c>
      <c r="E2005" s="2">
        <f t="shared" si="124"/>
        <v>0.67520833333401242</v>
      </c>
      <c r="F2005" s="3">
        <f t="shared" si="125"/>
        <v>45070</v>
      </c>
      <c r="G2005" t="s">
        <v>17</v>
      </c>
      <c r="H2005" t="s">
        <v>114</v>
      </c>
      <c r="I2005" t="s">
        <v>2387</v>
      </c>
      <c r="J2005" t="s">
        <v>2555</v>
      </c>
      <c r="K2005" t="s">
        <v>50</v>
      </c>
      <c r="L2005" t="s">
        <v>22</v>
      </c>
      <c r="M2005">
        <v>18</v>
      </c>
      <c r="N2005" t="s">
        <v>37</v>
      </c>
      <c r="O2005">
        <v>56</v>
      </c>
      <c r="P2005">
        <v>1</v>
      </c>
      <c r="Q2005">
        <v>546.46</v>
      </c>
      <c r="R2005" s="4">
        <v>45600</v>
      </c>
      <c r="S2005" s="6">
        <v>0.33788194444444447</v>
      </c>
      <c r="T2005">
        <f t="shared" si="126"/>
        <v>16</v>
      </c>
      <c r="U2005" t="str" cm="1">
        <f t="array" ref="U2005">_xlfn.IFS(M2005&lt;=34,"YOUNG",M2005&lt;=54,"MIDDLE AGE",M2005&gt;=55,"OLD")</f>
        <v>YOUNG</v>
      </c>
      <c r="V2005" t="str">
        <f t="shared" si="127"/>
        <v>NORMAL</v>
      </c>
    </row>
    <row r="2006" spans="1:22" x14ac:dyDescent="0.35">
      <c r="A2006" t="s">
        <v>3891</v>
      </c>
      <c r="B2006" t="s">
        <v>3892</v>
      </c>
      <c r="C2006">
        <v>76.16</v>
      </c>
      <c r="D2006" s="1">
        <v>45251.698252314818</v>
      </c>
      <c r="E2006" s="2">
        <f t="shared" si="124"/>
        <v>0.69825231481809169</v>
      </c>
      <c r="F2006" s="3">
        <f t="shared" si="125"/>
        <v>45251</v>
      </c>
      <c r="G2006" t="s">
        <v>17</v>
      </c>
      <c r="H2006" t="s">
        <v>212</v>
      </c>
      <c r="I2006" t="s">
        <v>1434</v>
      </c>
      <c r="J2006" t="s">
        <v>2828</v>
      </c>
      <c r="K2006" t="s">
        <v>406</v>
      </c>
      <c r="L2006" t="s">
        <v>22</v>
      </c>
      <c r="M2006">
        <v>23</v>
      </c>
      <c r="N2006" t="s">
        <v>37</v>
      </c>
      <c r="O2006">
        <v>99</v>
      </c>
      <c r="P2006">
        <v>1</v>
      </c>
      <c r="Q2006">
        <v>1072.25</v>
      </c>
      <c r="R2006" s="4">
        <v>45600</v>
      </c>
      <c r="S2006" s="6">
        <v>0.34171296296296294</v>
      </c>
      <c r="T2006">
        <f t="shared" si="126"/>
        <v>16</v>
      </c>
      <c r="U2006" t="str" cm="1">
        <f t="array" ref="U2006">_xlfn.IFS(M2006&lt;=34,"YOUNG",M2006&lt;=54,"MIDDLE AGE",M2006&gt;=55,"OLD")</f>
        <v>YOUNG</v>
      </c>
      <c r="V2006" t="str">
        <f t="shared" si="127"/>
        <v>NORMAL</v>
      </c>
    </row>
    <row r="2007" spans="1:22" x14ac:dyDescent="0.35">
      <c r="A2007" t="s">
        <v>3893</v>
      </c>
      <c r="B2007" t="s">
        <v>594</v>
      </c>
      <c r="C2007">
        <v>347.25</v>
      </c>
      <c r="D2007" s="1">
        <v>44956.784629629627</v>
      </c>
      <c r="E2007" s="2">
        <f t="shared" si="124"/>
        <v>0.78462962962657912</v>
      </c>
      <c r="F2007" s="3">
        <f t="shared" si="125"/>
        <v>44956</v>
      </c>
      <c r="G2007" t="s">
        <v>17</v>
      </c>
      <c r="H2007" t="s">
        <v>65</v>
      </c>
      <c r="I2007" t="s">
        <v>2015</v>
      </c>
      <c r="J2007" t="s">
        <v>190</v>
      </c>
      <c r="K2007" t="s">
        <v>619</v>
      </c>
      <c r="L2007" t="s">
        <v>22</v>
      </c>
      <c r="M2007">
        <v>69</v>
      </c>
      <c r="N2007" t="s">
        <v>23</v>
      </c>
      <c r="O2007">
        <v>250</v>
      </c>
      <c r="P2007">
        <v>1</v>
      </c>
      <c r="Q2007">
        <v>7273.55</v>
      </c>
      <c r="R2007" s="4">
        <v>45600</v>
      </c>
      <c r="S2007" s="6">
        <v>0.33890046296296295</v>
      </c>
      <c r="T2007">
        <f t="shared" si="126"/>
        <v>18</v>
      </c>
      <c r="U2007" t="str" cm="1">
        <f t="array" ref="U2007">_xlfn.IFS(M2007&lt;=34,"YOUNG",M2007&lt;=54,"MIDDLE AGE",M2007&gt;=55,"OLD")</f>
        <v>OLD</v>
      </c>
      <c r="V2007" t="str">
        <f t="shared" si="127"/>
        <v>NORMAL</v>
      </c>
    </row>
    <row r="2008" spans="1:22" x14ac:dyDescent="0.35">
      <c r="A2008" t="s">
        <v>3894</v>
      </c>
      <c r="B2008" t="s">
        <v>725</v>
      </c>
      <c r="C2008">
        <v>28.04</v>
      </c>
      <c r="D2008" s="1">
        <v>44972.692465277774</v>
      </c>
      <c r="E2008" s="2">
        <f t="shared" si="124"/>
        <v>0.69246527777431766</v>
      </c>
      <c r="F2008" s="3">
        <f t="shared" si="125"/>
        <v>44972</v>
      </c>
      <c r="G2008" t="s">
        <v>17</v>
      </c>
      <c r="H2008" t="s">
        <v>140</v>
      </c>
      <c r="I2008" t="s">
        <v>1258</v>
      </c>
      <c r="J2008" t="s">
        <v>127</v>
      </c>
      <c r="K2008" t="s">
        <v>181</v>
      </c>
      <c r="L2008" t="s">
        <v>22</v>
      </c>
      <c r="M2008">
        <v>57</v>
      </c>
      <c r="N2008" t="s">
        <v>23</v>
      </c>
      <c r="O2008">
        <v>146</v>
      </c>
      <c r="P2008">
        <v>5</v>
      </c>
      <c r="Q2008">
        <v>11197.54</v>
      </c>
      <c r="R2008" s="4">
        <v>45600</v>
      </c>
      <c r="S2008" s="6">
        <v>0.34186342592592595</v>
      </c>
      <c r="T2008">
        <f t="shared" si="126"/>
        <v>16</v>
      </c>
      <c r="U2008" t="str" cm="1">
        <f t="array" ref="U2008">_xlfn.IFS(M2008&lt;=34,"YOUNG",M2008&lt;=54,"MIDDLE AGE",M2008&gt;=55,"OLD")</f>
        <v>OLD</v>
      </c>
      <c r="V2008" t="str">
        <f t="shared" si="127"/>
        <v>HIGH</v>
      </c>
    </row>
    <row r="2009" spans="1:22" x14ac:dyDescent="0.35">
      <c r="A2009" t="s">
        <v>3895</v>
      </c>
      <c r="B2009" t="s">
        <v>2481</v>
      </c>
      <c r="C2009">
        <v>325.98</v>
      </c>
      <c r="D2009" s="1">
        <v>45127.707395833335</v>
      </c>
      <c r="E2009" s="2">
        <f t="shared" si="124"/>
        <v>0.70739583333488554</v>
      </c>
      <c r="F2009" s="3">
        <f t="shared" si="125"/>
        <v>45127</v>
      </c>
      <c r="G2009" t="s">
        <v>17</v>
      </c>
      <c r="H2009" t="s">
        <v>453</v>
      </c>
      <c r="I2009" t="s">
        <v>184</v>
      </c>
      <c r="J2009" t="s">
        <v>1605</v>
      </c>
      <c r="K2009" t="s">
        <v>572</v>
      </c>
      <c r="L2009" t="s">
        <v>22</v>
      </c>
      <c r="M2009">
        <v>19</v>
      </c>
      <c r="N2009" t="s">
        <v>37</v>
      </c>
      <c r="O2009">
        <v>277</v>
      </c>
      <c r="P2009">
        <v>1</v>
      </c>
      <c r="Q2009">
        <v>782.35</v>
      </c>
      <c r="R2009" s="4">
        <v>45600</v>
      </c>
      <c r="S2009" s="6">
        <v>0.33915509259259258</v>
      </c>
      <c r="T2009">
        <f t="shared" si="126"/>
        <v>16</v>
      </c>
      <c r="U2009" t="str" cm="1">
        <f t="array" ref="U2009">_xlfn.IFS(M2009&lt;=34,"YOUNG",M2009&lt;=54,"MIDDLE AGE",M2009&gt;=55,"OLD")</f>
        <v>YOUNG</v>
      </c>
      <c r="V2009" t="str">
        <f t="shared" si="127"/>
        <v>NORMAL</v>
      </c>
    </row>
    <row r="2010" spans="1:22" x14ac:dyDescent="0.35">
      <c r="A2010" t="s">
        <v>3896</v>
      </c>
      <c r="B2010" t="s">
        <v>2225</v>
      </c>
      <c r="C2010">
        <v>249.56</v>
      </c>
      <c r="D2010" s="1">
        <v>45250.67019675926</v>
      </c>
      <c r="E2010" s="2">
        <f t="shared" si="124"/>
        <v>0.67019675925985212</v>
      </c>
      <c r="F2010" s="3">
        <f t="shared" si="125"/>
        <v>45250</v>
      </c>
      <c r="G2010" t="s">
        <v>17</v>
      </c>
      <c r="H2010" t="s">
        <v>203</v>
      </c>
      <c r="I2010" t="s">
        <v>1844</v>
      </c>
      <c r="J2010" t="s">
        <v>3772</v>
      </c>
      <c r="K2010" t="s">
        <v>160</v>
      </c>
      <c r="L2010" t="s">
        <v>69</v>
      </c>
      <c r="M2010">
        <v>76</v>
      </c>
      <c r="N2010" t="s">
        <v>70</v>
      </c>
      <c r="O2010">
        <v>246</v>
      </c>
      <c r="P2010">
        <v>1</v>
      </c>
      <c r="Q2010">
        <v>4444.95</v>
      </c>
      <c r="R2010" s="4">
        <v>45600</v>
      </c>
      <c r="S2010" s="6">
        <v>0.34106481481481482</v>
      </c>
      <c r="T2010">
        <f t="shared" si="126"/>
        <v>16</v>
      </c>
      <c r="U2010" t="str" cm="1">
        <f t="array" ref="U2010">_xlfn.IFS(M2010&lt;=34,"YOUNG",M2010&lt;=54,"MIDDLE AGE",M2010&gt;=55,"OLD")</f>
        <v>OLD</v>
      </c>
      <c r="V2010" t="str">
        <f t="shared" si="127"/>
        <v>NORMAL</v>
      </c>
    </row>
    <row r="2011" spans="1:22" x14ac:dyDescent="0.35">
      <c r="A2011" t="s">
        <v>3897</v>
      </c>
      <c r="B2011" t="s">
        <v>1401</v>
      </c>
      <c r="C2011">
        <v>17.43</v>
      </c>
      <c r="D2011" s="1">
        <v>44980.681689814817</v>
      </c>
      <c r="E2011" s="2">
        <f t="shared" si="124"/>
        <v>0.68168981481721858</v>
      </c>
      <c r="F2011" s="3">
        <f t="shared" si="125"/>
        <v>44980</v>
      </c>
      <c r="G2011" t="s">
        <v>17</v>
      </c>
      <c r="H2011" t="s">
        <v>86</v>
      </c>
      <c r="I2011" t="s">
        <v>443</v>
      </c>
      <c r="J2011" t="s">
        <v>918</v>
      </c>
      <c r="K2011" t="s">
        <v>564</v>
      </c>
      <c r="L2011" t="s">
        <v>22</v>
      </c>
      <c r="M2011">
        <v>56</v>
      </c>
      <c r="N2011" t="s">
        <v>23</v>
      </c>
      <c r="O2011">
        <v>33</v>
      </c>
      <c r="P2011">
        <v>1</v>
      </c>
      <c r="Q2011">
        <v>10658.88</v>
      </c>
      <c r="R2011" s="4">
        <v>45600</v>
      </c>
      <c r="S2011" s="6">
        <v>0.33930555555555558</v>
      </c>
      <c r="T2011">
        <f t="shared" si="126"/>
        <v>16</v>
      </c>
      <c r="U2011" t="str" cm="1">
        <f t="array" ref="U2011">_xlfn.IFS(M2011&lt;=34,"YOUNG",M2011&lt;=54,"MIDDLE AGE",M2011&gt;=55,"OLD")</f>
        <v>OLD</v>
      </c>
      <c r="V2011" t="str">
        <f t="shared" si="127"/>
        <v>NORMAL</v>
      </c>
    </row>
    <row r="2012" spans="1:22" x14ac:dyDescent="0.35">
      <c r="A2012" t="s">
        <v>3898</v>
      </c>
      <c r="B2012" t="s">
        <v>2352</v>
      </c>
      <c r="C2012">
        <v>198.01</v>
      </c>
      <c r="D2012" s="1">
        <v>45040.740752314814</v>
      </c>
      <c r="E2012" s="2">
        <f t="shared" si="124"/>
        <v>0.74075231481401715</v>
      </c>
      <c r="F2012" s="3">
        <f t="shared" si="125"/>
        <v>45040</v>
      </c>
      <c r="G2012" t="s">
        <v>46</v>
      </c>
      <c r="H2012" t="s">
        <v>119</v>
      </c>
      <c r="I2012" t="s">
        <v>329</v>
      </c>
      <c r="J2012" t="s">
        <v>1427</v>
      </c>
      <c r="K2012" t="s">
        <v>262</v>
      </c>
      <c r="L2012" t="s">
        <v>69</v>
      </c>
      <c r="M2012">
        <v>26</v>
      </c>
      <c r="N2012" t="s">
        <v>37</v>
      </c>
      <c r="O2012">
        <v>40</v>
      </c>
      <c r="P2012">
        <v>1</v>
      </c>
      <c r="Q2012">
        <v>250.93</v>
      </c>
      <c r="R2012" s="4">
        <v>45600</v>
      </c>
      <c r="S2012" s="6">
        <v>0.34038194444444442</v>
      </c>
      <c r="T2012">
        <f t="shared" si="126"/>
        <v>17</v>
      </c>
      <c r="U2012" t="str" cm="1">
        <f t="array" ref="U2012">_xlfn.IFS(M2012&lt;=34,"YOUNG",M2012&lt;=54,"MIDDLE AGE",M2012&gt;=55,"OLD")</f>
        <v>YOUNG</v>
      </c>
      <c r="V2012" t="str">
        <f t="shared" si="127"/>
        <v>NORMAL</v>
      </c>
    </row>
    <row r="2013" spans="1:22" x14ac:dyDescent="0.35">
      <c r="A2013" t="s">
        <v>3899</v>
      </c>
      <c r="B2013" t="s">
        <v>1238</v>
      </c>
      <c r="C2013">
        <v>585.58000000000004</v>
      </c>
      <c r="D2013" s="1">
        <v>45173.676157407404</v>
      </c>
      <c r="E2013" s="2">
        <f t="shared" si="124"/>
        <v>0.67615740740438923</v>
      </c>
      <c r="F2013" s="3">
        <f t="shared" si="125"/>
        <v>45173</v>
      </c>
      <c r="G2013" t="s">
        <v>17</v>
      </c>
      <c r="H2013" t="s">
        <v>40</v>
      </c>
      <c r="I2013" t="s">
        <v>3900</v>
      </c>
      <c r="J2013" t="s">
        <v>1377</v>
      </c>
      <c r="K2013" t="s">
        <v>50</v>
      </c>
      <c r="L2013" t="s">
        <v>69</v>
      </c>
      <c r="M2013">
        <v>23</v>
      </c>
      <c r="N2013" t="s">
        <v>37</v>
      </c>
      <c r="O2013">
        <v>55</v>
      </c>
      <c r="P2013">
        <v>1</v>
      </c>
      <c r="Q2013">
        <v>1729.02</v>
      </c>
      <c r="R2013" s="4">
        <v>45600</v>
      </c>
      <c r="S2013" s="6">
        <v>0.33976851851851853</v>
      </c>
      <c r="T2013">
        <f t="shared" si="126"/>
        <v>16</v>
      </c>
      <c r="U2013" t="str" cm="1">
        <f t="array" ref="U2013">_xlfn.IFS(M2013&lt;=34,"YOUNG",M2013&lt;=54,"MIDDLE AGE",M2013&gt;=55,"OLD")</f>
        <v>YOUNG</v>
      </c>
      <c r="V2013" t="str">
        <f t="shared" si="127"/>
        <v>NORMAL</v>
      </c>
    </row>
    <row r="2014" spans="1:22" x14ac:dyDescent="0.35">
      <c r="A2014" t="s">
        <v>3901</v>
      </c>
      <c r="B2014" t="s">
        <v>641</v>
      </c>
      <c r="C2014">
        <v>434.67</v>
      </c>
      <c r="D2014" s="1">
        <v>45265.772939814815</v>
      </c>
      <c r="E2014" s="2">
        <f t="shared" si="124"/>
        <v>0.77293981481489027</v>
      </c>
      <c r="F2014" s="3">
        <f t="shared" si="125"/>
        <v>45265</v>
      </c>
      <c r="G2014" t="s">
        <v>46</v>
      </c>
      <c r="H2014" t="s">
        <v>301</v>
      </c>
      <c r="I2014" t="s">
        <v>3902</v>
      </c>
      <c r="J2014" t="s">
        <v>28</v>
      </c>
      <c r="K2014" t="s">
        <v>1209</v>
      </c>
      <c r="L2014" t="s">
        <v>36</v>
      </c>
      <c r="M2014">
        <v>27</v>
      </c>
      <c r="N2014" t="s">
        <v>37</v>
      </c>
      <c r="O2014">
        <v>124</v>
      </c>
      <c r="P2014">
        <v>1</v>
      </c>
      <c r="Q2014">
        <v>1298.1300000000001</v>
      </c>
      <c r="R2014" s="4">
        <v>45600</v>
      </c>
      <c r="S2014" s="6">
        <v>0.34038194444444442</v>
      </c>
      <c r="T2014">
        <f t="shared" si="126"/>
        <v>18</v>
      </c>
      <c r="U2014" t="str" cm="1">
        <f t="array" ref="U2014">_xlfn.IFS(M2014&lt;=34,"YOUNG",M2014&lt;=54,"MIDDLE AGE",M2014&gt;=55,"OLD")</f>
        <v>YOUNG</v>
      </c>
      <c r="V2014" t="str">
        <f t="shared" si="127"/>
        <v>NORMAL</v>
      </c>
    </row>
    <row r="2015" spans="1:22" x14ac:dyDescent="0.35">
      <c r="A2015" t="s">
        <v>3903</v>
      </c>
      <c r="B2015" t="s">
        <v>1998</v>
      </c>
      <c r="C2015">
        <v>510.7</v>
      </c>
      <c r="D2015" s="1">
        <v>45084.691284722219</v>
      </c>
      <c r="E2015" s="2">
        <f t="shared" si="124"/>
        <v>0.6912847222192795</v>
      </c>
      <c r="F2015" s="3">
        <f t="shared" si="125"/>
        <v>45084</v>
      </c>
      <c r="G2015" t="s">
        <v>46</v>
      </c>
      <c r="H2015" t="s">
        <v>80</v>
      </c>
      <c r="I2015" t="s">
        <v>978</v>
      </c>
      <c r="J2015" t="s">
        <v>2013</v>
      </c>
      <c r="K2015" t="s">
        <v>143</v>
      </c>
      <c r="L2015" t="s">
        <v>36</v>
      </c>
      <c r="M2015">
        <v>27</v>
      </c>
      <c r="N2015" t="s">
        <v>37</v>
      </c>
      <c r="O2015">
        <v>294</v>
      </c>
      <c r="P2015">
        <v>1</v>
      </c>
      <c r="Q2015">
        <v>5828.48</v>
      </c>
      <c r="R2015" s="4">
        <v>45600</v>
      </c>
      <c r="S2015" s="6">
        <v>0.33885416666666668</v>
      </c>
      <c r="T2015">
        <f t="shared" si="126"/>
        <v>16</v>
      </c>
      <c r="U2015" t="str" cm="1">
        <f t="array" ref="U2015">_xlfn.IFS(M2015&lt;=34,"YOUNG",M2015&lt;=54,"MIDDLE AGE",M2015&gt;=55,"OLD")</f>
        <v>YOUNG</v>
      </c>
      <c r="V2015" t="str">
        <f t="shared" si="127"/>
        <v>NORMAL</v>
      </c>
    </row>
    <row r="2016" spans="1:22" x14ac:dyDescent="0.35">
      <c r="A2016" t="s">
        <v>3904</v>
      </c>
      <c r="B2016" t="s">
        <v>3905</v>
      </c>
      <c r="C2016">
        <v>331.98</v>
      </c>
      <c r="D2016" s="1">
        <v>45166.694456018522</v>
      </c>
      <c r="E2016" s="2">
        <f t="shared" si="124"/>
        <v>0.69445601852203254</v>
      </c>
      <c r="F2016" s="3">
        <f t="shared" si="125"/>
        <v>45166</v>
      </c>
      <c r="G2016" t="s">
        <v>17</v>
      </c>
      <c r="H2016" t="s">
        <v>114</v>
      </c>
      <c r="I2016" t="s">
        <v>3454</v>
      </c>
      <c r="J2016" t="s">
        <v>405</v>
      </c>
      <c r="K2016" t="s">
        <v>478</v>
      </c>
      <c r="L2016" t="s">
        <v>22</v>
      </c>
      <c r="M2016">
        <v>74</v>
      </c>
      <c r="N2016" t="s">
        <v>70</v>
      </c>
      <c r="O2016">
        <v>12</v>
      </c>
      <c r="P2016">
        <v>1</v>
      </c>
      <c r="Q2016">
        <v>7600.99</v>
      </c>
      <c r="R2016" s="4">
        <v>45600</v>
      </c>
      <c r="S2016" s="6">
        <v>0.33988425925925925</v>
      </c>
      <c r="T2016">
        <f t="shared" si="126"/>
        <v>16</v>
      </c>
      <c r="U2016" t="str" cm="1">
        <f t="array" ref="U2016">_xlfn.IFS(M2016&lt;=34,"YOUNG",M2016&lt;=54,"MIDDLE AGE",M2016&gt;=55,"OLD")</f>
        <v>OLD</v>
      </c>
      <c r="V2016" t="str">
        <f t="shared" si="127"/>
        <v>NORMAL</v>
      </c>
    </row>
    <row r="2017" spans="1:22" x14ac:dyDescent="0.35">
      <c r="A2017" t="s">
        <v>3906</v>
      </c>
      <c r="B2017" t="s">
        <v>1240</v>
      </c>
      <c r="C2017">
        <v>199.54</v>
      </c>
      <c r="D2017" s="1">
        <v>45209.725381944445</v>
      </c>
      <c r="E2017" s="2">
        <f t="shared" si="124"/>
        <v>0.72538194444496185</v>
      </c>
      <c r="F2017" s="3">
        <f t="shared" si="125"/>
        <v>45209</v>
      </c>
      <c r="G2017" t="s">
        <v>17</v>
      </c>
      <c r="H2017" t="s">
        <v>595</v>
      </c>
      <c r="I2017" t="s">
        <v>833</v>
      </c>
      <c r="J2017" t="s">
        <v>3588</v>
      </c>
      <c r="K2017" t="s">
        <v>272</v>
      </c>
      <c r="L2017" t="s">
        <v>36</v>
      </c>
      <c r="M2017">
        <v>56</v>
      </c>
      <c r="N2017" t="s">
        <v>77</v>
      </c>
      <c r="O2017">
        <v>268</v>
      </c>
      <c r="P2017">
        <v>1</v>
      </c>
      <c r="Q2017">
        <v>9603.73</v>
      </c>
      <c r="R2017" s="4">
        <v>45600</v>
      </c>
      <c r="S2017" s="6">
        <v>0.34084490740740742</v>
      </c>
      <c r="T2017">
        <f t="shared" si="126"/>
        <v>17</v>
      </c>
      <c r="U2017" t="str" cm="1">
        <f t="array" ref="U2017">_xlfn.IFS(M2017&lt;=34,"YOUNG",M2017&lt;=54,"MIDDLE AGE",M2017&gt;=55,"OLD")</f>
        <v>OLD</v>
      </c>
      <c r="V2017" t="str">
        <f t="shared" si="127"/>
        <v>NORMAL</v>
      </c>
    </row>
    <row r="2018" spans="1:22" x14ac:dyDescent="0.35">
      <c r="A2018" t="s">
        <v>3907</v>
      </c>
      <c r="B2018" t="s">
        <v>3047</v>
      </c>
      <c r="C2018">
        <v>212.97</v>
      </c>
      <c r="D2018" s="1">
        <v>45244.705949074072</v>
      </c>
      <c r="E2018" s="2">
        <f t="shared" si="124"/>
        <v>0.70594907407212304</v>
      </c>
      <c r="F2018" s="3">
        <f t="shared" si="125"/>
        <v>45244</v>
      </c>
      <c r="G2018" t="s">
        <v>17</v>
      </c>
      <c r="H2018" t="s">
        <v>47</v>
      </c>
      <c r="I2018" t="s">
        <v>3908</v>
      </c>
      <c r="J2018" t="s">
        <v>1242</v>
      </c>
      <c r="K2018" t="s">
        <v>362</v>
      </c>
      <c r="L2018" t="s">
        <v>36</v>
      </c>
      <c r="M2018">
        <v>59</v>
      </c>
      <c r="N2018" t="s">
        <v>77</v>
      </c>
      <c r="O2018">
        <v>178</v>
      </c>
      <c r="P2018">
        <v>1</v>
      </c>
      <c r="Q2018">
        <v>4180.3999999999996</v>
      </c>
      <c r="R2018" s="4">
        <v>45600</v>
      </c>
      <c r="S2018" s="6">
        <v>0.34076388888888887</v>
      </c>
      <c r="T2018">
        <f t="shared" si="126"/>
        <v>16</v>
      </c>
      <c r="U2018" t="str" cm="1">
        <f t="array" ref="U2018">_xlfn.IFS(M2018&lt;=34,"YOUNG",M2018&lt;=54,"MIDDLE AGE",M2018&gt;=55,"OLD")</f>
        <v>OLD</v>
      </c>
      <c r="V2018" t="str">
        <f t="shared" si="127"/>
        <v>NORMAL</v>
      </c>
    </row>
    <row r="2019" spans="1:22" x14ac:dyDescent="0.35">
      <c r="A2019" t="s">
        <v>3909</v>
      </c>
      <c r="B2019" t="s">
        <v>156</v>
      </c>
      <c r="C2019">
        <v>270.56</v>
      </c>
      <c r="D2019" s="1">
        <v>44974.706620370373</v>
      </c>
      <c r="E2019" s="2">
        <f t="shared" si="124"/>
        <v>0.70662037037254777</v>
      </c>
      <c r="F2019" s="3">
        <f t="shared" si="125"/>
        <v>44974</v>
      </c>
      <c r="G2019" t="s">
        <v>17</v>
      </c>
      <c r="H2019" t="s">
        <v>243</v>
      </c>
      <c r="I2019" t="s">
        <v>928</v>
      </c>
      <c r="J2019" t="s">
        <v>1375</v>
      </c>
      <c r="K2019" t="s">
        <v>858</v>
      </c>
      <c r="L2019" t="s">
        <v>36</v>
      </c>
      <c r="M2019">
        <v>23</v>
      </c>
      <c r="N2019" t="s">
        <v>37</v>
      </c>
      <c r="O2019">
        <v>139</v>
      </c>
      <c r="P2019">
        <v>1</v>
      </c>
      <c r="Q2019">
        <v>1268.44</v>
      </c>
      <c r="R2019" s="4">
        <v>45600</v>
      </c>
      <c r="S2019" s="6">
        <v>0.33894675925925927</v>
      </c>
      <c r="T2019">
        <f t="shared" si="126"/>
        <v>16</v>
      </c>
      <c r="U2019" t="str" cm="1">
        <f t="array" ref="U2019">_xlfn.IFS(M2019&lt;=34,"YOUNG",M2019&lt;=54,"MIDDLE AGE",M2019&gt;=55,"OLD")</f>
        <v>YOUNG</v>
      </c>
      <c r="V2019" t="str">
        <f t="shared" si="127"/>
        <v>NORMAL</v>
      </c>
    </row>
    <row r="2020" spans="1:22" x14ac:dyDescent="0.35">
      <c r="A2020" t="s">
        <v>3910</v>
      </c>
      <c r="B2020" t="s">
        <v>196</v>
      </c>
      <c r="C2020">
        <v>306.37</v>
      </c>
      <c r="D2020" s="1">
        <v>45104.768148148149</v>
      </c>
      <c r="E2020" s="2">
        <f t="shared" si="124"/>
        <v>0.76814814814861165</v>
      </c>
      <c r="F2020" s="3">
        <f t="shared" si="125"/>
        <v>45104</v>
      </c>
      <c r="G2020" t="s">
        <v>17</v>
      </c>
      <c r="H2020" t="s">
        <v>521</v>
      </c>
      <c r="I2020" t="s">
        <v>1115</v>
      </c>
      <c r="J2020" t="s">
        <v>3452</v>
      </c>
      <c r="K2020" t="s">
        <v>21</v>
      </c>
      <c r="L2020" t="s">
        <v>22</v>
      </c>
      <c r="M2020">
        <v>26</v>
      </c>
      <c r="N2020" t="s">
        <v>77</v>
      </c>
      <c r="O2020">
        <v>120</v>
      </c>
      <c r="P2020">
        <v>1</v>
      </c>
      <c r="Q2020">
        <v>9609.67</v>
      </c>
      <c r="R2020" s="4">
        <v>45600</v>
      </c>
      <c r="S2020" s="6">
        <v>0.33869212962962963</v>
      </c>
      <c r="T2020">
        <f t="shared" si="126"/>
        <v>18</v>
      </c>
      <c r="U2020" t="str" cm="1">
        <f t="array" ref="U2020">_xlfn.IFS(M2020&lt;=34,"YOUNG",M2020&lt;=54,"MIDDLE AGE",M2020&gt;=55,"OLD")</f>
        <v>YOUNG</v>
      </c>
      <c r="V2020" t="str">
        <f t="shared" si="127"/>
        <v>NORMAL</v>
      </c>
    </row>
    <row r="2021" spans="1:22" x14ac:dyDescent="0.35">
      <c r="A2021" t="s">
        <v>3911</v>
      </c>
      <c r="B2021" t="s">
        <v>826</v>
      </c>
      <c r="C2021">
        <v>643.02</v>
      </c>
      <c r="D2021" s="1">
        <v>45201.74119212963</v>
      </c>
      <c r="E2021" s="2">
        <f t="shared" si="124"/>
        <v>0.74119212962978054</v>
      </c>
      <c r="F2021" s="3">
        <f t="shared" si="125"/>
        <v>45201</v>
      </c>
      <c r="G2021" t="s">
        <v>46</v>
      </c>
      <c r="H2021" t="s">
        <v>73</v>
      </c>
      <c r="I2021" t="s">
        <v>1031</v>
      </c>
      <c r="J2021" t="s">
        <v>507</v>
      </c>
      <c r="K2021" t="s">
        <v>149</v>
      </c>
      <c r="L2021" t="s">
        <v>22</v>
      </c>
      <c r="M2021">
        <v>38</v>
      </c>
      <c r="N2021" t="s">
        <v>23</v>
      </c>
      <c r="O2021">
        <v>85</v>
      </c>
      <c r="P2021">
        <v>1</v>
      </c>
      <c r="Q2021">
        <v>11989.39</v>
      </c>
      <c r="R2021" s="4">
        <v>45600</v>
      </c>
      <c r="S2021" s="6">
        <v>0.3382060185185185</v>
      </c>
      <c r="T2021">
        <f t="shared" si="126"/>
        <v>17</v>
      </c>
      <c r="U2021" t="str" cm="1">
        <f t="array" ref="U2021">_xlfn.IFS(M2021&lt;=34,"YOUNG",M2021&lt;=54,"MIDDLE AGE",M2021&gt;=55,"OLD")</f>
        <v>MIDDLE AGE</v>
      </c>
      <c r="V2021" t="str">
        <f t="shared" si="127"/>
        <v>NORMAL</v>
      </c>
    </row>
    <row r="2022" spans="1:22" x14ac:dyDescent="0.35">
      <c r="A2022" t="s">
        <v>3912</v>
      </c>
      <c r="B2022" t="s">
        <v>183</v>
      </c>
      <c r="C2022">
        <v>98.48</v>
      </c>
      <c r="D2022" s="1">
        <v>44973.718530092592</v>
      </c>
      <c r="E2022" s="2">
        <f t="shared" si="124"/>
        <v>0.71853009259211831</v>
      </c>
      <c r="F2022" s="3">
        <f t="shared" si="125"/>
        <v>44973</v>
      </c>
      <c r="G2022" t="s">
        <v>17</v>
      </c>
      <c r="H2022" t="s">
        <v>172</v>
      </c>
      <c r="I2022" t="s">
        <v>951</v>
      </c>
      <c r="J2022" t="s">
        <v>677</v>
      </c>
      <c r="K2022" t="s">
        <v>277</v>
      </c>
      <c r="L2022" t="s">
        <v>69</v>
      </c>
      <c r="M2022">
        <v>47</v>
      </c>
      <c r="N2022" t="s">
        <v>77</v>
      </c>
      <c r="O2022">
        <v>12</v>
      </c>
      <c r="P2022">
        <v>1</v>
      </c>
      <c r="Q2022">
        <v>9538.92</v>
      </c>
      <c r="R2022" s="4">
        <v>45600</v>
      </c>
      <c r="S2022" s="6">
        <v>0.34130787037037036</v>
      </c>
      <c r="T2022">
        <f t="shared" si="126"/>
        <v>17</v>
      </c>
      <c r="U2022" t="str" cm="1">
        <f t="array" ref="U2022">_xlfn.IFS(M2022&lt;=34,"YOUNG",M2022&lt;=54,"MIDDLE AGE",M2022&gt;=55,"OLD")</f>
        <v>MIDDLE AGE</v>
      </c>
      <c r="V2022" t="str">
        <f t="shared" si="127"/>
        <v>NORMAL</v>
      </c>
    </row>
    <row r="2023" spans="1:22" x14ac:dyDescent="0.35">
      <c r="A2023" t="s">
        <v>3913</v>
      </c>
      <c r="B2023" t="s">
        <v>968</v>
      </c>
      <c r="C2023">
        <v>889.01</v>
      </c>
      <c r="D2023" s="1">
        <v>45167.746608796297</v>
      </c>
      <c r="E2023" s="2">
        <f t="shared" si="124"/>
        <v>0.74660879629664123</v>
      </c>
      <c r="F2023" s="3">
        <f t="shared" si="125"/>
        <v>45167</v>
      </c>
      <c r="G2023" t="s">
        <v>17</v>
      </c>
      <c r="H2023" t="s">
        <v>301</v>
      </c>
      <c r="I2023" t="s">
        <v>2758</v>
      </c>
      <c r="J2023" t="s">
        <v>335</v>
      </c>
      <c r="K2023" t="s">
        <v>95</v>
      </c>
      <c r="L2023" t="s">
        <v>36</v>
      </c>
      <c r="M2023">
        <v>36</v>
      </c>
      <c r="N2023" t="s">
        <v>77</v>
      </c>
      <c r="O2023">
        <v>169</v>
      </c>
      <c r="P2023">
        <v>1</v>
      </c>
      <c r="Q2023">
        <v>4826.88</v>
      </c>
      <c r="R2023" s="4">
        <v>45600</v>
      </c>
      <c r="S2023" s="6">
        <v>0.3412384259259259</v>
      </c>
      <c r="T2023">
        <f t="shared" si="126"/>
        <v>17</v>
      </c>
      <c r="U2023" t="str" cm="1">
        <f t="array" ref="U2023">_xlfn.IFS(M2023&lt;=34,"YOUNG",M2023&lt;=54,"MIDDLE AGE",M2023&gt;=55,"OLD")</f>
        <v>MIDDLE AGE</v>
      </c>
      <c r="V2023" t="str">
        <f t="shared" si="127"/>
        <v>NORMAL</v>
      </c>
    </row>
    <row r="2024" spans="1:22" x14ac:dyDescent="0.35">
      <c r="A2024" t="s">
        <v>3914</v>
      </c>
      <c r="B2024" t="s">
        <v>259</v>
      </c>
      <c r="C2024">
        <v>537.86</v>
      </c>
      <c r="D2024" s="1">
        <v>45188.697465277779</v>
      </c>
      <c r="E2024" s="2">
        <f t="shared" si="124"/>
        <v>0.69746527777897427</v>
      </c>
      <c r="F2024" s="3">
        <f t="shared" si="125"/>
        <v>45188</v>
      </c>
      <c r="G2024" t="s">
        <v>17</v>
      </c>
      <c r="H2024" t="s">
        <v>291</v>
      </c>
      <c r="I2024" t="s">
        <v>2160</v>
      </c>
      <c r="J2024" t="s">
        <v>2925</v>
      </c>
      <c r="K2024" t="s">
        <v>353</v>
      </c>
      <c r="L2024" t="s">
        <v>36</v>
      </c>
      <c r="M2024">
        <v>27</v>
      </c>
      <c r="N2024" t="s">
        <v>37</v>
      </c>
      <c r="O2024">
        <v>134</v>
      </c>
      <c r="P2024">
        <v>1</v>
      </c>
      <c r="Q2024">
        <v>293.06</v>
      </c>
      <c r="R2024" s="4">
        <v>45600</v>
      </c>
      <c r="S2024" s="6">
        <v>0.33989583333333334</v>
      </c>
      <c r="T2024">
        <f t="shared" si="126"/>
        <v>16</v>
      </c>
      <c r="U2024" t="str" cm="1">
        <f t="array" ref="U2024">_xlfn.IFS(M2024&lt;=34,"YOUNG",M2024&lt;=54,"MIDDLE AGE",M2024&gt;=55,"OLD")</f>
        <v>YOUNG</v>
      </c>
      <c r="V2024" t="str">
        <f t="shared" si="127"/>
        <v>NORMAL</v>
      </c>
    </row>
    <row r="2025" spans="1:22" x14ac:dyDescent="0.35">
      <c r="A2025" t="s">
        <v>3915</v>
      </c>
      <c r="B2025" t="s">
        <v>463</v>
      </c>
      <c r="C2025">
        <v>241.18</v>
      </c>
      <c r="D2025" s="1">
        <v>45076.770312499997</v>
      </c>
      <c r="E2025" s="2">
        <f t="shared" si="124"/>
        <v>0.77031249999708962</v>
      </c>
      <c r="F2025" s="3">
        <f t="shared" si="125"/>
        <v>45076</v>
      </c>
      <c r="G2025" t="s">
        <v>17</v>
      </c>
      <c r="H2025" t="s">
        <v>32</v>
      </c>
      <c r="I2025" t="s">
        <v>435</v>
      </c>
      <c r="J2025" t="s">
        <v>3881</v>
      </c>
      <c r="K2025" t="s">
        <v>105</v>
      </c>
      <c r="L2025" t="s">
        <v>22</v>
      </c>
      <c r="M2025">
        <v>25</v>
      </c>
      <c r="N2025" t="s">
        <v>37</v>
      </c>
      <c r="O2025">
        <v>162</v>
      </c>
      <c r="P2025">
        <v>1</v>
      </c>
      <c r="Q2025">
        <v>1445.53</v>
      </c>
      <c r="R2025" s="4">
        <v>45600</v>
      </c>
      <c r="S2025" s="6">
        <v>0.33814814814814814</v>
      </c>
      <c r="T2025">
        <f t="shared" si="126"/>
        <v>18</v>
      </c>
      <c r="U2025" t="str" cm="1">
        <f t="array" ref="U2025">_xlfn.IFS(M2025&lt;=34,"YOUNG",M2025&lt;=54,"MIDDLE AGE",M2025&gt;=55,"OLD")</f>
        <v>YOUNG</v>
      </c>
      <c r="V2025" t="str">
        <f t="shared" si="127"/>
        <v>NORMAL</v>
      </c>
    </row>
    <row r="2026" spans="1:22" x14ac:dyDescent="0.35">
      <c r="A2026" t="s">
        <v>3916</v>
      </c>
      <c r="B2026" t="s">
        <v>701</v>
      </c>
      <c r="C2026">
        <v>130.54</v>
      </c>
      <c r="D2026" s="1">
        <v>45021.722638888888</v>
      </c>
      <c r="E2026" s="2">
        <f t="shared" si="124"/>
        <v>0.7226388888884685</v>
      </c>
      <c r="F2026" s="3">
        <f t="shared" si="125"/>
        <v>45021</v>
      </c>
      <c r="G2026" t="s">
        <v>17</v>
      </c>
      <c r="H2026" t="s">
        <v>47</v>
      </c>
      <c r="I2026" t="s">
        <v>574</v>
      </c>
      <c r="J2026" t="s">
        <v>257</v>
      </c>
      <c r="K2026" t="s">
        <v>226</v>
      </c>
      <c r="L2026" t="s">
        <v>22</v>
      </c>
      <c r="M2026">
        <v>64</v>
      </c>
      <c r="N2026" t="s">
        <v>23</v>
      </c>
      <c r="O2026">
        <v>94</v>
      </c>
      <c r="P2026">
        <v>1</v>
      </c>
      <c r="Q2026">
        <v>11204.62</v>
      </c>
      <c r="R2026" s="4">
        <v>45600</v>
      </c>
      <c r="S2026" s="6">
        <v>0.34016203703703701</v>
      </c>
      <c r="T2026">
        <f t="shared" si="126"/>
        <v>17</v>
      </c>
      <c r="U2026" t="str" cm="1">
        <f t="array" ref="U2026">_xlfn.IFS(M2026&lt;=34,"YOUNG",M2026&lt;=54,"MIDDLE AGE",M2026&gt;=55,"OLD")</f>
        <v>OLD</v>
      </c>
      <c r="V2026" t="str">
        <f t="shared" si="127"/>
        <v>NORMAL</v>
      </c>
    </row>
    <row r="2027" spans="1:22" x14ac:dyDescent="0.35">
      <c r="A2027" t="s">
        <v>3917</v>
      </c>
      <c r="B2027" t="s">
        <v>171</v>
      </c>
      <c r="C2027">
        <v>800.29</v>
      </c>
      <c r="D2027" s="1">
        <v>45264.684340277781</v>
      </c>
      <c r="E2027" s="2">
        <f t="shared" si="124"/>
        <v>0.68434027778130258</v>
      </c>
      <c r="F2027" s="3">
        <f t="shared" si="125"/>
        <v>45264</v>
      </c>
      <c r="G2027" t="s">
        <v>46</v>
      </c>
      <c r="H2027" t="s">
        <v>18</v>
      </c>
      <c r="I2027" t="s">
        <v>541</v>
      </c>
      <c r="J2027" t="s">
        <v>3918</v>
      </c>
      <c r="K2027" t="s">
        <v>450</v>
      </c>
      <c r="L2027" t="s">
        <v>69</v>
      </c>
      <c r="M2027">
        <v>20</v>
      </c>
      <c r="N2027" t="s">
        <v>37</v>
      </c>
      <c r="O2027">
        <v>84</v>
      </c>
      <c r="P2027">
        <v>1</v>
      </c>
      <c r="Q2027">
        <v>693.4</v>
      </c>
      <c r="R2027" s="4">
        <v>45600</v>
      </c>
      <c r="S2027" s="6">
        <v>0.34145833333333331</v>
      </c>
      <c r="T2027">
        <f t="shared" si="126"/>
        <v>16</v>
      </c>
      <c r="U2027" t="str" cm="1">
        <f t="array" ref="U2027">_xlfn.IFS(M2027&lt;=34,"YOUNG",M2027&lt;=54,"MIDDLE AGE",M2027&gt;=55,"OLD")</f>
        <v>YOUNG</v>
      </c>
      <c r="V2027" t="str">
        <f t="shared" si="127"/>
        <v>NORMAL</v>
      </c>
    </row>
    <row r="2028" spans="1:22" x14ac:dyDescent="0.35">
      <c r="A2028" t="s">
        <v>3919</v>
      </c>
      <c r="B2028" t="s">
        <v>64</v>
      </c>
      <c r="C2028">
        <v>8.81</v>
      </c>
      <c r="D2028" s="1">
        <v>45068.706597222219</v>
      </c>
      <c r="E2028" s="2">
        <f t="shared" si="124"/>
        <v>0.70659722221898846</v>
      </c>
      <c r="F2028" s="3">
        <f t="shared" si="125"/>
        <v>45068</v>
      </c>
      <c r="G2028" t="s">
        <v>17</v>
      </c>
      <c r="H2028" t="s">
        <v>323</v>
      </c>
      <c r="I2028" t="s">
        <v>319</v>
      </c>
      <c r="J2028" t="s">
        <v>194</v>
      </c>
      <c r="K2028" t="s">
        <v>246</v>
      </c>
      <c r="L2028" t="s">
        <v>36</v>
      </c>
      <c r="M2028">
        <v>57</v>
      </c>
      <c r="N2028" t="s">
        <v>23</v>
      </c>
      <c r="O2028">
        <v>165</v>
      </c>
      <c r="P2028">
        <v>1</v>
      </c>
      <c r="Q2028">
        <v>13523.65</v>
      </c>
      <c r="R2028" s="4">
        <v>45600</v>
      </c>
      <c r="S2028" s="6">
        <v>0.34004629629629629</v>
      </c>
      <c r="T2028">
        <f t="shared" si="126"/>
        <v>16</v>
      </c>
      <c r="U2028" t="str" cm="1">
        <f t="array" ref="U2028">_xlfn.IFS(M2028&lt;=34,"YOUNG",M2028&lt;=54,"MIDDLE AGE",M2028&gt;=55,"OLD")</f>
        <v>OLD</v>
      </c>
      <c r="V2028" t="str">
        <f t="shared" si="127"/>
        <v>NORMAL</v>
      </c>
    </row>
    <row r="2029" spans="1:22" x14ac:dyDescent="0.35">
      <c r="A2029" t="s">
        <v>3920</v>
      </c>
      <c r="B2029" t="s">
        <v>876</v>
      </c>
      <c r="C2029">
        <v>28.52</v>
      </c>
      <c r="D2029" s="1">
        <v>45079.704305555555</v>
      </c>
      <c r="E2029" s="2">
        <f t="shared" si="124"/>
        <v>0.70430555555503815</v>
      </c>
      <c r="F2029" s="3">
        <f t="shared" si="125"/>
        <v>45079</v>
      </c>
      <c r="G2029" t="s">
        <v>17</v>
      </c>
      <c r="H2029" t="s">
        <v>73</v>
      </c>
      <c r="I2029" t="s">
        <v>893</v>
      </c>
      <c r="J2029" t="s">
        <v>1732</v>
      </c>
      <c r="K2029" t="s">
        <v>1037</v>
      </c>
      <c r="L2029" t="s">
        <v>22</v>
      </c>
      <c r="M2029">
        <v>20</v>
      </c>
      <c r="N2029" t="s">
        <v>37</v>
      </c>
      <c r="O2029">
        <v>163</v>
      </c>
      <c r="P2029">
        <v>1</v>
      </c>
      <c r="Q2029">
        <v>662.51</v>
      </c>
      <c r="R2029" s="4">
        <v>45600</v>
      </c>
      <c r="S2029" s="6">
        <v>0.33921296296296294</v>
      </c>
      <c r="T2029">
        <f t="shared" si="126"/>
        <v>16</v>
      </c>
      <c r="U2029" t="str" cm="1">
        <f t="array" ref="U2029">_xlfn.IFS(M2029&lt;=34,"YOUNG",M2029&lt;=54,"MIDDLE AGE",M2029&gt;=55,"OLD")</f>
        <v>YOUNG</v>
      </c>
      <c r="V2029" t="str">
        <f t="shared" si="127"/>
        <v>NORMAL</v>
      </c>
    </row>
    <row r="2030" spans="1:22" x14ac:dyDescent="0.35">
      <c r="A2030" t="s">
        <v>3921</v>
      </c>
      <c r="B2030" t="s">
        <v>3354</v>
      </c>
      <c r="C2030">
        <v>431.31</v>
      </c>
      <c r="D2030" s="1">
        <v>45047.679351851853</v>
      </c>
      <c r="E2030" s="2">
        <f t="shared" si="124"/>
        <v>0.67935185185342561</v>
      </c>
      <c r="F2030" s="3">
        <f t="shared" si="125"/>
        <v>45047</v>
      </c>
      <c r="G2030" t="s">
        <v>46</v>
      </c>
      <c r="H2030" t="s">
        <v>47</v>
      </c>
      <c r="I2030" t="s">
        <v>409</v>
      </c>
      <c r="J2030" t="s">
        <v>3406</v>
      </c>
      <c r="K2030" t="s">
        <v>1037</v>
      </c>
      <c r="L2030" t="s">
        <v>36</v>
      </c>
      <c r="M2030">
        <v>23</v>
      </c>
      <c r="N2030" t="s">
        <v>37</v>
      </c>
      <c r="O2030">
        <v>99</v>
      </c>
      <c r="P2030">
        <v>1</v>
      </c>
      <c r="Q2030">
        <v>342.73</v>
      </c>
      <c r="R2030" s="4">
        <v>45600</v>
      </c>
      <c r="S2030" s="6">
        <v>0.33991898148148147</v>
      </c>
      <c r="T2030">
        <f t="shared" si="126"/>
        <v>16</v>
      </c>
      <c r="U2030" t="str" cm="1">
        <f t="array" ref="U2030">_xlfn.IFS(M2030&lt;=34,"YOUNG",M2030&lt;=54,"MIDDLE AGE",M2030&gt;=55,"OLD")</f>
        <v>YOUNG</v>
      </c>
      <c r="V2030" t="str">
        <f t="shared" si="127"/>
        <v>NORMAL</v>
      </c>
    </row>
    <row r="2031" spans="1:22" x14ac:dyDescent="0.35">
      <c r="A2031" t="s">
        <v>3922</v>
      </c>
      <c r="B2031" t="s">
        <v>855</v>
      </c>
      <c r="C2031">
        <v>885.33</v>
      </c>
      <c r="D2031" s="1">
        <v>45160.779050925928</v>
      </c>
      <c r="E2031" s="2">
        <f t="shared" si="124"/>
        <v>0.77905092592845904</v>
      </c>
      <c r="F2031" s="3">
        <f t="shared" si="125"/>
        <v>45160</v>
      </c>
      <c r="G2031" t="s">
        <v>46</v>
      </c>
      <c r="H2031" t="s">
        <v>40</v>
      </c>
      <c r="I2031" t="s">
        <v>692</v>
      </c>
      <c r="J2031" t="s">
        <v>382</v>
      </c>
      <c r="K2031" t="s">
        <v>105</v>
      </c>
      <c r="L2031" t="s">
        <v>22</v>
      </c>
      <c r="M2031">
        <v>47</v>
      </c>
      <c r="N2031" t="s">
        <v>77</v>
      </c>
      <c r="O2031">
        <v>59</v>
      </c>
      <c r="P2031">
        <v>1</v>
      </c>
      <c r="Q2031">
        <v>7764.16</v>
      </c>
      <c r="R2031" s="4">
        <v>45600</v>
      </c>
      <c r="S2031" s="6">
        <v>0.34031250000000002</v>
      </c>
      <c r="T2031">
        <f t="shared" si="126"/>
        <v>18</v>
      </c>
      <c r="U2031" t="str" cm="1">
        <f t="array" ref="U2031">_xlfn.IFS(M2031&lt;=34,"YOUNG",M2031&lt;=54,"MIDDLE AGE",M2031&gt;=55,"OLD")</f>
        <v>MIDDLE AGE</v>
      </c>
      <c r="V2031" t="str">
        <f t="shared" si="127"/>
        <v>NORMAL</v>
      </c>
    </row>
    <row r="2032" spans="1:22" x14ac:dyDescent="0.35">
      <c r="A2032" t="s">
        <v>3923</v>
      </c>
      <c r="B2032" t="s">
        <v>3924</v>
      </c>
      <c r="C2032">
        <v>199.23</v>
      </c>
      <c r="D2032" s="1">
        <v>45173.669756944444</v>
      </c>
      <c r="E2032" s="2">
        <f t="shared" si="124"/>
        <v>0.66975694444408873</v>
      </c>
      <c r="F2032" s="3">
        <f t="shared" si="125"/>
        <v>45173</v>
      </c>
      <c r="G2032" t="s">
        <v>17</v>
      </c>
      <c r="H2032" t="s">
        <v>255</v>
      </c>
      <c r="I2032" t="s">
        <v>936</v>
      </c>
      <c r="J2032" t="s">
        <v>75</v>
      </c>
      <c r="K2032" t="s">
        <v>29</v>
      </c>
      <c r="L2032" t="s">
        <v>22</v>
      </c>
      <c r="M2032">
        <v>29</v>
      </c>
      <c r="N2032" t="s">
        <v>77</v>
      </c>
      <c r="O2032">
        <v>54</v>
      </c>
      <c r="P2032">
        <v>1</v>
      </c>
      <c r="Q2032">
        <v>9834</v>
      </c>
      <c r="R2032" s="4">
        <v>45600</v>
      </c>
      <c r="S2032" s="6">
        <v>0.33872685185185186</v>
      </c>
      <c r="T2032">
        <f t="shared" si="126"/>
        <v>16</v>
      </c>
      <c r="U2032" t="str" cm="1">
        <f t="array" ref="U2032">_xlfn.IFS(M2032&lt;=34,"YOUNG",M2032&lt;=54,"MIDDLE AGE",M2032&gt;=55,"OLD")</f>
        <v>YOUNG</v>
      </c>
      <c r="V2032" t="str">
        <f t="shared" si="127"/>
        <v>NORMAL</v>
      </c>
    </row>
    <row r="2033" spans="1:22" x14ac:dyDescent="0.35">
      <c r="A2033" t="s">
        <v>3925</v>
      </c>
      <c r="B2033" t="s">
        <v>1333</v>
      </c>
      <c r="C2033">
        <v>42.26</v>
      </c>
      <c r="D2033" s="1">
        <v>45225.680150462962</v>
      </c>
      <c r="E2033" s="2">
        <f t="shared" si="124"/>
        <v>0.68015046296204673</v>
      </c>
      <c r="F2033" s="3">
        <f t="shared" si="125"/>
        <v>45225</v>
      </c>
      <c r="G2033" t="s">
        <v>17</v>
      </c>
      <c r="H2033" t="s">
        <v>40</v>
      </c>
      <c r="I2033" t="s">
        <v>939</v>
      </c>
      <c r="J2033" t="s">
        <v>148</v>
      </c>
      <c r="K2033" t="s">
        <v>1014</v>
      </c>
      <c r="L2033" t="s">
        <v>22</v>
      </c>
      <c r="M2033">
        <v>44</v>
      </c>
      <c r="N2033" t="s">
        <v>23</v>
      </c>
      <c r="O2033">
        <v>171</v>
      </c>
      <c r="P2033">
        <v>1</v>
      </c>
      <c r="Q2033">
        <v>268.77</v>
      </c>
      <c r="R2033" s="4">
        <v>45600</v>
      </c>
      <c r="S2033" s="6">
        <v>0.33998842592592593</v>
      </c>
      <c r="T2033">
        <f t="shared" si="126"/>
        <v>16</v>
      </c>
      <c r="U2033" t="str" cm="1">
        <f t="array" ref="U2033">_xlfn.IFS(M2033&lt;=34,"YOUNG",M2033&lt;=54,"MIDDLE AGE",M2033&gt;=55,"OLD")</f>
        <v>MIDDLE AGE</v>
      </c>
      <c r="V2033" t="str">
        <f t="shared" si="127"/>
        <v>NORMAL</v>
      </c>
    </row>
    <row r="2034" spans="1:22" x14ac:dyDescent="0.35">
      <c r="A2034" t="s">
        <v>3926</v>
      </c>
      <c r="B2034" t="s">
        <v>337</v>
      </c>
      <c r="C2034">
        <v>166.06</v>
      </c>
      <c r="D2034" s="1">
        <v>45121.670902777776</v>
      </c>
      <c r="E2034" s="2">
        <f t="shared" si="124"/>
        <v>0.67090277777606389</v>
      </c>
      <c r="F2034" s="3">
        <f t="shared" si="125"/>
        <v>45121</v>
      </c>
      <c r="G2034" t="s">
        <v>17</v>
      </c>
      <c r="H2034" t="s">
        <v>65</v>
      </c>
      <c r="I2034" t="s">
        <v>1645</v>
      </c>
      <c r="J2034" t="s">
        <v>1116</v>
      </c>
      <c r="K2034" t="s">
        <v>68</v>
      </c>
      <c r="L2034" t="s">
        <v>22</v>
      </c>
      <c r="M2034">
        <v>30</v>
      </c>
      <c r="N2034" t="s">
        <v>77</v>
      </c>
      <c r="O2034">
        <v>172</v>
      </c>
      <c r="P2034">
        <v>1</v>
      </c>
      <c r="Q2034">
        <v>5397.68</v>
      </c>
      <c r="R2034" s="4">
        <v>45600</v>
      </c>
      <c r="S2034" s="6">
        <v>0.33824074074074073</v>
      </c>
      <c r="T2034">
        <f t="shared" si="126"/>
        <v>16</v>
      </c>
      <c r="U2034" t="str" cm="1">
        <f t="array" ref="U2034">_xlfn.IFS(M2034&lt;=34,"YOUNG",M2034&lt;=54,"MIDDLE AGE",M2034&gt;=55,"OLD")</f>
        <v>YOUNG</v>
      </c>
      <c r="V2034" t="str">
        <f t="shared" si="127"/>
        <v>NORMAL</v>
      </c>
    </row>
    <row r="2035" spans="1:22" x14ac:dyDescent="0.35">
      <c r="A2035" t="s">
        <v>3927</v>
      </c>
      <c r="B2035" t="s">
        <v>3302</v>
      </c>
      <c r="C2035">
        <v>357.72</v>
      </c>
      <c r="D2035" s="1">
        <v>45145.729027777779</v>
      </c>
      <c r="E2035" s="2">
        <f t="shared" si="124"/>
        <v>0.72902777777926531</v>
      </c>
      <c r="F2035" s="3">
        <f t="shared" si="125"/>
        <v>45145</v>
      </c>
      <c r="G2035" t="s">
        <v>17</v>
      </c>
      <c r="H2035" t="s">
        <v>172</v>
      </c>
      <c r="I2035" t="s">
        <v>2387</v>
      </c>
      <c r="J2035" t="s">
        <v>1423</v>
      </c>
      <c r="K2035" t="s">
        <v>984</v>
      </c>
      <c r="L2035" t="s">
        <v>22</v>
      </c>
      <c r="M2035">
        <v>53</v>
      </c>
      <c r="N2035" t="s">
        <v>70</v>
      </c>
      <c r="O2035">
        <v>25</v>
      </c>
      <c r="P2035">
        <v>1</v>
      </c>
      <c r="Q2035">
        <v>7659.5</v>
      </c>
      <c r="R2035" s="4">
        <v>45600</v>
      </c>
      <c r="S2035" s="6">
        <v>0.34119212962962964</v>
      </c>
      <c r="T2035">
        <f t="shared" si="126"/>
        <v>17</v>
      </c>
      <c r="U2035" t="str" cm="1">
        <f t="array" ref="U2035">_xlfn.IFS(M2035&lt;=34,"YOUNG",M2035&lt;=54,"MIDDLE AGE",M2035&gt;=55,"OLD")</f>
        <v>MIDDLE AGE</v>
      </c>
      <c r="V2035" t="str">
        <f t="shared" si="127"/>
        <v>NORMAL</v>
      </c>
    </row>
    <row r="2036" spans="1:22" x14ac:dyDescent="0.35">
      <c r="A2036" t="s">
        <v>3928</v>
      </c>
      <c r="B2036" t="s">
        <v>3929</v>
      </c>
      <c r="C2036">
        <v>588.37</v>
      </c>
      <c r="D2036" s="1">
        <v>44931.742002314815</v>
      </c>
      <c r="E2036" s="2">
        <f t="shared" si="124"/>
        <v>0.74200231481518131</v>
      </c>
      <c r="F2036" s="3">
        <f t="shared" si="125"/>
        <v>44931</v>
      </c>
      <c r="G2036" t="s">
        <v>17</v>
      </c>
      <c r="H2036" t="s">
        <v>323</v>
      </c>
      <c r="I2036" t="s">
        <v>1070</v>
      </c>
      <c r="J2036" t="s">
        <v>234</v>
      </c>
      <c r="K2036" t="s">
        <v>740</v>
      </c>
      <c r="L2036" t="s">
        <v>36</v>
      </c>
      <c r="M2036">
        <v>28</v>
      </c>
      <c r="N2036" t="s">
        <v>37</v>
      </c>
      <c r="O2036">
        <v>284</v>
      </c>
      <c r="P2036">
        <v>1</v>
      </c>
      <c r="Q2036">
        <v>1926.08</v>
      </c>
      <c r="R2036" s="4">
        <v>45600</v>
      </c>
      <c r="S2036" s="6">
        <v>0.33864583333333331</v>
      </c>
      <c r="T2036">
        <f t="shared" si="126"/>
        <v>17</v>
      </c>
      <c r="U2036" t="str" cm="1">
        <f t="array" ref="U2036">_xlfn.IFS(M2036&lt;=34,"YOUNG",M2036&lt;=54,"MIDDLE AGE",M2036&gt;=55,"OLD")</f>
        <v>YOUNG</v>
      </c>
      <c r="V2036" t="str">
        <f t="shared" si="127"/>
        <v>NORMAL</v>
      </c>
    </row>
    <row r="2037" spans="1:22" x14ac:dyDescent="0.35">
      <c r="A2037" t="s">
        <v>3930</v>
      </c>
      <c r="B2037" t="s">
        <v>2507</v>
      </c>
      <c r="C2037">
        <v>72.819999999999993</v>
      </c>
      <c r="D2037" s="1">
        <v>45240.701793981483</v>
      </c>
      <c r="E2037" s="2">
        <f t="shared" si="124"/>
        <v>0.70179398148320615</v>
      </c>
      <c r="F2037" s="3">
        <f t="shared" si="125"/>
        <v>45240</v>
      </c>
      <c r="G2037" t="s">
        <v>17</v>
      </c>
      <c r="H2037" t="s">
        <v>26</v>
      </c>
      <c r="I2037" t="s">
        <v>457</v>
      </c>
      <c r="J2037" t="s">
        <v>1559</v>
      </c>
      <c r="K2037" t="s">
        <v>370</v>
      </c>
      <c r="L2037" t="s">
        <v>36</v>
      </c>
      <c r="M2037">
        <v>68</v>
      </c>
      <c r="N2037" t="s">
        <v>23</v>
      </c>
      <c r="O2037">
        <v>127</v>
      </c>
      <c r="P2037">
        <v>1</v>
      </c>
      <c r="Q2037">
        <v>6911.62</v>
      </c>
      <c r="R2037" s="4">
        <v>45600</v>
      </c>
      <c r="S2037" s="6">
        <v>0.33806712962962965</v>
      </c>
      <c r="T2037">
        <f t="shared" si="126"/>
        <v>16</v>
      </c>
      <c r="U2037" t="str" cm="1">
        <f t="array" ref="U2037">_xlfn.IFS(M2037&lt;=34,"YOUNG",M2037&lt;=54,"MIDDLE AGE",M2037&gt;=55,"OLD")</f>
        <v>OLD</v>
      </c>
      <c r="V2037" t="str">
        <f t="shared" si="127"/>
        <v>NORMAL</v>
      </c>
    </row>
    <row r="2038" spans="1:22" x14ac:dyDescent="0.35">
      <c r="A2038" t="s">
        <v>3931</v>
      </c>
      <c r="B2038" t="s">
        <v>333</v>
      </c>
      <c r="C2038">
        <v>162.36000000000001</v>
      </c>
      <c r="D2038" s="1">
        <v>45252.673981481479</v>
      </c>
      <c r="E2038" s="2">
        <f t="shared" si="124"/>
        <v>0.67398148147913162</v>
      </c>
      <c r="F2038" s="3">
        <f t="shared" si="125"/>
        <v>45252</v>
      </c>
      <c r="G2038" t="s">
        <v>17</v>
      </c>
      <c r="H2038" t="s">
        <v>255</v>
      </c>
      <c r="I2038" t="s">
        <v>943</v>
      </c>
      <c r="J2038" t="s">
        <v>378</v>
      </c>
      <c r="K2038" t="s">
        <v>853</v>
      </c>
      <c r="L2038" t="s">
        <v>36</v>
      </c>
      <c r="M2038">
        <v>36</v>
      </c>
      <c r="N2038" t="s">
        <v>77</v>
      </c>
      <c r="O2038">
        <v>147</v>
      </c>
      <c r="P2038">
        <v>1</v>
      </c>
      <c r="Q2038">
        <v>7527.04</v>
      </c>
      <c r="R2038" s="4">
        <v>45600</v>
      </c>
      <c r="S2038" s="6">
        <v>0.33960648148148148</v>
      </c>
      <c r="T2038">
        <f t="shared" si="126"/>
        <v>16</v>
      </c>
      <c r="U2038" t="str" cm="1">
        <f t="array" ref="U2038">_xlfn.IFS(M2038&lt;=34,"YOUNG",M2038&lt;=54,"MIDDLE AGE",M2038&gt;=55,"OLD")</f>
        <v>MIDDLE AGE</v>
      </c>
      <c r="V2038" t="str">
        <f t="shared" si="127"/>
        <v>NORMAL</v>
      </c>
    </row>
    <row r="2039" spans="1:22" x14ac:dyDescent="0.35">
      <c r="A2039" t="s">
        <v>3932</v>
      </c>
      <c r="B2039" t="s">
        <v>2488</v>
      </c>
      <c r="C2039">
        <v>584.82000000000005</v>
      </c>
      <c r="D2039" s="1">
        <v>45216.67460648148</v>
      </c>
      <c r="E2039" s="2">
        <f t="shared" si="124"/>
        <v>0.67460648147971369</v>
      </c>
      <c r="F2039" s="3">
        <f t="shared" si="125"/>
        <v>45216</v>
      </c>
      <c r="G2039" t="s">
        <v>46</v>
      </c>
      <c r="H2039" t="s">
        <v>80</v>
      </c>
      <c r="I2039" t="s">
        <v>3480</v>
      </c>
      <c r="J2039" t="s">
        <v>1053</v>
      </c>
      <c r="K2039" t="s">
        <v>100</v>
      </c>
      <c r="L2039" t="s">
        <v>36</v>
      </c>
      <c r="M2039">
        <v>43</v>
      </c>
      <c r="N2039" t="s">
        <v>23</v>
      </c>
      <c r="O2039">
        <v>109</v>
      </c>
      <c r="P2039">
        <v>1</v>
      </c>
      <c r="Q2039">
        <v>12071.1</v>
      </c>
      <c r="R2039" s="4">
        <v>45600</v>
      </c>
      <c r="S2039" s="6">
        <v>0.34012731481481484</v>
      </c>
      <c r="T2039">
        <f t="shared" si="126"/>
        <v>16</v>
      </c>
      <c r="U2039" t="str" cm="1">
        <f t="array" ref="U2039">_xlfn.IFS(M2039&lt;=34,"YOUNG",M2039&lt;=54,"MIDDLE AGE",M2039&gt;=55,"OLD")</f>
        <v>MIDDLE AGE</v>
      </c>
      <c r="V2039" t="str">
        <f t="shared" si="127"/>
        <v>NORMAL</v>
      </c>
    </row>
    <row r="2040" spans="1:22" x14ac:dyDescent="0.35">
      <c r="A2040" t="s">
        <v>3933</v>
      </c>
      <c r="B2040" t="s">
        <v>3354</v>
      </c>
      <c r="C2040">
        <v>38.15</v>
      </c>
      <c r="D2040" s="1">
        <v>45205.692546296297</v>
      </c>
      <c r="E2040" s="2">
        <f t="shared" si="124"/>
        <v>0.69254629629722331</v>
      </c>
      <c r="F2040" s="3">
        <f t="shared" si="125"/>
        <v>45205</v>
      </c>
      <c r="G2040" t="s">
        <v>46</v>
      </c>
      <c r="H2040" t="s">
        <v>53</v>
      </c>
      <c r="I2040" t="s">
        <v>2295</v>
      </c>
      <c r="J2040" t="s">
        <v>787</v>
      </c>
      <c r="K2040" t="s">
        <v>149</v>
      </c>
      <c r="L2040" t="s">
        <v>36</v>
      </c>
      <c r="M2040">
        <v>72</v>
      </c>
      <c r="N2040" t="s">
        <v>70</v>
      </c>
      <c r="O2040">
        <v>129</v>
      </c>
      <c r="P2040">
        <v>1</v>
      </c>
      <c r="Q2040">
        <v>1425.47</v>
      </c>
      <c r="R2040" s="4">
        <v>45600</v>
      </c>
      <c r="S2040" s="6">
        <v>0.34193287037037035</v>
      </c>
      <c r="T2040">
        <f t="shared" si="126"/>
        <v>16</v>
      </c>
      <c r="U2040" t="str" cm="1">
        <f t="array" ref="U2040">_xlfn.IFS(M2040&lt;=34,"YOUNG",M2040&lt;=54,"MIDDLE AGE",M2040&gt;=55,"OLD")</f>
        <v>OLD</v>
      </c>
      <c r="V2040" t="str">
        <f t="shared" si="127"/>
        <v>NORMAL</v>
      </c>
    </row>
    <row r="2041" spans="1:22" x14ac:dyDescent="0.35">
      <c r="A2041" t="s">
        <v>3934</v>
      </c>
      <c r="B2041" t="s">
        <v>1682</v>
      </c>
      <c r="C2041">
        <v>477.54</v>
      </c>
      <c r="D2041" s="1">
        <v>45159.722280092596</v>
      </c>
      <c r="E2041" s="2">
        <f t="shared" si="124"/>
        <v>0.72228009259561077</v>
      </c>
      <c r="F2041" s="3">
        <f t="shared" si="125"/>
        <v>45159</v>
      </c>
      <c r="G2041" t="s">
        <v>46</v>
      </c>
      <c r="H2041" t="s">
        <v>212</v>
      </c>
      <c r="I2041" t="s">
        <v>1510</v>
      </c>
      <c r="J2041" t="s">
        <v>1013</v>
      </c>
      <c r="K2041" t="s">
        <v>370</v>
      </c>
      <c r="L2041" t="s">
        <v>22</v>
      </c>
      <c r="M2041">
        <v>23</v>
      </c>
      <c r="N2041" t="s">
        <v>37</v>
      </c>
      <c r="O2041">
        <v>52</v>
      </c>
      <c r="P2041">
        <v>1</v>
      </c>
      <c r="Q2041">
        <v>1598.63</v>
      </c>
      <c r="R2041" s="4">
        <v>45600</v>
      </c>
      <c r="S2041" s="6">
        <v>0.33805555555555555</v>
      </c>
      <c r="T2041">
        <f t="shared" si="126"/>
        <v>17</v>
      </c>
      <c r="U2041" t="str" cm="1">
        <f t="array" ref="U2041">_xlfn.IFS(M2041&lt;=34,"YOUNG",M2041&lt;=54,"MIDDLE AGE",M2041&gt;=55,"OLD")</f>
        <v>YOUNG</v>
      </c>
      <c r="V2041" t="str">
        <f t="shared" si="127"/>
        <v>NORMAL</v>
      </c>
    </row>
    <row r="2042" spans="1:22" x14ac:dyDescent="0.35">
      <c r="A2042" t="s">
        <v>3935</v>
      </c>
      <c r="B2042" t="s">
        <v>1781</v>
      </c>
      <c r="C2042">
        <v>639.57000000000005</v>
      </c>
      <c r="D2042" s="1">
        <v>45278.684236111112</v>
      </c>
      <c r="E2042" s="2">
        <f t="shared" si="124"/>
        <v>0.68423611111211358</v>
      </c>
      <c r="F2042" s="3">
        <f t="shared" si="125"/>
        <v>45278</v>
      </c>
      <c r="G2042" t="s">
        <v>17</v>
      </c>
      <c r="H2042" t="s">
        <v>243</v>
      </c>
      <c r="I2042" t="s">
        <v>3602</v>
      </c>
      <c r="J2042" t="s">
        <v>2627</v>
      </c>
      <c r="K2042" t="s">
        <v>759</v>
      </c>
      <c r="L2042" t="s">
        <v>69</v>
      </c>
      <c r="M2042">
        <v>60</v>
      </c>
      <c r="N2042" t="s">
        <v>23</v>
      </c>
      <c r="O2042">
        <v>43</v>
      </c>
      <c r="P2042">
        <v>1</v>
      </c>
      <c r="Q2042">
        <v>11726.47</v>
      </c>
      <c r="R2042" s="4">
        <v>45600</v>
      </c>
      <c r="S2042" s="6">
        <v>0.34168981481481481</v>
      </c>
      <c r="T2042">
        <f t="shared" si="126"/>
        <v>16</v>
      </c>
      <c r="U2042" t="str" cm="1">
        <f t="array" ref="U2042">_xlfn.IFS(M2042&lt;=34,"YOUNG",M2042&lt;=54,"MIDDLE AGE",M2042&gt;=55,"OLD")</f>
        <v>OLD</v>
      </c>
      <c r="V2042" t="str">
        <f t="shared" si="127"/>
        <v>NORMAL</v>
      </c>
    </row>
    <row r="2043" spans="1:22" x14ac:dyDescent="0.35">
      <c r="A2043" t="s">
        <v>3936</v>
      </c>
      <c r="B2043" t="s">
        <v>2420</v>
      </c>
      <c r="C2043">
        <v>58.23</v>
      </c>
      <c r="D2043" s="1">
        <v>45133.725960648146</v>
      </c>
      <c r="E2043" s="2">
        <f t="shared" si="124"/>
        <v>0.72596064814570127</v>
      </c>
      <c r="F2043" s="3">
        <f t="shared" si="125"/>
        <v>45133</v>
      </c>
      <c r="G2043" t="s">
        <v>17</v>
      </c>
      <c r="H2043" t="s">
        <v>425</v>
      </c>
      <c r="I2043" t="s">
        <v>1314</v>
      </c>
      <c r="J2043" t="s">
        <v>819</v>
      </c>
      <c r="K2043" t="s">
        <v>1524</v>
      </c>
      <c r="L2043" t="s">
        <v>36</v>
      </c>
      <c r="M2043">
        <v>28</v>
      </c>
      <c r="N2043" t="s">
        <v>37</v>
      </c>
      <c r="O2043">
        <v>34</v>
      </c>
      <c r="P2043">
        <v>1</v>
      </c>
      <c r="Q2043">
        <v>9189.76</v>
      </c>
      <c r="R2043" s="4">
        <v>45600</v>
      </c>
      <c r="S2043" s="6">
        <v>0.3402662037037037</v>
      </c>
      <c r="T2043">
        <f t="shared" si="126"/>
        <v>17</v>
      </c>
      <c r="U2043" t="str" cm="1">
        <f t="array" ref="U2043">_xlfn.IFS(M2043&lt;=34,"YOUNG",M2043&lt;=54,"MIDDLE AGE",M2043&gt;=55,"OLD")</f>
        <v>YOUNG</v>
      </c>
      <c r="V2043" t="str">
        <f t="shared" si="127"/>
        <v>NORMAL</v>
      </c>
    </row>
    <row r="2044" spans="1:22" x14ac:dyDescent="0.35">
      <c r="A2044" t="s">
        <v>3937</v>
      </c>
      <c r="B2044" t="s">
        <v>2986</v>
      </c>
      <c r="C2044">
        <v>776.21</v>
      </c>
      <c r="D2044" s="1">
        <v>44979.718981481485</v>
      </c>
      <c r="E2044" s="2">
        <f t="shared" si="124"/>
        <v>0.71898148148466134</v>
      </c>
      <c r="F2044" s="3">
        <f t="shared" si="125"/>
        <v>44979</v>
      </c>
      <c r="G2044" t="s">
        <v>46</v>
      </c>
      <c r="H2044" t="s">
        <v>40</v>
      </c>
      <c r="I2044" t="s">
        <v>3938</v>
      </c>
      <c r="J2044" t="s">
        <v>88</v>
      </c>
      <c r="K2044" t="s">
        <v>308</v>
      </c>
      <c r="L2044" t="s">
        <v>36</v>
      </c>
      <c r="M2044">
        <v>78</v>
      </c>
      <c r="N2044" t="s">
        <v>70</v>
      </c>
      <c r="O2044">
        <v>99</v>
      </c>
      <c r="P2044">
        <v>1</v>
      </c>
      <c r="Q2044">
        <v>4895.87</v>
      </c>
      <c r="R2044" s="4">
        <v>45600</v>
      </c>
      <c r="S2044" s="6">
        <v>0.33793981481481483</v>
      </c>
      <c r="T2044">
        <f t="shared" si="126"/>
        <v>17</v>
      </c>
      <c r="U2044" t="str" cm="1">
        <f t="array" ref="U2044">_xlfn.IFS(M2044&lt;=34,"YOUNG",M2044&lt;=54,"MIDDLE AGE",M2044&gt;=55,"OLD")</f>
        <v>OLD</v>
      </c>
      <c r="V2044" t="str">
        <f t="shared" si="127"/>
        <v>NORMAL</v>
      </c>
    </row>
    <row r="2045" spans="1:22" x14ac:dyDescent="0.35">
      <c r="A2045" t="s">
        <v>3939</v>
      </c>
      <c r="B2045" t="s">
        <v>1992</v>
      </c>
      <c r="C2045">
        <v>248.76</v>
      </c>
      <c r="D2045" s="1">
        <v>45005.786030092589</v>
      </c>
      <c r="E2045" s="2">
        <f t="shared" si="124"/>
        <v>0.78603009258949896</v>
      </c>
      <c r="F2045" s="3">
        <f t="shared" si="125"/>
        <v>45005</v>
      </c>
      <c r="G2045" t="s">
        <v>17</v>
      </c>
      <c r="H2045" t="s">
        <v>595</v>
      </c>
      <c r="I2045" t="s">
        <v>3940</v>
      </c>
      <c r="J2045" t="s">
        <v>3941</v>
      </c>
      <c r="K2045" t="s">
        <v>272</v>
      </c>
      <c r="L2045" t="s">
        <v>69</v>
      </c>
      <c r="M2045">
        <v>21</v>
      </c>
      <c r="N2045" t="s">
        <v>37</v>
      </c>
      <c r="O2045">
        <v>117</v>
      </c>
      <c r="P2045">
        <v>1</v>
      </c>
      <c r="Q2045">
        <v>6178.77</v>
      </c>
      <c r="R2045" s="4">
        <v>45600</v>
      </c>
      <c r="S2045" s="6">
        <v>0.33966435185185184</v>
      </c>
      <c r="T2045">
        <f t="shared" si="126"/>
        <v>18</v>
      </c>
      <c r="U2045" t="str" cm="1">
        <f t="array" ref="U2045">_xlfn.IFS(M2045&lt;=34,"YOUNG",M2045&lt;=54,"MIDDLE AGE",M2045&gt;=55,"OLD")</f>
        <v>YOUNG</v>
      </c>
      <c r="V2045" t="str">
        <f t="shared" si="127"/>
        <v>NORMAL</v>
      </c>
    </row>
    <row r="2046" spans="1:22" x14ac:dyDescent="0.35">
      <c r="A2046" t="s">
        <v>3942</v>
      </c>
      <c r="B2046" t="s">
        <v>162</v>
      </c>
      <c r="C2046">
        <v>188.61</v>
      </c>
      <c r="D2046" s="1">
        <v>45292.719710648147</v>
      </c>
      <c r="E2046" s="2">
        <f t="shared" si="124"/>
        <v>0.71971064814715646</v>
      </c>
      <c r="F2046" s="3">
        <f t="shared" si="125"/>
        <v>45292</v>
      </c>
      <c r="G2046" t="s">
        <v>17</v>
      </c>
      <c r="H2046" t="s">
        <v>388</v>
      </c>
      <c r="I2046" t="s">
        <v>1479</v>
      </c>
      <c r="J2046" t="s">
        <v>2319</v>
      </c>
      <c r="K2046" t="s">
        <v>160</v>
      </c>
      <c r="L2046" t="s">
        <v>36</v>
      </c>
      <c r="M2046">
        <v>67</v>
      </c>
      <c r="N2046" t="s">
        <v>70</v>
      </c>
      <c r="O2046">
        <v>26</v>
      </c>
      <c r="P2046">
        <v>1</v>
      </c>
      <c r="Q2046">
        <v>7167.57</v>
      </c>
      <c r="R2046" s="4">
        <v>45600</v>
      </c>
      <c r="S2046" s="6">
        <v>0.33776620370370369</v>
      </c>
      <c r="T2046">
        <f t="shared" si="126"/>
        <v>17</v>
      </c>
      <c r="U2046" t="str" cm="1">
        <f t="array" ref="U2046">_xlfn.IFS(M2046&lt;=34,"YOUNG",M2046&lt;=54,"MIDDLE AGE",M2046&gt;=55,"OLD")</f>
        <v>OLD</v>
      </c>
      <c r="V2046" t="str">
        <f t="shared" si="127"/>
        <v>NORMAL</v>
      </c>
    </row>
    <row r="2047" spans="1:22" x14ac:dyDescent="0.35">
      <c r="A2047" t="s">
        <v>3943</v>
      </c>
      <c r="B2047" t="s">
        <v>1088</v>
      </c>
      <c r="C2047">
        <v>675.37</v>
      </c>
      <c r="D2047" s="1">
        <v>45289.69798611111</v>
      </c>
      <c r="E2047" s="2">
        <f t="shared" si="124"/>
        <v>0.69798611111036735</v>
      </c>
      <c r="F2047" s="3">
        <f t="shared" si="125"/>
        <v>45289</v>
      </c>
      <c r="G2047" t="s">
        <v>46</v>
      </c>
      <c r="H2047" t="s">
        <v>392</v>
      </c>
      <c r="I2047" t="s">
        <v>1079</v>
      </c>
      <c r="J2047" t="s">
        <v>2236</v>
      </c>
      <c r="K2047" t="s">
        <v>353</v>
      </c>
      <c r="L2047" t="s">
        <v>36</v>
      </c>
      <c r="M2047">
        <v>56</v>
      </c>
      <c r="N2047" t="s">
        <v>70</v>
      </c>
      <c r="O2047">
        <v>31</v>
      </c>
      <c r="P2047">
        <v>1</v>
      </c>
      <c r="Q2047">
        <v>4704.91</v>
      </c>
      <c r="R2047" s="4">
        <v>45600</v>
      </c>
      <c r="S2047" s="6">
        <v>0.34109953703703705</v>
      </c>
      <c r="T2047">
        <f t="shared" si="126"/>
        <v>16</v>
      </c>
      <c r="U2047" t="str" cm="1">
        <f t="array" ref="U2047">_xlfn.IFS(M2047&lt;=34,"YOUNG",M2047&lt;=54,"MIDDLE AGE",M2047&gt;=55,"OLD")</f>
        <v>OLD</v>
      </c>
      <c r="V2047" t="str">
        <f t="shared" si="127"/>
        <v>NORMAL</v>
      </c>
    </row>
    <row r="2048" spans="1:22" x14ac:dyDescent="0.35">
      <c r="A2048" t="s">
        <v>3944</v>
      </c>
      <c r="B2048" t="s">
        <v>1710</v>
      </c>
      <c r="C2048">
        <v>94.82</v>
      </c>
      <c r="D2048" s="1">
        <v>45006.692013888889</v>
      </c>
      <c r="E2048" s="2">
        <f t="shared" si="124"/>
        <v>0.69201388888905058</v>
      </c>
      <c r="F2048" s="3">
        <f t="shared" si="125"/>
        <v>45006</v>
      </c>
      <c r="G2048" t="s">
        <v>46</v>
      </c>
      <c r="H2048" t="s">
        <v>125</v>
      </c>
      <c r="I2048" t="s">
        <v>1602</v>
      </c>
      <c r="J2048" t="s">
        <v>490</v>
      </c>
      <c r="K2048" t="s">
        <v>1349</v>
      </c>
      <c r="L2048" t="s">
        <v>69</v>
      </c>
      <c r="M2048">
        <v>67</v>
      </c>
      <c r="N2048" t="s">
        <v>70</v>
      </c>
      <c r="O2048">
        <v>56</v>
      </c>
      <c r="P2048">
        <v>1</v>
      </c>
      <c r="Q2048">
        <v>1267.72</v>
      </c>
      <c r="R2048" s="4">
        <v>45600</v>
      </c>
      <c r="S2048" s="6">
        <v>0.34186342592592595</v>
      </c>
      <c r="T2048">
        <f t="shared" si="126"/>
        <v>16</v>
      </c>
      <c r="U2048" t="str" cm="1">
        <f t="array" ref="U2048">_xlfn.IFS(M2048&lt;=34,"YOUNG",M2048&lt;=54,"MIDDLE AGE",M2048&gt;=55,"OLD")</f>
        <v>OLD</v>
      </c>
      <c r="V2048" t="str">
        <f t="shared" si="127"/>
        <v>NORMAL</v>
      </c>
    </row>
    <row r="2049" spans="1:22" x14ac:dyDescent="0.35">
      <c r="A2049" t="s">
        <v>3945</v>
      </c>
      <c r="B2049" t="s">
        <v>1106</v>
      </c>
      <c r="C2049">
        <v>425.18</v>
      </c>
      <c r="D2049" s="1">
        <v>44977.678229166668</v>
      </c>
      <c r="E2049" s="2">
        <f t="shared" si="124"/>
        <v>0.67822916666773381</v>
      </c>
      <c r="F2049" s="3">
        <f t="shared" si="125"/>
        <v>44977</v>
      </c>
      <c r="G2049" t="s">
        <v>46</v>
      </c>
      <c r="H2049" t="s">
        <v>558</v>
      </c>
      <c r="I2049" t="s">
        <v>1129</v>
      </c>
      <c r="J2049" t="s">
        <v>3364</v>
      </c>
      <c r="K2049" t="s">
        <v>100</v>
      </c>
      <c r="L2049" t="s">
        <v>36</v>
      </c>
      <c r="M2049">
        <v>59</v>
      </c>
      <c r="N2049" t="s">
        <v>77</v>
      </c>
      <c r="O2049">
        <v>135</v>
      </c>
      <c r="P2049">
        <v>1</v>
      </c>
      <c r="Q2049">
        <v>5790.55</v>
      </c>
      <c r="R2049" s="4">
        <v>45600</v>
      </c>
      <c r="S2049" s="6">
        <v>0.34127314814814813</v>
      </c>
      <c r="T2049">
        <f t="shared" si="126"/>
        <v>16</v>
      </c>
      <c r="U2049" t="str" cm="1">
        <f t="array" ref="U2049">_xlfn.IFS(M2049&lt;=34,"YOUNG",M2049&lt;=54,"MIDDLE AGE",M2049&gt;=55,"OLD")</f>
        <v>OLD</v>
      </c>
      <c r="V2049" t="str">
        <f t="shared" si="127"/>
        <v>NORMAL</v>
      </c>
    </row>
    <row r="2050" spans="1:22" x14ac:dyDescent="0.35">
      <c r="A2050" t="s">
        <v>3946</v>
      </c>
      <c r="B2050" t="s">
        <v>167</v>
      </c>
      <c r="C2050">
        <v>50.28</v>
      </c>
      <c r="D2050" s="1">
        <v>44959.680879629632</v>
      </c>
      <c r="E2050" s="2">
        <f t="shared" ref="E2050:E2113" si="128">D2050-INT(D2050)</f>
        <v>0.68087962963181781</v>
      </c>
      <c r="F2050" s="3">
        <f t="shared" ref="F2050:F2113" si="129">INT(D2050)</f>
        <v>44959</v>
      </c>
      <c r="G2050" t="s">
        <v>17</v>
      </c>
      <c r="H2050" t="s">
        <v>53</v>
      </c>
      <c r="I2050" t="s">
        <v>574</v>
      </c>
      <c r="J2050" t="s">
        <v>1484</v>
      </c>
      <c r="K2050" t="s">
        <v>100</v>
      </c>
      <c r="L2050" t="s">
        <v>69</v>
      </c>
      <c r="M2050">
        <v>60</v>
      </c>
      <c r="N2050" t="s">
        <v>77</v>
      </c>
      <c r="O2050">
        <v>65</v>
      </c>
      <c r="P2050">
        <v>1</v>
      </c>
      <c r="Q2050">
        <v>5729.1</v>
      </c>
      <c r="R2050" s="4">
        <v>45600</v>
      </c>
      <c r="S2050" s="6">
        <v>0.33803240740740742</v>
      </c>
      <c r="T2050">
        <f t="shared" si="126"/>
        <v>16</v>
      </c>
      <c r="U2050" t="str" cm="1">
        <f t="array" ref="U2050">_xlfn.IFS(M2050&lt;=34,"YOUNG",M2050&lt;=54,"MIDDLE AGE",M2050&gt;=55,"OLD")</f>
        <v>OLD</v>
      </c>
      <c r="V2050" t="str">
        <f t="shared" si="127"/>
        <v>NORMAL</v>
      </c>
    </row>
    <row r="2051" spans="1:22" x14ac:dyDescent="0.35">
      <c r="A2051" t="s">
        <v>3947</v>
      </c>
      <c r="B2051" t="s">
        <v>118</v>
      </c>
      <c r="C2051">
        <v>864.72</v>
      </c>
      <c r="D2051" s="1">
        <v>45163.691423611112</v>
      </c>
      <c r="E2051" s="2">
        <f t="shared" si="128"/>
        <v>0.6914236111115315</v>
      </c>
      <c r="F2051" s="3">
        <f t="shared" si="129"/>
        <v>45163</v>
      </c>
      <c r="G2051" t="s">
        <v>46</v>
      </c>
      <c r="H2051" t="s">
        <v>73</v>
      </c>
      <c r="I2051" t="s">
        <v>485</v>
      </c>
      <c r="J2051" t="s">
        <v>744</v>
      </c>
      <c r="K2051" t="s">
        <v>762</v>
      </c>
      <c r="L2051" t="s">
        <v>69</v>
      </c>
      <c r="M2051">
        <v>34</v>
      </c>
      <c r="N2051" t="s">
        <v>77</v>
      </c>
      <c r="O2051">
        <v>58</v>
      </c>
      <c r="P2051">
        <v>1</v>
      </c>
      <c r="Q2051">
        <v>7379.38</v>
      </c>
      <c r="R2051" s="4">
        <v>45600</v>
      </c>
      <c r="S2051" s="6">
        <v>0.34108796296296295</v>
      </c>
      <c r="T2051">
        <f t="shared" ref="T2051:T2114" si="130">HOUR(E2051)</f>
        <v>16</v>
      </c>
      <c r="U2051" t="str" cm="1">
        <f t="array" ref="U2051">_xlfn.IFS(M2051&lt;=34,"YOUNG",M2051&lt;=54,"MIDDLE AGE",M2051&gt;=55,"OLD")</f>
        <v>YOUNG</v>
      </c>
      <c r="V2051" t="str">
        <f t="shared" ref="V2051:V2114" si="131">IF(P2051&gt;1,"HIGH","NORMAL")</f>
        <v>NORMAL</v>
      </c>
    </row>
    <row r="2052" spans="1:22" x14ac:dyDescent="0.35">
      <c r="A2052" t="s">
        <v>3948</v>
      </c>
      <c r="B2052" t="s">
        <v>1528</v>
      </c>
      <c r="C2052">
        <v>70.680000000000007</v>
      </c>
      <c r="D2052" s="1">
        <v>45252.709120370368</v>
      </c>
      <c r="E2052" s="2">
        <f t="shared" si="128"/>
        <v>0.70912037036760012</v>
      </c>
      <c r="F2052" s="3">
        <f t="shared" si="129"/>
        <v>45252</v>
      </c>
      <c r="G2052" t="s">
        <v>17</v>
      </c>
      <c r="H2052" t="s">
        <v>506</v>
      </c>
      <c r="I2052" t="s">
        <v>2401</v>
      </c>
      <c r="J2052" t="s">
        <v>991</v>
      </c>
      <c r="K2052" t="s">
        <v>1810</v>
      </c>
      <c r="L2052" t="s">
        <v>36</v>
      </c>
      <c r="M2052">
        <v>25</v>
      </c>
      <c r="N2052" t="s">
        <v>37</v>
      </c>
      <c r="O2052">
        <v>105</v>
      </c>
      <c r="P2052">
        <v>1</v>
      </c>
      <c r="Q2052">
        <v>1478.41</v>
      </c>
      <c r="R2052" s="4">
        <v>45600</v>
      </c>
      <c r="S2052" s="6">
        <v>0.34091435185185187</v>
      </c>
      <c r="T2052">
        <f t="shared" si="130"/>
        <v>17</v>
      </c>
      <c r="U2052" t="str" cm="1">
        <f t="array" ref="U2052">_xlfn.IFS(M2052&lt;=34,"YOUNG",M2052&lt;=54,"MIDDLE AGE",M2052&gt;=55,"OLD")</f>
        <v>YOUNG</v>
      </c>
      <c r="V2052" t="str">
        <f t="shared" si="131"/>
        <v>NORMAL</v>
      </c>
    </row>
    <row r="2053" spans="1:22" x14ac:dyDescent="0.35">
      <c r="A2053" t="s">
        <v>3949</v>
      </c>
      <c r="B2053" t="s">
        <v>880</v>
      </c>
      <c r="C2053">
        <v>261.77</v>
      </c>
      <c r="D2053" s="1">
        <v>44938.755104166667</v>
      </c>
      <c r="E2053" s="2">
        <f t="shared" si="128"/>
        <v>0.75510416666656965</v>
      </c>
      <c r="F2053" s="3">
        <f t="shared" si="129"/>
        <v>44938</v>
      </c>
      <c r="G2053" t="s">
        <v>17</v>
      </c>
      <c r="H2053" t="s">
        <v>265</v>
      </c>
      <c r="I2053" t="s">
        <v>3529</v>
      </c>
      <c r="J2053" t="s">
        <v>1064</v>
      </c>
      <c r="K2053" t="s">
        <v>432</v>
      </c>
      <c r="L2053" t="s">
        <v>36</v>
      </c>
      <c r="M2053">
        <v>28</v>
      </c>
      <c r="N2053" t="s">
        <v>37</v>
      </c>
      <c r="O2053">
        <v>46</v>
      </c>
      <c r="P2053">
        <v>1</v>
      </c>
      <c r="Q2053">
        <v>824.71</v>
      </c>
      <c r="R2053" s="4">
        <v>45600</v>
      </c>
      <c r="S2053" s="6">
        <v>0.34152777777777776</v>
      </c>
      <c r="T2053">
        <f t="shared" si="130"/>
        <v>18</v>
      </c>
      <c r="U2053" t="str" cm="1">
        <f t="array" ref="U2053">_xlfn.IFS(M2053&lt;=34,"YOUNG",M2053&lt;=54,"MIDDLE AGE",M2053&gt;=55,"OLD")</f>
        <v>YOUNG</v>
      </c>
      <c r="V2053" t="str">
        <f t="shared" si="131"/>
        <v>NORMAL</v>
      </c>
    </row>
    <row r="2054" spans="1:22" x14ac:dyDescent="0.35">
      <c r="A2054" t="s">
        <v>3950</v>
      </c>
      <c r="B2054" t="s">
        <v>248</v>
      </c>
      <c r="C2054">
        <v>183.22</v>
      </c>
      <c r="D2054" s="1">
        <v>45204.777951388889</v>
      </c>
      <c r="E2054" s="2">
        <f t="shared" si="128"/>
        <v>0.77795138888905058</v>
      </c>
      <c r="F2054" s="3">
        <f t="shared" si="129"/>
        <v>45204</v>
      </c>
      <c r="G2054" t="s">
        <v>17</v>
      </c>
      <c r="H2054" t="s">
        <v>178</v>
      </c>
      <c r="I2054" t="s">
        <v>2770</v>
      </c>
      <c r="J2054" t="s">
        <v>1772</v>
      </c>
      <c r="K2054" t="s">
        <v>514</v>
      </c>
      <c r="L2054" t="s">
        <v>22</v>
      </c>
      <c r="M2054">
        <v>27</v>
      </c>
      <c r="N2054" t="s">
        <v>37</v>
      </c>
      <c r="O2054">
        <v>63</v>
      </c>
      <c r="P2054">
        <v>1</v>
      </c>
      <c r="Q2054">
        <v>1024.42</v>
      </c>
      <c r="R2054" s="4">
        <v>45600</v>
      </c>
      <c r="S2054" s="6">
        <v>0.33850694444444446</v>
      </c>
      <c r="T2054">
        <f t="shared" si="130"/>
        <v>18</v>
      </c>
      <c r="U2054" t="str" cm="1">
        <f t="array" ref="U2054">_xlfn.IFS(M2054&lt;=34,"YOUNG",M2054&lt;=54,"MIDDLE AGE",M2054&gt;=55,"OLD")</f>
        <v>YOUNG</v>
      </c>
      <c r="V2054" t="str">
        <f t="shared" si="131"/>
        <v>NORMAL</v>
      </c>
    </row>
    <row r="2055" spans="1:22" x14ac:dyDescent="0.35">
      <c r="A2055" t="s">
        <v>3951</v>
      </c>
      <c r="B2055" t="s">
        <v>756</v>
      </c>
      <c r="C2055">
        <v>58.32</v>
      </c>
      <c r="D2055" s="1">
        <v>45138.681423611109</v>
      </c>
      <c r="E2055" s="2">
        <f t="shared" si="128"/>
        <v>0.68142361110949423</v>
      </c>
      <c r="F2055" s="3">
        <f t="shared" si="129"/>
        <v>45138</v>
      </c>
      <c r="G2055" t="s">
        <v>46</v>
      </c>
      <c r="H2055" t="s">
        <v>108</v>
      </c>
      <c r="I2055" t="s">
        <v>2453</v>
      </c>
      <c r="J2055" t="s">
        <v>1751</v>
      </c>
      <c r="K2055" t="s">
        <v>1349</v>
      </c>
      <c r="L2055" t="s">
        <v>69</v>
      </c>
      <c r="M2055">
        <v>29</v>
      </c>
      <c r="N2055" t="s">
        <v>77</v>
      </c>
      <c r="O2055">
        <v>275</v>
      </c>
      <c r="P2055">
        <v>4</v>
      </c>
      <c r="Q2055">
        <v>6027.49</v>
      </c>
      <c r="R2055" s="4">
        <v>45600</v>
      </c>
      <c r="S2055" s="6">
        <v>0.33817129629629628</v>
      </c>
      <c r="T2055">
        <f t="shared" si="130"/>
        <v>16</v>
      </c>
      <c r="U2055" t="str" cm="1">
        <f t="array" ref="U2055">_xlfn.IFS(M2055&lt;=34,"YOUNG",M2055&lt;=54,"MIDDLE AGE",M2055&gt;=55,"OLD")</f>
        <v>YOUNG</v>
      </c>
      <c r="V2055" t="str">
        <f t="shared" si="131"/>
        <v>HIGH</v>
      </c>
    </row>
    <row r="2056" spans="1:22" x14ac:dyDescent="0.35">
      <c r="A2056" t="s">
        <v>3952</v>
      </c>
      <c r="B2056" t="s">
        <v>3561</v>
      </c>
      <c r="C2056">
        <v>156.86000000000001</v>
      </c>
      <c r="D2056" s="1">
        <v>44956.692974537036</v>
      </c>
      <c r="E2056" s="2">
        <f t="shared" si="128"/>
        <v>0.69297453703620704</v>
      </c>
      <c r="F2056" s="3">
        <f t="shared" si="129"/>
        <v>44956</v>
      </c>
      <c r="G2056" t="s">
        <v>17</v>
      </c>
      <c r="H2056" t="s">
        <v>249</v>
      </c>
      <c r="I2056" t="s">
        <v>2571</v>
      </c>
      <c r="J2056" t="s">
        <v>1925</v>
      </c>
      <c r="K2056" t="s">
        <v>514</v>
      </c>
      <c r="L2056" t="s">
        <v>22</v>
      </c>
      <c r="M2056">
        <v>51</v>
      </c>
      <c r="N2056" t="s">
        <v>23</v>
      </c>
      <c r="O2056">
        <v>102</v>
      </c>
      <c r="P2056">
        <v>1</v>
      </c>
      <c r="Q2056">
        <v>14453.35</v>
      </c>
      <c r="R2056" s="4">
        <v>45600</v>
      </c>
      <c r="S2056" s="6">
        <v>0.34059027777777778</v>
      </c>
      <c r="T2056">
        <f t="shared" si="130"/>
        <v>16</v>
      </c>
      <c r="U2056" t="str" cm="1">
        <f t="array" ref="U2056">_xlfn.IFS(M2056&lt;=34,"YOUNG",M2056&lt;=54,"MIDDLE AGE",M2056&gt;=55,"OLD")</f>
        <v>MIDDLE AGE</v>
      </c>
      <c r="V2056" t="str">
        <f t="shared" si="131"/>
        <v>NORMAL</v>
      </c>
    </row>
    <row r="2057" spans="1:22" x14ac:dyDescent="0.35">
      <c r="A2057" t="s">
        <v>3953</v>
      </c>
      <c r="B2057" t="s">
        <v>1452</v>
      </c>
      <c r="C2057">
        <v>120.67</v>
      </c>
      <c r="D2057" s="1">
        <v>45285.761562500003</v>
      </c>
      <c r="E2057" s="2">
        <f t="shared" si="128"/>
        <v>0.76156250000349246</v>
      </c>
      <c r="F2057" s="3">
        <f t="shared" si="129"/>
        <v>45285</v>
      </c>
      <c r="G2057" t="s">
        <v>17</v>
      </c>
      <c r="H2057" t="s">
        <v>521</v>
      </c>
      <c r="I2057" t="s">
        <v>1809</v>
      </c>
      <c r="J2057" t="s">
        <v>1344</v>
      </c>
      <c r="K2057" t="s">
        <v>143</v>
      </c>
      <c r="L2057" t="s">
        <v>22</v>
      </c>
      <c r="M2057">
        <v>42</v>
      </c>
      <c r="N2057" t="s">
        <v>23</v>
      </c>
      <c r="O2057">
        <v>233</v>
      </c>
      <c r="P2057">
        <v>1</v>
      </c>
      <c r="Q2057">
        <v>5374.54</v>
      </c>
      <c r="R2057" s="4">
        <v>45600</v>
      </c>
      <c r="S2057" s="6">
        <v>0.34175925925925926</v>
      </c>
      <c r="T2057">
        <f t="shared" si="130"/>
        <v>18</v>
      </c>
      <c r="U2057" t="str" cm="1">
        <f t="array" ref="U2057">_xlfn.IFS(M2057&lt;=34,"YOUNG",M2057&lt;=54,"MIDDLE AGE",M2057&gt;=55,"OLD")</f>
        <v>MIDDLE AGE</v>
      </c>
      <c r="V2057" t="str">
        <f t="shared" si="131"/>
        <v>NORMAL</v>
      </c>
    </row>
    <row r="2058" spans="1:22" x14ac:dyDescent="0.35">
      <c r="A2058" t="s">
        <v>3954</v>
      </c>
      <c r="B2058" t="s">
        <v>1905</v>
      </c>
      <c r="C2058">
        <v>308.62</v>
      </c>
      <c r="D2058" s="1">
        <v>45205.791041666664</v>
      </c>
      <c r="E2058" s="2">
        <f t="shared" si="128"/>
        <v>0.79104166666365927</v>
      </c>
      <c r="F2058" s="3">
        <f t="shared" si="129"/>
        <v>45205</v>
      </c>
      <c r="G2058" t="s">
        <v>46</v>
      </c>
      <c r="H2058" t="s">
        <v>285</v>
      </c>
      <c r="I2058" t="s">
        <v>1070</v>
      </c>
      <c r="J2058" t="s">
        <v>791</v>
      </c>
      <c r="K2058" t="s">
        <v>478</v>
      </c>
      <c r="L2058" t="s">
        <v>69</v>
      </c>
      <c r="M2058">
        <v>59</v>
      </c>
      <c r="N2058" t="s">
        <v>77</v>
      </c>
      <c r="O2058">
        <v>101</v>
      </c>
      <c r="P2058">
        <v>1</v>
      </c>
      <c r="Q2058">
        <v>9148.08</v>
      </c>
      <c r="R2058" s="4">
        <v>45600</v>
      </c>
      <c r="S2058" s="6">
        <v>0.33804398148148146</v>
      </c>
      <c r="T2058">
        <f t="shared" si="130"/>
        <v>18</v>
      </c>
      <c r="U2058" t="str" cm="1">
        <f t="array" ref="U2058">_xlfn.IFS(M2058&lt;=34,"YOUNG",M2058&lt;=54,"MIDDLE AGE",M2058&gt;=55,"OLD")</f>
        <v>OLD</v>
      </c>
      <c r="V2058" t="str">
        <f t="shared" si="131"/>
        <v>NORMAL</v>
      </c>
    </row>
    <row r="2059" spans="1:22" x14ac:dyDescent="0.35">
      <c r="A2059" t="s">
        <v>3955</v>
      </c>
      <c r="B2059" t="s">
        <v>3956</v>
      </c>
      <c r="C2059">
        <v>506.81</v>
      </c>
      <c r="D2059" s="1">
        <v>45280.678749999999</v>
      </c>
      <c r="E2059" s="2">
        <f t="shared" si="128"/>
        <v>0.67874999999912689</v>
      </c>
      <c r="F2059" s="3">
        <f t="shared" si="129"/>
        <v>45280</v>
      </c>
      <c r="G2059" t="s">
        <v>17</v>
      </c>
      <c r="H2059" t="s">
        <v>178</v>
      </c>
      <c r="I2059" t="s">
        <v>1724</v>
      </c>
      <c r="J2059" t="s">
        <v>2585</v>
      </c>
      <c r="K2059" t="s">
        <v>50</v>
      </c>
      <c r="L2059" t="s">
        <v>22</v>
      </c>
      <c r="M2059">
        <v>59</v>
      </c>
      <c r="N2059" t="s">
        <v>77</v>
      </c>
      <c r="O2059">
        <v>41</v>
      </c>
      <c r="P2059">
        <v>1</v>
      </c>
      <c r="Q2059">
        <v>2757.23</v>
      </c>
      <c r="R2059" s="4">
        <v>45600</v>
      </c>
      <c r="S2059" s="6">
        <v>0.33888888888888891</v>
      </c>
      <c r="T2059">
        <f t="shared" si="130"/>
        <v>16</v>
      </c>
      <c r="U2059" t="str" cm="1">
        <f t="array" ref="U2059">_xlfn.IFS(M2059&lt;=34,"YOUNG",M2059&lt;=54,"MIDDLE AGE",M2059&gt;=55,"OLD")</f>
        <v>OLD</v>
      </c>
      <c r="V2059" t="str">
        <f t="shared" si="131"/>
        <v>NORMAL</v>
      </c>
    </row>
    <row r="2060" spans="1:22" x14ac:dyDescent="0.35">
      <c r="A2060" t="s">
        <v>3957</v>
      </c>
      <c r="B2060" t="s">
        <v>927</v>
      </c>
      <c r="C2060">
        <v>328.39</v>
      </c>
      <c r="D2060" s="1">
        <v>45239.699317129627</v>
      </c>
      <c r="E2060" s="2">
        <f t="shared" si="128"/>
        <v>0.69931712962716119</v>
      </c>
      <c r="F2060" s="3">
        <f t="shared" si="129"/>
        <v>45239</v>
      </c>
      <c r="G2060" t="s">
        <v>17</v>
      </c>
      <c r="H2060" t="s">
        <v>203</v>
      </c>
      <c r="I2060" t="s">
        <v>3958</v>
      </c>
      <c r="J2060" t="s">
        <v>751</v>
      </c>
      <c r="K2060" t="s">
        <v>759</v>
      </c>
      <c r="L2060" t="s">
        <v>22</v>
      </c>
      <c r="M2060">
        <v>41</v>
      </c>
      <c r="N2060" t="s">
        <v>77</v>
      </c>
      <c r="O2060">
        <v>108</v>
      </c>
      <c r="P2060">
        <v>1</v>
      </c>
      <c r="Q2060">
        <v>2523.83</v>
      </c>
      <c r="R2060" s="4">
        <v>45600</v>
      </c>
      <c r="S2060" s="6">
        <v>0.34163194444444445</v>
      </c>
      <c r="T2060">
        <f t="shared" si="130"/>
        <v>16</v>
      </c>
      <c r="U2060" t="str" cm="1">
        <f t="array" ref="U2060">_xlfn.IFS(M2060&lt;=34,"YOUNG",M2060&lt;=54,"MIDDLE AGE",M2060&gt;=55,"OLD")</f>
        <v>MIDDLE AGE</v>
      </c>
      <c r="V2060" t="str">
        <f t="shared" si="131"/>
        <v>NORMAL</v>
      </c>
    </row>
    <row r="2061" spans="1:22" x14ac:dyDescent="0.35">
      <c r="A2061" t="s">
        <v>3959</v>
      </c>
      <c r="B2061" t="s">
        <v>215</v>
      </c>
      <c r="C2061">
        <v>796.3</v>
      </c>
      <c r="D2061" s="1">
        <v>45007.668761574074</v>
      </c>
      <c r="E2061" s="2">
        <f t="shared" si="128"/>
        <v>0.66876157407386927</v>
      </c>
      <c r="F2061" s="3">
        <f t="shared" si="129"/>
        <v>45007</v>
      </c>
      <c r="G2061" t="s">
        <v>17</v>
      </c>
      <c r="H2061" t="s">
        <v>119</v>
      </c>
      <c r="I2061" t="s">
        <v>1861</v>
      </c>
      <c r="J2061" t="s">
        <v>2838</v>
      </c>
      <c r="K2061" t="s">
        <v>619</v>
      </c>
      <c r="L2061" t="s">
        <v>69</v>
      </c>
      <c r="M2061">
        <v>67</v>
      </c>
      <c r="N2061" t="s">
        <v>70</v>
      </c>
      <c r="O2061">
        <v>64</v>
      </c>
      <c r="P2061">
        <v>1</v>
      </c>
      <c r="Q2061">
        <v>1498.79</v>
      </c>
      <c r="R2061" s="4">
        <v>45600</v>
      </c>
      <c r="S2061" s="6">
        <v>0.33925925925925926</v>
      </c>
      <c r="T2061">
        <f t="shared" si="130"/>
        <v>16</v>
      </c>
      <c r="U2061" t="str" cm="1">
        <f t="array" ref="U2061">_xlfn.IFS(M2061&lt;=34,"YOUNG",M2061&lt;=54,"MIDDLE AGE",M2061&gt;=55,"OLD")</f>
        <v>OLD</v>
      </c>
      <c r="V2061" t="str">
        <f t="shared" si="131"/>
        <v>NORMAL</v>
      </c>
    </row>
    <row r="2062" spans="1:22" x14ac:dyDescent="0.35">
      <c r="A2062" t="s">
        <v>3960</v>
      </c>
      <c r="B2062" t="s">
        <v>1304</v>
      </c>
      <c r="C2062">
        <v>72.47</v>
      </c>
      <c r="D2062" s="1">
        <v>45216.751886574071</v>
      </c>
      <c r="E2062" s="2">
        <f t="shared" si="128"/>
        <v>0.75188657407124992</v>
      </c>
      <c r="F2062" s="3">
        <f t="shared" si="129"/>
        <v>45216</v>
      </c>
      <c r="G2062" t="s">
        <v>17</v>
      </c>
      <c r="H2062" t="s">
        <v>388</v>
      </c>
      <c r="I2062" t="s">
        <v>1928</v>
      </c>
      <c r="J2062" t="s">
        <v>3486</v>
      </c>
      <c r="K2062" t="s">
        <v>160</v>
      </c>
      <c r="L2062" t="s">
        <v>36</v>
      </c>
      <c r="M2062">
        <v>29</v>
      </c>
      <c r="N2062" t="s">
        <v>23</v>
      </c>
      <c r="O2062">
        <v>72</v>
      </c>
      <c r="P2062">
        <v>1</v>
      </c>
      <c r="Q2062">
        <v>1305.56</v>
      </c>
      <c r="R2062" s="4">
        <v>45600</v>
      </c>
      <c r="S2062" s="6">
        <v>0.34108796296296295</v>
      </c>
      <c r="T2062">
        <f t="shared" si="130"/>
        <v>18</v>
      </c>
      <c r="U2062" t="str" cm="1">
        <f t="array" ref="U2062">_xlfn.IFS(M2062&lt;=34,"YOUNG",M2062&lt;=54,"MIDDLE AGE",M2062&gt;=55,"OLD")</f>
        <v>YOUNG</v>
      </c>
      <c r="V2062" t="str">
        <f t="shared" si="131"/>
        <v>NORMAL</v>
      </c>
    </row>
    <row r="2063" spans="1:22" x14ac:dyDescent="0.35">
      <c r="A2063" t="s">
        <v>3961</v>
      </c>
      <c r="B2063" t="s">
        <v>345</v>
      </c>
      <c r="C2063">
        <v>279.60000000000002</v>
      </c>
      <c r="D2063" s="1">
        <v>45077.686180555553</v>
      </c>
      <c r="E2063" s="2">
        <f t="shared" si="128"/>
        <v>0.68618055555270985</v>
      </c>
      <c r="F2063" s="3">
        <f t="shared" si="129"/>
        <v>45077</v>
      </c>
      <c r="G2063" t="s">
        <v>17</v>
      </c>
      <c r="H2063" t="s">
        <v>157</v>
      </c>
      <c r="I2063" t="s">
        <v>1704</v>
      </c>
      <c r="J2063" t="s">
        <v>2065</v>
      </c>
      <c r="K2063" t="s">
        <v>348</v>
      </c>
      <c r="L2063" t="s">
        <v>22</v>
      </c>
      <c r="M2063">
        <v>25</v>
      </c>
      <c r="N2063" t="s">
        <v>37</v>
      </c>
      <c r="O2063">
        <v>131</v>
      </c>
      <c r="P2063">
        <v>1</v>
      </c>
      <c r="Q2063">
        <v>1910.9</v>
      </c>
      <c r="R2063" s="4">
        <v>45600</v>
      </c>
      <c r="S2063" s="6">
        <v>0.33811342592592591</v>
      </c>
      <c r="T2063">
        <f t="shared" si="130"/>
        <v>16</v>
      </c>
      <c r="U2063" t="str" cm="1">
        <f t="array" ref="U2063">_xlfn.IFS(M2063&lt;=34,"YOUNG",M2063&lt;=54,"MIDDLE AGE",M2063&gt;=55,"OLD")</f>
        <v>YOUNG</v>
      </c>
      <c r="V2063" t="str">
        <f t="shared" si="131"/>
        <v>NORMAL</v>
      </c>
    </row>
    <row r="2064" spans="1:22" x14ac:dyDescent="0.35">
      <c r="A2064" t="s">
        <v>3962</v>
      </c>
      <c r="B2064" t="s">
        <v>3548</v>
      </c>
      <c r="C2064">
        <v>304.2</v>
      </c>
      <c r="D2064" s="1">
        <v>45085.670983796299</v>
      </c>
      <c r="E2064" s="2">
        <f t="shared" si="128"/>
        <v>0.67098379629896954</v>
      </c>
      <c r="F2064" s="3">
        <f t="shared" si="129"/>
        <v>45085</v>
      </c>
      <c r="G2064" t="s">
        <v>17</v>
      </c>
      <c r="H2064" t="s">
        <v>65</v>
      </c>
      <c r="I2064" t="s">
        <v>955</v>
      </c>
      <c r="J2064" t="s">
        <v>1990</v>
      </c>
      <c r="K2064" t="s">
        <v>160</v>
      </c>
      <c r="L2064" t="s">
        <v>36</v>
      </c>
      <c r="M2064">
        <v>25</v>
      </c>
      <c r="N2064" t="s">
        <v>37</v>
      </c>
      <c r="O2064">
        <v>102</v>
      </c>
      <c r="P2064">
        <v>1</v>
      </c>
      <c r="Q2064">
        <v>423.64</v>
      </c>
      <c r="R2064" s="4">
        <v>45600</v>
      </c>
      <c r="S2064" s="6">
        <v>0.34049768518518519</v>
      </c>
      <c r="T2064">
        <f t="shared" si="130"/>
        <v>16</v>
      </c>
      <c r="U2064" t="str" cm="1">
        <f t="array" ref="U2064">_xlfn.IFS(M2064&lt;=34,"YOUNG",M2064&lt;=54,"MIDDLE AGE",M2064&gt;=55,"OLD")</f>
        <v>YOUNG</v>
      </c>
      <c r="V2064" t="str">
        <f t="shared" si="131"/>
        <v>NORMAL</v>
      </c>
    </row>
    <row r="2065" spans="1:22" x14ac:dyDescent="0.35">
      <c r="A2065" t="s">
        <v>3963</v>
      </c>
      <c r="B2065" t="s">
        <v>391</v>
      </c>
      <c r="C2065">
        <v>351.38</v>
      </c>
      <c r="D2065" s="1">
        <v>45103.779108796298</v>
      </c>
      <c r="E2065" s="2">
        <f t="shared" si="128"/>
        <v>0.77910879629780538</v>
      </c>
      <c r="F2065" s="3">
        <f t="shared" si="129"/>
        <v>45103</v>
      </c>
      <c r="G2065" t="s">
        <v>17</v>
      </c>
      <c r="H2065" t="s">
        <v>203</v>
      </c>
      <c r="I2065" t="s">
        <v>3298</v>
      </c>
      <c r="J2065" t="s">
        <v>1291</v>
      </c>
      <c r="K2065" t="s">
        <v>607</v>
      </c>
      <c r="L2065" t="s">
        <v>69</v>
      </c>
      <c r="M2065">
        <v>64</v>
      </c>
      <c r="N2065" t="s">
        <v>70</v>
      </c>
      <c r="O2065">
        <v>21</v>
      </c>
      <c r="P2065">
        <v>1</v>
      </c>
      <c r="Q2065">
        <v>7606.63</v>
      </c>
      <c r="R2065" s="4">
        <v>45600</v>
      </c>
      <c r="S2065" s="6">
        <v>0.33787037037037038</v>
      </c>
      <c r="T2065">
        <f t="shared" si="130"/>
        <v>18</v>
      </c>
      <c r="U2065" t="str" cm="1">
        <f t="array" ref="U2065">_xlfn.IFS(M2065&lt;=34,"YOUNG",M2065&lt;=54,"MIDDLE AGE",M2065&gt;=55,"OLD")</f>
        <v>OLD</v>
      </c>
      <c r="V2065" t="str">
        <f t="shared" si="131"/>
        <v>NORMAL</v>
      </c>
    </row>
    <row r="2066" spans="1:22" x14ac:dyDescent="0.35">
      <c r="A2066" t="s">
        <v>3964</v>
      </c>
      <c r="B2066" t="s">
        <v>333</v>
      </c>
      <c r="C2066">
        <v>86.07</v>
      </c>
      <c r="D2066" s="1">
        <v>45250.778298611112</v>
      </c>
      <c r="E2066" s="2">
        <f t="shared" si="128"/>
        <v>0.77829861111240461</v>
      </c>
      <c r="F2066" s="3">
        <f t="shared" si="129"/>
        <v>45250</v>
      </c>
      <c r="G2066" t="s">
        <v>17</v>
      </c>
      <c r="H2066" t="s">
        <v>323</v>
      </c>
      <c r="I2066" t="s">
        <v>3965</v>
      </c>
      <c r="J2066" t="s">
        <v>3966</v>
      </c>
      <c r="K2066" t="s">
        <v>303</v>
      </c>
      <c r="L2066" t="s">
        <v>69</v>
      </c>
      <c r="M2066">
        <v>31</v>
      </c>
      <c r="N2066" t="s">
        <v>23</v>
      </c>
      <c r="O2066">
        <v>23</v>
      </c>
      <c r="P2066">
        <v>1</v>
      </c>
      <c r="Q2066">
        <v>842.56</v>
      </c>
      <c r="R2066" s="4">
        <v>45600</v>
      </c>
      <c r="S2066" s="6">
        <v>0.34188657407407408</v>
      </c>
      <c r="T2066">
        <f t="shared" si="130"/>
        <v>18</v>
      </c>
      <c r="U2066" t="str" cm="1">
        <f t="array" ref="U2066">_xlfn.IFS(M2066&lt;=34,"YOUNG",M2066&lt;=54,"MIDDLE AGE",M2066&gt;=55,"OLD")</f>
        <v>YOUNG</v>
      </c>
      <c r="V2066" t="str">
        <f t="shared" si="131"/>
        <v>NORMAL</v>
      </c>
    </row>
    <row r="2067" spans="1:22" x14ac:dyDescent="0.35">
      <c r="A2067" t="s">
        <v>3967</v>
      </c>
      <c r="B2067" t="s">
        <v>2877</v>
      </c>
      <c r="C2067">
        <v>604.5</v>
      </c>
      <c r="D2067" s="1">
        <v>45146.777361111112</v>
      </c>
      <c r="E2067" s="2">
        <f t="shared" si="128"/>
        <v>0.7773611111115315</v>
      </c>
      <c r="F2067" s="3">
        <f t="shared" si="129"/>
        <v>45146</v>
      </c>
      <c r="G2067" t="s">
        <v>17</v>
      </c>
      <c r="H2067" t="s">
        <v>595</v>
      </c>
      <c r="I2067" t="s">
        <v>1584</v>
      </c>
      <c r="J2067" t="s">
        <v>857</v>
      </c>
      <c r="K2067" t="s">
        <v>89</v>
      </c>
      <c r="L2067" t="s">
        <v>22</v>
      </c>
      <c r="M2067">
        <v>28</v>
      </c>
      <c r="N2067" t="s">
        <v>37</v>
      </c>
      <c r="O2067">
        <v>80</v>
      </c>
      <c r="P2067">
        <v>1</v>
      </c>
      <c r="Q2067">
        <v>709.42</v>
      </c>
      <c r="R2067" s="4">
        <v>45600</v>
      </c>
      <c r="S2067" s="6">
        <v>0.33787037037037038</v>
      </c>
      <c r="T2067">
        <f t="shared" si="130"/>
        <v>18</v>
      </c>
      <c r="U2067" t="str" cm="1">
        <f t="array" ref="U2067">_xlfn.IFS(M2067&lt;=34,"YOUNG",M2067&lt;=54,"MIDDLE AGE",M2067&gt;=55,"OLD")</f>
        <v>YOUNG</v>
      </c>
      <c r="V2067" t="str">
        <f t="shared" si="131"/>
        <v>NORMAL</v>
      </c>
    </row>
    <row r="2068" spans="1:22" x14ac:dyDescent="0.35">
      <c r="A2068" t="s">
        <v>3968</v>
      </c>
      <c r="B2068" t="s">
        <v>467</v>
      </c>
      <c r="C2068">
        <v>258.7</v>
      </c>
      <c r="D2068" s="1">
        <v>44979.716840277775</v>
      </c>
      <c r="E2068" s="2">
        <f t="shared" si="128"/>
        <v>0.71684027777519077</v>
      </c>
      <c r="F2068" s="3">
        <f t="shared" si="129"/>
        <v>44979</v>
      </c>
      <c r="G2068" t="s">
        <v>17</v>
      </c>
      <c r="H2068" t="s">
        <v>249</v>
      </c>
      <c r="I2068" t="s">
        <v>341</v>
      </c>
      <c r="J2068" t="s">
        <v>744</v>
      </c>
      <c r="K2068" t="s">
        <v>76</v>
      </c>
      <c r="L2068" t="s">
        <v>22</v>
      </c>
      <c r="M2068">
        <v>27</v>
      </c>
      <c r="N2068" t="s">
        <v>37</v>
      </c>
      <c r="O2068">
        <v>123</v>
      </c>
      <c r="P2068">
        <v>1</v>
      </c>
      <c r="Q2068">
        <v>1358.37</v>
      </c>
      <c r="R2068" s="4">
        <v>45600</v>
      </c>
      <c r="S2068" s="6">
        <v>0.33791666666666664</v>
      </c>
      <c r="T2068">
        <f t="shared" si="130"/>
        <v>17</v>
      </c>
      <c r="U2068" t="str" cm="1">
        <f t="array" ref="U2068">_xlfn.IFS(M2068&lt;=34,"YOUNG",M2068&lt;=54,"MIDDLE AGE",M2068&gt;=55,"OLD")</f>
        <v>YOUNG</v>
      </c>
      <c r="V2068" t="str">
        <f t="shared" si="131"/>
        <v>NORMAL</v>
      </c>
    </row>
    <row r="2069" spans="1:22" x14ac:dyDescent="0.35">
      <c r="A2069" t="s">
        <v>3969</v>
      </c>
      <c r="B2069" t="s">
        <v>2467</v>
      </c>
      <c r="C2069">
        <v>994.63</v>
      </c>
      <c r="D2069" s="1">
        <v>45098.666747685187</v>
      </c>
      <c r="E2069" s="2">
        <f t="shared" si="128"/>
        <v>0.666747685187147</v>
      </c>
      <c r="F2069" s="3">
        <f t="shared" si="129"/>
        <v>45098</v>
      </c>
      <c r="G2069" t="s">
        <v>17</v>
      </c>
      <c r="H2069" t="s">
        <v>119</v>
      </c>
      <c r="I2069" t="s">
        <v>2682</v>
      </c>
      <c r="J2069" t="s">
        <v>828</v>
      </c>
      <c r="K2069" t="s">
        <v>95</v>
      </c>
      <c r="L2069" t="s">
        <v>36</v>
      </c>
      <c r="M2069">
        <v>61</v>
      </c>
      <c r="N2069" t="s">
        <v>23</v>
      </c>
      <c r="O2069">
        <v>158</v>
      </c>
      <c r="P2069">
        <v>1</v>
      </c>
      <c r="Q2069">
        <v>13538.14</v>
      </c>
      <c r="R2069" s="4">
        <v>45600</v>
      </c>
      <c r="S2069" s="6">
        <v>0.33987268518518521</v>
      </c>
      <c r="T2069">
        <f t="shared" si="130"/>
        <v>16</v>
      </c>
      <c r="U2069" t="str" cm="1">
        <f t="array" ref="U2069">_xlfn.IFS(M2069&lt;=34,"YOUNG",M2069&lt;=54,"MIDDLE AGE",M2069&gt;=55,"OLD")</f>
        <v>OLD</v>
      </c>
      <c r="V2069" t="str">
        <f t="shared" si="131"/>
        <v>NORMAL</v>
      </c>
    </row>
    <row r="2070" spans="1:22" x14ac:dyDescent="0.35">
      <c r="A2070" t="s">
        <v>3970</v>
      </c>
      <c r="B2070" t="s">
        <v>781</v>
      </c>
      <c r="C2070">
        <v>11.46</v>
      </c>
      <c r="D2070" s="1">
        <v>44957.718425925923</v>
      </c>
      <c r="E2070" s="2">
        <f t="shared" si="128"/>
        <v>0.71842592592292931</v>
      </c>
      <c r="F2070" s="3">
        <f t="shared" si="129"/>
        <v>44957</v>
      </c>
      <c r="G2070" t="s">
        <v>46</v>
      </c>
      <c r="H2070" t="s">
        <v>119</v>
      </c>
      <c r="I2070" t="s">
        <v>184</v>
      </c>
      <c r="J2070" t="s">
        <v>298</v>
      </c>
      <c r="K2070" t="s">
        <v>1562</v>
      </c>
      <c r="L2070" t="s">
        <v>69</v>
      </c>
      <c r="M2070">
        <v>75</v>
      </c>
      <c r="N2070" t="s">
        <v>70</v>
      </c>
      <c r="O2070">
        <v>64</v>
      </c>
      <c r="P2070">
        <v>1</v>
      </c>
      <c r="Q2070">
        <v>7258.33</v>
      </c>
      <c r="R2070" s="4">
        <v>45600</v>
      </c>
      <c r="S2070" s="6">
        <v>0.33900462962962963</v>
      </c>
      <c r="T2070">
        <f t="shared" si="130"/>
        <v>17</v>
      </c>
      <c r="U2070" t="str" cm="1">
        <f t="array" ref="U2070">_xlfn.IFS(M2070&lt;=34,"YOUNG",M2070&lt;=54,"MIDDLE AGE",M2070&gt;=55,"OLD")</f>
        <v>OLD</v>
      </c>
      <c r="V2070" t="str">
        <f t="shared" si="131"/>
        <v>NORMAL</v>
      </c>
    </row>
    <row r="2071" spans="1:22" x14ac:dyDescent="0.35">
      <c r="A2071" t="s">
        <v>3971</v>
      </c>
      <c r="B2071" t="s">
        <v>1536</v>
      </c>
      <c r="C2071">
        <v>63.76</v>
      </c>
      <c r="D2071" s="1">
        <v>45104.739166666666</v>
      </c>
      <c r="E2071" s="2">
        <f t="shared" si="128"/>
        <v>0.73916666666627862</v>
      </c>
      <c r="F2071" s="3">
        <f t="shared" si="129"/>
        <v>45104</v>
      </c>
      <c r="G2071" t="s">
        <v>17</v>
      </c>
      <c r="H2071" t="s">
        <v>237</v>
      </c>
      <c r="I2071" t="s">
        <v>2548</v>
      </c>
      <c r="J2071" t="s">
        <v>500</v>
      </c>
      <c r="K2071" t="s">
        <v>43</v>
      </c>
      <c r="L2071" t="s">
        <v>22</v>
      </c>
      <c r="M2071">
        <v>69</v>
      </c>
      <c r="N2071" t="s">
        <v>70</v>
      </c>
      <c r="O2071">
        <v>100</v>
      </c>
      <c r="P2071">
        <v>1</v>
      </c>
      <c r="Q2071">
        <v>4980.26</v>
      </c>
      <c r="R2071" s="4">
        <v>45600</v>
      </c>
      <c r="S2071" s="6">
        <v>0.34053240740740742</v>
      </c>
      <c r="T2071">
        <f t="shared" si="130"/>
        <v>17</v>
      </c>
      <c r="U2071" t="str" cm="1">
        <f t="array" ref="U2071">_xlfn.IFS(M2071&lt;=34,"YOUNG",M2071&lt;=54,"MIDDLE AGE",M2071&gt;=55,"OLD")</f>
        <v>OLD</v>
      </c>
      <c r="V2071" t="str">
        <f t="shared" si="131"/>
        <v>NORMAL</v>
      </c>
    </row>
    <row r="2072" spans="1:22" x14ac:dyDescent="0.35">
      <c r="A2072" t="s">
        <v>3972</v>
      </c>
      <c r="B2072" t="s">
        <v>1799</v>
      </c>
      <c r="C2072">
        <v>446.83</v>
      </c>
      <c r="D2072" s="1">
        <v>45103.785775462966</v>
      </c>
      <c r="E2072" s="2">
        <f t="shared" si="128"/>
        <v>0.78577546296583023</v>
      </c>
      <c r="F2072" s="3">
        <f t="shared" si="129"/>
        <v>45103</v>
      </c>
      <c r="G2072" t="s">
        <v>46</v>
      </c>
      <c r="H2072" t="s">
        <v>172</v>
      </c>
      <c r="I2072" t="s">
        <v>1881</v>
      </c>
      <c r="J2072" t="s">
        <v>2434</v>
      </c>
      <c r="K2072" t="s">
        <v>267</v>
      </c>
      <c r="L2072" t="s">
        <v>69</v>
      </c>
      <c r="M2072">
        <v>55</v>
      </c>
      <c r="N2072" t="s">
        <v>70</v>
      </c>
      <c r="O2072">
        <v>143</v>
      </c>
      <c r="P2072">
        <v>1</v>
      </c>
      <c r="Q2072">
        <v>1623.5</v>
      </c>
      <c r="R2072" s="4">
        <v>45600</v>
      </c>
      <c r="S2072" s="6">
        <v>0.3399652777777778</v>
      </c>
      <c r="T2072">
        <f t="shared" si="130"/>
        <v>18</v>
      </c>
      <c r="U2072" t="str" cm="1">
        <f t="array" ref="U2072">_xlfn.IFS(M2072&lt;=34,"YOUNG",M2072&lt;=54,"MIDDLE AGE",M2072&gt;=55,"OLD")</f>
        <v>OLD</v>
      </c>
      <c r="V2072" t="str">
        <f t="shared" si="131"/>
        <v>NORMAL</v>
      </c>
    </row>
    <row r="2073" spans="1:22" x14ac:dyDescent="0.35">
      <c r="A2073" t="s">
        <v>3973</v>
      </c>
      <c r="B2073" t="s">
        <v>1125</v>
      </c>
      <c r="C2073">
        <v>63.54</v>
      </c>
      <c r="D2073" s="1">
        <v>45068.766180555554</v>
      </c>
      <c r="E2073" s="2">
        <f t="shared" si="128"/>
        <v>0.76618055555445608</v>
      </c>
      <c r="F2073" s="3">
        <f t="shared" si="129"/>
        <v>45068</v>
      </c>
      <c r="G2073" t="s">
        <v>17</v>
      </c>
      <c r="H2073" t="s">
        <v>323</v>
      </c>
      <c r="I2073" t="s">
        <v>1645</v>
      </c>
      <c r="J2073" t="s">
        <v>555</v>
      </c>
      <c r="K2073" t="s">
        <v>414</v>
      </c>
      <c r="L2073" t="s">
        <v>22</v>
      </c>
      <c r="M2073">
        <v>26</v>
      </c>
      <c r="N2073" t="s">
        <v>77</v>
      </c>
      <c r="O2073">
        <v>136</v>
      </c>
      <c r="P2073">
        <v>1</v>
      </c>
      <c r="Q2073">
        <v>4401.78</v>
      </c>
      <c r="R2073" s="4">
        <v>45600</v>
      </c>
      <c r="S2073" s="6">
        <v>0.33855324074074072</v>
      </c>
      <c r="T2073">
        <f t="shared" si="130"/>
        <v>18</v>
      </c>
      <c r="U2073" t="str" cm="1">
        <f t="array" ref="U2073">_xlfn.IFS(M2073&lt;=34,"YOUNG",M2073&lt;=54,"MIDDLE AGE",M2073&gt;=55,"OLD")</f>
        <v>YOUNG</v>
      </c>
      <c r="V2073" t="str">
        <f t="shared" si="131"/>
        <v>NORMAL</v>
      </c>
    </row>
    <row r="2074" spans="1:22" x14ac:dyDescent="0.35">
      <c r="A2074" t="s">
        <v>3974</v>
      </c>
      <c r="B2074" t="s">
        <v>720</v>
      </c>
      <c r="C2074">
        <v>81.11</v>
      </c>
      <c r="D2074" s="1">
        <v>45215.755162037036</v>
      </c>
      <c r="E2074" s="2">
        <f t="shared" si="128"/>
        <v>0.755162037035916</v>
      </c>
      <c r="F2074" s="3">
        <f t="shared" si="129"/>
        <v>45215</v>
      </c>
      <c r="G2074" t="s">
        <v>17</v>
      </c>
      <c r="H2074" t="s">
        <v>249</v>
      </c>
      <c r="I2074" t="s">
        <v>1340</v>
      </c>
      <c r="J2074" t="s">
        <v>2849</v>
      </c>
      <c r="K2074" t="s">
        <v>252</v>
      </c>
      <c r="L2074" t="s">
        <v>36</v>
      </c>
      <c r="M2074">
        <v>48</v>
      </c>
      <c r="N2074" t="s">
        <v>77</v>
      </c>
      <c r="O2074">
        <v>110</v>
      </c>
      <c r="P2074">
        <v>1</v>
      </c>
      <c r="Q2074">
        <v>2051.37</v>
      </c>
      <c r="R2074" s="4">
        <v>45600</v>
      </c>
      <c r="S2074" s="6">
        <v>0.33872685185185186</v>
      </c>
      <c r="T2074">
        <f t="shared" si="130"/>
        <v>18</v>
      </c>
      <c r="U2074" t="str" cm="1">
        <f t="array" ref="U2074">_xlfn.IFS(M2074&lt;=34,"YOUNG",M2074&lt;=54,"MIDDLE AGE",M2074&gt;=55,"OLD")</f>
        <v>MIDDLE AGE</v>
      </c>
      <c r="V2074" t="str">
        <f t="shared" si="131"/>
        <v>NORMAL</v>
      </c>
    </row>
    <row r="2075" spans="1:22" x14ac:dyDescent="0.35">
      <c r="A2075" t="s">
        <v>3975</v>
      </c>
      <c r="B2075" t="s">
        <v>2690</v>
      </c>
      <c r="C2075">
        <v>441.26</v>
      </c>
      <c r="D2075" s="1">
        <v>44984.672060185185</v>
      </c>
      <c r="E2075" s="2">
        <f t="shared" si="128"/>
        <v>0.67206018518481869</v>
      </c>
      <c r="F2075" s="3">
        <f t="shared" si="129"/>
        <v>44984</v>
      </c>
      <c r="G2075" t="s">
        <v>46</v>
      </c>
      <c r="H2075" t="s">
        <v>255</v>
      </c>
      <c r="I2075" t="s">
        <v>3801</v>
      </c>
      <c r="J2075" t="s">
        <v>2280</v>
      </c>
      <c r="K2075" t="s">
        <v>226</v>
      </c>
      <c r="L2075" t="s">
        <v>69</v>
      </c>
      <c r="M2075">
        <v>58</v>
      </c>
      <c r="N2075" t="s">
        <v>23</v>
      </c>
      <c r="O2075">
        <v>87</v>
      </c>
      <c r="P2075">
        <v>5</v>
      </c>
      <c r="Q2075">
        <v>13704.92</v>
      </c>
      <c r="R2075" s="4">
        <v>45600</v>
      </c>
      <c r="S2075" s="6">
        <v>0.34144675925925927</v>
      </c>
      <c r="T2075">
        <f t="shared" si="130"/>
        <v>16</v>
      </c>
      <c r="U2075" t="str" cm="1">
        <f t="array" ref="U2075">_xlfn.IFS(M2075&lt;=34,"YOUNG",M2075&lt;=54,"MIDDLE AGE",M2075&gt;=55,"OLD")</f>
        <v>OLD</v>
      </c>
      <c r="V2075" t="str">
        <f t="shared" si="131"/>
        <v>HIGH</v>
      </c>
    </row>
    <row r="2076" spans="1:22" x14ac:dyDescent="0.35">
      <c r="A2076" t="s">
        <v>3976</v>
      </c>
      <c r="B2076" t="s">
        <v>1984</v>
      </c>
      <c r="C2076">
        <v>170.96</v>
      </c>
      <c r="D2076" s="1">
        <v>45288.699143518519</v>
      </c>
      <c r="E2076" s="2">
        <f t="shared" si="128"/>
        <v>0.69914351851912215</v>
      </c>
      <c r="F2076" s="3">
        <f t="shared" si="129"/>
        <v>45288</v>
      </c>
      <c r="G2076" t="s">
        <v>17</v>
      </c>
      <c r="H2076" t="s">
        <v>453</v>
      </c>
      <c r="I2076" t="s">
        <v>2357</v>
      </c>
      <c r="J2076" t="s">
        <v>1763</v>
      </c>
      <c r="K2076" t="s">
        <v>160</v>
      </c>
      <c r="L2076" t="s">
        <v>69</v>
      </c>
      <c r="M2076">
        <v>64</v>
      </c>
      <c r="N2076" t="s">
        <v>23</v>
      </c>
      <c r="O2076">
        <v>69</v>
      </c>
      <c r="P2076">
        <v>1</v>
      </c>
      <c r="Q2076">
        <v>13374.89</v>
      </c>
      <c r="R2076" s="4">
        <v>45600</v>
      </c>
      <c r="S2076" s="6">
        <v>0.33811342592592591</v>
      </c>
      <c r="T2076">
        <f t="shared" si="130"/>
        <v>16</v>
      </c>
      <c r="U2076" t="str" cm="1">
        <f t="array" ref="U2076">_xlfn.IFS(M2076&lt;=34,"YOUNG",M2076&lt;=54,"MIDDLE AGE",M2076&gt;=55,"OLD")</f>
        <v>OLD</v>
      </c>
      <c r="V2076" t="str">
        <f t="shared" si="131"/>
        <v>NORMAL</v>
      </c>
    </row>
    <row r="2077" spans="1:22" x14ac:dyDescent="0.35">
      <c r="A2077" t="s">
        <v>3977</v>
      </c>
      <c r="B2077" t="s">
        <v>333</v>
      </c>
      <c r="C2077">
        <v>48.51</v>
      </c>
      <c r="D2077" s="1">
        <v>44935.723819444444</v>
      </c>
      <c r="E2077" s="2">
        <f t="shared" si="128"/>
        <v>0.72381944444350665</v>
      </c>
      <c r="F2077" s="3">
        <f t="shared" si="129"/>
        <v>44935</v>
      </c>
      <c r="G2077" t="s">
        <v>17</v>
      </c>
      <c r="H2077" t="s">
        <v>119</v>
      </c>
      <c r="I2077" t="s">
        <v>1187</v>
      </c>
      <c r="J2077" t="s">
        <v>2725</v>
      </c>
      <c r="K2077" t="s">
        <v>35</v>
      </c>
      <c r="L2077" t="s">
        <v>69</v>
      </c>
      <c r="M2077">
        <v>22</v>
      </c>
      <c r="N2077" t="s">
        <v>37</v>
      </c>
      <c r="O2077">
        <v>69</v>
      </c>
      <c r="P2077">
        <v>1</v>
      </c>
      <c r="Q2077">
        <v>3363.23</v>
      </c>
      <c r="R2077" s="4">
        <v>45600</v>
      </c>
      <c r="S2077" s="6">
        <v>0.34089120370370368</v>
      </c>
      <c r="T2077">
        <f t="shared" si="130"/>
        <v>17</v>
      </c>
      <c r="U2077" t="str" cm="1">
        <f t="array" ref="U2077">_xlfn.IFS(M2077&lt;=34,"YOUNG",M2077&lt;=54,"MIDDLE AGE",M2077&gt;=55,"OLD")</f>
        <v>YOUNG</v>
      </c>
      <c r="V2077" t="str">
        <f t="shared" si="131"/>
        <v>NORMAL</v>
      </c>
    </row>
    <row r="2078" spans="1:22" x14ac:dyDescent="0.35">
      <c r="A2078" t="s">
        <v>3978</v>
      </c>
      <c r="B2078" t="s">
        <v>429</v>
      </c>
      <c r="C2078">
        <v>325.02999999999997</v>
      </c>
      <c r="D2078" s="1">
        <v>44937.711331018516</v>
      </c>
      <c r="E2078" s="2">
        <f t="shared" si="128"/>
        <v>0.71133101851592073</v>
      </c>
      <c r="F2078" s="3">
        <f t="shared" si="129"/>
        <v>44937</v>
      </c>
      <c r="G2078" t="s">
        <v>17</v>
      </c>
      <c r="H2078" t="s">
        <v>392</v>
      </c>
      <c r="I2078" t="s">
        <v>3263</v>
      </c>
      <c r="J2078" t="s">
        <v>518</v>
      </c>
      <c r="K2078" t="s">
        <v>634</v>
      </c>
      <c r="L2078" t="s">
        <v>69</v>
      </c>
      <c r="M2078">
        <v>60</v>
      </c>
      <c r="N2078" t="s">
        <v>23</v>
      </c>
      <c r="O2078">
        <v>106</v>
      </c>
      <c r="P2078">
        <v>1</v>
      </c>
      <c r="Q2078">
        <v>13521.76</v>
      </c>
      <c r="R2078" s="4">
        <v>45600</v>
      </c>
      <c r="S2078" s="6">
        <v>0.34037037037037038</v>
      </c>
      <c r="T2078">
        <f t="shared" si="130"/>
        <v>17</v>
      </c>
      <c r="U2078" t="str" cm="1">
        <f t="array" ref="U2078">_xlfn.IFS(M2078&lt;=34,"YOUNG",M2078&lt;=54,"MIDDLE AGE",M2078&gt;=55,"OLD")</f>
        <v>OLD</v>
      </c>
      <c r="V2078" t="str">
        <f t="shared" si="131"/>
        <v>NORMAL</v>
      </c>
    </row>
    <row r="2079" spans="1:22" x14ac:dyDescent="0.35">
      <c r="A2079" t="s">
        <v>3979</v>
      </c>
      <c r="B2079" t="s">
        <v>1874</v>
      </c>
      <c r="C2079">
        <v>125.83</v>
      </c>
      <c r="D2079" s="1">
        <v>45075.718090277776</v>
      </c>
      <c r="E2079" s="2">
        <f t="shared" si="128"/>
        <v>0.71809027777635492</v>
      </c>
      <c r="F2079" s="3">
        <f t="shared" si="129"/>
        <v>45075</v>
      </c>
      <c r="G2079" t="s">
        <v>17</v>
      </c>
      <c r="H2079" t="s">
        <v>140</v>
      </c>
      <c r="I2079" t="s">
        <v>2359</v>
      </c>
      <c r="J2079" t="s">
        <v>2316</v>
      </c>
      <c r="K2079" t="s">
        <v>353</v>
      </c>
      <c r="L2079" t="s">
        <v>22</v>
      </c>
      <c r="M2079">
        <v>57</v>
      </c>
      <c r="N2079" t="s">
        <v>70</v>
      </c>
      <c r="O2079">
        <v>138</v>
      </c>
      <c r="P2079">
        <v>1</v>
      </c>
      <c r="Q2079">
        <v>6109.86</v>
      </c>
      <c r="R2079" s="4">
        <v>45600</v>
      </c>
      <c r="S2079" s="6">
        <v>0.34131944444444445</v>
      </c>
      <c r="T2079">
        <f t="shared" si="130"/>
        <v>17</v>
      </c>
      <c r="U2079" t="str" cm="1">
        <f t="array" ref="U2079">_xlfn.IFS(M2079&lt;=34,"YOUNG",M2079&lt;=54,"MIDDLE AGE",M2079&gt;=55,"OLD")</f>
        <v>OLD</v>
      </c>
      <c r="V2079" t="str">
        <f t="shared" si="131"/>
        <v>NORMAL</v>
      </c>
    </row>
    <row r="2080" spans="1:22" x14ac:dyDescent="0.35">
      <c r="A2080" t="s">
        <v>3980</v>
      </c>
      <c r="B2080" t="s">
        <v>1655</v>
      </c>
      <c r="C2080">
        <v>506.83</v>
      </c>
      <c r="D2080" s="1">
        <v>45040.727222222224</v>
      </c>
      <c r="E2080" s="2">
        <f t="shared" si="128"/>
        <v>0.72722222222364508</v>
      </c>
      <c r="F2080" s="3">
        <f t="shared" si="129"/>
        <v>45040</v>
      </c>
      <c r="G2080" t="s">
        <v>17</v>
      </c>
      <c r="H2080" t="s">
        <v>65</v>
      </c>
      <c r="I2080" t="s">
        <v>385</v>
      </c>
      <c r="J2080" t="s">
        <v>2527</v>
      </c>
      <c r="K2080" t="s">
        <v>331</v>
      </c>
      <c r="L2080" t="s">
        <v>69</v>
      </c>
      <c r="M2080">
        <v>37</v>
      </c>
      <c r="N2080" t="s">
        <v>77</v>
      </c>
      <c r="O2080">
        <v>45</v>
      </c>
      <c r="P2080">
        <v>1</v>
      </c>
      <c r="Q2080">
        <v>9975.7900000000009</v>
      </c>
      <c r="R2080" s="4">
        <v>45600</v>
      </c>
      <c r="S2080" s="6">
        <v>0.33855324074074072</v>
      </c>
      <c r="T2080">
        <f t="shared" si="130"/>
        <v>17</v>
      </c>
      <c r="U2080" t="str" cm="1">
        <f t="array" ref="U2080">_xlfn.IFS(M2080&lt;=34,"YOUNG",M2080&lt;=54,"MIDDLE AGE",M2080&gt;=55,"OLD")</f>
        <v>MIDDLE AGE</v>
      </c>
      <c r="V2080" t="str">
        <f t="shared" si="131"/>
        <v>NORMAL</v>
      </c>
    </row>
    <row r="2081" spans="1:22" x14ac:dyDescent="0.35">
      <c r="A2081" t="s">
        <v>3981</v>
      </c>
      <c r="B2081" t="s">
        <v>1631</v>
      </c>
      <c r="C2081">
        <v>738.94</v>
      </c>
      <c r="D2081" s="1">
        <v>45208.787743055553</v>
      </c>
      <c r="E2081" s="2">
        <f t="shared" si="128"/>
        <v>0.78774305555270985</v>
      </c>
      <c r="F2081" s="3">
        <f t="shared" si="129"/>
        <v>45208</v>
      </c>
      <c r="G2081" t="s">
        <v>17</v>
      </c>
      <c r="H2081" t="s">
        <v>243</v>
      </c>
      <c r="I2081" t="s">
        <v>1721</v>
      </c>
      <c r="J2081" t="s">
        <v>2186</v>
      </c>
      <c r="K2081" t="s">
        <v>674</v>
      </c>
      <c r="L2081" t="s">
        <v>69</v>
      </c>
      <c r="M2081">
        <v>41</v>
      </c>
      <c r="N2081" t="s">
        <v>23</v>
      </c>
      <c r="O2081">
        <v>173</v>
      </c>
      <c r="P2081">
        <v>1</v>
      </c>
      <c r="Q2081">
        <v>13856.18</v>
      </c>
      <c r="R2081" s="4">
        <v>45600</v>
      </c>
      <c r="S2081" s="6">
        <v>0.33947916666666667</v>
      </c>
      <c r="T2081">
        <f t="shared" si="130"/>
        <v>18</v>
      </c>
      <c r="U2081" t="str" cm="1">
        <f t="array" ref="U2081">_xlfn.IFS(M2081&lt;=34,"YOUNG",M2081&lt;=54,"MIDDLE AGE",M2081&gt;=55,"OLD")</f>
        <v>MIDDLE AGE</v>
      </c>
      <c r="V2081" t="str">
        <f t="shared" si="131"/>
        <v>NORMAL</v>
      </c>
    </row>
    <row r="2082" spans="1:22" x14ac:dyDescent="0.35">
      <c r="A2082" t="s">
        <v>3982</v>
      </c>
      <c r="B2082" t="s">
        <v>720</v>
      </c>
      <c r="C2082">
        <v>180.36</v>
      </c>
      <c r="D2082" s="1">
        <v>45076.675115740742</v>
      </c>
      <c r="E2082" s="2">
        <f t="shared" si="128"/>
        <v>0.67511574074160308</v>
      </c>
      <c r="F2082" s="3">
        <f t="shared" si="129"/>
        <v>45076</v>
      </c>
      <c r="G2082" t="s">
        <v>46</v>
      </c>
      <c r="H2082" t="s">
        <v>53</v>
      </c>
      <c r="I2082" t="s">
        <v>1479</v>
      </c>
      <c r="J2082" t="s">
        <v>2353</v>
      </c>
      <c r="K2082" t="s">
        <v>1037</v>
      </c>
      <c r="L2082" t="s">
        <v>36</v>
      </c>
      <c r="M2082">
        <v>33</v>
      </c>
      <c r="N2082" t="s">
        <v>77</v>
      </c>
      <c r="O2082">
        <v>55</v>
      </c>
      <c r="P2082">
        <v>1</v>
      </c>
      <c r="Q2082">
        <v>9905.23</v>
      </c>
      <c r="R2082" s="4">
        <v>45600</v>
      </c>
      <c r="S2082" s="6">
        <v>0.33796296296296297</v>
      </c>
      <c r="T2082">
        <f t="shared" si="130"/>
        <v>16</v>
      </c>
      <c r="U2082" t="str" cm="1">
        <f t="array" ref="U2082">_xlfn.IFS(M2082&lt;=34,"YOUNG",M2082&lt;=54,"MIDDLE AGE",M2082&gt;=55,"OLD")</f>
        <v>YOUNG</v>
      </c>
      <c r="V2082" t="str">
        <f t="shared" si="131"/>
        <v>NORMAL</v>
      </c>
    </row>
    <row r="2083" spans="1:22" x14ac:dyDescent="0.35">
      <c r="A2083" t="s">
        <v>3983</v>
      </c>
      <c r="B2083" t="s">
        <v>569</v>
      </c>
      <c r="C2083">
        <v>225.1</v>
      </c>
      <c r="D2083" s="1">
        <v>45271.72828703704</v>
      </c>
      <c r="E2083" s="2">
        <f t="shared" si="128"/>
        <v>0.72828703703999054</v>
      </c>
      <c r="F2083" s="3">
        <f t="shared" si="129"/>
        <v>45271</v>
      </c>
      <c r="G2083" t="s">
        <v>17</v>
      </c>
      <c r="H2083" t="s">
        <v>388</v>
      </c>
      <c r="I2083" t="s">
        <v>3399</v>
      </c>
      <c r="J2083" t="s">
        <v>2693</v>
      </c>
      <c r="K2083" t="s">
        <v>984</v>
      </c>
      <c r="L2083" t="s">
        <v>22</v>
      </c>
      <c r="M2083">
        <v>28</v>
      </c>
      <c r="N2083" t="s">
        <v>37</v>
      </c>
      <c r="O2083">
        <v>35</v>
      </c>
      <c r="P2083">
        <v>1</v>
      </c>
      <c r="Q2083">
        <v>1547.71</v>
      </c>
      <c r="R2083" s="4">
        <v>45600</v>
      </c>
      <c r="S2083" s="6">
        <v>0.33828703703703705</v>
      </c>
      <c r="T2083">
        <f t="shared" si="130"/>
        <v>17</v>
      </c>
      <c r="U2083" t="str" cm="1">
        <f t="array" ref="U2083">_xlfn.IFS(M2083&lt;=34,"YOUNG",M2083&lt;=54,"MIDDLE AGE",M2083&gt;=55,"OLD")</f>
        <v>YOUNG</v>
      </c>
      <c r="V2083" t="str">
        <f t="shared" si="131"/>
        <v>NORMAL</v>
      </c>
    </row>
    <row r="2084" spans="1:22" x14ac:dyDescent="0.35">
      <c r="A2084" t="s">
        <v>3984</v>
      </c>
      <c r="B2084" t="s">
        <v>843</v>
      </c>
      <c r="C2084">
        <v>359.51</v>
      </c>
      <c r="D2084" s="1">
        <v>45260.756006944444</v>
      </c>
      <c r="E2084" s="2">
        <f t="shared" si="128"/>
        <v>0.75600694444437977</v>
      </c>
      <c r="F2084" s="3">
        <f t="shared" si="129"/>
        <v>45260</v>
      </c>
      <c r="G2084" t="s">
        <v>17</v>
      </c>
      <c r="H2084" t="s">
        <v>249</v>
      </c>
      <c r="I2084" t="s">
        <v>2851</v>
      </c>
      <c r="J2084" t="s">
        <v>82</v>
      </c>
      <c r="K2084" t="s">
        <v>752</v>
      </c>
      <c r="L2084" t="s">
        <v>36</v>
      </c>
      <c r="M2084">
        <v>79</v>
      </c>
      <c r="N2084" t="s">
        <v>70</v>
      </c>
      <c r="O2084">
        <v>157</v>
      </c>
      <c r="P2084">
        <v>1</v>
      </c>
      <c r="Q2084">
        <v>7153.72</v>
      </c>
      <c r="R2084" s="4">
        <v>45600</v>
      </c>
      <c r="S2084" s="6">
        <v>0.34179398148148149</v>
      </c>
      <c r="T2084">
        <f t="shared" si="130"/>
        <v>18</v>
      </c>
      <c r="U2084" t="str" cm="1">
        <f t="array" ref="U2084">_xlfn.IFS(M2084&lt;=34,"YOUNG",M2084&lt;=54,"MIDDLE AGE",M2084&gt;=55,"OLD")</f>
        <v>OLD</v>
      </c>
      <c r="V2084" t="str">
        <f t="shared" si="131"/>
        <v>NORMAL</v>
      </c>
    </row>
    <row r="2085" spans="1:22" x14ac:dyDescent="0.35">
      <c r="A2085" t="s">
        <v>3985</v>
      </c>
      <c r="B2085" t="s">
        <v>2650</v>
      </c>
      <c r="C2085">
        <v>720.46</v>
      </c>
      <c r="D2085" s="1">
        <v>45267.674074074072</v>
      </c>
      <c r="E2085" s="2">
        <f t="shared" si="128"/>
        <v>0.67407407407154096</v>
      </c>
      <c r="F2085" s="3">
        <f t="shared" si="129"/>
        <v>45267</v>
      </c>
      <c r="G2085" t="s">
        <v>17</v>
      </c>
      <c r="H2085" t="s">
        <v>255</v>
      </c>
      <c r="I2085" t="s">
        <v>1269</v>
      </c>
      <c r="J2085" t="s">
        <v>2327</v>
      </c>
      <c r="K2085" t="s">
        <v>1524</v>
      </c>
      <c r="L2085" t="s">
        <v>69</v>
      </c>
      <c r="M2085">
        <v>54</v>
      </c>
      <c r="N2085" t="s">
        <v>70</v>
      </c>
      <c r="O2085">
        <v>44</v>
      </c>
      <c r="P2085">
        <v>1</v>
      </c>
      <c r="Q2085">
        <v>3101.54</v>
      </c>
      <c r="R2085" s="4">
        <v>45600</v>
      </c>
      <c r="S2085" s="6">
        <v>0.33929398148148149</v>
      </c>
      <c r="T2085">
        <f t="shared" si="130"/>
        <v>16</v>
      </c>
      <c r="U2085" t="str" cm="1">
        <f t="array" ref="U2085">_xlfn.IFS(M2085&lt;=34,"YOUNG",M2085&lt;=54,"MIDDLE AGE",M2085&gt;=55,"OLD")</f>
        <v>MIDDLE AGE</v>
      </c>
      <c r="V2085" t="str">
        <f t="shared" si="131"/>
        <v>NORMAL</v>
      </c>
    </row>
    <row r="2086" spans="1:22" x14ac:dyDescent="0.35">
      <c r="A2086" t="s">
        <v>3986</v>
      </c>
      <c r="B2086" t="s">
        <v>2907</v>
      </c>
      <c r="C2086">
        <v>1116.57</v>
      </c>
      <c r="D2086" s="1">
        <v>44980.704270833332</v>
      </c>
      <c r="E2086" s="2">
        <f t="shared" si="128"/>
        <v>0.70427083333197515</v>
      </c>
      <c r="F2086" s="3">
        <f t="shared" si="129"/>
        <v>44980</v>
      </c>
      <c r="G2086" t="s">
        <v>17</v>
      </c>
      <c r="H2086" t="s">
        <v>255</v>
      </c>
      <c r="I2086" t="s">
        <v>3392</v>
      </c>
      <c r="J2086" t="s">
        <v>2150</v>
      </c>
      <c r="K2086" t="s">
        <v>262</v>
      </c>
      <c r="L2086" t="s">
        <v>22</v>
      </c>
      <c r="M2086">
        <v>56</v>
      </c>
      <c r="N2086" t="s">
        <v>70</v>
      </c>
      <c r="O2086">
        <v>104</v>
      </c>
      <c r="P2086">
        <v>1</v>
      </c>
      <c r="Q2086">
        <v>1393.14</v>
      </c>
      <c r="R2086" s="4">
        <v>45600</v>
      </c>
      <c r="S2086" s="6">
        <v>0.33835648148148151</v>
      </c>
      <c r="T2086">
        <f t="shared" si="130"/>
        <v>16</v>
      </c>
      <c r="U2086" t="str" cm="1">
        <f t="array" ref="U2086">_xlfn.IFS(M2086&lt;=34,"YOUNG",M2086&lt;=54,"MIDDLE AGE",M2086&gt;=55,"OLD")</f>
        <v>OLD</v>
      </c>
      <c r="V2086" t="str">
        <f t="shared" si="131"/>
        <v>NORMAL</v>
      </c>
    </row>
    <row r="2087" spans="1:22" x14ac:dyDescent="0.35">
      <c r="A2087" t="s">
        <v>3987</v>
      </c>
      <c r="B2087" t="s">
        <v>31</v>
      </c>
      <c r="C2087">
        <v>291.45999999999998</v>
      </c>
      <c r="D2087" s="1">
        <v>44965.6874537037</v>
      </c>
      <c r="E2087" s="2">
        <f t="shared" si="128"/>
        <v>0.68745370370015735</v>
      </c>
      <c r="F2087" s="3">
        <f t="shared" si="129"/>
        <v>44965</v>
      </c>
      <c r="G2087" t="s">
        <v>17</v>
      </c>
      <c r="H2087" t="s">
        <v>172</v>
      </c>
      <c r="I2087" t="s">
        <v>1664</v>
      </c>
      <c r="J2087" t="s">
        <v>496</v>
      </c>
      <c r="K2087" t="s">
        <v>246</v>
      </c>
      <c r="L2087" t="s">
        <v>22</v>
      </c>
      <c r="M2087">
        <v>57</v>
      </c>
      <c r="N2087" t="s">
        <v>70</v>
      </c>
      <c r="O2087">
        <v>135</v>
      </c>
      <c r="P2087">
        <v>1</v>
      </c>
      <c r="Q2087">
        <v>7142.53</v>
      </c>
      <c r="R2087" s="4">
        <v>45600</v>
      </c>
      <c r="S2087" s="6">
        <v>0.34031250000000002</v>
      </c>
      <c r="T2087">
        <f t="shared" si="130"/>
        <v>16</v>
      </c>
      <c r="U2087" t="str" cm="1">
        <f t="array" ref="U2087">_xlfn.IFS(M2087&lt;=34,"YOUNG",M2087&lt;=54,"MIDDLE AGE",M2087&gt;=55,"OLD")</f>
        <v>OLD</v>
      </c>
      <c r="V2087" t="str">
        <f t="shared" si="131"/>
        <v>NORMAL</v>
      </c>
    </row>
    <row r="2088" spans="1:22" x14ac:dyDescent="0.35">
      <c r="A2088" t="s">
        <v>3988</v>
      </c>
      <c r="B2088" t="s">
        <v>1311</v>
      </c>
      <c r="C2088">
        <v>1192.95</v>
      </c>
      <c r="D2088" s="1">
        <v>45264.770833333336</v>
      </c>
      <c r="E2088" s="2">
        <f t="shared" si="128"/>
        <v>0.77083333333575865</v>
      </c>
      <c r="F2088" s="3">
        <f t="shared" si="129"/>
        <v>45264</v>
      </c>
      <c r="G2088" t="s">
        <v>17</v>
      </c>
      <c r="H2088" t="s">
        <v>146</v>
      </c>
      <c r="I2088" t="s">
        <v>2247</v>
      </c>
      <c r="J2088" t="s">
        <v>3350</v>
      </c>
      <c r="K2088" t="s">
        <v>1524</v>
      </c>
      <c r="L2088" t="s">
        <v>69</v>
      </c>
      <c r="M2088">
        <v>23</v>
      </c>
      <c r="N2088" t="s">
        <v>37</v>
      </c>
      <c r="O2088">
        <v>73</v>
      </c>
      <c r="P2088">
        <v>1</v>
      </c>
      <c r="Q2088">
        <v>325.14999999999998</v>
      </c>
      <c r="R2088" s="4">
        <v>45600</v>
      </c>
      <c r="S2088" s="6">
        <v>0.33890046296296295</v>
      </c>
      <c r="T2088">
        <f t="shared" si="130"/>
        <v>18</v>
      </c>
      <c r="U2088" t="str" cm="1">
        <f t="array" ref="U2088">_xlfn.IFS(M2088&lt;=34,"YOUNG",M2088&lt;=54,"MIDDLE AGE",M2088&gt;=55,"OLD")</f>
        <v>YOUNG</v>
      </c>
      <c r="V2088" t="str">
        <f t="shared" si="131"/>
        <v>NORMAL</v>
      </c>
    </row>
    <row r="2089" spans="1:22" x14ac:dyDescent="0.35">
      <c r="A2089" t="s">
        <v>3989</v>
      </c>
      <c r="B2089" t="s">
        <v>1878</v>
      </c>
      <c r="C2089">
        <v>98.24</v>
      </c>
      <c r="D2089" s="1">
        <v>45026.749143518522</v>
      </c>
      <c r="E2089" s="2">
        <f t="shared" si="128"/>
        <v>0.74914351852203254</v>
      </c>
      <c r="F2089" s="3">
        <f t="shared" si="129"/>
        <v>45026</v>
      </c>
      <c r="G2089" t="s">
        <v>17</v>
      </c>
      <c r="H2089" t="s">
        <v>32</v>
      </c>
      <c r="I2089" t="s">
        <v>2333</v>
      </c>
      <c r="J2089" t="s">
        <v>2523</v>
      </c>
      <c r="K2089" t="s">
        <v>1000</v>
      </c>
      <c r="L2089" t="s">
        <v>36</v>
      </c>
      <c r="M2089">
        <v>28</v>
      </c>
      <c r="N2089" t="s">
        <v>37</v>
      </c>
      <c r="O2089">
        <v>148</v>
      </c>
      <c r="P2089">
        <v>1</v>
      </c>
      <c r="Q2089">
        <v>580.66</v>
      </c>
      <c r="R2089" s="4">
        <v>45600</v>
      </c>
      <c r="S2089" s="6">
        <v>0.33956018518518516</v>
      </c>
      <c r="T2089">
        <f t="shared" si="130"/>
        <v>17</v>
      </c>
      <c r="U2089" t="str" cm="1">
        <f t="array" ref="U2089">_xlfn.IFS(M2089&lt;=34,"YOUNG",M2089&lt;=54,"MIDDLE AGE",M2089&gt;=55,"OLD")</f>
        <v>YOUNG</v>
      </c>
      <c r="V2089" t="str">
        <f t="shared" si="131"/>
        <v>NORMAL</v>
      </c>
    </row>
    <row r="2090" spans="1:22" x14ac:dyDescent="0.35">
      <c r="A2090" t="s">
        <v>3990</v>
      </c>
      <c r="B2090" t="s">
        <v>1620</v>
      </c>
      <c r="C2090">
        <v>100.48</v>
      </c>
      <c r="D2090" s="1">
        <v>44974.703761574077</v>
      </c>
      <c r="E2090" s="2">
        <f t="shared" si="128"/>
        <v>0.70376157407736173</v>
      </c>
      <c r="F2090" s="3">
        <f t="shared" si="129"/>
        <v>44974</v>
      </c>
      <c r="G2090" t="s">
        <v>46</v>
      </c>
      <c r="H2090" t="s">
        <v>178</v>
      </c>
      <c r="I2090" t="s">
        <v>910</v>
      </c>
      <c r="J2090" t="s">
        <v>2416</v>
      </c>
      <c r="K2090" t="s">
        <v>740</v>
      </c>
      <c r="L2090" t="s">
        <v>69</v>
      </c>
      <c r="M2090">
        <v>18</v>
      </c>
      <c r="N2090" t="s">
        <v>37</v>
      </c>
      <c r="O2090">
        <v>104</v>
      </c>
      <c r="P2090">
        <v>1</v>
      </c>
      <c r="Q2090">
        <v>6149.81</v>
      </c>
      <c r="R2090" s="4">
        <v>45600</v>
      </c>
      <c r="S2090" s="6">
        <v>0.34180555555555553</v>
      </c>
      <c r="T2090">
        <f t="shared" si="130"/>
        <v>16</v>
      </c>
      <c r="U2090" t="str" cm="1">
        <f t="array" ref="U2090">_xlfn.IFS(M2090&lt;=34,"YOUNG",M2090&lt;=54,"MIDDLE AGE",M2090&gt;=55,"OLD")</f>
        <v>YOUNG</v>
      </c>
      <c r="V2090" t="str">
        <f t="shared" si="131"/>
        <v>NORMAL</v>
      </c>
    </row>
    <row r="2091" spans="1:22" x14ac:dyDescent="0.35">
      <c r="A2091" t="s">
        <v>3991</v>
      </c>
      <c r="B2091" t="s">
        <v>993</v>
      </c>
      <c r="C2091">
        <v>45.9</v>
      </c>
      <c r="D2091" s="1">
        <v>45111.788854166669</v>
      </c>
      <c r="E2091" s="2">
        <f t="shared" si="128"/>
        <v>0.78885416666889796</v>
      </c>
      <c r="F2091" s="3">
        <f t="shared" si="129"/>
        <v>45111</v>
      </c>
      <c r="G2091" t="s">
        <v>17</v>
      </c>
      <c r="H2091" t="s">
        <v>125</v>
      </c>
      <c r="I2091" t="s">
        <v>2006</v>
      </c>
      <c r="J2091" t="s">
        <v>116</v>
      </c>
      <c r="K2091" t="s">
        <v>43</v>
      </c>
      <c r="L2091" t="s">
        <v>69</v>
      </c>
      <c r="M2091">
        <v>56</v>
      </c>
      <c r="N2091" t="s">
        <v>77</v>
      </c>
      <c r="O2091">
        <v>264</v>
      </c>
      <c r="P2091">
        <v>1</v>
      </c>
      <c r="Q2091">
        <v>5698.25</v>
      </c>
      <c r="R2091" s="4">
        <v>45600</v>
      </c>
      <c r="S2091" s="6">
        <v>0.33871527777777777</v>
      </c>
      <c r="T2091">
        <f t="shared" si="130"/>
        <v>18</v>
      </c>
      <c r="U2091" t="str" cm="1">
        <f t="array" ref="U2091">_xlfn.IFS(M2091&lt;=34,"YOUNG",M2091&lt;=54,"MIDDLE AGE",M2091&gt;=55,"OLD")</f>
        <v>OLD</v>
      </c>
      <c r="V2091" t="str">
        <f t="shared" si="131"/>
        <v>NORMAL</v>
      </c>
    </row>
    <row r="2092" spans="1:22" x14ac:dyDescent="0.35">
      <c r="A2092" t="s">
        <v>3992</v>
      </c>
      <c r="B2092" t="s">
        <v>698</v>
      </c>
      <c r="C2092">
        <v>258.20999999999998</v>
      </c>
      <c r="D2092" s="1">
        <v>45257.721886574072</v>
      </c>
      <c r="E2092" s="2">
        <f t="shared" si="128"/>
        <v>0.72188657407241408</v>
      </c>
      <c r="F2092" s="3">
        <f t="shared" si="129"/>
        <v>45257</v>
      </c>
      <c r="G2092" t="s">
        <v>17</v>
      </c>
      <c r="H2092" t="s">
        <v>237</v>
      </c>
      <c r="I2092" t="s">
        <v>131</v>
      </c>
      <c r="J2092" t="s">
        <v>1850</v>
      </c>
      <c r="K2092" t="s">
        <v>240</v>
      </c>
      <c r="L2092" t="s">
        <v>36</v>
      </c>
      <c r="M2092">
        <v>39</v>
      </c>
      <c r="N2092" t="s">
        <v>23</v>
      </c>
      <c r="O2092">
        <v>225</v>
      </c>
      <c r="P2092">
        <v>1</v>
      </c>
      <c r="Q2092">
        <v>9562.41</v>
      </c>
      <c r="R2092" s="4">
        <v>45600</v>
      </c>
      <c r="S2092" s="6">
        <v>0.34040509259259261</v>
      </c>
      <c r="T2092">
        <f t="shared" si="130"/>
        <v>17</v>
      </c>
      <c r="U2092" t="str" cm="1">
        <f t="array" ref="U2092">_xlfn.IFS(M2092&lt;=34,"YOUNG",M2092&lt;=54,"MIDDLE AGE",M2092&gt;=55,"OLD")</f>
        <v>MIDDLE AGE</v>
      </c>
      <c r="V2092" t="str">
        <f t="shared" si="131"/>
        <v>NORMAL</v>
      </c>
    </row>
    <row r="2093" spans="1:22" x14ac:dyDescent="0.35">
      <c r="A2093" t="s">
        <v>3993</v>
      </c>
      <c r="B2093" t="s">
        <v>2690</v>
      </c>
      <c r="C2093">
        <v>1079.1099999999999</v>
      </c>
      <c r="D2093" s="1">
        <v>45051.696122685185</v>
      </c>
      <c r="E2093" s="2">
        <f t="shared" si="128"/>
        <v>0.69612268518540077</v>
      </c>
      <c r="F2093" s="3">
        <f t="shared" si="129"/>
        <v>45051</v>
      </c>
      <c r="G2093" t="s">
        <v>17</v>
      </c>
      <c r="H2093" t="s">
        <v>146</v>
      </c>
      <c r="I2093" t="s">
        <v>928</v>
      </c>
      <c r="J2093" t="s">
        <v>3456</v>
      </c>
      <c r="K2093" t="s">
        <v>564</v>
      </c>
      <c r="L2093" t="s">
        <v>36</v>
      </c>
      <c r="M2093">
        <v>53</v>
      </c>
      <c r="N2093" t="s">
        <v>77</v>
      </c>
      <c r="O2093">
        <v>211</v>
      </c>
      <c r="P2093">
        <v>1</v>
      </c>
      <c r="Q2093">
        <v>2038.31</v>
      </c>
      <c r="R2093" s="4">
        <v>45600</v>
      </c>
      <c r="S2093" s="6">
        <v>0.3386689814814815</v>
      </c>
      <c r="T2093">
        <f t="shared" si="130"/>
        <v>16</v>
      </c>
      <c r="U2093" t="str" cm="1">
        <f t="array" ref="U2093">_xlfn.IFS(M2093&lt;=34,"YOUNG",M2093&lt;=54,"MIDDLE AGE",M2093&gt;=55,"OLD")</f>
        <v>MIDDLE AGE</v>
      </c>
      <c r="V2093" t="str">
        <f t="shared" si="131"/>
        <v>NORMAL</v>
      </c>
    </row>
    <row r="2094" spans="1:22" x14ac:dyDescent="0.35">
      <c r="A2094" t="s">
        <v>3994</v>
      </c>
      <c r="B2094" t="s">
        <v>3402</v>
      </c>
      <c r="C2094">
        <v>287.51</v>
      </c>
      <c r="D2094" s="1">
        <v>45068.706608796296</v>
      </c>
      <c r="E2094" s="2">
        <f t="shared" si="128"/>
        <v>0.70660879629576812</v>
      </c>
      <c r="F2094" s="3">
        <f t="shared" si="129"/>
        <v>45068</v>
      </c>
      <c r="G2094" t="s">
        <v>17</v>
      </c>
      <c r="H2094" t="s">
        <v>506</v>
      </c>
      <c r="I2094" t="s">
        <v>3995</v>
      </c>
      <c r="J2094" t="s">
        <v>1399</v>
      </c>
      <c r="K2094" t="s">
        <v>1810</v>
      </c>
      <c r="L2094" t="s">
        <v>36</v>
      </c>
      <c r="M2094">
        <v>22</v>
      </c>
      <c r="N2094" t="s">
        <v>37</v>
      </c>
      <c r="O2094">
        <v>255</v>
      </c>
      <c r="P2094">
        <v>1</v>
      </c>
      <c r="Q2094">
        <v>187.65</v>
      </c>
      <c r="R2094" s="4">
        <v>45600</v>
      </c>
      <c r="S2094" s="6">
        <v>0.33910879629629631</v>
      </c>
      <c r="T2094">
        <f t="shared" si="130"/>
        <v>16</v>
      </c>
      <c r="U2094" t="str" cm="1">
        <f t="array" ref="U2094">_xlfn.IFS(M2094&lt;=34,"YOUNG",M2094&lt;=54,"MIDDLE AGE",M2094&gt;=55,"OLD")</f>
        <v>YOUNG</v>
      </c>
      <c r="V2094" t="str">
        <f t="shared" si="131"/>
        <v>NORMAL</v>
      </c>
    </row>
    <row r="2095" spans="1:22" x14ac:dyDescent="0.35">
      <c r="A2095" t="s">
        <v>3996</v>
      </c>
      <c r="B2095" t="s">
        <v>691</v>
      </c>
      <c r="C2095">
        <v>501.3</v>
      </c>
      <c r="D2095" s="1">
        <v>45068.769178240742</v>
      </c>
      <c r="E2095" s="2">
        <f t="shared" si="128"/>
        <v>0.76917824074189411</v>
      </c>
      <c r="F2095" s="3">
        <f t="shared" si="129"/>
        <v>45068</v>
      </c>
      <c r="G2095" t="s">
        <v>46</v>
      </c>
      <c r="H2095" t="s">
        <v>237</v>
      </c>
      <c r="I2095" t="s">
        <v>448</v>
      </c>
      <c r="J2095" t="s">
        <v>1325</v>
      </c>
      <c r="K2095" t="s">
        <v>68</v>
      </c>
      <c r="L2095" t="s">
        <v>36</v>
      </c>
      <c r="M2095">
        <v>26</v>
      </c>
      <c r="N2095" t="s">
        <v>77</v>
      </c>
      <c r="O2095">
        <v>146</v>
      </c>
      <c r="P2095">
        <v>1</v>
      </c>
      <c r="Q2095">
        <v>8520.08</v>
      </c>
      <c r="R2095" s="4">
        <v>45600</v>
      </c>
      <c r="S2095" s="6">
        <v>0.3389699074074074</v>
      </c>
      <c r="T2095">
        <f t="shared" si="130"/>
        <v>18</v>
      </c>
      <c r="U2095" t="str" cm="1">
        <f t="array" ref="U2095">_xlfn.IFS(M2095&lt;=34,"YOUNG",M2095&lt;=54,"MIDDLE AGE",M2095&gt;=55,"OLD")</f>
        <v>YOUNG</v>
      </c>
      <c r="V2095" t="str">
        <f t="shared" si="131"/>
        <v>NORMAL</v>
      </c>
    </row>
    <row r="2096" spans="1:22" x14ac:dyDescent="0.35">
      <c r="A2096" t="s">
        <v>3997</v>
      </c>
      <c r="B2096" t="s">
        <v>1327</v>
      </c>
      <c r="C2096">
        <v>26.1</v>
      </c>
      <c r="D2096" s="1">
        <v>44974.681493055556</v>
      </c>
      <c r="E2096" s="2">
        <f t="shared" si="128"/>
        <v>0.68149305555562023</v>
      </c>
      <c r="F2096" s="3">
        <f t="shared" si="129"/>
        <v>44974</v>
      </c>
      <c r="G2096" t="s">
        <v>17</v>
      </c>
      <c r="H2096" t="s">
        <v>32</v>
      </c>
      <c r="I2096" t="s">
        <v>1871</v>
      </c>
      <c r="J2096" t="s">
        <v>2434</v>
      </c>
      <c r="K2096" t="s">
        <v>353</v>
      </c>
      <c r="L2096" t="s">
        <v>22</v>
      </c>
      <c r="M2096">
        <v>27</v>
      </c>
      <c r="N2096" t="s">
        <v>37</v>
      </c>
      <c r="O2096">
        <v>32</v>
      </c>
      <c r="P2096">
        <v>1</v>
      </c>
      <c r="Q2096">
        <v>1435.72</v>
      </c>
      <c r="R2096" s="4">
        <v>45600</v>
      </c>
      <c r="S2096" s="6">
        <v>0.33829861111111109</v>
      </c>
      <c r="T2096">
        <f t="shared" si="130"/>
        <v>16</v>
      </c>
      <c r="U2096" t="str" cm="1">
        <f t="array" ref="U2096">_xlfn.IFS(M2096&lt;=34,"YOUNG",M2096&lt;=54,"MIDDLE AGE",M2096&gt;=55,"OLD")</f>
        <v>YOUNG</v>
      </c>
      <c r="V2096" t="str">
        <f t="shared" si="131"/>
        <v>NORMAL</v>
      </c>
    </row>
    <row r="2097" spans="1:22" x14ac:dyDescent="0.35">
      <c r="A2097" t="s">
        <v>3998</v>
      </c>
      <c r="B2097" t="s">
        <v>2583</v>
      </c>
      <c r="C2097">
        <v>436.77</v>
      </c>
      <c r="D2097" s="1">
        <v>45197.67695601852</v>
      </c>
      <c r="E2097" s="2">
        <f t="shared" si="128"/>
        <v>0.67695601852028631</v>
      </c>
      <c r="F2097" s="3">
        <f t="shared" si="129"/>
        <v>45197</v>
      </c>
      <c r="G2097" t="s">
        <v>17</v>
      </c>
      <c r="H2097" t="s">
        <v>392</v>
      </c>
      <c r="I2097" t="s">
        <v>738</v>
      </c>
      <c r="J2097" t="s">
        <v>2609</v>
      </c>
      <c r="K2097" t="s">
        <v>326</v>
      </c>
      <c r="L2097" t="s">
        <v>22</v>
      </c>
      <c r="M2097">
        <v>20</v>
      </c>
      <c r="N2097" t="s">
        <v>37</v>
      </c>
      <c r="O2097">
        <v>176</v>
      </c>
      <c r="P2097">
        <v>1</v>
      </c>
      <c r="Q2097">
        <v>825.69</v>
      </c>
      <c r="R2097" s="4">
        <v>45600</v>
      </c>
      <c r="S2097" s="6">
        <v>0.33971064814814816</v>
      </c>
      <c r="T2097">
        <f t="shared" si="130"/>
        <v>16</v>
      </c>
      <c r="U2097" t="str" cm="1">
        <f t="array" ref="U2097">_xlfn.IFS(M2097&lt;=34,"YOUNG",M2097&lt;=54,"MIDDLE AGE",M2097&gt;=55,"OLD")</f>
        <v>YOUNG</v>
      </c>
      <c r="V2097" t="str">
        <f t="shared" si="131"/>
        <v>NORMAL</v>
      </c>
    </row>
    <row r="2098" spans="1:22" x14ac:dyDescent="0.35">
      <c r="A2098" t="s">
        <v>3999</v>
      </c>
      <c r="B2098" t="s">
        <v>2930</v>
      </c>
      <c r="C2098">
        <v>292.38</v>
      </c>
      <c r="D2098" s="1">
        <v>45061.700856481482</v>
      </c>
      <c r="E2098" s="2">
        <f t="shared" si="128"/>
        <v>0.70085648148233304</v>
      </c>
      <c r="F2098" s="3">
        <f t="shared" si="129"/>
        <v>45061</v>
      </c>
      <c r="G2098" t="s">
        <v>17</v>
      </c>
      <c r="H2098" t="s">
        <v>197</v>
      </c>
      <c r="I2098" t="s">
        <v>614</v>
      </c>
      <c r="J2098" t="s">
        <v>3324</v>
      </c>
      <c r="K2098" t="s">
        <v>353</v>
      </c>
      <c r="L2098" t="s">
        <v>22</v>
      </c>
      <c r="M2098">
        <v>68</v>
      </c>
      <c r="N2098" t="s">
        <v>23</v>
      </c>
      <c r="O2098">
        <v>224</v>
      </c>
      <c r="P2098">
        <v>1</v>
      </c>
      <c r="Q2098">
        <v>5803.89</v>
      </c>
      <c r="R2098" s="4">
        <v>45600</v>
      </c>
      <c r="S2098" s="6">
        <v>0.34006944444444442</v>
      </c>
      <c r="T2098">
        <f t="shared" si="130"/>
        <v>16</v>
      </c>
      <c r="U2098" t="str" cm="1">
        <f t="array" ref="U2098">_xlfn.IFS(M2098&lt;=34,"YOUNG",M2098&lt;=54,"MIDDLE AGE",M2098&gt;=55,"OLD")</f>
        <v>OLD</v>
      </c>
      <c r="V2098" t="str">
        <f t="shared" si="131"/>
        <v>NORMAL</v>
      </c>
    </row>
    <row r="2099" spans="1:22" x14ac:dyDescent="0.35">
      <c r="A2099" t="s">
        <v>4000</v>
      </c>
      <c r="B2099" t="s">
        <v>1422</v>
      </c>
      <c r="C2099">
        <v>1026.46</v>
      </c>
      <c r="D2099" s="1">
        <v>45098.694641203707</v>
      </c>
      <c r="E2099" s="2">
        <f t="shared" si="128"/>
        <v>0.69464120370685123</v>
      </c>
      <c r="F2099" s="3">
        <f t="shared" si="129"/>
        <v>45098</v>
      </c>
      <c r="G2099" t="s">
        <v>17</v>
      </c>
      <c r="H2099" t="s">
        <v>243</v>
      </c>
      <c r="I2099" t="s">
        <v>676</v>
      </c>
      <c r="J2099" t="s">
        <v>369</v>
      </c>
      <c r="K2099" t="s">
        <v>35</v>
      </c>
      <c r="L2099" t="s">
        <v>69</v>
      </c>
      <c r="M2099">
        <v>53</v>
      </c>
      <c r="N2099" t="s">
        <v>70</v>
      </c>
      <c r="O2099">
        <v>165</v>
      </c>
      <c r="P2099">
        <v>1</v>
      </c>
      <c r="Q2099">
        <v>3134.47</v>
      </c>
      <c r="R2099" s="4">
        <v>45600</v>
      </c>
      <c r="S2099" s="6">
        <v>0.33847222222222223</v>
      </c>
      <c r="T2099">
        <f t="shared" si="130"/>
        <v>16</v>
      </c>
      <c r="U2099" t="str" cm="1">
        <f t="array" ref="U2099">_xlfn.IFS(M2099&lt;=34,"YOUNG",M2099&lt;=54,"MIDDLE AGE",M2099&gt;=55,"OLD")</f>
        <v>MIDDLE AGE</v>
      </c>
      <c r="V2099" t="str">
        <f t="shared" si="131"/>
        <v>NORMAL</v>
      </c>
    </row>
    <row r="2100" spans="1:22" x14ac:dyDescent="0.35">
      <c r="A2100" t="s">
        <v>4001</v>
      </c>
      <c r="B2100" t="s">
        <v>2225</v>
      </c>
      <c r="C2100">
        <v>25.29</v>
      </c>
      <c r="D2100" s="1">
        <v>45134.773831018516</v>
      </c>
      <c r="E2100" s="2">
        <f t="shared" si="128"/>
        <v>0.77383101851592073</v>
      </c>
      <c r="F2100" s="3">
        <f t="shared" si="129"/>
        <v>45134</v>
      </c>
      <c r="G2100" t="s">
        <v>17</v>
      </c>
      <c r="H2100" t="s">
        <v>172</v>
      </c>
      <c r="I2100" t="s">
        <v>207</v>
      </c>
      <c r="J2100" t="s">
        <v>2268</v>
      </c>
      <c r="K2100" t="s">
        <v>262</v>
      </c>
      <c r="L2100" t="s">
        <v>36</v>
      </c>
      <c r="M2100">
        <v>50</v>
      </c>
      <c r="N2100" t="s">
        <v>77</v>
      </c>
      <c r="O2100">
        <v>125</v>
      </c>
      <c r="P2100">
        <v>1</v>
      </c>
      <c r="Q2100">
        <v>5374.69</v>
      </c>
      <c r="R2100" s="4">
        <v>45600</v>
      </c>
      <c r="S2100" s="6">
        <v>0.33800925925925923</v>
      </c>
      <c r="T2100">
        <f t="shared" si="130"/>
        <v>18</v>
      </c>
      <c r="U2100" t="str" cm="1">
        <f t="array" ref="U2100">_xlfn.IFS(M2100&lt;=34,"YOUNG",M2100&lt;=54,"MIDDLE AGE",M2100&gt;=55,"OLD")</f>
        <v>MIDDLE AGE</v>
      </c>
      <c r="V2100" t="str">
        <f t="shared" si="131"/>
        <v>NORMAL</v>
      </c>
    </row>
    <row r="2101" spans="1:22" x14ac:dyDescent="0.35">
      <c r="A2101" t="s">
        <v>4002</v>
      </c>
      <c r="B2101" t="s">
        <v>399</v>
      </c>
      <c r="C2101">
        <v>123.35</v>
      </c>
      <c r="D2101" s="1">
        <v>45149.708981481483</v>
      </c>
      <c r="E2101" s="2">
        <f t="shared" si="128"/>
        <v>0.70898148148262408</v>
      </c>
      <c r="F2101" s="3">
        <f t="shared" si="129"/>
        <v>45149</v>
      </c>
      <c r="G2101" t="s">
        <v>46</v>
      </c>
      <c r="H2101" t="s">
        <v>197</v>
      </c>
      <c r="I2101" t="s">
        <v>645</v>
      </c>
      <c r="J2101" t="s">
        <v>3182</v>
      </c>
      <c r="K2101" t="s">
        <v>272</v>
      </c>
      <c r="L2101" t="s">
        <v>36</v>
      </c>
      <c r="M2101">
        <v>31</v>
      </c>
      <c r="N2101" t="s">
        <v>23</v>
      </c>
      <c r="O2101">
        <v>10</v>
      </c>
      <c r="P2101">
        <v>1</v>
      </c>
      <c r="Q2101">
        <v>6852.16</v>
      </c>
      <c r="R2101" s="4">
        <v>45600</v>
      </c>
      <c r="S2101" s="6">
        <v>0.34025462962962966</v>
      </c>
      <c r="T2101">
        <f t="shared" si="130"/>
        <v>17</v>
      </c>
      <c r="U2101" t="str" cm="1">
        <f t="array" ref="U2101">_xlfn.IFS(M2101&lt;=34,"YOUNG",M2101&lt;=54,"MIDDLE AGE",M2101&gt;=55,"OLD")</f>
        <v>YOUNG</v>
      </c>
      <c r="V2101" t="str">
        <f t="shared" si="131"/>
        <v>NORMAL</v>
      </c>
    </row>
    <row r="2102" spans="1:22" x14ac:dyDescent="0.35">
      <c r="A2102" t="s">
        <v>4003</v>
      </c>
      <c r="B2102" t="s">
        <v>986</v>
      </c>
      <c r="C2102">
        <v>139.52000000000001</v>
      </c>
      <c r="D2102" s="1">
        <v>45191.751875000002</v>
      </c>
      <c r="E2102" s="2">
        <f t="shared" si="128"/>
        <v>0.75187500000174623</v>
      </c>
      <c r="F2102" s="3">
        <f t="shared" si="129"/>
        <v>45191</v>
      </c>
      <c r="G2102" t="s">
        <v>17</v>
      </c>
      <c r="H2102" t="s">
        <v>595</v>
      </c>
      <c r="I2102" t="s">
        <v>1314</v>
      </c>
      <c r="J2102" t="s">
        <v>3334</v>
      </c>
      <c r="K2102" t="s">
        <v>105</v>
      </c>
      <c r="L2102" t="s">
        <v>69</v>
      </c>
      <c r="M2102">
        <v>23</v>
      </c>
      <c r="N2102" t="s">
        <v>37</v>
      </c>
      <c r="O2102">
        <v>31</v>
      </c>
      <c r="P2102">
        <v>1</v>
      </c>
      <c r="Q2102">
        <v>1570.22</v>
      </c>
      <c r="R2102" s="4">
        <v>45600</v>
      </c>
      <c r="S2102" s="6">
        <v>0.33888888888888891</v>
      </c>
      <c r="T2102">
        <f t="shared" si="130"/>
        <v>18</v>
      </c>
      <c r="U2102" t="str" cm="1">
        <f t="array" ref="U2102">_xlfn.IFS(M2102&lt;=34,"YOUNG",M2102&lt;=54,"MIDDLE AGE",M2102&gt;=55,"OLD")</f>
        <v>YOUNG</v>
      </c>
      <c r="V2102" t="str">
        <f t="shared" si="131"/>
        <v>NORMAL</v>
      </c>
    </row>
    <row r="2103" spans="1:22" x14ac:dyDescent="0.35">
      <c r="A2103" t="s">
        <v>4004</v>
      </c>
      <c r="B2103" t="s">
        <v>314</v>
      </c>
      <c r="C2103">
        <v>51.2</v>
      </c>
      <c r="D2103" s="1">
        <v>44998.781793981485</v>
      </c>
      <c r="E2103" s="2">
        <f t="shared" si="128"/>
        <v>0.78179398148495238</v>
      </c>
      <c r="F2103" s="3">
        <f t="shared" si="129"/>
        <v>44998</v>
      </c>
      <c r="G2103" t="s">
        <v>17</v>
      </c>
      <c r="H2103" t="s">
        <v>255</v>
      </c>
      <c r="I2103" t="s">
        <v>2012</v>
      </c>
      <c r="J2103" t="s">
        <v>431</v>
      </c>
      <c r="K2103" t="s">
        <v>386</v>
      </c>
      <c r="L2103" t="s">
        <v>36</v>
      </c>
      <c r="M2103">
        <v>18</v>
      </c>
      <c r="N2103" t="s">
        <v>37</v>
      </c>
      <c r="O2103">
        <v>83</v>
      </c>
      <c r="P2103">
        <v>1</v>
      </c>
      <c r="Q2103">
        <v>730.6</v>
      </c>
      <c r="R2103" s="4">
        <v>45600</v>
      </c>
      <c r="S2103" s="6">
        <v>0.33800925925925923</v>
      </c>
      <c r="T2103">
        <f t="shared" si="130"/>
        <v>18</v>
      </c>
      <c r="U2103" t="str" cm="1">
        <f t="array" ref="U2103">_xlfn.IFS(M2103&lt;=34,"YOUNG",M2103&lt;=54,"MIDDLE AGE",M2103&gt;=55,"OLD")</f>
        <v>YOUNG</v>
      </c>
      <c r="V2103" t="str">
        <f t="shared" si="131"/>
        <v>NORMAL</v>
      </c>
    </row>
    <row r="2104" spans="1:22" x14ac:dyDescent="0.35">
      <c r="A2104" t="s">
        <v>4005</v>
      </c>
      <c r="B2104" t="s">
        <v>1631</v>
      </c>
      <c r="C2104">
        <v>122.85</v>
      </c>
      <c r="D2104" s="1">
        <v>45259.735335648147</v>
      </c>
      <c r="E2104" s="2">
        <f t="shared" si="128"/>
        <v>0.73533564814715646</v>
      </c>
      <c r="F2104" s="3">
        <f t="shared" si="129"/>
        <v>45259</v>
      </c>
      <c r="G2104" t="s">
        <v>46</v>
      </c>
      <c r="H2104" t="s">
        <v>59</v>
      </c>
      <c r="I2104" t="s">
        <v>3813</v>
      </c>
      <c r="J2104" t="s">
        <v>99</v>
      </c>
      <c r="K2104" t="s">
        <v>853</v>
      </c>
      <c r="L2104" t="s">
        <v>36</v>
      </c>
      <c r="M2104">
        <v>47</v>
      </c>
      <c r="N2104" t="s">
        <v>23</v>
      </c>
      <c r="O2104">
        <v>127</v>
      </c>
      <c r="P2104">
        <v>3</v>
      </c>
      <c r="Q2104">
        <v>13185.39</v>
      </c>
      <c r="R2104" s="4">
        <v>45600</v>
      </c>
      <c r="S2104" s="6">
        <v>0.33819444444444446</v>
      </c>
      <c r="T2104">
        <f t="shared" si="130"/>
        <v>17</v>
      </c>
      <c r="U2104" t="str" cm="1">
        <f t="array" ref="U2104">_xlfn.IFS(M2104&lt;=34,"YOUNG",M2104&lt;=54,"MIDDLE AGE",M2104&gt;=55,"OLD")</f>
        <v>MIDDLE AGE</v>
      </c>
      <c r="V2104" t="str">
        <f t="shared" si="131"/>
        <v>HIGH</v>
      </c>
    </row>
    <row r="2105" spans="1:22" x14ac:dyDescent="0.35">
      <c r="A2105" t="s">
        <v>4006</v>
      </c>
      <c r="B2105" t="s">
        <v>2581</v>
      </c>
      <c r="C2105">
        <v>161.38</v>
      </c>
      <c r="D2105" s="1">
        <v>45239.671030092592</v>
      </c>
      <c r="E2105" s="2">
        <f t="shared" si="128"/>
        <v>0.67103009259153623</v>
      </c>
      <c r="F2105" s="3">
        <f t="shared" si="129"/>
        <v>45239</v>
      </c>
      <c r="G2105" t="s">
        <v>46</v>
      </c>
      <c r="H2105" t="s">
        <v>521</v>
      </c>
      <c r="I2105" t="s">
        <v>74</v>
      </c>
      <c r="J2105" t="s">
        <v>3350</v>
      </c>
      <c r="K2105" t="s">
        <v>62</v>
      </c>
      <c r="L2105" t="s">
        <v>36</v>
      </c>
      <c r="M2105">
        <v>24</v>
      </c>
      <c r="N2105" t="s">
        <v>37</v>
      </c>
      <c r="O2105">
        <v>101</v>
      </c>
      <c r="P2105">
        <v>1</v>
      </c>
      <c r="Q2105">
        <v>3900.34</v>
      </c>
      <c r="R2105" s="4">
        <v>45600</v>
      </c>
      <c r="S2105" s="6">
        <v>0.34091435185185187</v>
      </c>
      <c r="T2105">
        <f t="shared" si="130"/>
        <v>16</v>
      </c>
      <c r="U2105" t="str" cm="1">
        <f t="array" ref="U2105">_xlfn.IFS(M2105&lt;=34,"YOUNG",M2105&lt;=54,"MIDDLE AGE",M2105&gt;=55,"OLD")</f>
        <v>YOUNG</v>
      </c>
      <c r="V2105" t="str">
        <f t="shared" si="131"/>
        <v>NORMAL</v>
      </c>
    </row>
    <row r="2106" spans="1:22" x14ac:dyDescent="0.35">
      <c r="A2106" t="s">
        <v>4007</v>
      </c>
      <c r="B2106" t="s">
        <v>438</v>
      </c>
      <c r="C2106">
        <v>2.5099999999999998</v>
      </c>
      <c r="D2106" s="1">
        <v>45033.669687499998</v>
      </c>
      <c r="E2106" s="2">
        <f t="shared" si="128"/>
        <v>0.66968749999796273</v>
      </c>
      <c r="F2106" s="3">
        <f t="shared" si="129"/>
        <v>45033</v>
      </c>
      <c r="G2106" t="s">
        <v>17</v>
      </c>
      <c r="H2106" t="s">
        <v>197</v>
      </c>
      <c r="I2106" t="s">
        <v>1434</v>
      </c>
      <c r="J2106" t="s">
        <v>374</v>
      </c>
      <c r="K2106" t="s">
        <v>514</v>
      </c>
      <c r="L2106" t="s">
        <v>36</v>
      </c>
      <c r="M2106">
        <v>63</v>
      </c>
      <c r="N2106" t="s">
        <v>70</v>
      </c>
      <c r="O2106">
        <v>32</v>
      </c>
      <c r="P2106">
        <v>1</v>
      </c>
      <c r="Q2106">
        <v>4891.5600000000004</v>
      </c>
      <c r="R2106" s="4">
        <v>45600</v>
      </c>
      <c r="S2106" s="6">
        <v>0.34122685185185186</v>
      </c>
      <c r="T2106">
        <f t="shared" si="130"/>
        <v>16</v>
      </c>
      <c r="U2106" t="str" cm="1">
        <f t="array" ref="U2106">_xlfn.IFS(M2106&lt;=34,"YOUNG",M2106&lt;=54,"MIDDLE AGE",M2106&gt;=55,"OLD")</f>
        <v>OLD</v>
      </c>
      <c r="V2106" t="str">
        <f t="shared" si="131"/>
        <v>NORMAL</v>
      </c>
    </row>
    <row r="2107" spans="1:22" x14ac:dyDescent="0.35">
      <c r="A2107" t="s">
        <v>4008</v>
      </c>
      <c r="B2107" t="s">
        <v>1984</v>
      </c>
      <c r="C2107">
        <v>22.62</v>
      </c>
      <c r="D2107" s="1">
        <v>45056.690995370373</v>
      </c>
      <c r="E2107" s="2">
        <f t="shared" si="128"/>
        <v>0.69099537037254777</v>
      </c>
      <c r="F2107" s="3">
        <f t="shared" si="129"/>
        <v>45056</v>
      </c>
      <c r="G2107" t="s">
        <v>17</v>
      </c>
      <c r="H2107" t="s">
        <v>301</v>
      </c>
      <c r="I2107" t="s">
        <v>98</v>
      </c>
      <c r="J2107" t="s">
        <v>1325</v>
      </c>
      <c r="K2107" t="s">
        <v>326</v>
      </c>
      <c r="L2107" t="s">
        <v>22</v>
      </c>
      <c r="M2107">
        <v>64</v>
      </c>
      <c r="N2107" t="s">
        <v>23</v>
      </c>
      <c r="O2107">
        <v>102</v>
      </c>
      <c r="P2107">
        <v>1</v>
      </c>
      <c r="Q2107">
        <v>7682</v>
      </c>
      <c r="R2107" s="4">
        <v>45600</v>
      </c>
      <c r="S2107" s="6">
        <v>0.3411689814814815</v>
      </c>
      <c r="T2107">
        <f t="shared" si="130"/>
        <v>16</v>
      </c>
      <c r="U2107" t="str" cm="1">
        <f t="array" ref="U2107">_xlfn.IFS(M2107&lt;=34,"YOUNG",M2107&lt;=54,"MIDDLE AGE",M2107&gt;=55,"OLD")</f>
        <v>OLD</v>
      </c>
      <c r="V2107" t="str">
        <f t="shared" si="131"/>
        <v>NORMAL</v>
      </c>
    </row>
    <row r="2108" spans="1:22" x14ac:dyDescent="0.35">
      <c r="A2108" t="s">
        <v>4009</v>
      </c>
      <c r="B2108" t="s">
        <v>594</v>
      </c>
      <c r="C2108">
        <v>126.83</v>
      </c>
      <c r="D2108" s="1">
        <v>44977.694733796299</v>
      </c>
      <c r="E2108" s="2">
        <f t="shared" si="128"/>
        <v>0.69473379629926058</v>
      </c>
      <c r="F2108" s="3">
        <f t="shared" si="129"/>
        <v>44977</v>
      </c>
      <c r="G2108" t="s">
        <v>17</v>
      </c>
      <c r="H2108" t="s">
        <v>119</v>
      </c>
      <c r="I2108" t="s">
        <v>1555</v>
      </c>
      <c r="J2108" t="s">
        <v>3452</v>
      </c>
      <c r="K2108" t="s">
        <v>83</v>
      </c>
      <c r="L2108" t="s">
        <v>69</v>
      </c>
      <c r="M2108">
        <v>57</v>
      </c>
      <c r="N2108" t="s">
        <v>70</v>
      </c>
      <c r="O2108">
        <v>39</v>
      </c>
      <c r="P2108">
        <v>1</v>
      </c>
      <c r="Q2108">
        <v>6100.98</v>
      </c>
      <c r="R2108" s="4">
        <v>45600</v>
      </c>
      <c r="S2108" s="6">
        <v>0.34063657407407405</v>
      </c>
      <c r="T2108">
        <f t="shared" si="130"/>
        <v>16</v>
      </c>
      <c r="U2108" t="str" cm="1">
        <f t="array" ref="U2108">_xlfn.IFS(M2108&lt;=34,"YOUNG",M2108&lt;=54,"MIDDLE AGE",M2108&gt;=55,"OLD")</f>
        <v>OLD</v>
      </c>
      <c r="V2108" t="str">
        <f t="shared" si="131"/>
        <v>NORMAL</v>
      </c>
    </row>
    <row r="2109" spans="1:22" x14ac:dyDescent="0.35">
      <c r="A2109" t="s">
        <v>4010</v>
      </c>
      <c r="B2109" t="s">
        <v>2208</v>
      </c>
      <c r="C2109">
        <v>46.6</v>
      </c>
      <c r="D2109" s="1">
        <v>45168.746469907404</v>
      </c>
      <c r="E2109" s="2">
        <f t="shared" si="128"/>
        <v>0.74646990740438923</v>
      </c>
      <c r="F2109" s="3">
        <f t="shared" si="129"/>
        <v>45168</v>
      </c>
      <c r="G2109" t="s">
        <v>17</v>
      </c>
      <c r="H2109" t="s">
        <v>73</v>
      </c>
      <c r="I2109" t="s">
        <v>947</v>
      </c>
      <c r="J2109" t="s">
        <v>1505</v>
      </c>
      <c r="K2109" t="s">
        <v>406</v>
      </c>
      <c r="L2109" t="s">
        <v>36</v>
      </c>
      <c r="M2109">
        <v>55</v>
      </c>
      <c r="N2109" t="s">
        <v>23</v>
      </c>
      <c r="O2109">
        <v>68</v>
      </c>
      <c r="P2109">
        <v>1</v>
      </c>
      <c r="Q2109">
        <v>1562.9</v>
      </c>
      <c r="R2109" s="4">
        <v>45600</v>
      </c>
      <c r="S2109" s="6">
        <v>0.33776620370370369</v>
      </c>
      <c r="T2109">
        <f t="shared" si="130"/>
        <v>17</v>
      </c>
      <c r="U2109" t="str" cm="1">
        <f t="array" ref="U2109">_xlfn.IFS(M2109&lt;=34,"YOUNG",M2109&lt;=54,"MIDDLE AGE",M2109&gt;=55,"OLD")</f>
        <v>OLD</v>
      </c>
      <c r="V2109" t="str">
        <f t="shared" si="131"/>
        <v>NORMAL</v>
      </c>
    </row>
    <row r="2110" spans="1:22" x14ac:dyDescent="0.35">
      <c r="A2110" t="s">
        <v>4011</v>
      </c>
      <c r="B2110" t="s">
        <v>872</v>
      </c>
      <c r="C2110">
        <v>243.8</v>
      </c>
      <c r="D2110" s="1">
        <v>44929.69630787037</v>
      </c>
      <c r="E2110" s="2">
        <f t="shared" si="128"/>
        <v>0.69630787037021946</v>
      </c>
      <c r="F2110" s="3">
        <f t="shared" si="129"/>
        <v>44929</v>
      </c>
      <c r="G2110" t="s">
        <v>17</v>
      </c>
      <c r="H2110" t="s">
        <v>212</v>
      </c>
      <c r="I2110" t="s">
        <v>2737</v>
      </c>
      <c r="J2110" t="s">
        <v>1772</v>
      </c>
      <c r="K2110" t="s">
        <v>1810</v>
      </c>
      <c r="L2110" t="s">
        <v>69</v>
      </c>
      <c r="M2110">
        <v>57</v>
      </c>
      <c r="N2110" t="s">
        <v>23</v>
      </c>
      <c r="O2110">
        <v>48</v>
      </c>
      <c r="P2110">
        <v>1</v>
      </c>
      <c r="Q2110">
        <v>13732.81</v>
      </c>
      <c r="R2110" s="4">
        <v>45600</v>
      </c>
      <c r="S2110" s="6">
        <v>0.34038194444444442</v>
      </c>
      <c r="T2110">
        <f t="shared" si="130"/>
        <v>16</v>
      </c>
      <c r="U2110" t="str" cm="1">
        <f t="array" ref="U2110">_xlfn.IFS(M2110&lt;=34,"YOUNG",M2110&lt;=54,"MIDDLE AGE",M2110&gt;=55,"OLD")</f>
        <v>OLD</v>
      </c>
      <c r="V2110" t="str">
        <f t="shared" si="131"/>
        <v>NORMAL</v>
      </c>
    </row>
    <row r="2111" spans="1:22" x14ac:dyDescent="0.35">
      <c r="A2111" t="s">
        <v>4012</v>
      </c>
      <c r="B2111" t="s">
        <v>813</v>
      </c>
      <c r="C2111">
        <v>231.51</v>
      </c>
      <c r="D2111" s="1">
        <v>45166.723796296297</v>
      </c>
      <c r="E2111" s="2">
        <f t="shared" si="128"/>
        <v>0.72379629629722331</v>
      </c>
      <c r="F2111" s="3">
        <f t="shared" si="129"/>
        <v>45166</v>
      </c>
      <c r="G2111" t="s">
        <v>46</v>
      </c>
      <c r="H2111" t="s">
        <v>53</v>
      </c>
      <c r="I2111" t="s">
        <v>19</v>
      </c>
      <c r="J2111" t="s">
        <v>878</v>
      </c>
      <c r="K2111" t="s">
        <v>181</v>
      </c>
      <c r="L2111" t="s">
        <v>69</v>
      </c>
      <c r="M2111">
        <v>60</v>
      </c>
      <c r="N2111" t="s">
        <v>70</v>
      </c>
      <c r="O2111">
        <v>96</v>
      </c>
      <c r="P2111">
        <v>1</v>
      </c>
      <c r="Q2111">
        <v>5790.7</v>
      </c>
      <c r="R2111" s="4">
        <v>45600</v>
      </c>
      <c r="S2111" s="6">
        <v>0.34177083333333336</v>
      </c>
      <c r="T2111">
        <f t="shared" si="130"/>
        <v>17</v>
      </c>
      <c r="U2111" t="str" cm="1">
        <f t="array" ref="U2111">_xlfn.IFS(M2111&lt;=34,"YOUNG",M2111&lt;=54,"MIDDLE AGE",M2111&gt;=55,"OLD")</f>
        <v>OLD</v>
      </c>
      <c r="V2111" t="str">
        <f t="shared" si="131"/>
        <v>NORMAL</v>
      </c>
    </row>
    <row r="2112" spans="1:22" x14ac:dyDescent="0.35">
      <c r="A2112" t="s">
        <v>4013</v>
      </c>
      <c r="B2112" t="s">
        <v>1023</v>
      </c>
      <c r="C2112">
        <v>175.05</v>
      </c>
      <c r="D2112" s="1">
        <v>44928.71199074074</v>
      </c>
      <c r="E2112" s="2">
        <f t="shared" si="128"/>
        <v>0.71199074073956581</v>
      </c>
      <c r="F2112" s="3">
        <f t="shared" si="129"/>
        <v>44928</v>
      </c>
      <c r="G2112" t="s">
        <v>17</v>
      </c>
      <c r="H2112" t="s">
        <v>212</v>
      </c>
      <c r="I2112" t="s">
        <v>2758</v>
      </c>
      <c r="J2112" t="s">
        <v>1910</v>
      </c>
      <c r="K2112" t="s">
        <v>1524</v>
      </c>
      <c r="L2112" t="s">
        <v>36</v>
      </c>
      <c r="M2112">
        <v>39</v>
      </c>
      <c r="N2112" t="s">
        <v>77</v>
      </c>
      <c r="O2112">
        <v>34</v>
      </c>
      <c r="P2112">
        <v>1</v>
      </c>
      <c r="Q2112">
        <v>1447.35</v>
      </c>
      <c r="R2112" s="4">
        <v>45600</v>
      </c>
      <c r="S2112" s="6">
        <v>0.33899305555555553</v>
      </c>
      <c r="T2112">
        <f t="shared" si="130"/>
        <v>17</v>
      </c>
      <c r="U2112" t="str" cm="1">
        <f t="array" ref="U2112">_xlfn.IFS(M2112&lt;=34,"YOUNG",M2112&lt;=54,"MIDDLE AGE",M2112&gt;=55,"OLD")</f>
        <v>MIDDLE AGE</v>
      </c>
      <c r="V2112" t="str">
        <f t="shared" si="131"/>
        <v>NORMAL</v>
      </c>
    </row>
    <row r="2113" spans="1:22" x14ac:dyDescent="0.35">
      <c r="A2113" t="s">
        <v>4014</v>
      </c>
      <c r="B2113" t="s">
        <v>1394</v>
      </c>
      <c r="C2113">
        <v>762.74</v>
      </c>
      <c r="D2113" s="1">
        <v>45048.725624999999</v>
      </c>
      <c r="E2113" s="2">
        <f t="shared" si="128"/>
        <v>0.72562499999912689</v>
      </c>
      <c r="F2113" s="3">
        <f t="shared" si="129"/>
        <v>45048</v>
      </c>
      <c r="G2113" t="s">
        <v>17</v>
      </c>
      <c r="H2113" t="s">
        <v>140</v>
      </c>
      <c r="I2113" t="s">
        <v>1977</v>
      </c>
      <c r="J2113" t="s">
        <v>3152</v>
      </c>
      <c r="K2113" t="s">
        <v>200</v>
      </c>
      <c r="L2113" t="s">
        <v>22</v>
      </c>
      <c r="M2113">
        <v>64</v>
      </c>
      <c r="N2113" t="s">
        <v>23</v>
      </c>
      <c r="O2113">
        <v>244</v>
      </c>
      <c r="P2113">
        <v>1</v>
      </c>
      <c r="Q2113">
        <v>207.1</v>
      </c>
      <c r="R2113" s="4">
        <v>45600</v>
      </c>
      <c r="S2113" s="6">
        <v>0.33795138888888887</v>
      </c>
      <c r="T2113">
        <f t="shared" si="130"/>
        <v>17</v>
      </c>
      <c r="U2113" t="str" cm="1">
        <f t="array" ref="U2113">_xlfn.IFS(M2113&lt;=34,"YOUNG",M2113&lt;=54,"MIDDLE AGE",M2113&gt;=55,"OLD")</f>
        <v>OLD</v>
      </c>
      <c r="V2113" t="str">
        <f t="shared" si="131"/>
        <v>NORMAL</v>
      </c>
    </row>
    <row r="2114" spans="1:22" x14ac:dyDescent="0.35">
      <c r="A2114" t="s">
        <v>4015</v>
      </c>
      <c r="B2114" t="s">
        <v>1696</v>
      </c>
      <c r="C2114">
        <v>34.03</v>
      </c>
      <c r="D2114" s="1">
        <v>45068.714930555558</v>
      </c>
      <c r="E2114" s="2">
        <f t="shared" ref="E2114:E2177" si="132">D2114-INT(D2114)</f>
        <v>0.7149305555576575</v>
      </c>
      <c r="F2114" s="3">
        <f t="shared" ref="F2114:F2177" si="133">INT(D2114)</f>
        <v>45068</v>
      </c>
      <c r="G2114" t="s">
        <v>17</v>
      </c>
      <c r="H2114" t="s">
        <v>140</v>
      </c>
      <c r="I2114" t="s">
        <v>2318</v>
      </c>
      <c r="J2114" t="s">
        <v>1605</v>
      </c>
      <c r="K2114" t="s">
        <v>1810</v>
      </c>
      <c r="L2114" t="s">
        <v>69</v>
      </c>
      <c r="M2114">
        <v>57</v>
      </c>
      <c r="N2114" t="s">
        <v>77</v>
      </c>
      <c r="O2114">
        <v>38</v>
      </c>
      <c r="P2114">
        <v>1</v>
      </c>
      <c r="Q2114">
        <v>3077.2</v>
      </c>
      <c r="R2114" s="4">
        <v>45600</v>
      </c>
      <c r="S2114" s="6">
        <v>0.3402662037037037</v>
      </c>
      <c r="T2114">
        <f t="shared" si="130"/>
        <v>17</v>
      </c>
      <c r="U2114" t="str" cm="1">
        <f t="array" ref="U2114">_xlfn.IFS(M2114&lt;=34,"YOUNG",M2114&lt;=54,"MIDDLE AGE",M2114&gt;=55,"OLD")</f>
        <v>OLD</v>
      </c>
      <c r="V2114" t="str">
        <f t="shared" si="131"/>
        <v>NORMAL</v>
      </c>
    </row>
    <row r="2115" spans="1:22" x14ac:dyDescent="0.35">
      <c r="A2115" t="s">
        <v>4016</v>
      </c>
      <c r="B2115" t="s">
        <v>295</v>
      </c>
      <c r="C2115">
        <v>15.95</v>
      </c>
      <c r="D2115" s="1">
        <v>44999.715277777781</v>
      </c>
      <c r="E2115" s="2">
        <f t="shared" si="132"/>
        <v>0.71527777778101154</v>
      </c>
      <c r="F2115" s="3">
        <f t="shared" si="133"/>
        <v>44999</v>
      </c>
      <c r="G2115" t="s">
        <v>17</v>
      </c>
      <c r="H2115" t="s">
        <v>40</v>
      </c>
      <c r="I2115" t="s">
        <v>1952</v>
      </c>
      <c r="J2115" t="s">
        <v>2298</v>
      </c>
      <c r="K2115" t="s">
        <v>122</v>
      </c>
      <c r="L2115" t="s">
        <v>69</v>
      </c>
      <c r="M2115">
        <v>25</v>
      </c>
      <c r="N2115" t="s">
        <v>37</v>
      </c>
      <c r="O2115">
        <v>52</v>
      </c>
      <c r="P2115">
        <v>1</v>
      </c>
      <c r="Q2115">
        <v>1983</v>
      </c>
      <c r="R2115" s="4">
        <v>45600</v>
      </c>
      <c r="S2115" s="6">
        <v>0.34142361111111114</v>
      </c>
      <c r="T2115">
        <f t="shared" ref="T2115:T2178" si="134">HOUR(E2115)</f>
        <v>17</v>
      </c>
      <c r="U2115" t="str" cm="1">
        <f t="array" ref="U2115">_xlfn.IFS(M2115&lt;=34,"YOUNG",M2115&lt;=54,"MIDDLE AGE",M2115&gt;=55,"OLD")</f>
        <v>YOUNG</v>
      </c>
      <c r="V2115" t="str">
        <f t="shared" ref="V2115:V2178" si="135">IF(P2115&gt;1,"HIGH","NORMAL")</f>
        <v>NORMAL</v>
      </c>
    </row>
    <row r="2116" spans="1:22" x14ac:dyDescent="0.35">
      <c r="A2116" t="s">
        <v>4017</v>
      </c>
      <c r="B2116" t="s">
        <v>333</v>
      </c>
      <c r="C2116">
        <v>926.53</v>
      </c>
      <c r="D2116" s="1">
        <v>45254.725277777776</v>
      </c>
      <c r="E2116" s="2">
        <f t="shared" si="132"/>
        <v>0.72527777777577285</v>
      </c>
      <c r="F2116" s="3">
        <f t="shared" si="133"/>
        <v>45254</v>
      </c>
      <c r="G2116" t="s">
        <v>17</v>
      </c>
      <c r="H2116" t="s">
        <v>178</v>
      </c>
      <c r="I2116" t="s">
        <v>2503</v>
      </c>
      <c r="J2116" t="s">
        <v>1913</v>
      </c>
      <c r="K2116" t="s">
        <v>331</v>
      </c>
      <c r="L2116" t="s">
        <v>22</v>
      </c>
      <c r="M2116">
        <v>57</v>
      </c>
      <c r="N2116" t="s">
        <v>77</v>
      </c>
      <c r="O2116">
        <v>107</v>
      </c>
      <c r="P2116">
        <v>1</v>
      </c>
      <c r="Q2116">
        <v>3120.1</v>
      </c>
      <c r="R2116" s="4">
        <v>45600</v>
      </c>
      <c r="S2116" s="6">
        <v>0.33777777777777779</v>
      </c>
      <c r="T2116">
        <f t="shared" si="134"/>
        <v>17</v>
      </c>
      <c r="U2116" t="str" cm="1">
        <f t="array" ref="U2116">_xlfn.IFS(M2116&lt;=34,"YOUNG",M2116&lt;=54,"MIDDLE AGE",M2116&gt;=55,"OLD")</f>
        <v>OLD</v>
      </c>
      <c r="V2116" t="str">
        <f t="shared" si="135"/>
        <v>NORMAL</v>
      </c>
    </row>
    <row r="2117" spans="1:22" x14ac:dyDescent="0.35">
      <c r="A2117" t="s">
        <v>4018</v>
      </c>
      <c r="B2117" t="s">
        <v>962</v>
      </c>
      <c r="C2117">
        <v>101.51</v>
      </c>
      <c r="D2117" s="1">
        <v>45008.679062499999</v>
      </c>
      <c r="E2117" s="2">
        <f t="shared" si="132"/>
        <v>0.67906249999941792</v>
      </c>
      <c r="F2117" s="3">
        <f t="shared" si="133"/>
        <v>45008</v>
      </c>
      <c r="G2117" t="s">
        <v>46</v>
      </c>
      <c r="H2117" t="s">
        <v>255</v>
      </c>
      <c r="I2117" t="s">
        <v>2406</v>
      </c>
      <c r="J2117" t="s">
        <v>921</v>
      </c>
      <c r="K2117" t="s">
        <v>564</v>
      </c>
      <c r="L2117" t="s">
        <v>36</v>
      </c>
      <c r="M2117">
        <v>46</v>
      </c>
      <c r="N2117" t="s">
        <v>77</v>
      </c>
      <c r="O2117">
        <v>199</v>
      </c>
      <c r="P2117">
        <v>1</v>
      </c>
      <c r="Q2117">
        <v>3052.47</v>
      </c>
      <c r="R2117" s="4">
        <v>45600</v>
      </c>
      <c r="S2117" s="6">
        <v>0.34159722222222222</v>
      </c>
      <c r="T2117">
        <f t="shared" si="134"/>
        <v>16</v>
      </c>
      <c r="U2117" t="str" cm="1">
        <f t="array" ref="U2117">_xlfn.IFS(M2117&lt;=34,"YOUNG",M2117&lt;=54,"MIDDLE AGE",M2117&gt;=55,"OLD")</f>
        <v>MIDDLE AGE</v>
      </c>
      <c r="V2117" t="str">
        <f t="shared" si="135"/>
        <v>NORMAL</v>
      </c>
    </row>
    <row r="2118" spans="1:22" x14ac:dyDescent="0.35">
      <c r="A2118" t="s">
        <v>4019</v>
      </c>
      <c r="B2118" t="s">
        <v>1739</v>
      </c>
      <c r="C2118">
        <v>309.42</v>
      </c>
      <c r="D2118" s="1">
        <v>45217.70244212963</v>
      </c>
      <c r="E2118" s="2">
        <f t="shared" si="132"/>
        <v>0.70244212963007158</v>
      </c>
      <c r="F2118" s="3">
        <f t="shared" si="133"/>
        <v>45217</v>
      </c>
      <c r="G2118" t="s">
        <v>17</v>
      </c>
      <c r="H2118" t="s">
        <v>558</v>
      </c>
      <c r="I2118" t="s">
        <v>1162</v>
      </c>
      <c r="J2118" t="s">
        <v>2535</v>
      </c>
      <c r="K2118" t="s">
        <v>548</v>
      </c>
      <c r="L2118" t="s">
        <v>69</v>
      </c>
      <c r="M2118">
        <v>27</v>
      </c>
      <c r="N2118" t="s">
        <v>77</v>
      </c>
      <c r="O2118">
        <v>42</v>
      </c>
      <c r="P2118">
        <v>1</v>
      </c>
      <c r="Q2118">
        <v>8564.4599999999991</v>
      </c>
      <c r="R2118" s="4">
        <v>45600</v>
      </c>
      <c r="S2118" s="6">
        <v>0.34052083333333333</v>
      </c>
      <c r="T2118">
        <f t="shared" si="134"/>
        <v>16</v>
      </c>
      <c r="U2118" t="str" cm="1">
        <f t="array" ref="U2118">_xlfn.IFS(M2118&lt;=34,"YOUNG",M2118&lt;=54,"MIDDLE AGE",M2118&gt;=55,"OLD")</f>
        <v>YOUNG</v>
      </c>
      <c r="V2118" t="str">
        <f t="shared" si="135"/>
        <v>NORMAL</v>
      </c>
    </row>
    <row r="2119" spans="1:22" x14ac:dyDescent="0.35">
      <c r="A2119" t="s">
        <v>4020</v>
      </c>
      <c r="B2119" t="s">
        <v>3924</v>
      </c>
      <c r="C2119">
        <v>257.60000000000002</v>
      </c>
      <c r="D2119" s="1">
        <v>45278.688032407408</v>
      </c>
      <c r="E2119" s="2">
        <f t="shared" si="132"/>
        <v>0.68803240740817273</v>
      </c>
      <c r="F2119" s="3">
        <f t="shared" si="133"/>
        <v>45278</v>
      </c>
      <c r="G2119" t="s">
        <v>46</v>
      </c>
      <c r="H2119" t="s">
        <v>157</v>
      </c>
      <c r="I2119" t="s">
        <v>1473</v>
      </c>
      <c r="J2119" t="s">
        <v>2041</v>
      </c>
      <c r="K2119" t="s">
        <v>432</v>
      </c>
      <c r="L2119" t="s">
        <v>36</v>
      </c>
      <c r="M2119">
        <v>59</v>
      </c>
      <c r="N2119" t="s">
        <v>70</v>
      </c>
      <c r="O2119">
        <v>293</v>
      </c>
      <c r="P2119">
        <v>1</v>
      </c>
      <c r="Q2119">
        <v>7950.74</v>
      </c>
      <c r="R2119" s="4">
        <v>45600</v>
      </c>
      <c r="S2119" s="6">
        <v>0.34024305555555556</v>
      </c>
      <c r="T2119">
        <f t="shared" si="134"/>
        <v>16</v>
      </c>
      <c r="U2119" t="str" cm="1">
        <f t="array" ref="U2119">_xlfn.IFS(M2119&lt;=34,"YOUNG",M2119&lt;=54,"MIDDLE AGE",M2119&gt;=55,"OLD")</f>
        <v>OLD</v>
      </c>
      <c r="V2119" t="str">
        <f t="shared" si="135"/>
        <v>NORMAL</v>
      </c>
    </row>
    <row r="2120" spans="1:22" x14ac:dyDescent="0.35">
      <c r="A2120" t="s">
        <v>4021</v>
      </c>
      <c r="B2120" t="s">
        <v>1238</v>
      </c>
      <c r="C2120">
        <v>746.78</v>
      </c>
      <c r="D2120" s="1">
        <v>45257.686990740738</v>
      </c>
      <c r="E2120" s="2">
        <f t="shared" si="132"/>
        <v>0.68699074073811062</v>
      </c>
      <c r="F2120" s="3">
        <f t="shared" si="133"/>
        <v>45257</v>
      </c>
      <c r="G2120" t="s">
        <v>46</v>
      </c>
      <c r="H2120" t="s">
        <v>32</v>
      </c>
      <c r="I2120" t="s">
        <v>2976</v>
      </c>
      <c r="J2120" t="s">
        <v>4022</v>
      </c>
      <c r="K2120" t="s">
        <v>353</v>
      </c>
      <c r="L2120" t="s">
        <v>69</v>
      </c>
      <c r="M2120">
        <v>21</v>
      </c>
      <c r="N2120" t="s">
        <v>37</v>
      </c>
      <c r="O2120">
        <v>64</v>
      </c>
      <c r="P2120">
        <v>1</v>
      </c>
      <c r="Q2120">
        <v>1699.81</v>
      </c>
      <c r="R2120" s="4">
        <v>45600</v>
      </c>
      <c r="S2120" s="6">
        <v>0.33870370370370373</v>
      </c>
      <c r="T2120">
        <f t="shared" si="134"/>
        <v>16</v>
      </c>
      <c r="U2120" t="str" cm="1">
        <f t="array" ref="U2120">_xlfn.IFS(M2120&lt;=34,"YOUNG",M2120&lt;=54,"MIDDLE AGE",M2120&gt;=55,"OLD")</f>
        <v>YOUNG</v>
      </c>
      <c r="V2120" t="str">
        <f t="shared" si="135"/>
        <v>NORMAL</v>
      </c>
    </row>
    <row r="2121" spans="1:22" x14ac:dyDescent="0.35">
      <c r="A2121" t="s">
        <v>4023</v>
      </c>
      <c r="B2121" t="s">
        <v>64</v>
      </c>
      <c r="C2121">
        <v>82.01</v>
      </c>
      <c r="D2121" s="1">
        <v>45285.727743055555</v>
      </c>
      <c r="E2121" s="2">
        <f t="shared" si="132"/>
        <v>0.72774305555503815</v>
      </c>
      <c r="F2121" s="3">
        <f t="shared" si="133"/>
        <v>45285</v>
      </c>
      <c r="G2121" t="s">
        <v>46</v>
      </c>
      <c r="H2121" t="s">
        <v>285</v>
      </c>
      <c r="I2121" t="s">
        <v>3546</v>
      </c>
      <c r="J2121" t="s">
        <v>99</v>
      </c>
      <c r="K2121" t="s">
        <v>348</v>
      </c>
      <c r="L2121" t="s">
        <v>69</v>
      </c>
      <c r="M2121">
        <v>23</v>
      </c>
      <c r="N2121" t="s">
        <v>37</v>
      </c>
      <c r="O2121">
        <v>156</v>
      </c>
      <c r="P2121">
        <v>1</v>
      </c>
      <c r="Q2121">
        <v>287.45999999999998</v>
      </c>
      <c r="R2121" s="4">
        <v>45600</v>
      </c>
      <c r="S2121" s="6">
        <v>0.33835648148148151</v>
      </c>
      <c r="T2121">
        <f t="shared" si="134"/>
        <v>17</v>
      </c>
      <c r="U2121" t="str" cm="1">
        <f t="array" ref="U2121">_xlfn.IFS(M2121&lt;=34,"YOUNG",M2121&lt;=54,"MIDDLE AGE",M2121&gt;=55,"OLD")</f>
        <v>YOUNG</v>
      </c>
      <c r="V2121" t="str">
        <f t="shared" si="135"/>
        <v>NORMAL</v>
      </c>
    </row>
    <row r="2122" spans="1:22" x14ac:dyDescent="0.35">
      <c r="A2122" t="s">
        <v>4024</v>
      </c>
      <c r="B2122" t="s">
        <v>139</v>
      </c>
      <c r="C2122">
        <v>476.99</v>
      </c>
      <c r="D2122" s="1">
        <v>44936.667037037034</v>
      </c>
      <c r="E2122" s="2">
        <f t="shared" si="132"/>
        <v>0.66703703703387873</v>
      </c>
      <c r="F2122" s="3">
        <f t="shared" si="133"/>
        <v>44936</v>
      </c>
      <c r="G2122" t="s">
        <v>17</v>
      </c>
      <c r="H2122" t="s">
        <v>18</v>
      </c>
      <c r="I2122" t="s">
        <v>3480</v>
      </c>
      <c r="J2122" t="s">
        <v>2316</v>
      </c>
      <c r="K2122" t="s">
        <v>154</v>
      </c>
      <c r="L2122" t="s">
        <v>36</v>
      </c>
      <c r="M2122">
        <v>23</v>
      </c>
      <c r="N2122" t="s">
        <v>37</v>
      </c>
      <c r="O2122">
        <v>187</v>
      </c>
      <c r="P2122">
        <v>1</v>
      </c>
      <c r="Q2122">
        <v>1154.48</v>
      </c>
      <c r="R2122" s="4">
        <v>45600</v>
      </c>
      <c r="S2122" s="6">
        <v>0.34039351851851851</v>
      </c>
      <c r="T2122">
        <f t="shared" si="134"/>
        <v>16</v>
      </c>
      <c r="U2122" t="str" cm="1">
        <f t="array" ref="U2122">_xlfn.IFS(M2122&lt;=34,"YOUNG",M2122&lt;=54,"MIDDLE AGE",M2122&gt;=55,"OLD")</f>
        <v>YOUNG</v>
      </c>
      <c r="V2122" t="str">
        <f t="shared" si="135"/>
        <v>NORMAL</v>
      </c>
    </row>
    <row r="2123" spans="1:22" x14ac:dyDescent="0.35">
      <c r="A2123" t="s">
        <v>4025</v>
      </c>
      <c r="B2123" t="s">
        <v>1405</v>
      </c>
      <c r="C2123">
        <v>320.11</v>
      </c>
      <c r="D2123" s="1">
        <v>45169.685150462959</v>
      </c>
      <c r="E2123" s="2">
        <f t="shared" si="132"/>
        <v>0.68515046295942739</v>
      </c>
      <c r="F2123" s="3">
        <f t="shared" si="133"/>
        <v>45169</v>
      </c>
      <c r="G2123" t="s">
        <v>17</v>
      </c>
      <c r="H2123" t="s">
        <v>506</v>
      </c>
      <c r="I2123" t="s">
        <v>2617</v>
      </c>
      <c r="J2123" t="s">
        <v>567</v>
      </c>
      <c r="K2123" t="s">
        <v>105</v>
      </c>
      <c r="L2123" t="s">
        <v>69</v>
      </c>
      <c r="M2123">
        <v>23</v>
      </c>
      <c r="N2123" t="s">
        <v>37</v>
      </c>
      <c r="O2123">
        <v>130</v>
      </c>
      <c r="P2123">
        <v>1</v>
      </c>
      <c r="Q2123">
        <v>4076.48</v>
      </c>
      <c r="R2123" s="4">
        <v>45600</v>
      </c>
      <c r="S2123" s="6">
        <v>0.33863425925925927</v>
      </c>
      <c r="T2123">
        <f t="shared" si="134"/>
        <v>16</v>
      </c>
      <c r="U2123" t="str" cm="1">
        <f t="array" ref="U2123">_xlfn.IFS(M2123&lt;=34,"YOUNG",M2123&lt;=54,"MIDDLE AGE",M2123&gt;=55,"OLD")</f>
        <v>YOUNG</v>
      </c>
      <c r="V2123" t="str">
        <f t="shared" si="135"/>
        <v>NORMAL</v>
      </c>
    </row>
    <row r="2124" spans="1:22" x14ac:dyDescent="0.35">
      <c r="A2124" t="s">
        <v>4026</v>
      </c>
      <c r="B2124" t="s">
        <v>1418</v>
      </c>
      <c r="C2124">
        <v>333.39</v>
      </c>
      <c r="D2124" s="1">
        <v>45180.692349537036</v>
      </c>
      <c r="E2124" s="2">
        <f t="shared" si="132"/>
        <v>0.69234953703562496</v>
      </c>
      <c r="F2124" s="3">
        <f t="shared" si="133"/>
        <v>45180</v>
      </c>
      <c r="G2124" t="s">
        <v>17</v>
      </c>
      <c r="H2124" t="s">
        <v>243</v>
      </c>
      <c r="I2124" t="s">
        <v>1369</v>
      </c>
      <c r="J2124" t="s">
        <v>731</v>
      </c>
      <c r="K2124" t="s">
        <v>21</v>
      </c>
      <c r="L2124" t="s">
        <v>22</v>
      </c>
      <c r="M2124">
        <v>68</v>
      </c>
      <c r="N2124" t="s">
        <v>23</v>
      </c>
      <c r="O2124">
        <v>35</v>
      </c>
      <c r="P2124">
        <v>1</v>
      </c>
      <c r="Q2124">
        <v>10628.59</v>
      </c>
      <c r="R2124" s="4">
        <v>45600</v>
      </c>
      <c r="S2124" s="6">
        <v>0.33931712962962962</v>
      </c>
      <c r="T2124">
        <f t="shared" si="134"/>
        <v>16</v>
      </c>
      <c r="U2124" t="str" cm="1">
        <f t="array" ref="U2124">_xlfn.IFS(M2124&lt;=34,"YOUNG",M2124&lt;=54,"MIDDLE AGE",M2124&gt;=55,"OLD")</f>
        <v>OLD</v>
      </c>
      <c r="V2124" t="str">
        <f t="shared" si="135"/>
        <v>NORMAL</v>
      </c>
    </row>
    <row r="2125" spans="1:22" x14ac:dyDescent="0.35">
      <c r="A2125" t="s">
        <v>4027</v>
      </c>
      <c r="B2125" t="s">
        <v>145</v>
      </c>
      <c r="C2125">
        <v>10.3</v>
      </c>
      <c r="D2125" s="1">
        <v>45267.707708333335</v>
      </c>
      <c r="E2125" s="2">
        <f t="shared" si="132"/>
        <v>0.70770833333517658</v>
      </c>
      <c r="F2125" s="3">
        <f t="shared" si="133"/>
        <v>45267</v>
      </c>
      <c r="G2125" t="s">
        <v>17</v>
      </c>
      <c r="H2125" t="s">
        <v>558</v>
      </c>
      <c r="I2125" t="s">
        <v>439</v>
      </c>
      <c r="J2125" t="s">
        <v>1032</v>
      </c>
      <c r="K2125" t="s">
        <v>154</v>
      </c>
      <c r="L2125" t="s">
        <v>22</v>
      </c>
      <c r="M2125">
        <v>47</v>
      </c>
      <c r="N2125" t="s">
        <v>77</v>
      </c>
      <c r="O2125">
        <v>197</v>
      </c>
      <c r="P2125">
        <v>1</v>
      </c>
      <c r="Q2125">
        <v>7801.32</v>
      </c>
      <c r="R2125" s="4">
        <v>45600</v>
      </c>
      <c r="S2125" s="6">
        <v>0.34041666666666665</v>
      </c>
      <c r="T2125">
        <f t="shared" si="134"/>
        <v>16</v>
      </c>
      <c r="U2125" t="str" cm="1">
        <f t="array" ref="U2125">_xlfn.IFS(M2125&lt;=34,"YOUNG",M2125&lt;=54,"MIDDLE AGE",M2125&gt;=55,"OLD")</f>
        <v>MIDDLE AGE</v>
      </c>
      <c r="V2125" t="str">
        <f t="shared" si="135"/>
        <v>NORMAL</v>
      </c>
    </row>
    <row r="2126" spans="1:22" x14ac:dyDescent="0.35">
      <c r="A2126" t="s">
        <v>4028</v>
      </c>
      <c r="B2126" t="s">
        <v>1438</v>
      </c>
      <c r="C2126">
        <v>737.46</v>
      </c>
      <c r="D2126" s="1">
        <v>44929.686145833337</v>
      </c>
      <c r="E2126" s="2">
        <f t="shared" si="132"/>
        <v>0.68614583333692281</v>
      </c>
      <c r="F2126" s="3">
        <f t="shared" si="133"/>
        <v>44929</v>
      </c>
      <c r="G2126" t="s">
        <v>46</v>
      </c>
      <c r="H2126" t="s">
        <v>86</v>
      </c>
      <c r="I2126" t="s">
        <v>1187</v>
      </c>
      <c r="J2126" t="s">
        <v>677</v>
      </c>
      <c r="K2126" t="s">
        <v>980</v>
      </c>
      <c r="L2126" t="s">
        <v>69</v>
      </c>
      <c r="M2126">
        <v>53</v>
      </c>
      <c r="N2126" t="s">
        <v>23</v>
      </c>
      <c r="O2126">
        <v>75</v>
      </c>
      <c r="P2126">
        <v>4</v>
      </c>
      <c r="Q2126">
        <v>634.16</v>
      </c>
      <c r="R2126" s="4">
        <v>45600</v>
      </c>
      <c r="S2126" s="6">
        <v>0.33862268518518518</v>
      </c>
      <c r="T2126">
        <f t="shared" si="134"/>
        <v>16</v>
      </c>
      <c r="U2126" t="str" cm="1">
        <f t="array" ref="U2126">_xlfn.IFS(M2126&lt;=34,"YOUNG",M2126&lt;=54,"MIDDLE AGE",M2126&gt;=55,"OLD")</f>
        <v>MIDDLE AGE</v>
      </c>
      <c r="V2126" t="str">
        <f t="shared" si="135"/>
        <v>HIGH</v>
      </c>
    </row>
    <row r="2127" spans="1:22" x14ac:dyDescent="0.35">
      <c r="A2127" t="s">
        <v>4029</v>
      </c>
      <c r="B2127" t="s">
        <v>1394</v>
      </c>
      <c r="C2127">
        <v>416.55</v>
      </c>
      <c r="D2127" s="1">
        <v>45051.730474537035</v>
      </c>
      <c r="E2127" s="2">
        <f t="shared" si="132"/>
        <v>0.73047453703475185</v>
      </c>
      <c r="F2127" s="3">
        <f t="shared" si="133"/>
        <v>45051</v>
      </c>
      <c r="G2127" t="s">
        <v>17</v>
      </c>
      <c r="H2127" t="s">
        <v>53</v>
      </c>
      <c r="I2127" t="s">
        <v>1588</v>
      </c>
      <c r="J2127" t="s">
        <v>937</v>
      </c>
      <c r="K2127" t="s">
        <v>858</v>
      </c>
      <c r="L2127" t="s">
        <v>36</v>
      </c>
      <c r="M2127">
        <v>33</v>
      </c>
      <c r="N2127" t="s">
        <v>77</v>
      </c>
      <c r="O2127">
        <v>73</v>
      </c>
      <c r="P2127">
        <v>1</v>
      </c>
      <c r="Q2127">
        <v>922.96</v>
      </c>
      <c r="R2127" s="4">
        <v>45600</v>
      </c>
      <c r="S2127" s="6">
        <v>0.33842592592592591</v>
      </c>
      <c r="T2127">
        <f t="shared" si="134"/>
        <v>17</v>
      </c>
      <c r="U2127" t="str" cm="1">
        <f t="array" ref="U2127">_xlfn.IFS(M2127&lt;=34,"YOUNG",M2127&lt;=54,"MIDDLE AGE",M2127&gt;=55,"OLD")</f>
        <v>YOUNG</v>
      </c>
      <c r="V2127" t="str">
        <f t="shared" si="135"/>
        <v>NORMAL</v>
      </c>
    </row>
    <row r="2128" spans="1:22" x14ac:dyDescent="0.35">
      <c r="A2128" t="s">
        <v>4030</v>
      </c>
      <c r="B2128" t="s">
        <v>130</v>
      </c>
      <c r="C2128">
        <v>84.91</v>
      </c>
      <c r="D2128" s="1">
        <v>45215.776562500003</v>
      </c>
      <c r="E2128" s="2">
        <f t="shared" si="132"/>
        <v>0.77656250000291038</v>
      </c>
      <c r="F2128" s="3">
        <f t="shared" si="133"/>
        <v>45215</v>
      </c>
      <c r="G2128" t="s">
        <v>17</v>
      </c>
      <c r="H2128" t="s">
        <v>40</v>
      </c>
      <c r="I2128" t="s">
        <v>1651</v>
      </c>
      <c r="J2128" t="s">
        <v>1581</v>
      </c>
      <c r="K2128" t="s">
        <v>639</v>
      </c>
      <c r="L2128" t="s">
        <v>36</v>
      </c>
      <c r="M2128">
        <v>18</v>
      </c>
      <c r="N2128" t="s">
        <v>37</v>
      </c>
      <c r="O2128">
        <v>68</v>
      </c>
      <c r="P2128">
        <v>1</v>
      </c>
      <c r="Q2128">
        <v>1671.86</v>
      </c>
      <c r="R2128" s="4">
        <v>45600</v>
      </c>
      <c r="S2128" s="6">
        <v>0.33818287037037037</v>
      </c>
      <c r="T2128">
        <f t="shared" si="134"/>
        <v>18</v>
      </c>
      <c r="U2128" t="str" cm="1">
        <f t="array" ref="U2128">_xlfn.IFS(M2128&lt;=34,"YOUNG",M2128&lt;=54,"MIDDLE AGE",M2128&gt;=55,"OLD")</f>
        <v>YOUNG</v>
      </c>
      <c r="V2128" t="str">
        <f t="shared" si="135"/>
        <v>NORMAL</v>
      </c>
    </row>
    <row r="2129" spans="1:22" x14ac:dyDescent="0.35">
      <c r="A2129" t="s">
        <v>4031</v>
      </c>
      <c r="B2129" t="s">
        <v>1826</v>
      </c>
      <c r="C2129">
        <v>98.95</v>
      </c>
      <c r="D2129" s="1">
        <v>45289.734456018516</v>
      </c>
      <c r="E2129" s="2">
        <f t="shared" si="132"/>
        <v>0.73445601851562969</v>
      </c>
      <c r="F2129" s="3">
        <f t="shared" si="133"/>
        <v>45289</v>
      </c>
      <c r="G2129" t="s">
        <v>17</v>
      </c>
      <c r="H2129" t="s">
        <v>32</v>
      </c>
      <c r="I2129" t="s">
        <v>126</v>
      </c>
      <c r="J2129" t="s">
        <v>1459</v>
      </c>
      <c r="K2129" t="s">
        <v>820</v>
      </c>
      <c r="L2129" t="s">
        <v>69</v>
      </c>
      <c r="M2129">
        <v>75</v>
      </c>
      <c r="N2129" t="s">
        <v>70</v>
      </c>
      <c r="O2129">
        <v>73</v>
      </c>
      <c r="P2129">
        <v>1</v>
      </c>
      <c r="Q2129">
        <v>5670.82</v>
      </c>
      <c r="R2129" s="4">
        <v>45600</v>
      </c>
      <c r="S2129" s="6">
        <v>0.33879629629629632</v>
      </c>
      <c r="T2129">
        <f t="shared" si="134"/>
        <v>17</v>
      </c>
      <c r="U2129" t="str" cm="1">
        <f t="array" ref="U2129">_xlfn.IFS(M2129&lt;=34,"YOUNG",M2129&lt;=54,"MIDDLE AGE",M2129&gt;=55,"OLD")</f>
        <v>OLD</v>
      </c>
      <c r="V2129" t="str">
        <f t="shared" si="135"/>
        <v>NORMAL</v>
      </c>
    </row>
    <row r="2130" spans="1:22" x14ac:dyDescent="0.35">
      <c r="A2130" t="s">
        <v>4032</v>
      </c>
      <c r="B2130" t="s">
        <v>2583</v>
      </c>
      <c r="C2130">
        <v>18.14</v>
      </c>
      <c r="D2130" s="1">
        <v>44974.782627314817</v>
      </c>
      <c r="E2130" s="2">
        <f t="shared" si="132"/>
        <v>0.7826273148166365</v>
      </c>
      <c r="F2130" s="3">
        <f t="shared" si="133"/>
        <v>44974</v>
      </c>
      <c r="G2130" t="s">
        <v>46</v>
      </c>
      <c r="H2130" t="s">
        <v>178</v>
      </c>
      <c r="I2130" t="s">
        <v>54</v>
      </c>
      <c r="J2130" t="s">
        <v>2010</v>
      </c>
      <c r="K2130" t="s">
        <v>348</v>
      </c>
      <c r="L2130" t="s">
        <v>22</v>
      </c>
      <c r="M2130">
        <v>58</v>
      </c>
      <c r="N2130" t="s">
        <v>70</v>
      </c>
      <c r="O2130">
        <v>48</v>
      </c>
      <c r="P2130">
        <v>1</v>
      </c>
      <c r="Q2130">
        <v>6020.85</v>
      </c>
      <c r="R2130" s="4">
        <v>45600</v>
      </c>
      <c r="S2130" s="6">
        <v>0.34106481481481482</v>
      </c>
      <c r="T2130">
        <f t="shared" si="134"/>
        <v>18</v>
      </c>
      <c r="U2130" t="str" cm="1">
        <f t="array" ref="U2130">_xlfn.IFS(M2130&lt;=34,"YOUNG",M2130&lt;=54,"MIDDLE AGE",M2130&gt;=55,"OLD")</f>
        <v>OLD</v>
      </c>
      <c r="V2130" t="str">
        <f t="shared" si="135"/>
        <v>NORMAL</v>
      </c>
    </row>
    <row r="2131" spans="1:22" x14ac:dyDescent="0.35">
      <c r="A2131" t="s">
        <v>4033</v>
      </c>
      <c r="B2131" t="s">
        <v>1027</v>
      </c>
      <c r="C2131">
        <v>1154.79</v>
      </c>
      <c r="D2131" s="1">
        <v>45140.744988425926</v>
      </c>
      <c r="E2131" s="2">
        <f t="shared" si="132"/>
        <v>0.74498842592583969</v>
      </c>
      <c r="F2131" s="3">
        <f t="shared" si="133"/>
        <v>45140</v>
      </c>
      <c r="G2131" t="s">
        <v>17</v>
      </c>
      <c r="H2131" t="s">
        <v>125</v>
      </c>
      <c r="I2131" t="s">
        <v>1194</v>
      </c>
      <c r="J2131" t="s">
        <v>1470</v>
      </c>
      <c r="K2131" t="s">
        <v>598</v>
      </c>
      <c r="L2131" t="s">
        <v>22</v>
      </c>
      <c r="M2131">
        <v>51</v>
      </c>
      <c r="N2131" t="s">
        <v>23</v>
      </c>
      <c r="O2131">
        <v>108</v>
      </c>
      <c r="P2131">
        <v>1</v>
      </c>
      <c r="Q2131">
        <v>6180.3</v>
      </c>
      <c r="R2131" s="4">
        <v>45600</v>
      </c>
      <c r="S2131" s="6">
        <v>0.34151620370370372</v>
      </c>
      <c r="T2131">
        <f t="shared" si="134"/>
        <v>17</v>
      </c>
      <c r="U2131" t="str" cm="1">
        <f t="array" ref="U2131">_xlfn.IFS(M2131&lt;=34,"YOUNG",M2131&lt;=54,"MIDDLE AGE",M2131&gt;=55,"OLD")</f>
        <v>MIDDLE AGE</v>
      </c>
      <c r="V2131" t="str">
        <f t="shared" si="135"/>
        <v>NORMAL</v>
      </c>
    </row>
    <row r="2132" spans="1:22" x14ac:dyDescent="0.35">
      <c r="A2132" t="s">
        <v>4034</v>
      </c>
      <c r="B2132" t="s">
        <v>442</v>
      </c>
      <c r="C2132">
        <v>215.13</v>
      </c>
      <c r="D2132" s="1">
        <v>44931.668541666666</v>
      </c>
      <c r="E2132" s="2">
        <f t="shared" si="132"/>
        <v>0.66854166666598758</v>
      </c>
      <c r="F2132" s="3">
        <f t="shared" si="133"/>
        <v>44931</v>
      </c>
      <c r="G2132" t="s">
        <v>17</v>
      </c>
      <c r="H2132" t="s">
        <v>249</v>
      </c>
      <c r="I2132" t="s">
        <v>750</v>
      </c>
      <c r="J2132" t="s">
        <v>735</v>
      </c>
      <c r="K2132" t="s">
        <v>1810</v>
      </c>
      <c r="L2132" t="s">
        <v>36</v>
      </c>
      <c r="M2132">
        <v>46</v>
      </c>
      <c r="N2132" t="s">
        <v>77</v>
      </c>
      <c r="O2132">
        <v>114</v>
      </c>
      <c r="P2132">
        <v>1</v>
      </c>
      <c r="Q2132">
        <v>3956.69</v>
      </c>
      <c r="R2132" s="4">
        <v>45600</v>
      </c>
      <c r="S2132" s="6">
        <v>0.33907407407407408</v>
      </c>
      <c r="T2132">
        <f t="shared" si="134"/>
        <v>16</v>
      </c>
      <c r="U2132" t="str" cm="1">
        <f t="array" ref="U2132">_xlfn.IFS(M2132&lt;=34,"YOUNG",M2132&lt;=54,"MIDDLE AGE",M2132&gt;=55,"OLD")</f>
        <v>MIDDLE AGE</v>
      </c>
      <c r="V2132" t="str">
        <f t="shared" si="135"/>
        <v>NORMAL</v>
      </c>
    </row>
    <row r="2133" spans="1:22" x14ac:dyDescent="0.35">
      <c r="A2133" t="s">
        <v>4035</v>
      </c>
      <c r="B2133" t="s">
        <v>2053</v>
      </c>
      <c r="C2133">
        <v>218.57</v>
      </c>
      <c r="D2133" s="1">
        <v>45215.687939814816</v>
      </c>
      <c r="E2133" s="2">
        <f t="shared" si="132"/>
        <v>0.68793981481576338</v>
      </c>
      <c r="F2133" s="3">
        <f t="shared" si="133"/>
        <v>45215</v>
      </c>
      <c r="G2133" t="s">
        <v>46</v>
      </c>
      <c r="H2133" t="s">
        <v>92</v>
      </c>
      <c r="I2133" t="s">
        <v>1328</v>
      </c>
      <c r="J2133" t="s">
        <v>3538</v>
      </c>
      <c r="K2133" t="s">
        <v>432</v>
      </c>
      <c r="L2133" t="s">
        <v>69</v>
      </c>
      <c r="M2133">
        <v>62</v>
      </c>
      <c r="N2133" t="s">
        <v>23</v>
      </c>
      <c r="O2133">
        <v>102</v>
      </c>
      <c r="P2133">
        <v>1</v>
      </c>
      <c r="Q2133">
        <v>13869.86</v>
      </c>
      <c r="R2133" s="4">
        <v>45600</v>
      </c>
      <c r="S2133" s="6">
        <v>0.33910879629629631</v>
      </c>
      <c r="T2133">
        <f t="shared" si="134"/>
        <v>16</v>
      </c>
      <c r="U2133" t="str" cm="1">
        <f t="array" ref="U2133">_xlfn.IFS(M2133&lt;=34,"YOUNG",M2133&lt;=54,"MIDDLE AGE",M2133&gt;=55,"OLD")</f>
        <v>OLD</v>
      </c>
      <c r="V2133" t="str">
        <f t="shared" si="135"/>
        <v>NORMAL</v>
      </c>
    </row>
    <row r="2134" spans="1:22" x14ac:dyDescent="0.35">
      <c r="A2134" t="s">
        <v>4036</v>
      </c>
      <c r="B2134" t="s">
        <v>1488</v>
      </c>
      <c r="C2134">
        <v>341.88</v>
      </c>
      <c r="D2134" s="1">
        <v>45091.690775462965</v>
      </c>
      <c r="E2134" s="2">
        <f t="shared" si="132"/>
        <v>0.69077546296466608</v>
      </c>
      <c r="F2134" s="3">
        <f t="shared" si="133"/>
        <v>45091</v>
      </c>
      <c r="G2134" t="s">
        <v>17</v>
      </c>
      <c r="H2134" t="s">
        <v>119</v>
      </c>
      <c r="I2134" t="s">
        <v>502</v>
      </c>
      <c r="J2134" t="s">
        <v>3324</v>
      </c>
      <c r="K2134" t="s">
        <v>200</v>
      </c>
      <c r="L2134" t="s">
        <v>22</v>
      </c>
      <c r="M2134">
        <v>43</v>
      </c>
      <c r="N2134" t="s">
        <v>77</v>
      </c>
      <c r="O2134">
        <v>89</v>
      </c>
      <c r="P2134">
        <v>1</v>
      </c>
      <c r="Q2134">
        <v>4159.5200000000004</v>
      </c>
      <c r="R2134" s="4">
        <v>45600</v>
      </c>
      <c r="S2134" s="6">
        <v>0.34097222222222223</v>
      </c>
      <c r="T2134">
        <f t="shared" si="134"/>
        <v>16</v>
      </c>
      <c r="U2134" t="str" cm="1">
        <f t="array" ref="U2134">_xlfn.IFS(M2134&lt;=34,"YOUNG",M2134&lt;=54,"MIDDLE AGE",M2134&gt;=55,"OLD")</f>
        <v>MIDDLE AGE</v>
      </c>
      <c r="V2134" t="str">
        <f t="shared" si="135"/>
        <v>NORMAL</v>
      </c>
    </row>
    <row r="2135" spans="1:22" x14ac:dyDescent="0.35">
      <c r="A2135" t="s">
        <v>4037</v>
      </c>
      <c r="B2135" t="s">
        <v>1536</v>
      </c>
      <c r="C2135">
        <v>691.92</v>
      </c>
      <c r="D2135" s="1">
        <v>45117.692569444444</v>
      </c>
      <c r="E2135" s="2">
        <f t="shared" si="132"/>
        <v>0.69256944444350665</v>
      </c>
      <c r="F2135" s="3">
        <f t="shared" si="133"/>
        <v>45117</v>
      </c>
      <c r="G2135" t="s">
        <v>17</v>
      </c>
      <c r="H2135" t="s">
        <v>388</v>
      </c>
      <c r="I2135" t="s">
        <v>41</v>
      </c>
      <c r="J2135" t="s">
        <v>1597</v>
      </c>
      <c r="K2135" t="s">
        <v>752</v>
      </c>
      <c r="L2135" t="s">
        <v>36</v>
      </c>
      <c r="M2135">
        <v>19</v>
      </c>
      <c r="N2135" t="s">
        <v>37</v>
      </c>
      <c r="O2135">
        <v>61</v>
      </c>
      <c r="P2135">
        <v>1</v>
      </c>
      <c r="Q2135">
        <v>1084.6500000000001</v>
      </c>
      <c r="R2135" s="4">
        <v>45600</v>
      </c>
      <c r="S2135" s="6">
        <v>0.34181712962962962</v>
      </c>
      <c r="T2135">
        <f t="shared" si="134"/>
        <v>16</v>
      </c>
      <c r="U2135" t="str" cm="1">
        <f t="array" ref="U2135">_xlfn.IFS(M2135&lt;=34,"YOUNG",M2135&lt;=54,"MIDDLE AGE",M2135&gt;=55,"OLD")</f>
        <v>YOUNG</v>
      </c>
      <c r="V2135" t="str">
        <f t="shared" si="135"/>
        <v>NORMAL</v>
      </c>
    </row>
    <row r="2136" spans="1:22" x14ac:dyDescent="0.35">
      <c r="A2136" t="s">
        <v>4038</v>
      </c>
      <c r="B2136" t="s">
        <v>3811</v>
      </c>
      <c r="C2136">
        <v>50.43</v>
      </c>
      <c r="D2136" s="1">
        <v>45117.671157407407</v>
      </c>
      <c r="E2136" s="2">
        <f t="shared" si="132"/>
        <v>0.67115740740700858</v>
      </c>
      <c r="F2136" s="3">
        <f t="shared" si="133"/>
        <v>45117</v>
      </c>
      <c r="G2136" t="s">
        <v>17</v>
      </c>
      <c r="H2136" t="s">
        <v>223</v>
      </c>
      <c r="I2136" t="s">
        <v>1184</v>
      </c>
      <c r="J2136" t="s">
        <v>3210</v>
      </c>
      <c r="K2136" t="s">
        <v>100</v>
      </c>
      <c r="L2136" t="s">
        <v>69</v>
      </c>
      <c r="M2136">
        <v>32</v>
      </c>
      <c r="N2136" t="s">
        <v>23</v>
      </c>
      <c r="O2136">
        <v>51</v>
      </c>
      <c r="P2136">
        <v>1</v>
      </c>
      <c r="Q2136">
        <v>9794.26</v>
      </c>
      <c r="R2136" s="4">
        <v>45600</v>
      </c>
      <c r="S2136" s="6">
        <v>0.33969907407407407</v>
      </c>
      <c r="T2136">
        <f t="shared" si="134"/>
        <v>16</v>
      </c>
      <c r="U2136" t="str" cm="1">
        <f t="array" ref="U2136">_xlfn.IFS(M2136&lt;=34,"YOUNG",M2136&lt;=54,"MIDDLE AGE",M2136&gt;=55,"OLD")</f>
        <v>YOUNG</v>
      </c>
      <c r="V2136" t="str">
        <f t="shared" si="135"/>
        <v>NORMAL</v>
      </c>
    </row>
    <row r="2137" spans="1:22" x14ac:dyDescent="0.35">
      <c r="A2137" t="s">
        <v>4039</v>
      </c>
      <c r="B2137" t="s">
        <v>162</v>
      </c>
      <c r="C2137">
        <v>440.43</v>
      </c>
      <c r="D2137" s="1">
        <v>45190.737199074072</v>
      </c>
      <c r="E2137" s="2">
        <f t="shared" si="132"/>
        <v>0.73719907407212304</v>
      </c>
      <c r="F2137" s="3">
        <f t="shared" si="133"/>
        <v>45190</v>
      </c>
      <c r="G2137" t="s">
        <v>17</v>
      </c>
      <c r="H2137" t="s">
        <v>521</v>
      </c>
      <c r="I2137" t="s">
        <v>2617</v>
      </c>
      <c r="J2137" t="s">
        <v>518</v>
      </c>
      <c r="K2137" t="s">
        <v>21</v>
      </c>
      <c r="L2137" t="s">
        <v>69</v>
      </c>
      <c r="M2137">
        <v>78</v>
      </c>
      <c r="N2137" t="s">
        <v>70</v>
      </c>
      <c r="O2137">
        <v>23</v>
      </c>
      <c r="P2137">
        <v>1</v>
      </c>
      <c r="Q2137">
        <v>5123.24</v>
      </c>
      <c r="R2137" s="4">
        <v>45600</v>
      </c>
      <c r="S2137" s="6">
        <v>0.33879629629629632</v>
      </c>
      <c r="T2137">
        <f t="shared" si="134"/>
        <v>17</v>
      </c>
      <c r="U2137" t="str" cm="1">
        <f t="array" ref="U2137">_xlfn.IFS(M2137&lt;=34,"YOUNG",M2137&lt;=54,"MIDDLE AGE",M2137&gt;=55,"OLD")</f>
        <v>OLD</v>
      </c>
      <c r="V2137" t="str">
        <f t="shared" si="135"/>
        <v>NORMAL</v>
      </c>
    </row>
    <row r="2138" spans="1:22" x14ac:dyDescent="0.35">
      <c r="A2138" t="s">
        <v>4040</v>
      </c>
      <c r="B2138" t="s">
        <v>305</v>
      </c>
      <c r="C2138">
        <v>299.02999999999997</v>
      </c>
      <c r="D2138" s="1">
        <v>44945.727094907408</v>
      </c>
      <c r="E2138" s="2">
        <f t="shared" si="132"/>
        <v>0.72709490740817273</v>
      </c>
      <c r="F2138" s="3">
        <f t="shared" si="133"/>
        <v>44945</v>
      </c>
      <c r="G2138" t="s">
        <v>17</v>
      </c>
      <c r="H2138" t="s">
        <v>125</v>
      </c>
      <c r="I2138" t="s">
        <v>1152</v>
      </c>
      <c r="J2138" t="s">
        <v>2044</v>
      </c>
      <c r="K2138" t="s">
        <v>762</v>
      </c>
      <c r="L2138" t="s">
        <v>69</v>
      </c>
      <c r="M2138">
        <v>39</v>
      </c>
      <c r="N2138" t="s">
        <v>77</v>
      </c>
      <c r="O2138">
        <v>52</v>
      </c>
      <c r="P2138">
        <v>1</v>
      </c>
      <c r="Q2138">
        <v>1381.28</v>
      </c>
      <c r="R2138" s="4">
        <v>45600</v>
      </c>
      <c r="S2138" s="6">
        <v>0.34030092592592592</v>
      </c>
      <c r="T2138">
        <f t="shared" si="134"/>
        <v>17</v>
      </c>
      <c r="U2138" t="str" cm="1">
        <f t="array" ref="U2138">_xlfn.IFS(M2138&lt;=34,"YOUNG",M2138&lt;=54,"MIDDLE AGE",M2138&gt;=55,"OLD")</f>
        <v>MIDDLE AGE</v>
      </c>
      <c r="V2138" t="str">
        <f t="shared" si="135"/>
        <v>NORMAL</v>
      </c>
    </row>
    <row r="2139" spans="1:22" x14ac:dyDescent="0.35">
      <c r="A2139" t="s">
        <v>4041</v>
      </c>
      <c r="B2139" t="s">
        <v>997</v>
      </c>
      <c r="C2139">
        <v>1.98</v>
      </c>
      <c r="D2139" s="1">
        <v>45285.737187500003</v>
      </c>
      <c r="E2139" s="2">
        <f t="shared" si="132"/>
        <v>0.73718750000261934</v>
      </c>
      <c r="F2139" s="3">
        <f t="shared" si="133"/>
        <v>45285</v>
      </c>
      <c r="G2139" t="s">
        <v>17</v>
      </c>
      <c r="H2139" t="s">
        <v>59</v>
      </c>
      <c r="I2139" t="s">
        <v>74</v>
      </c>
      <c r="J2139" t="s">
        <v>1242</v>
      </c>
      <c r="K2139" t="s">
        <v>226</v>
      </c>
      <c r="L2139" t="s">
        <v>22</v>
      </c>
      <c r="M2139">
        <v>66</v>
      </c>
      <c r="N2139" t="s">
        <v>23</v>
      </c>
      <c r="O2139">
        <v>170</v>
      </c>
      <c r="P2139">
        <v>1</v>
      </c>
      <c r="Q2139">
        <v>11619.1</v>
      </c>
      <c r="R2139" s="4">
        <v>45600</v>
      </c>
      <c r="S2139" s="6">
        <v>0.34082175925925928</v>
      </c>
      <c r="T2139">
        <f t="shared" si="134"/>
        <v>17</v>
      </c>
      <c r="U2139" t="str" cm="1">
        <f t="array" ref="U2139">_xlfn.IFS(M2139&lt;=34,"YOUNG",M2139&lt;=54,"MIDDLE AGE",M2139&gt;=55,"OLD")</f>
        <v>OLD</v>
      </c>
      <c r="V2139" t="str">
        <f t="shared" si="135"/>
        <v>NORMAL</v>
      </c>
    </row>
    <row r="2140" spans="1:22" x14ac:dyDescent="0.35">
      <c r="A2140" t="s">
        <v>4042</v>
      </c>
      <c r="B2140" t="s">
        <v>2220</v>
      </c>
      <c r="C2140">
        <v>173.45</v>
      </c>
      <c r="D2140" s="1">
        <v>45285.684525462966</v>
      </c>
      <c r="E2140" s="2">
        <f t="shared" si="132"/>
        <v>0.68452546296612127</v>
      </c>
      <c r="F2140" s="3">
        <f t="shared" si="133"/>
        <v>45285</v>
      </c>
      <c r="G2140" t="s">
        <v>17</v>
      </c>
      <c r="H2140" t="s">
        <v>243</v>
      </c>
      <c r="I2140" t="s">
        <v>1828</v>
      </c>
      <c r="J2140" t="s">
        <v>2614</v>
      </c>
      <c r="K2140" t="s">
        <v>386</v>
      </c>
      <c r="L2140" t="s">
        <v>22</v>
      </c>
      <c r="M2140">
        <v>31</v>
      </c>
      <c r="N2140" t="s">
        <v>77</v>
      </c>
      <c r="O2140">
        <v>161</v>
      </c>
      <c r="P2140">
        <v>1</v>
      </c>
      <c r="Q2140">
        <v>9077.6200000000008</v>
      </c>
      <c r="R2140" s="4">
        <v>45600</v>
      </c>
      <c r="S2140" s="6">
        <v>0.33832175925925928</v>
      </c>
      <c r="T2140">
        <f t="shared" si="134"/>
        <v>16</v>
      </c>
      <c r="U2140" t="str" cm="1">
        <f t="array" ref="U2140">_xlfn.IFS(M2140&lt;=34,"YOUNG",M2140&lt;=54,"MIDDLE AGE",M2140&gt;=55,"OLD")</f>
        <v>YOUNG</v>
      </c>
      <c r="V2140" t="str">
        <f t="shared" si="135"/>
        <v>NORMAL</v>
      </c>
    </row>
    <row r="2141" spans="1:22" x14ac:dyDescent="0.35">
      <c r="A2141" t="s">
        <v>4043</v>
      </c>
      <c r="B2141" t="s">
        <v>350</v>
      </c>
      <c r="C2141">
        <v>438.76</v>
      </c>
      <c r="D2141" s="1">
        <v>44970.700578703705</v>
      </c>
      <c r="E2141" s="2">
        <f t="shared" si="132"/>
        <v>0.700578703705105</v>
      </c>
      <c r="F2141" s="3">
        <f t="shared" si="133"/>
        <v>44970</v>
      </c>
      <c r="G2141" t="s">
        <v>17</v>
      </c>
      <c r="H2141" t="s">
        <v>237</v>
      </c>
      <c r="I2141" t="s">
        <v>2428</v>
      </c>
      <c r="J2141" t="s">
        <v>2065</v>
      </c>
      <c r="K2141" t="s">
        <v>831</v>
      </c>
      <c r="L2141" t="s">
        <v>69</v>
      </c>
      <c r="M2141">
        <v>22</v>
      </c>
      <c r="N2141" t="s">
        <v>37</v>
      </c>
      <c r="O2141">
        <v>73</v>
      </c>
      <c r="P2141">
        <v>1</v>
      </c>
      <c r="Q2141">
        <v>1824.19</v>
      </c>
      <c r="R2141" s="4">
        <v>45600</v>
      </c>
      <c r="S2141" s="6">
        <v>0.34112268518518518</v>
      </c>
      <c r="T2141">
        <f t="shared" si="134"/>
        <v>16</v>
      </c>
      <c r="U2141" t="str" cm="1">
        <f t="array" ref="U2141">_xlfn.IFS(M2141&lt;=34,"YOUNG",M2141&lt;=54,"MIDDLE AGE",M2141&gt;=55,"OLD")</f>
        <v>YOUNG</v>
      </c>
      <c r="V2141" t="str">
        <f t="shared" si="135"/>
        <v>NORMAL</v>
      </c>
    </row>
    <row r="2142" spans="1:22" x14ac:dyDescent="0.35">
      <c r="A2142" t="s">
        <v>4044</v>
      </c>
      <c r="B2142" t="s">
        <v>986</v>
      </c>
      <c r="C2142">
        <v>519.62</v>
      </c>
      <c r="D2142" s="1">
        <v>45253.737627314818</v>
      </c>
      <c r="E2142" s="2">
        <f t="shared" si="132"/>
        <v>0.73762731481838273</v>
      </c>
      <c r="F2142" s="3">
        <f t="shared" si="133"/>
        <v>45253</v>
      </c>
      <c r="G2142" t="s">
        <v>46</v>
      </c>
      <c r="H2142" t="s">
        <v>453</v>
      </c>
      <c r="I2142" t="s">
        <v>173</v>
      </c>
      <c r="J2142" t="s">
        <v>2849</v>
      </c>
      <c r="K2142" t="s">
        <v>607</v>
      </c>
      <c r="L2142" t="s">
        <v>36</v>
      </c>
      <c r="M2142">
        <v>71</v>
      </c>
      <c r="N2142" t="s">
        <v>70</v>
      </c>
      <c r="O2142">
        <v>40</v>
      </c>
      <c r="P2142">
        <v>1</v>
      </c>
      <c r="Q2142">
        <v>4159.33</v>
      </c>
      <c r="R2142" s="4">
        <v>45600</v>
      </c>
      <c r="S2142" s="6">
        <v>0.33792824074074074</v>
      </c>
      <c r="T2142">
        <f t="shared" si="134"/>
        <v>17</v>
      </c>
      <c r="U2142" t="str" cm="1">
        <f t="array" ref="U2142">_xlfn.IFS(M2142&lt;=34,"YOUNG",M2142&lt;=54,"MIDDLE AGE",M2142&gt;=55,"OLD")</f>
        <v>OLD</v>
      </c>
      <c r="V2142" t="str">
        <f t="shared" si="135"/>
        <v>NORMAL</v>
      </c>
    </row>
    <row r="2143" spans="1:22" x14ac:dyDescent="0.35">
      <c r="A2143" t="s">
        <v>4045</v>
      </c>
      <c r="B2143" t="s">
        <v>1217</v>
      </c>
      <c r="C2143">
        <v>738.68</v>
      </c>
      <c r="D2143" s="1">
        <v>44992.691759259258</v>
      </c>
      <c r="E2143" s="2">
        <f t="shared" si="132"/>
        <v>0.69175925925810589</v>
      </c>
      <c r="F2143" s="3">
        <f t="shared" si="133"/>
        <v>44992</v>
      </c>
      <c r="G2143" t="s">
        <v>17</v>
      </c>
      <c r="H2143" t="s">
        <v>265</v>
      </c>
      <c r="I2143" t="s">
        <v>670</v>
      </c>
      <c r="J2143" t="s">
        <v>1852</v>
      </c>
      <c r="K2143" t="s">
        <v>1287</v>
      </c>
      <c r="L2143" t="s">
        <v>36</v>
      </c>
      <c r="M2143">
        <v>50</v>
      </c>
      <c r="N2143" t="s">
        <v>23</v>
      </c>
      <c r="O2143">
        <v>124</v>
      </c>
      <c r="P2143">
        <v>1</v>
      </c>
      <c r="Q2143">
        <v>14352.33</v>
      </c>
      <c r="R2143" s="4">
        <v>45600</v>
      </c>
      <c r="S2143" s="6">
        <v>0.34143518518518517</v>
      </c>
      <c r="T2143">
        <f t="shared" si="134"/>
        <v>16</v>
      </c>
      <c r="U2143" t="str" cm="1">
        <f t="array" ref="U2143">_xlfn.IFS(M2143&lt;=34,"YOUNG",M2143&lt;=54,"MIDDLE AGE",M2143&gt;=55,"OLD")</f>
        <v>MIDDLE AGE</v>
      </c>
      <c r="V2143" t="str">
        <f t="shared" si="135"/>
        <v>NORMAL</v>
      </c>
    </row>
    <row r="2144" spans="1:22" x14ac:dyDescent="0.35">
      <c r="A2144" t="s">
        <v>4046</v>
      </c>
      <c r="B2144" t="s">
        <v>913</v>
      </c>
      <c r="C2144">
        <v>151.13999999999999</v>
      </c>
      <c r="D2144" s="1">
        <v>45078.6797337963</v>
      </c>
      <c r="E2144" s="2">
        <f t="shared" si="132"/>
        <v>0.67973379629984265</v>
      </c>
      <c r="F2144" s="3">
        <f t="shared" si="133"/>
        <v>45078</v>
      </c>
      <c r="G2144" t="s">
        <v>17</v>
      </c>
      <c r="H2144" t="s">
        <v>92</v>
      </c>
      <c r="I2144" t="s">
        <v>152</v>
      </c>
      <c r="J2144" t="s">
        <v>552</v>
      </c>
      <c r="K2144" t="s">
        <v>432</v>
      </c>
      <c r="L2144" t="s">
        <v>36</v>
      </c>
      <c r="M2144">
        <v>64</v>
      </c>
      <c r="N2144" t="s">
        <v>70</v>
      </c>
      <c r="O2144">
        <v>38</v>
      </c>
      <c r="P2144">
        <v>1</v>
      </c>
      <c r="Q2144">
        <v>2156.54</v>
      </c>
      <c r="R2144" s="4">
        <v>45600</v>
      </c>
      <c r="S2144" s="6">
        <v>0.34143518518518517</v>
      </c>
      <c r="T2144">
        <f t="shared" si="134"/>
        <v>16</v>
      </c>
      <c r="U2144" t="str" cm="1">
        <f t="array" ref="U2144">_xlfn.IFS(M2144&lt;=34,"YOUNG",M2144&lt;=54,"MIDDLE AGE",M2144&gt;=55,"OLD")</f>
        <v>OLD</v>
      </c>
      <c r="V2144" t="str">
        <f t="shared" si="135"/>
        <v>NORMAL</v>
      </c>
    </row>
    <row r="2145" spans="1:22" x14ac:dyDescent="0.35">
      <c r="A2145" t="s">
        <v>4047</v>
      </c>
      <c r="B2145" t="s">
        <v>1808</v>
      </c>
      <c r="C2145">
        <v>75.77</v>
      </c>
      <c r="D2145" s="1">
        <v>45145.742025462961</v>
      </c>
      <c r="E2145" s="2">
        <f t="shared" si="132"/>
        <v>0.74202546296146465</v>
      </c>
      <c r="F2145" s="3">
        <f t="shared" si="133"/>
        <v>45145</v>
      </c>
      <c r="G2145" t="s">
        <v>17</v>
      </c>
      <c r="H2145" t="s">
        <v>249</v>
      </c>
      <c r="I2145" t="s">
        <v>1945</v>
      </c>
      <c r="J2145" t="s">
        <v>2259</v>
      </c>
      <c r="K2145" t="s">
        <v>277</v>
      </c>
      <c r="L2145" t="s">
        <v>69</v>
      </c>
      <c r="M2145">
        <v>51</v>
      </c>
      <c r="N2145" t="s">
        <v>77</v>
      </c>
      <c r="O2145">
        <v>148</v>
      </c>
      <c r="P2145">
        <v>1</v>
      </c>
      <c r="Q2145">
        <v>8361.7000000000007</v>
      </c>
      <c r="R2145" s="4">
        <v>45600</v>
      </c>
      <c r="S2145" s="6">
        <v>0.34012731481481484</v>
      </c>
      <c r="T2145">
        <f t="shared" si="134"/>
        <v>17</v>
      </c>
      <c r="U2145" t="str" cm="1">
        <f t="array" ref="U2145">_xlfn.IFS(M2145&lt;=34,"YOUNG",M2145&lt;=54,"MIDDLE AGE",M2145&gt;=55,"OLD")</f>
        <v>MIDDLE AGE</v>
      </c>
      <c r="V2145" t="str">
        <f t="shared" si="135"/>
        <v>NORMAL</v>
      </c>
    </row>
    <row r="2146" spans="1:22" x14ac:dyDescent="0.35">
      <c r="A2146" t="s">
        <v>4048</v>
      </c>
      <c r="B2146" t="s">
        <v>804</v>
      </c>
      <c r="C2146">
        <v>444.52</v>
      </c>
      <c r="D2146" s="1">
        <v>45020.674699074072</v>
      </c>
      <c r="E2146" s="2">
        <f t="shared" si="132"/>
        <v>0.67469907407212304</v>
      </c>
      <c r="F2146" s="3">
        <f t="shared" si="133"/>
        <v>45020</v>
      </c>
      <c r="G2146" t="s">
        <v>17</v>
      </c>
      <c r="H2146" t="s">
        <v>108</v>
      </c>
      <c r="I2146" t="s">
        <v>1158</v>
      </c>
      <c r="J2146" t="s">
        <v>1637</v>
      </c>
      <c r="K2146" t="s">
        <v>607</v>
      </c>
      <c r="L2146" t="s">
        <v>36</v>
      </c>
      <c r="M2146">
        <v>27</v>
      </c>
      <c r="N2146" t="s">
        <v>77</v>
      </c>
      <c r="O2146">
        <v>17</v>
      </c>
      <c r="P2146">
        <v>1</v>
      </c>
      <c r="Q2146">
        <v>5424.6</v>
      </c>
      <c r="R2146" s="4">
        <v>45600</v>
      </c>
      <c r="S2146" s="6">
        <v>0.33817129629629628</v>
      </c>
      <c r="T2146">
        <f t="shared" si="134"/>
        <v>16</v>
      </c>
      <c r="U2146" t="str" cm="1">
        <f t="array" ref="U2146">_xlfn.IFS(M2146&lt;=34,"YOUNG",M2146&lt;=54,"MIDDLE AGE",M2146&gt;=55,"OLD")</f>
        <v>YOUNG</v>
      </c>
      <c r="V2146" t="str">
        <f t="shared" si="135"/>
        <v>NORMAL</v>
      </c>
    </row>
    <row r="2147" spans="1:22" x14ac:dyDescent="0.35">
      <c r="A2147" t="s">
        <v>4049</v>
      </c>
      <c r="B2147" t="s">
        <v>1425</v>
      </c>
      <c r="C2147">
        <v>5.29</v>
      </c>
      <c r="D2147" s="1">
        <v>44993.786076388889</v>
      </c>
      <c r="E2147" s="2">
        <f t="shared" si="132"/>
        <v>0.78607638888934162</v>
      </c>
      <c r="F2147" s="3">
        <f t="shared" si="133"/>
        <v>44993</v>
      </c>
      <c r="G2147" t="s">
        <v>17</v>
      </c>
      <c r="H2147" t="s">
        <v>65</v>
      </c>
      <c r="I2147" t="s">
        <v>1771</v>
      </c>
      <c r="J2147" t="s">
        <v>681</v>
      </c>
      <c r="K2147" t="s">
        <v>619</v>
      </c>
      <c r="L2147" t="s">
        <v>36</v>
      </c>
      <c r="M2147">
        <v>52</v>
      </c>
      <c r="N2147" t="s">
        <v>23</v>
      </c>
      <c r="O2147">
        <v>276</v>
      </c>
      <c r="P2147">
        <v>1</v>
      </c>
      <c r="Q2147">
        <v>11263.89</v>
      </c>
      <c r="R2147" s="4">
        <v>45600</v>
      </c>
      <c r="S2147" s="6">
        <v>0.33974537037037039</v>
      </c>
      <c r="T2147">
        <f t="shared" si="134"/>
        <v>18</v>
      </c>
      <c r="U2147" t="str" cm="1">
        <f t="array" ref="U2147">_xlfn.IFS(M2147&lt;=34,"YOUNG",M2147&lt;=54,"MIDDLE AGE",M2147&gt;=55,"OLD")</f>
        <v>MIDDLE AGE</v>
      </c>
      <c r="V2147" t="str">
        <f t="shared" si="135"/>
        <v>NORMAL</v>
      </c>
    </row>
    <row r="2148" spans="1:22" x14ac:dyDescent="0.35">
      <c r="A2148" t="s">
        <v>4050</v>
      </c>
      <c r="B2148" t="s">
        <v>1446</v>
      </c>
      <c r="C2148">
        <v>97.63</v>
      </c>
      <c r="D2148" s="1">
        <v>45061.670208333337</v>
      </c>
      <c r="E2148" s="2">
        <f t="shared" si="132"/>
        <v>0.67020833333663177</v>
      </c>
      <c r="F2148" s="3">
        <f t="shared" si="133"/>
        <v>45061</v>
      </c>
      <c r="G2148" t="s">
        <v>46</v>
      </c>
      <c r="H2148" t="s">
        <v>178</v>
      </c>
      <c r="I2148" t="s">
        <v>633</v>
      </c>
      <c r="J2148" t="s">
        <v>571</v>
      </c>
      <c r="K2148" t="s">
        <v>282</v>
      </c>
      <c r="L2148" t="s">
        <v>36</v>
      </c>
      <c r="M2148">
        <v>48</v>
      </c>
      <c r="N2148" t="s">
        <v>23</v>
      </c>
      <c r="O2148">
        <v>127</v>
      </c>
      <c r="P2148">
        <v>1</v>
      </c>
      <c r="Q2148">
        <v>12467.31</v>
      </c>
      <c r="R2148" s="4">
        <v>45600</v>
      </c>
      <c r="S2148" s="6">
        <v>0.34108796296296295</v>
      </c>
      <c r="T2148">
        <f t="shared" si="134"/>
        <v>16</v>
      </c>
      <c r="U2148" t="str" cm="1">
        <f t="array" ref="U2148">_xlfn.IFS(M2148&lt;=34,"YOUNG",M2148&lt;=54,"MIDDLE AGE",M2148&gt;=55,"OLD")</f>
        <v>MIDDLE AGE</v>
      </c>
      <c r="V2148" t="str">
        <f t="shared" si="135"/>
        <v>NORMAL</v>
      </c>
    </row>
    <row r="2149" spans="1:22" x14ac:dyDescent="0.35">
      <c r="A2149" t="s">
        <v>4051</v>
      </c>
      <c r="B2149" t="s">
        <v>2169</v>
      </c>
      <c r="C2149">
        <v>256.95</v>
      </c>
      <c r="D2149" s="1">
        <v>45050.692604166667</v>
      </c>
      <c r="E2149" s="2">
        <f t="shared" si="132"/>
        <v>0.69260416666656965</v>
      </c>
      <c r="F2149" s="3">
        <f t="shared" si="133"/>
        <v>45050</v>
      </c>
      <c r="G2149" t="s">
        <v>17</v>
      </c>
      <c r="H2149" t="s">
        <v>18</v>
      </c>
      <c r="I2149" t="s">
        <v>1458</v>
      </c>
      <c r="J2149" t="s">
        <v>1515</v>
      </c>
      <c r="K2149" t="s">
        <v>478</v>
      </c>
      <c r="L2149" t="s">
        <v>69</v>
      </c>
      <c r="M2149">
        <v>26</v>
      </c>
      <c r="N2149" t="s">
        <v>77</v>
      </c>
      <c r="O2149">
        <v>71</v>
      </c>
      <c r="P2149">
        <v>1</v>
      </c>
      <c r="Q2149">
        <v>2531.2399999999998</v>
      </c>
      <c r="R2149" s="4">
        <v>45600</v>
      </c>
      <c r="S2149" s="6">
        <v>0.33900462962962963</v>
      </c>
      <c r="T2149">
        <f t="shared" si="134"/>
        <v>16</v>
      </c>
      <c r="U2149" t="str" cm="1">
        <f t="array" ref="U2149">_xlfn.IFS(M2149&lt;=34,"YOUNG",M2149&lt;=54,"MIDDLE AGE",M2149&gt;=55,"OLD")</f>
        <v>YOUNG</v>
      </c>
      <c r="V2149" t="str">
        <f t="shared" si="135"/>
        <v>NORMAL</v>
      </c>
    </row>
    <row r="2150" spans="1:22" x14ac:dyDescent="0.35">
      <c r="A2150" t="s">
        <v>4052</v>
      </c>
      <c r="B2150" t="s">
        <v>1394</v>
      </c>
      <c r="C2150">
        <v>734.86</v>
      </c>
      <c r="D2150" s="1">
        <v>45268.692013888889</v>
      </c>
      <c r="E2150" s="2">
        <f t="shared" si="132"/>
        <v>0.69201388888905058</v>
      </c>
      <c r="F2150" s="3">
        <f t="shared" si="133"/>
        <v>45268</v>
      </c>
      <c r="G2150" t="s">
        <v>46</v>
      </c>
      <c r="H2150" t="s">
        <v>388</v>
      </c>
      <c r="I2150" t="s">
        <v>250</v>
      </c>
      <c r="J2150" t="s">
        <v>208</v>
      </c>
      <c r="K2150" t="s">
        <v>326</v>
      </c>
      <c r="L2150" t="s">
        <v>69</v>
      </c>
      <c r="M2150">
        <v>48</v>
      </c>
      <c r="N2150" t="s">
        <v>77</v>
      </c>
      <c r="O2150">
        <v>290</v>
      </c>
      <c r="P2150">
        <v>1</v>
      </c>
      <c r="Q2150">
        <v>6242.03</v>
      </c>
      <c r="R2150" s="4">
        <v>45600</v>
      </c>
      <c r="S2150" s="6">
        <v>0.33945601851851853</v>
      </c>
      <c r="T2150">
        <f t="shared" si="134"/>
        <v>16</v>
      </c>
      <c r="U2150" t="str" cm="1">
        <f t="array" ref="U2150">_xlfn.IFS(M2150&lt;=34,"YOUNG",M2150&lt;=54,"MIDDLE AGE",M2150&gt;=55,"OLD")</f>
        <v>MIDDLE AGE</v>
      </c>
      <c r="V2150" t="str">
        <f t="shared" si="135"/>
        <v>NORMAL</v>
      </c>
    </row>
    <row r="2151" spans="1:22" x14ac:dyDescent="0.35">
      <c r="A2151" t="s">
        <v>4053</v>
      </c>
      <c r="B2151" t="s">
        <v>391</v>
      </c>
      <c r="C2151">
        <v>1250.94</v>
      </c>
      <c r="D2151" s="1">
        <v>44985.739652777775</v>
      </c>
      <c r="E2151" s="2">
        <f t="shared" si="132"/>
        <v>0.73965277777460869</v>
      </c>
      <c r="F2151" s="3">
        <f t="shared" si="133"/>
        <v>44985</v>
      </c>
      <c r="G2151" t="s">
        <v>17</v>
      </c>
      <c r="H2151" t="s">
        <v>125</v>
      </c>
      <c r="I2151" t="s">
        <v>198</v>
      </c>
      <c r="J2151" t="s">
        <v>194</v>
      </c>
      <c r="K2151" t="s">
        <v>56</v>
      </c>
      <c r="L2151" t="s">
        <v>22</v>
      </c>
      <c r="M2151">
        <v>36</v>
      </c>
      <c r="N2151" t="s">
        <v>23</v>
      </c>
      <c r="O2151">
        <v>107</v>
      </c>
      <c r="P2151">
        <v>2</v>
      </c>
      <c r="Q2151">
        <v>11565.97</v>
      </c>
      <c r="R2151" s="4">
        <v>45600</v>
      </c>
      <c r="S2151" s="6">
        <v>0.33927083333333335</v>
      </c>
      <c r="T2151">
        <f t="shared" si="134"/>
        <v>17</v>
      </c>
      <c r="U2151" t="str" cm="1">
        <f t="array" ref="U2151">_xlfn.IFS(M2151&lt;=34,"YOUNG",M2151&lt;=54,"MIDDLE AGE",M2151&gt;=55,"OLD")</f>
        <v>MIDDLE AGE</v>
      </c>
      <c r="V2151" t="str">
        <f t="shared" si="135"/>
        <v>HIGH</v>
      </c>
    </row>
    <row r="2152" spans="1:22" x14ac:dyDescent="0.35">
      <c r="A2152" t="s">
        <v>4054</v>
      </c>
      <c r="B2152" t="s">
        <v>604</v>
      </c>
      <c r="C2152">
        <v>84.28</v>
      </c>
      <c r="D2152" s="1">
        <v>45089.714780092596</v>
      </c>
      <c r="E2152" s="2">
        <f t="shared" si="132"/>
        <v>0.71478009259590181</v>
      </c>
      <c r="F2152" s="3">
        <f t="shared" si="133"/>
        <v>45089</v>
      </c>
      <c r="G2152" t="s">
        <v>17</v>
      </c>
      <c r="H2152" t="s">
        <v>92</v>
      </c>
      <c r="I2152" t="s">
        <v>692</v>
      </c>
      <c r="J2152" t="s">
        <v>1372</v>
      </c>
      <c r="K2152" t="s">
        <v>343</v>
      </c>
      <c r="L2152" t="s">
        <v>69</v>
      </c>
      <c r="M2152">
        <v>39</v>
      </c>
      <c r="N2152" t="s">
        <v>23</v>
      </c>
      <c r="O2152">
        <v>142</v>
      </c>
      <c r="P2152">
        <v>1</v>
      </c>
      <c r="Q2152">
        <v>13586.06</v>
      </c>
      <c r="R2152" s="4">
        <v>45600</v>
      </c>
      <c r="S2152" s="6">
        <v>0.33865740740740741</v>
      </c>
      <c r="T2152">
        <f t="shared" si="134"/>
        <v>17</v>
      </c>
      <c r="U2152" t="str" cm="1">
        <f t="array" ref="U2152">_xlfn.IFS(M2152&lt;=34,"YOUNG",M2152&lt;=54,"MIDDLE AGE",M2152&gt;=55,"OLD")</f>
        <v>MIDDLE AGE</v>
      </c>
      <c r="V2152" t="str">
        <f t="shared" si="135"/>
        <v>NORMAL</v>
      </c>
    </row>
    <row r="2153" spans="1:22" x14ac:dyDescent="0.35">
      <c r="A2153" t="s">
        <v>4055</v>
      </c>
      <c r="B2153" t="s">
        <v>1710</v>
      </c>
      <c r="C2153">
        <v>927.45</v>
      </c>
      <c r="D2153" s="1">
        <v>45145.786597222221</v>
      </c>
      <c r="E2153" s="2">
        <f t="shared" si="132"/>
        <v>0.78659722222073469</v>
      </c>
      <c r="F2153" s="3">
        <f t="shared" si="133"/>
        <v>45145</v>
      </c>
      <c r="G2153" t="s">
        <v>17</v>
      </c>
      <c r="H2153" t="s">
        <v>119</v>
      </c>
      <c r="I2153" t="s">
        <v>1024</v>
      </c>
      <c r="J2153" t="s">
        <v>995</v>
      </c>
      <c r="K2153" t="s">
        <v>1562</v>
      </c>
      <c r="L2153" t="s">
        <v>22</v>
      </c>
      <c r="M2153">
        <v>24</v>
      </c>
      <c r="N2153" t="s">
        <v>37</v>
      </c>
      <c r="O2153">
        <v>95</v>
      </c>
      <c r="P2153">
        <v>1</v>
      </c>
      <c r="Q2153">
        <v>1161.8399999999999</v>
      </c>
      <c r="R2153" s="4">
        <v>45600</v>
      </c>
      <c r="S2153" s="6">
        <v>0.33834490740740741</v>
      </c>
      <c r="T2153">
        <f t="shared" si="134"/>
        <v>18</v>
      </c>
      <c r="U2153" t="str" cm="1">
        <f t="array" ref="U2153">_xlfn.IFS(M2153&lt;=34,"YOUNG",M2153&lt;=54,"MIDDLE AGE",M2153&gt;=55,"OLD")</f>
        <v>YOUNG</v>
      </c>
      <c r="V2153" t="str">
        <f t="shared" si="135"/>
        <v>NORMAL</v>
      </c>
    </row>
    <row r="2154" spans="1:22" x14ac:dyDescent="0.35">
      <c r="A2154" t="s">
        <v>4056</v>
      </c>
      <c r="B2154" t="s">
        <v>2352</v>
      </c>
      <c r="C2154">
        <v>202.49</v>
      </c>
      <c r="D2154" s="1">
        <v>45288.68787037037</v>
      </c>
      <c r="E2154" s="2">
        <f t="shared" si="132"/>
        <v>0.68787037036963739</v>
      </c>
      <c r="F2154" s="3">
        <f t="shared" si="133"/>
        <v>45288</v>
      </c>
      <c r="G2154" t="s">
        <v>46</v>
      </c>
      <c r="H2154" t="s">
        <v>301</v>
      </c>
      <c r="I2154" t="s">
        <v>4057</v>
      </c>
      <c r="J2154" t="s">
        <v>783</v>
      </c>
      <c r="K2154" t="s">
        <v>1345</v>
      </c>
      <c r="L2154" t="s">
        <v>22</v>
      </c>
      <c r="M2154">
        <v>48</v>
      </c>
      <c r="N2154" t="s">
        <v>77</v>
      </c>
      <c r="O2154">
        <v>69</v>
      </c>
      <c r="P2154">
        <v>1</v>
      </c>
      <c r="Q2154">
        <v>7447.1</v>
      </c>
      <c r="R2154" s="4">
        <v>45600</v>
      </c>
      <c r="S2154" s="6">
        <v>0.33921296296296294</v>
      </c>
      <c r="T2154">
        <f t="shared" si="134"/>
        <v>16</v>
      </c>
      <c r="U2154" t="str" cm="1">
        <f t="array" ref="U2154">_xlfn.IFS(M2154&lt;=34,"YOUNG",M2154&lt;=54,"MIDDLE AGE",M2154&gt;=55,"OLD")</f>
        <v>MIDDLE AGE</v>
      </c>
      <c r="V2154" t="str">
        <f t="shared" si="135"/>
        <v>NORMAL</v>
      </c>
    </row>
    <row r="2155" spans="1:22" x14ac:dyDescent="0.35">
      <c r="A2155" t="s">
        <v>4058</v>
      </c>
      <c r="B2155" t="s">
        <v>274</v>
      </c>
      <c r="C2155">
        <v>154.99</v>
      </c>
      <c r="D2155" s="1">
        <v>45166.713287037041</v>
      </c>
      <c r="E2155" s="2">
        <f t="shared" si="132"/>
        <v>0.71328703704057261</v>
      </c>
      <c r="F2155" s="3">
        <f t="shared" si="133"/>
        <v>45166</v>
      </c>
      <c r="G2155" t="s">
        <v>17</v>
      </c>
      <c r="H2155" t="s">
        <v>32</v>
      </c>
      <c r="I2155" t="s">
        <v>877</v>
      </c>
      <c r="J2155" t="s">
        <v>3352</v>
      </c>
      <c r="K2155" t="s">
        <v>105</v>
      </c>
      <c r="L2155" t="s">
        <v>69</v>
      </c>
      <c r="M2155">
        <v>25</v>
      </c>
      <c r="N2155" t="s">
        <v>37</v>
      </c>
      <c r="O2155">
        <v>53</v>
      </c>
      <c r="P2155">
        <v>1</v>
      </c>
      <c r="Q2155">
        <v>1419.31</v>
      </c>
      <c r="R2155" s="4">
        <v>45600</v>
      </c>
      <c r="S2155" s="6">
        <v>0.33895833333333331</v>
      </c>
      <c r="T2155">
        <f t="shared" si="134"/>
        <v>17</v>
      </c>
      <c r="U2155" t="str" cm="1">
        <f t="array" ref="U2155">_xlfn.IFS(M2155&lt;=34,"YOUNG",M2155&lt;=54,"MIDDLE AGE",M2155&gt;=55,"OLD")</f>
        <v>YOUNG</v>
      </c>
      <c r="V2155" t="str">
        <f t="shared" si="135"/>
        <v>NORMAL</v>
      </c>
    </row>
    <row r="2156" spans="1:22" x14ac:dyDescent="0.35">
      <c r="A2156" t="s">
        <v>4059</v>
      </c>
      <c r="B2156" t="s">
        <v>2512</v>
      </c>
      <c r="C2156">
        <v>481.53</v>
      </c>
      <c r="D2156" s="1">
        <v>45181.72347222222</v>
      </c>
      <c r="E2156" s="2">
        <f t="shared" si="132"/>
        <v>0.72347222222015262</v>
      </c>
      <c r="F2156" s="3">
        <f t="shared" si="133"/>
        <v>45181</v>
      </c>
      <c r="G2156" t="s">
        <v>17</v>
      </c>
      <c r="H2156" t="s">
        <v>47</v>
      </c>
      <c r="I2156" t="s">
        <v>152</v>
      </c>
      <c r="J2156" t="s">
        <v>116</v>
      </c>
      <c r="K2156" t="s">
        <v>343</v>
      </c>
      <c r="L2156" t="s">
        <v>69</v>
      </c>
      <c r="M2156">
        <v>58</v>
      </c>
      <c r="N2156" t="s">
        <v>70</v>
      </c>
      <c r="O2156">
        <v>277</v>
      </c>
      <c r="P2156">
        <v>1</v>
      </c>
      <c r="Q2156">
        <v>6142.54</v>
      </c>
      <c r="R2156" s="4">
        <v>45600</v>
      </c>
      <c r="S2156" s="6">
        <v>0.34159722222222222</v>
      </c>
      <c r="T2156">
        <f t="shared" si="134"/>
        <v>17</v>
      </c>
      <c r="U2156" t="str" cm="1">
        <f t="array" ref="U2156">_xlfn.IFS(M2156&lt;=34,"YOUNG",M2156&lt;=54,"MIDDLE AGE",M2156&gt;=55,"OLD")</f>
        <v>OLD</v>
      </c>
      <c r="V2156" t="str">
        <f t="shared" si="135"/>
        <v>NORMAL</v>
      </c>
    </row>
    <row r="2157" spans="1:22" x14ac:dyDescent="0.35">
      <c r="A2157" t="s">
        <v>4060</v>
      </c>
      <c r="B2157" t="s">
        <v>525</v>
      </c>
      <c r="C2157">
        <v>172.92</v>
      </c>
      <c r="D2157" s="1">
        <v>45166.705613425926</v>
      </c>
      <c r="E2157" s="2">
        <f t="shared" si="132"/>
        <v>0.70561342592554865</v>
      </c>
      <c r="F2157" s="3">
        <f t="shared" si="133"/>
        <v>45166</v>
      </c>
      <c r="G2157" t="s">
        <v>17</v>
      </c>
      <c r="H2157" t="s">
        <v>172</v>
      </c>
      <c r="I2157" t="s">
        <v>975</v>
      </c>
      <c r="J2157" t="s">
        <v>1637</v>
      </c>
      <c r="K2157" t="s">
        <v>29</v>
      </c>
      <c r="L2157" t="s">
        <v>36</v>
      </c>
      <c r="M2157">
        <v>20</v>
      </c>
      <c r="N2157" t="s">
        <v>37</v>
      </c>
      <c r="O2157">
        <v>212</v>
      </c>
      <c r="P2157">
        <v>1</v>
      </c>
      <c r="Q2157">
        <v>416.37</v>
      </c>
      <c r="R2157" s="4">
        <v>45600</v>
      </c>
      <c r="S2157" s="6">
        <v>0.33905092592592595</v>
      </c>
      <c r="T2157">
        <f t="shared" si="134"/>
        <v>16</v>
      </c>
      <c r="U2157" t="str" cm="1">
        <f t="array" ref="U2157">_xlfn.IFS(M2157&lt;=34,"YOUNG",M2157&lt;=54,"MIDDLE AGE",M2157&gt;=55,"OLD")</f>
        <v>YOUNG</v>
      </c>
      <c r="V2157" t="str">
        <f t="shared" si="135"/>
        <v>NORMAL</v>
      </c>
    </row>
    <row r="2158" spans="1:22" x14ac:dyDescent="0.35">
      <c r="A2158" t="s">
        <v>4061</v>
      </c>
      <c r="B2158" t="s">
        <v>2539</v>
      </c>
      <c r="C2158">
        <v>275.58999999999997</v>
      </c>
      <c r="D2158" s="1">
        <v>45209.700729166667</v>
      </c>
      <c r="E2158" s="2">
        <f t="shared" si="132"/>
        <v>0.70072916666686069</v>
      </c>
      <c r="F2158" s="3">
        <f t="shared" si="133"/>
        <v>45209</v>
      </c>
      <c r="G2158" t="s">
        <v>46</v>
      </c>
      <c r="H2158" t="s">
        <v>243</v>
      </c>
      <c r="I2158" t="s">
        <v>2976</v>
      </c>
      <c r="J2158" t="s">
        <v>458</v>
      </c>
      <c r="K2158" t="s">
        <v>370</v>
      </c>
      <c r="L2158" t="s">
        <v>69</v>
      </c>
      <c r="M2158">
        <v>53</v>
      </c>
      <c r="N2158" t="s">
        <v>70</v>
      </c>
      <c r="O2158">
        <v>238</v>
      </c>
      <c r="P2158">
        <v>1</v>
      </c>
      <c r="Q2158">
        <v>6313.22</v>
      </c>
      <c r="R2158" s="4">
        <v>45600</v>
      </c>
      <c r="S2158" s="6">
        <v>0.34041666666666665</v>
      </c>
      <c r="T2158">
        <f t="shared" si="134"/>
        <v>16</v>
      </c>
      <c r="U2158" t="str" cm="1">
        <f t="array" ref="U2158">_xlfn.IFS(M2158&lt;=34,"YOUNG",M2158&lt;=54,"MIDDLE AGE",M2158&gt;=55,"OLD")</f>
        <v>MIDDLE AGE</v>
      </c>
      <c r="V2158" t="str">
        <f t="shared" si="135"/>
        <v>NORMAL</v>
      </c>
    </row>
    <row r="2159" spans="1:22" x14ac:dyDescent="0.35">
      <c r="A2159" t="s">
        <v>4062</v>
      </c>
      <c r="B2159" t="s">
        <v>3465</v>
      </c>
      <c r="C2159">
        <v>207.2</v>
      </c>
      <c r="D2159" s="1">
        <v>45292.675370370373</v>
      </c>
      <c r="E2159" s="2">
        <f t="shared" si="132"/>
        <v>0.67537037037254777</v>
      </c>
      <c r="F2159" s="3">
        <f t="shared" si="133"/>
        <v>45292</v>
      </c>
      <c r="G2159" t="s">
        <v>17</v>
      </c>
      <c r="H2159" t="s">
        <v>125</v>
      </c>
      <c r="I2159" t="s">
        <v>1685</v>
      </c>
      <c r="J2159" t="s">
        <v>1344</v>
      </c>
      <c r="K2159" t="s">
        <v>165</v>
      </c>
      <c r="L2159" t="s">
        <v>36</v>
      </c>
      <c r="M2159">
        <v>60</v>
      </c>
      <c r="N2159" t="s">
        <v>77</v>
      </c>
      <c r="O2159">
        <v>133</v>
      </c>
      <c r="P2159">
        <v>1</v>
      </c>
      <c r="Q2159">
        <v>8092.94</v>
      </c>
      <c r="R2159" s="4">
        <v>45600</v>
      </c>
      <c r="S2159" s="6">
        <v>0.33776620370370369</v>
      </c>
      <c r="T2159">
        <f t="shared" si="134"/>
        <v>16</v>
      </c>
      <c r="U2159" t="str" cm="1">
        <f t="array" ref="U2159">_xlfn.IFS(M2159&lt;=34,"YOUNG",M2159&lt;=54,"MIDDLE AGE",M2159&gt;=55,"OLD")</f>
        <v>OLD</v>
      </c>
      <c r="V2159" t="str">
        <f t="shared" si="135"/>
        <v>NORMAL</v>
      </c>
    </row>
    <row r="2160" spans="1:22" x14ac:dyDescent="0.35">
      <c r="A2160" t="s">
        <v>4063</v>
      </c>
      <c r="B2160" t="s">
        <v>2781</v>
      </c>
      <c r="C2160">
        <v>136.82</v>
      </c>
      <c r="D2160" s="1">
        <v>45163.766736111109</v>
      </c>
      <c r="E2160" s="2">
        <f t="shared" si="132"/>
        <v>0.76673611110891216</v>
      </c>
      <c r="F2160" s="3">
        <f t="shared" si="133"/>
        <v>45163</v>
      </c>
      <c r="G2160" t="s">
        <v>17</v>
      </c>
      <c r="H2160" t="s">
        <v>265</v>
      </c>
      <c r="I2160" t="s">
        <v>4064</v>
      </c>
      <c r="J2160" t="s">
        <v>2206</v>
      </c>
      <c r="K2160" t="s">
        <v>50</v>
      </c>
      <c r="L2160" t="s">
        <v>69</v>
      </c>
      <c r="M2160">
        <v>31</v>
      </c>
      <c r="N2160" t="s">
        <v>77</v>
      </c>
      <c r="O2160">
        <v>14</v>
      </c>
      <c r="P2160">
        <v>1</v>
      </c>
      <c r="Q2160">
        <v>6229.13</v>
      </c>
      <c r="R2160" s="4">
        <v>45600</v>
      </c>
      <c r="S2160" s="6">
        <v>0.33892361111111113</v>
      </c>
      <c r="T2160">
        <f t="shared" si="134"/>
        <v>18</v>
      </c>
      <c r="U2160" t="str" cm="1">
        <f t="array" ref="U2160">_xlfn.IFS(M2160&lt;=34,"YOUNG",M2160&lt;=54,"MIDDLE AGE",M2160&gt;=55,"OLD")</f>
        <v>YOUNG</v>
      </c>
      <c r="V2160" t="str">
        <f t="shared" si="135"/>
        <v>NORMAL</v>
      </c>
    </row>
    <row r="2161" spans="1:22" x14ac:dyDescent="0.35">
      <c r="A2161" t="s">
        <v>4065</v>
      </c>
      <c r="B2161" t="s">
        <v>1821</v>
      </c>
      <c r="C2161">
        <v>624</v>
      </c>
      <c r="D2161" s="1">
        <v>44973.73233796296</v>
      </c>
      <c r="E2161" s="2">
        <f t="shared" si="132"/>
        <v>0.73233796295971842</v>
      </c>
      <c r="F2161" s="3">
        <f t="shared" si="133"/>
        <v>44973</v>
      </c>
      <c r="G2161" t="s">
        <v>17</v>
      </c>
      <c r="H2161" t="s">
        <v>26</v>
      </c>
      <c r="I2161" t="s">
        <v>1039</v>
      </c>
      <c r="J2161" t="s">
        <v>2316</v>
      </c>
      <c r="K2161" t="s">
        <v>348</v>
      </c>
      <c r="L2161" t="s">
        <v>69</v>
      </c>
      <c r="M2161">
        <v>26</v>
      </c>
      <c r="N2161" t="s">
        <v>77</v>
      </c>
      <c r="O2161">
        <v>132</v>
      </c>
      <c r="P2161">
        <v>5</v>
      </c>
      <c r="Q2161">
        <v>4976.18</v>
      </c>
      <c r="R2161" s="4">
        <v>45600</v>
      </c>
      <c r="S2161" s="6">
        <v>0.34145833333333331</v>
      </c>
      <c r="T2161">
        <f t="shared" si="134"/>
        <v>17</v>
      </c>
      <c r="U2161" t="str" cm="1">
        <f t="array" ref="U2161">_xlfn.IFS(M2161&lt;=34,"YOUNG",M2161&lt;=54,"MIDDLE AGE",M2161&gt;=55,"OLD")</f>
        <v>YOUNG</v>
      </c>
      <c r="V2161" t="str">
        <f t="shared" si="135"/>
        <v>HIGH</v>
      </c>
    </row>
    <row r="2162" spans="1:22" x14ac:dyDescent="0.35">
      <c r="A2162" t="s">
        <v>4066</v>
      </c>
      <c r="B2162" t="s">
        <v>2133</v>
      </c>
      <c r="C2162">
        <v>179.38</v>
      </c>
      <c r="D2162" s="1">
        <v>45148.771527777775</v>
      </c>
      <c r="E2162" s="2">
        <f t="shared" si="132"/>
        <v>0.77152777777519077</v>
      </c>
      <c r="F2162" s="3">
        <f t="shared" si="133"/>
        <v>45148</v>
      </c>
      <c r="G2162" t="s">
        <v>17</v>
      </c>
      <c r="H2162" t="s">
        <v>265</v>
      </c>
      <c r="I2162" t="s">
        <v>2282</v>
      </c>
      <c r="J2162" t="s">
        <v>1109</v>
      </c>
      <c r="K2162" t="s">
        <v>226</v>
      </c>
      <c r="L2162" t="s">
        <v>36</v>
      </c>
      <c r="M2162">
        <v>30</v>
      </c>
      <c r="N2162" t="s">
        <v>77</v>
      </c>
      <c r="O2162">
        <v>28</v>
      </c>
      <c r="P2162">
        <v>1</v>
      </c>
      <c r="Q2162">
        <v>8741.51</v>
      </c>
      <c r="R2162" s="4">
        <v>45600</v>
      </c>
      <c r="S2162" s="6">
        <v>0.33928240740740739</v>
      </c>
      <c r="T2162">
        <f t="shared" si="134"/>
        <v>18</v>
      </c>
      <c r="U2162" t="str" cm="1">
        <f t="array" ref="U2162">_xlfn.IFS(M2162&lt;=34,"YOUNG",M2162&lt;=54,"MIDDLE AGE",M2162&gt;=55,"OLD")</f>
        <v>YOUNG</v>
      </c>
      <c r="V2162" t="str">
        <f t="shared" si="135"/>
        <v>NORMAL</v>
      </c>
    </row>
    <row r="2163" spans="1:22" x14ac:dyDescent="0.35">
      <c r="A2163" t="s">
        <v>4067</v>
      </c>
      <c r="B2163" t="s">
        <v>1998</v>
      </c>
      <c r="C2163">
        <v>10.15</v>
      </c>
      <c r="D2163" s="1">
        <v>44980.702476851853</v>
      </c>
      <c r="E2163" s="2">
        <f t="shared" si="132"/>
        <v>0.70247685185313458</v>
      </c>
      <c r="F2163" s="3">
        <f t="shared" si="133"/>
        <v>44980</v>
      </c>
      <c r="G2163" t="s">
        <v>17</v>
      </c>
      <c r="H2163" t="s">
        <v>119</v>
      </c>
      <c r="I2163" t="s">
        <v>902</v>
      </c>
      <c r="J2163" t="s">
        <v>1585</v>
      </c>
      <c r="K2163" t="s">
        <v>432</v>
      </c>
      <c r="L2163" t="s">
        <v>22</v>
      </c>
      <c r="M2163">
        <v>59</v>
      </c>
      <c r="N2163" t="s">
        <v>23</v>
      </c>
      <c r="O2163">
        <v>58</v>
      </c>
      <c r="P2163">
        <v>5</v>
      </c>
      <c r="Q2163">
        <v>7155.04</v>
      </c>
      <c r="R2163" s="4">
        <v>45600</v>
      </c>
      <c r="S2163" s="6">
        <v>0.34097222222222223</v>
      </c>
      <c r="T2163">
        <f t="shared" si="134"/>
        <v>16</v>
      </c>
      <c r="U2163" t="str" cm="1">
        <f t="array" ref="U2163">_xlfn.IFS(M2163&lt;=34,"YOUNG",M2163&lt;=54,"MIDDLE AGE",M2163&gt;=55,"OLD")</f>
        <v>OLD</v>
      </c>
      <c r="V2163" t="str">
        <f t="shared" si="135"/>
        <v>HIGH</v>
      </c>
    </row>
    <row r="2164" spans="1:22" x14ac:dyDescent="0.35">
      <c r="A2164" t="s">
        <v>4068</v>
      </c>
      <c r="B2164" t="s">
        <v>1858</v>
      </c>
      <c r="C2164">
        <v>26.3</v>
      </c>
      <c r="D2164" s="1">
        <v>45272.706585648149</v>
      </c>
      <c r="E2164" s="2">
        <f t="shared" si="132"/>
        <v>0.70658564814948477</v>
      </c>
      <c r="F2164" s="3">
        <f t="shared" si="133"/>
        <v>45272</v>
      </c>
      <c r="G2164" t="s">
        <v>17</v>
      </c>
      <c r="H2164" t="s">
        <v>301</v>
      </c>
      <c r="I2164" t="s">
        <v>1024</v>
      </c>
      <c r="J2164" t="s">
        <v>307</v>
      </c>
      <c r="K2164" t="s">
        <v>175</v>
      </c>
      <c r="L2164" t="s">
        <v>22</v>
      </c>
      <c r="M2164">
        <v>32</v>
      </c>
      <c r="N2164" t="s">
        <v>23</v>
      </c>
      <c r="O2164">
        <v>33</v>
      </c>
      <c r="P2164">
        <v>1</v>
      </c>
      <c r="Q2164">
        <v>7473.73</v>
      </c>
      <c r="R2164" s="4">
        <v>45600</v>
      </c>
      <c r="S2164" s="6">
        <v>0.33990740740740738</v>
      </c>
      <c r="T2164">
        <f t="shared" si="134"/>
        <v>16</v>
      </c>
      <c r="U2164" t="str" cm="1">
        <f t="array" ref="U2164">_xlfn.IFS(M2164&lt;=34,"YOUNG",M2164&lt;=54,"MIDDLE AGE",M2164&gt;=55,"OLD")</f>
        <v>YOUNG</v>
      </c>
      <c r="V2164" t="str">
        <f t="shared" si="135"/>
        <v>NORMAL</v>
      </c>
    </row>
    <row r="2165" spans="1:22" x14ac:dyDescent="0.35">
      <c r="A2165" t="s">
        <v>4069</v>
      </c>
      <c r="B2165" t="s">
        <v>1151</v>
      </c>
      <c r="C2165">
        <v>319.5</v>
      </c>
      <c r="D2165" s="1">
        <v>45086.669027777774</v>
      </c>
      <c r="E2165" s="2">
        <f t="shared" si="132"/>
        <v>0.66902777777431766</v>
      </c>
      <c r="F2165" s="3">
        <f t="shared" si="133"/>
        <v>45086</v>
      </c>
      <c r="G2165" t="s">
        <v>46</v>
      </c>
      <c r="H2165" t="s">
        <v>301</v>
      </c>
      <c r="I2165" t="s">
        <v>2290</v>
      </c>
      <c r="J2165" t="s">
        <v>1683</v>
      </c>
      <c r="K2165" t="s">
        <v>427</v>
      </c>
      <c r="L2165" t="s">
        <v>69</v>
      </c>
      <c r="M2165">
        <v>29</v>
      </c>
      <c r="N2165" t="s">
        <v>77</v>
      </c>
      <c r="O2165">
        <v>69</v>
      </c>
      <c r="P2165">
        <v>1</v>
      </c>
      <c r="Q2165">
        <v>2366.3000000000002</v>
      </c>
      <c r="R2165" s="4">
        <v>45600</v>
      </c>
      <c r="S2165" s="6">
        <v>0.34079861111111109</v>
      </c>
      <c r="T2165">
        <f t="shared" si="134"/>
        <v>16</v>
      </c>
      <c r="U2165" t="str" cm="1">
        <f t="array" ref="U2165">_xlfn.IFS(M2165&lt;=34,"YOUNG",M2165&lt;=54,"MIDDLE AGE",M2165&gt;=55,"OLD")</f>
        <v>YOUNG</v>
      </c>
      <c r="V2165" t="str">
        <f t="shared" si="135"/>
        <v>NORMAL</v>
      </c>
    </row>
    <row r="2166" spans="1:22" x14ac:dyDescent="0.35">
      <c r="A2166" t="s">
        <v>4070</v>
      </c>
      <c r="B2166" t="s">
        <v>3811</v>
      </c>
      <c r="C2166">
        <v>182.42</v>
      </c>
      <c r="D2166" s="1">
        <v>45007.708287037036</v>
      </c>
      <c r="E2166" s="2">
        <f t="shared" si="132"/>
        <v>0.708287037035916</v>
      </c>
      <c r="F2166" s="3">
        <f t="shared" si="133"/>
        <v>45007</v>
      </c>
      <c r="G2166" t="s">
        <v>17</v>
      </c>
      <c r="H2166" t="s">
        <v>291</v>
      </c>
      <c r="I2166" t="s">
        <v>2312</v>
      </c>
      <c r="J2166" t="s">
        <v>1686</v>
      </c>
      <c r="K2166" t="s">
        <v>1014</v>
      </c>
      <c r="L2166" t="s">
        <v>69</v>
      </c>
      <c r="M2166">
        <v>51</v>
      </c>
      <c r="N2166" t="s">
        <v>70</v>
      </c>
      <c r="O2166">
        <v>137</v>
      </c>
      <c r="P2166">
        <v>1</v>
      </c>
      <c r="Q2166">
        <v>3051.29</v>
      </c>
      <c r="R2166" s="4">
        <v>45600</v>
      </c>
      <c r="S2166" s="6">
        <v>0.34075231481481483</v>
      </c>
      <c r="T2166">
        <f t="shared" si="134"/>
        <v>16</v>
      </c>
      <c r="U2166" t="str" cm="1">
        <f t="array" ref="U2166">_xlfn.IFS(M2166&lt;=34,"YOUNG",M2166&lt;=54,"MIDDLE AGE",M2166&gt;=55,"OLD")</f>
        <v>MIDDLE AGE</v>
      </c>
      <c r="V2166" t="str">
        <f t="shared" si="135"/>
        <v>NORMAL</v>
      </c>
    </row>
    <row r="2167" spans="1:22" x14ac:dyDescent="0.35">
      <c r="A2167" t="s">
        <v>4071</v>
      </c>
      <c r="B2167" t="s">
        <v>3092</v>
      </c>
      <c r="C2167">
        <v>716.62</v>
      </c>
      <c r="D2167" s="1">
        <v>45026.669768518521</v>
      </c>
      <c r="E2167" s="2">
        <f t="shared" si="132"/>
        <v>0.66976851852086838</v>
      </c>
      <c r="F2167" s="3">
        <f t="shared" si="133"/>
        <v>45026</v>
      </c>
      <c r="G2167" t="s">
        <v>17</v>
      </c>
      <c r="H2167" t="s">
        <v>47</v>
      </c>
      <c r="I2167" t="s">
        <v>179</v>
      </c>
      <c r="J2167" t="s">
        <v>2120</v>
      </c>
      <c r="K2167" t="s">
        <v>820</v>
      </c>
      <c r="L2167" t="s">
        <v>22</v>
      </c>
      <c r="M2167">
        <v>44</v>
      </c>
      <c r="N2167" t="s">
        <v>23</v>
      </c>
      <c r="O2167">
        <v>241</v>
      </c>
      <c r="P2167">
        <v>1</v>
      </c>
      <c r="Q2167">
        <v>6987.4</v>
      </c>
      <c r="R2167" s="4">
        <v>45600</v>
      </c>
      <c r="S2167" s="6">
        <v>0.34033564814814815</v>
      </c>
      <c r="T2167">
        <f t="shared" si="134"/>
        <v>16</v>
      </c>
      <c r="U2167" t="str" cm="1">
        <f t="array" ref="U2167">_xlfn.IFS(M2167&lt;=34,"YOUNG",M2167&lt;=54,"MIDDLE AGE",M2167&gt;=55,"OLD")</f>
        <v>MIDDLE AGE</v>
      </c>
      <c r="V2167" t="str">
        <f t="shared" si="135"/>
        <v>NORMAL</v>
      </c>
    </row>
    <row r="2168" spans="1:22" x14ac:dyDescent="0.35">
      <c r="A2168" t="s">
        <v>4072</v>
      </c>
      <c r="B2168" t="s">
        <v>1057</v>
      </c>
      <c r="C2168">
        <v>222.96</v>
      </c>
      <c r="D2168" s="1">
        <v>45008.726747685185</v>
      </c>
      <c r="E2168" s="2">
        <f t="shared" si="132"/>
        <v>0.72674768518481869</v>
      </c>
      <c r="F2168" s="3">
        <f t="shared" si="133"/>
        <v>45008</v>
      </c>
      <c r="G2168" t="s">
        <v>46</v>
      </c>
      <c r="H2168" t="s">
        <v>558</v>
      </c>
      <c r="I2168" t="s">
        <v>3370</v>
      </c>
      <c r="J2168" t="s">
        <v>3141</v>
      </c>
      <c r="K2168" t="s">
        <v>89</v>
      </c>
      <c r="L2168" t="s">
        <v>22</v>
      </c>
      <c r="M2168">
        <v>65</v>
      </c>
      <c r="N2168" t="s">
        <v>23</v>
      </c>
      <c r="O2168">
        <v>150</v>
      </c>
      <c r="P2168">
        <v>1</v>
      </c>
      <c r="Q2168">
        <v>7370.41</v>
      </c>
      <c r="R2168" s="4">
        <v>45600</v>
      </c>
      <c r="S2168" s="6">
        <v>0.34190972222222221</v>
      </c>
      <c r="T2168">
        <f t="shared" si="134"/>
        <v>17</v>
      </c>
      <c r="U2168" t="str" cm="1">
        <f t="array" ref="U2168">_xlfn.IFS(M2168&lt;=34,"YOUNG",M2168&lt;=54,"MIDDLE AGE",M2168&gt;=55,"OLD")</f>
        <v>OLD</v>
      </c>
      <c r="V2168" t="str">
        <f t="shared" si="135"/>
        <v>NORMAL</v>
      </c>
    </row>
    <row r="2169" spans="1:22" x14ac:dyDescent="0.35">
      <c r="A2169" t="s">
        <v>4073</v>
      </c>
      <c r="B2169" t="s">
        <v>2507</v>
      </c>
      <c r="C2169">
        <v>79.77</v>
      </c>
      <c r="D2169" s="1">
        <v>44949.702025462961</v>
      </c>
      <c r="E2169" s="2">
        <f t="shared" si="132"/>
        <v>0.70202546296059154</v>
      </c>
      <c r="F2169" s="3">
        <f t="shared" si="133"/>
        <v>44949</v>
      </c>
      <c r="G2169" t="s">
        <v>17</v>
      </c>
      <c r="H2169" t="s">
        <v>212</v>
      </c>
      <c r="I2169" t="s">
        <v>3940</v>
      </c>
      <c r="J2169" t="s">
        <v>2849</v>
      </c>
      <c r="K2169" t="s">
        <v>386</v>
      </c>
      <c r="L2169" t="s">
        <v>22</v>
      </c>
      <c r="M2169">
        <v>68</v>
      </c>
      <c r="N2169" t="s">
        <v>70</v>
      </c>
      <c r="O2169">
        <v>167</v>
      </c>
      <c r="P2169">
        <v>1</v>
      </c>
      <c r="Q2169">
        <v>5010.3100000000004</v>
      </c>
      <c r="R2169" s="4">
        <v>45600</v>
      </c>
      <c r="S2169" s="6">
        <v>0.33939814814814817</v>
      </c>
      <c r="T2169">
        <f t="shared" si="134"/>
        <v>16</v>
      </c>
      <c r="U2169" t="str" cm="1">
        <f t="array" ref="U2169">_xlfn.IFS(M2169&lt;=34,"YOUNG",M2169&lt;=54,"MIDDLE AGE",M2169&gt;=55,"OLD")</f>
        <v>OLD</v>
      </c>
      <c r="V2169" t="str">
        <f t="shared" si="135"/>
        <v>NORMAL</v>
      </c>
    </row>
    <row r="2170" spans="1:22" x14ac:dyDescent="0.35">
      <c r="A2170" t="s">
        <v>4074</v>
      </c>
      <c r="B2170" t="s">
        <v>367</v>
      </c>
      <c r="C2170">
        <v>431.08</v>
      </c>
      <c r="D2170" s="1">
        <v>45124.766840277778</v>
      </c>
      <c r="E2170" s="2">
        <f t="shared" si="132"/>
        <v>0.76684027777810115</v>
      </c>
      <c r="F2170" s="3">
        <f t="shared" si="133"/>
        <v>45124</v>
      </c>
      <c r="G2170" t="s">
        <v>17</v>
      </c>
      <c r="H2170" t="s">
        <v>86</v>
      </c>
      <c r="I2170" t="s">
        <v>630</v>
      </c>
      <c r="J2170" t="s">
        <v>3347</v>
      </c>
      <c r="K2170" t="s">
        <v>759</v>
      </c>
      <c r="L2170" t="s">
        <v>69</v>
      </c>
      <c r="M2170">
        <v>59</v>
      </c>
      <c r="N2170" t="s">
        <v>70</v>
      </c>
      <c r="O2170">
        <v>25</v>
      </c>
      <c r="P2170">
        <v>1</v>
      </c>
      <c r="Q2170">
        <v>6760.22</v>
      </c>
      <c r="R2170" s="4">
        <v>45600</v>
      </c>
      <c r="S2170" s="6">
        <v>0.33810185185185188</v>
      </c>
      <c r="T2170">
        <f t="shared" si="134"/>
        <v>18</v>
      </c>
      <c r="U2170" t="str" cm="1">
        <f t="array" ref="U2170">_xlfn.IFS(M2170&lt;=34,"YOUNG",M2170&lt;=54,"MIDDLE AGE",M2170&gt;=55,"OLD")</f>
        <v>OLD</v>
      </c>
      <c r="V2170" t="str">
        <f t="shared" si="135"/>
        <v>NORMAL</v>
      </c>
    </row>
    <row r="2171" spans="1:22" x14ac:dyDescent="0.35">
      <c r="A2171" t="s">
        <v>4075</v>
      </c>
      <c r="B2171" t="s">
        <v>876</v>
      </c>
      <c r="C2171">
        <v>592.24</v>
      </c>
      <c r="D2171" s="1">
        <v>45215.700775462959</v>
      </c>
      <c r="E2171" s="2">
        <f t="shared" si="132"/>
        <v>0.70077546295942739</v>
      </c>
      <c r="F2171" s="3">
        <f t="shared" si="133"/>
        <v>45215</v>
      </c>
      <c r="G2171" t="s">
        <v>17</v>
      </c>
      <c r="H2171" t="s">
        <v>255</v>
      </c>
      <c r="I2171" t="s">
        <v>381</v>
      </c>
      <c r="J2171" t="s">
        <v>2484</v>
      </c>
      <c r="K2171" t="s">
        <v>639</v>
      </c>
      <c r="L2171" t="s">
        <v>22</v>
      </c>
      <c r="M2171">
        <v>52</v>
      </c>
      <c r="N2171" t="s">
        <v>23</v>
      </c>
      <c r="O2171">
        <v>140</v>
      </c>
      <c r="P2171">
        <v>1</v>
      </c>
      <c r="Q2171">
        <v>9817.0499999999993</v>
      </c>
      <c r="R2171" s="4">
        <v>45600</v>
      </c>
      <c r="S2171" s="6">
        <v>0.33842592592592591</v>
      </c>
      <c r="T2171">
        <f t="shared" si="134"/>
        <v>16</v>
      </c>
      <c r="U2171" t="str" cm="1">
        <f t="array" ref="U2171">_xlfn.IFS(M2171&lt;=34,"YOUNG",M2171&lt;=54,"MIDDLE AGE",M2171&gt;=55,"OLD")</f>
        <v>MIDDLE AGE</v>
      </c>
      <c r="V2171" t="str">
        <f t="shared" si="135"/>
        <v>NORMAL</v>
      </c>
    </row>
    <row r="2172" spans="1:22" x14ac:dyDescent="0.35">
      <c r="A2172" t="s">
        <v>4076</v>
      </c>
      <c r="B2172" t="s">
        <v>222</v>
      </c>
      <c r="C2172">
        <v>200.19</v>
      </c>
      <c r="D2172" s="1">
        <v>45125.758101851854</v>
      </c>
      <c r="E2172" s="2">
        <f t="shared" si="132"/>
        <v>0.75810185185400769</v>
      </c>
      <c r="F2172" s="3">
        <f t="shared" si="133"/>
        <v>45125</v>
      </c>
      <c r="G2172" t="s">
        <v>46</v>
      </c>
      <c r="H2172" t="s">
        <v>237</v>
      </c>
      <c r="I2172" t="s">
        <v>1273</v>
      </c>
      <c r="J2172" t="s">
        <v>2984</v>
      </c>
      <c r="K2172" t="s">
        <v>95</v>
      </c>
      <c r="L2172" t="s">
        <v>69</v>
      </c>
      <c r="M2172">
        <v>52</v>
      </c>
      <c r="N2172" t="s">
        <v>70</v>
      </c>
      <c r="O2172">
        <v>108</v>
      </c>
      <c r="P2172">
        <v>1</v>
      </c>
      <c r="Q2172">
        <v>4389.96</v>
      </c>
      <c r="R2172" s="4">
        <v>45600</v>
      </c>
      <c r="S2172" s="6">
        <v>0.34186342592592595</v>
      </c>
      <c r="T2172">
        <f t="shared" si="134"/>
        <v>18</v>
      </c>
      <c r="U2172" t="str" cm="1">
        <f t="array" ref="U2172">_xlfn.IFS(M2172&lt;=34,"YOUNG",M2172&lt;=54,"MIDDLE AGE",M2172&gt;=55,"OLD")</f>
        <v>MIDDLE AGE</v>
      </c>
      <c r="V2172" t="str">
        <f t="shared" si="135"/>
        <v>NORMAL</v>
      </c>
    </row>
    <row r="2173" spans="1:22" x14ac:dyDescent="0.35">
      <c r="A2173" t="s">
        <v>4077</v>
      </c>
      <c r="B2173" t="s">
        <v>2019</v>
      </c>
      <c r="C2173">
        <v>297.5</v>
      </c>
      <c r="D2173" s="1">
        <v>45012.719918981478</v>
      </c>
      <c r="E2173" s="2">
        <f t="shared" si="132"/>
        <v>0.7199189814782585</v>
      </c>
      <c r="F2173" s="3">
        <f t="shared" si="133"/>
        <v>45012</v>
      </c>
      <c r="G2173" t="s">
        <v>46</v>
      </c>
      <c r="H2173" t="s">
        <v>291</v>
      </c>
      <c r="I2173" t="s">
        <v>1160</v>
      </c>
      <c r="J2173" t="s">
        <v>1083</v>
      </c>
      <c r="K2173" t="s">
        <v>358</v>
      </c>
      <c r="L2173" t="s">
        <v>69</v>
      </c>
      <c r="M2173">
        <v>73</v>
      </c>
      <c r="N2173" t="s">
        <v>70</v>
      </c>
      <c r="O2173">
        <v>80</v>
      </c>
      <c r="P2173">
        <v>1</v>
      </c>
      <c r="Q2173">
        <v>6768.14</v>
      </c>
      <c r="R2173" s="4">
        <v>45600</v>
      </c>
      <c r="S2173" s="6">
        <v>0.33876157407407409</v>
      </c>
      <c r="T2173">
        <f t="shared" si="134"/>
        <v>17</v>
      </c>
      <c r="U2173" t="str" cm="1">
        <f t="array" ref="U2173">_xlfn.IFS(M2173&lt;=34,"YOUNG",M2173&lt;=54,"MIDDLE AGE",M2173&gt;=55,"OLD")</f>
        <v>OLD</v>
      </c>
      <c r="V2173" t="str">
        <f t="shared" si="135"/>
        <v>NORMAL</v>
      </c>
    </row>
    <row r="2174" spans="1:22" x14ac:dyDescent="0.35">
      <c r="A2174" t="s">
        <v>4078</v>
      </c>
      <c r="B2174" t="s">
        <v>1998</v>
      </c>
      <c r="C2174">
        <v>345.86</v>
      </c>
      <c r="D2174" s="1">
        <v>45250.695648148147</v>
      </c>
      <c r="E2174" s="2">
        <f t="shared" si="132"/>
        <v>0.69564814814657439</v>
      </c>
      <c r="F2174" s="3">
        <f t="shared" si="133"/>
        <v>45250</v>
      </c>
      <c r="G2174" t="s">
        <v>17</v>
      </c>
      <c r="H2174" t="s">
        <v>296</v>
      </c>
      <c r="I2174" t="s">
        <v>224</v>
      </c>
      <c r="J2174" t="s">
        <v>2383</v>
      </c>
      <c r="K2174" t="s">
        <v>853</v>
      </c>
      <c r="L2174" t="s">
        <v>22</v>
      </c>
      <c r="M2174">
        <v>51</v>
      </c>
      <c r="N2174" t="s">
        <v>70</v>
      </c>
      <c r="O2174">
        <v>145</v>
      </c>
      <c r="P2174">
        <v>1</v>
      </c>
      <c r="Q2174">
        <v>1504.64</v>
      </c>
      <c r="R2174" s="4">
        <v>45600</v>
      </c>
      <c r="S2174" s="6">
        <v>0.33988425925925925</v>
      </c>
      <c r="T2174">
        <f t="shared" si="134"/>
        <v>16</v>
      </c>
      <c r="U2174" t="str" cm="1">
        <f t="array" ref="U2174">_xlfn.IFS(M2174&lt;=34,"YOUNG",M2174&lt;=54,"MIDDLE AGE",M2174&gt;=55,"OLD")</f>
        <v>MIDDLE AGE</v>
      </c>
      <c r="V2174" t="str">
        <f t="shared" si="135"/>
        <v>NORMAL</v>
      </c>
    </row>
    <row r="2175" spans="1:22" x14ac:dyDescent="0.35">
      <c r="A2175" t="s">
        <v>4079</v>
      </c>
      <c r="B2175" t="s">
        <v>1418</v>
      </c>
      <c r="C2175">
        <v>343.88</v>
      </c>
      <c r="D2175" s="1">
        <v>45271.69259259259</v>
      </c>
      <c r="E2175" s="2">
        <f t="shared" si="132"/>
        <v>0.69259259258979</v>
      </c>
      <c r="F2175" s="3">
        <f t="shared" si="133"/>
        <v>45271</v>
      </c>
      <c r="G2175" t="s">
        <v>17</v>
      </c>
      <c r="H2175" t="s">
        <v>80</v>
      </c>
      <c r="I2175" t="s">
        <v>2359</v>
      </c>
      <c r="J2175" t="s">
        <v>999</v>
      </c>
      <c r="K2175" t="s">
        <v>1524</v>
      </c>
      <c r="L2175" t="s">
        <v>36</v>
      </c>
      <c r="M2175">
        <v>63</v>
      </c>
      <c r="N2175" t="s">
        <v>70</v>
      </c>
      <c r="O2175">
        <v>97</v>
      </c>
      <c r="P2175">
        <v>1</v>
      </c>
      <c r="Q2175">
        <v>6486.18</v>
      </c>
      <c r="R2175" s="4">
        <v>45600</v>
      </c>
      <c r="S2175" s="6">
        <v>0.34167824074074077</v>
      </c>
      <c r="T2175">
        <f t="shared" si="134"/>
        <v>16</v>
      </c>
      <c r="U2175" t="str" cm="1">
        <f t="array" ref="U2175">_xlfn.IFS(M2175&lt;=34,"YOUNG",M2175&lt;=54,"MIDDLE AGE",M2175&gt;=55,"OLD")</f>
        <v>OLD</v>
      </c>
      <c r="V2175" t="str">
        <f t="shared" si="135"/>
        <v>NORMAL</v>
      </c>
    </row>
    <row r="2176" spans="1:22" x14ac:dyDescent="0.35">
      <c r="A2176" t="s">
        <v>4080</v>
      </c>
      <c r="B2176" t="s">
        <v>2251</v>
      </c>
      <c r="C2176">
        <v>16.52</v>
      </c>
      <c r="D2176" s="1">
        <v>44930.709004629629</v>
      </c>
      <c r="E2176" s="2">
        <f t="shared" si="132"/>
        <v>0.70900462962890742</v>
      </c>
      <c r="F2176" s="3">
        <f t="shared" si="133"/>
        <v>44930</v>
      </c>
      <c r="G2176" t="s">
        <v>46</v>
      </c>
      <c r="H2176" t="s">
        <v>388</v>
      </c>
      <c r="I2176" t="s">
        <v>2068</v>
      </c>
      <c r="J2176" t="s">
        <v>2030</v>
      </c>
      <c r="K2176" t="s">
        <v>482</v>
      </c>
      <c r="L2176" t="s">
        <v>36</v>
      </c>
      <c r="M2176">
        <v>25</v>
      </c>
      <c r="N2176" t="s">
        <v>37</v>
      </c>
      <c r="O2176">
        <v>135</v>
      </c>
      <c r="P2176">
        <v>1</v>
      </c>
      <c r="Q2176">
        <v>835.53</v>
      </c>
      <c r="R2176" s="4">
        <v>45600</v>
      </c>
      <c r="S2176" s="6">
        <v>0.3385185185185185</v>
      </c>
      <c r="T2176">
        <f t="shared" si="134"/>
        <v>17</v>
      </c>
      <c r="U2176" t="str" cm="1">
        <f t="array" ref="U2176">_xlfn.IFS(M2176&lt;=34,"YOUNG",M2176&lt;=54,"MIDDLE AGE",M2176&gt;=55,"OLD")</f>
        <v>YOUNG</v>
      </c>
      <c r="V2176" t="str">
        <f t="shared" si="135"/>
        <v>NORMAL</v>
      </c>
    </row>
    <row r="2177" spans="1:22" x14ac:dyDescent="0.35">
      <c r="A2177" t="s">
        <v>4081</v>
      </c>
      <c r="B2177" t="s">
        <v>215</v>
      </c>
      <c r="C2177">
        <v>162.1</v>
      </c>
      <c r="D2177" s="1">
        <v>45266.731956018521</v>
      </c>
      <c r="E2177" s="2">
        <f t="shared" si="132"/>
        <v>0.73195601852057735</v>
      </c>
      <c r="F2177" s="3">
        <f t="shared" si="133"/>
        <v>45266</v>
      </c>
      <c r="G2177" t="s">
        <v>17</v>
      </c>
      <c r="H2177" t="s">
        <v>178</v>
      </c>
      <c r="I2177" t="s">
        <v>1649</v>
      </c>
      <c r="J2177" t="s">
        <v>1427</v>
      </c>
      <c r="K2177" t="s">
        <v>303</v>
      </c>
      <c r="L2177" t="s">
        <v>69</v>
      </c>
      <c r="M2177">
        <v>41</v>
      </c>
      <c r="N2177" t="s">
        <v>77</v>
      </c>
      <c r="O2177">
        <v>151</v>
      </c>
      <c r="P2177">
        <v>1</v>
      </c>
      <c r="Q2177">
        <v>8576.65</v>
      </c>
      <c r="R2177" s="4">
        <v>45600</v>
      </c>
      <c r="S2177" s="6">
        <v>0.33899305555555553</v>
      </c>
      <c r="T2177">
        <f t="shared" si="134"/>
        <v>17</v>
      </c>
      <c r="U2177" t="str" cm="1">
        <f t="array" ref="U2177">_xlfn.IFS(M2177&lt;=34,"YOUNG",M2177&lt;=54,"MIDDLE AGE",M2177&gt;=55,"OLD")</f>
        <v>MIDDLE AGE</v>
      </c>
      <c r="V2177" t="str">
        <f t="shared" si="135"/>
        <v>NORMAL</v>
      </c>
    </row>
    <row r="2178" spans="1:22" x14ac:dyDescent="0.35">
      <c r="A2178" t="s">
        <v>4082</v>
      </c>
      <c r="B2178" t="s">
        <v>931</v>
      </c>
      <c r="C2178">
        <v>36.119999999999997</v>
      </c>
      <c r="D2178" s="1">
        <v>45259.746608796297</v>
      </c>
      <c r="E2178" s="2">
        <f t="shared" ref="E2178:E2241" si="136">D2178-INT(D2178)</f>
        <v>0.74660879629664123</v>
      </c>
      <c r="F2178" s="3">
        <f t="shared" ref="F2178:F2241" si="137">INT(D2178)</f>
        <v>45259</v>
      </c>
      <c r="G2178" t="s">
        <v>17</v>
      </c>
      <c r="H2178" t="s">
        <v>26</v>
      </c>
      <c r="I2178" t="s">
        <v>1600</v>
      </c>
      <c r="J2178" t="s">
        <v>493</v>
      </c>
      <c r="K2178" t="s">
        <v>674</v>
      </c>
      <c r="L2178" t="s">
        <v>36</v>
      </c>
      <c r="M2178">
        <v>22</v>
      </c>
      <c r="N2178" t="s">
        <v>37</v>
      </c>
      <c r="O2178">
        <v>234</v>
      </c>
      <c r="P2178">
        <v>1</v>
      </c>
      <c r="Q2178">
        <v>1593.03</v>
      </c>
      <c r="R2178" s="4">
        <v>45600</v>
      </c>
      <c r="S2178" s="6">
        <v>0.33901620370370372</v>
      </c>
      <c r="T2178">
        <f t="shared" si="134"/>
        <v>17</v>
      </c>
      <c r="U2178" t="str" cm="1">
        <f t="array" ref="U2178">_xlfn.IFS(M2178&lt;=34,"YOUNG",M2178&lt;=54,"MIDDLE AGE",M2178&gt;=55,"OLD")</f>
        <v>YOUNG</v>
      </c>
      <c r="V2178" t="str">
        <f t="shared" si="135"/>
        <v>NORMAL</v>
      </c>
    </row>
    <row r="2179" spans="1:22" x14ac:dyDescent="0.35">
      <c r="A2179" t="s">
        <v>4083</v>
      </c>
      <c r="B2179" t="s">
        <v>648</v>
      </c>
      <c r="C2179">
        <v>354.91</v>
      </c>
      <c r="D2179" s="1">
        <v>45278.689664351848</v>
      </c>
      <c r="E2179" s="2">
        <f t="shared" si="136"/>
        <v>0.68966435184847796</v>
      </c>
      <c r="F2179" s="3">
        <f t="shared" si="137"/>
        <v>45278</v>
      </c>
      <c r="G2179" t="s">
        <v>17</v>
      </c>
      <c r="H2179" t="s">
        <v>388</v>
      </c>
      <c r="I2179" t="s">
        <v>2911</v>
      </c>
      <c r="J2179" t="s">
        <v>3182</v>
      </c>
      <c r="K2179" t="s">
        <v>572</v>
      </c>
      <c r="L2179" t="s">
        <v>22</v>
      </c>
      <c r="M2179">
        <v>74</v>
      </c>
      <c r="N2179" t="s">
        <v>70</v>
      </c>
      <c r="O2179">
        <v>191</v>
      </c>
      <c r="P2179">
        <v>1</v>
      </c>
      <c r="Q2179">
        <v>3872.55</v>
      </c>
      <c r="R2179" s="4">
        <v>45600</v>
      </c>
      <c r="S2179" s="6">
        <v>0.33967592592592594</v>
      </c>
      <c r="T2179">
        <f t="shared" ref="T2179:T2242" si="138">HOUR(E2179)</f>
        <v>16</v>
      </c>
      <c r="U2179" t="str" cm="1">
        <f t="array" ref="U2179">_xlfn.IFS(M2179&lt;=34,"YOUNG",M2179&lt;=54,"MIDDLE AGE",M2179&gt;=55,"OLD")</f>
        <v>OLD</v>
      </c>
      <c r="V2179" t="str">
        <f t="shared" ref="V2179:V2242" si="139">IF(P2179&gt;1,"HIGH","NORMAL")</f>
        <v>NORMAL</v>
      </c>
    </row>
    <row r="2180" spans="1:22" x14ac:dyDescent="0.35">
      <c r="A2180" t="s">
        <v>4084</v>
      </c>
      <c r="B2180" t="s">
        <v>434</v>
      </c>
      <c r="C2180">
        <v>38.409999999999997</v>
      </c>
      <c r="D2180" s="1">
        <v>45027.671064814815</v>
      </c>
      <c r="E2180" s="2">
        <f t="shared" si="136"/>
        <v>0.67106481481459923</v>
      </c>
      <c r="F2180" s="3">
        <f t="shared" si="137"/>
        <v>45027</v>
      </c>
      <c r="G2180" t="s">
        <v>17</v>
      </c>
      <c r="H2180" t="s">
        <v>114</v>
      </c>
      <c r="I2180" t="s">
        <v>1903</v>
      </c>
      <c r="J2180" t="s">
        <v>1139</v>
      </c>
      <c r="K2180" t="s">
        <v>1524</v>
      </c>
      <c r="L2180" t="s">
        <v>22</v>
      </c>
      <c r="M2180">
        <v>40</v>
      </c>
      <c r="N2180" t="s">
        <v>23</v>
      </c>
      <c r="O2180">
        <v>117</v>
      </c>
      <c r="P2180">
        <v>1</v>
      </c>
      <c r="Q2180">
        <v>9129.68</v>
      </c>
      <c r="R2180" s="4">
        <v>45600</v>
      </c>
      <c r="S2180" s="6">
        <v>0.33850694444444446</v>
      </c>
      <c r="T2180">
        <f t="shared" si="138"/>
        <v>16</v>
      </c>
      <c r="U2180" t="str" cm="1">
        <f t="array" ref="U2180">_xlfn.IFS(M2180&lt;=34,"YOUNG",M2180&lt;=54,"MIDDLE AGE",M2180&gt;=55,"OLD")</f>
        <v>MIDDLE AGE</v>
      </c>
      <c r="V2180" t="str">
        <f t="shared" si="139"/>
        <v>NORMAL</v>
      </c>
    </row>
    <row r="2181" spans="1:22" x14ac:dyDescent="0.35">
      <c r="A2181" t="s">
        <v>4085</v>
      </c>
      <c r="B2181" t="s">
        <v>2003</v>
      </c>
      <c r="C2181">
        <v>53.52</v>
      </c>
      <c r="D2181" s="1">
        <v>45016.679594907408</v>
      </c>
      <c r="E2181" s="2">
        <f t="shared" si="136"/>
        <v>0.67959490740759065</v>
      </c>
      <c r="F2181" s="3">
        <f t="shared" si="137"/>
        <v>45016</v>
      </c>
      <c r="G2181" t="s">
        <v>17</v>
      </c>
      <c r="H2181" t="s">
        <v>18</v>
      </c>
      <c r="I2181" t="s">
        <v>2063</v>
      </c>
      <c r="J2181" t="s">
        <v>3837</v>
      </c>
      <c r="K2181" t="s">
        <v>386</v>
      </c>
      <c r="L2181" t="s">
        <v>69</v>
      </c>
      <c r="M2181">
        <v>49</v>
      </c>
      <c r="N2181" t="s">
        <v>77</v>
      </c>
      <c r="O2181">
        <v>55</v>
      </c>
      <c r="P2181">
        <v>1</v>
      </c>
      <c r="Q2181">
        <v>2227.4899999999998</v>
      </c>
      <c r="R2181" s="4">
        <v>45600</v>
      </c>
      <c r="S2181" s="6">
        <v>0.33930555555555558</v>
      </c>
      <c r="T2181">
        <f t="shared" si="138"/>
        <v>16</v>
      </c>
      <c r="U2181" t="str" cm="1">
        <f t="array" ref="U2181">_xlfn.IFS(M2181&lt;=34,"YOUNG",M2181&lt;=54,"MIDDLE AGE",M2181&gt;=55,"OLD")</f>
        <v>MIDDLE AGE</v>
      </c>
      <c r="V2181" t="str">
        <f t="shared" si="139"/>
        <v>NORMAL</v>
      </c>
    </row>
    <row r="2182" spans="1:22" x14ac:dyDescent="0.35">
      <c r="A2182" t="s">
        <v>4086</v>
      </c>
      <c r="B2182" t="s">
        <v>1934</v>
      </c>
      <c r="C2182">
        <v>498.59</v>
      </c>
      <c r="D2182" s="1">
        <v>45222.778877314813</v>
      </c>
      <c r="E2182" s="2">
        <f t="shared" si="136"/>
        <v>0.77887731481314404</v>
      </c>
      <c r="F2182" s="3">
        <f t="shared" si="137"/>
        <v>45222</v>
      </c>
      <c r="G2182" t="s">
        <v>17</v>
      </c>
      <c r="H2182" t="s">
        <v>243</v>
      </c>
      <c r="I2182" t="s">
        <v>654</v>
      </c>
      <c r="J2182" t="s">
        <v>552</v>
      </c>
      <c r="K2182" t="s">
        <v>406</v>
      </c>
      <c r="L2182" t="s">
        <v>36</v>
      </c>
      <c r="M2182">
        <v>57</v>
      </c>
      <c r="N2182" t="s">
        <v>70</v>
      </c>
      <c r="O2182">
        <v>138</v>
      </c>
      <c r="P2182">
        <v>1</v>
      </c>
      <c r="Q2182">
        <v>2619.46</v>
      </c>
      <c r="R2182" s="4">
        <v>45600</v>
      </c>
      <c r="S2182" s="6">
        <v>0.34109953703703705</v>
      </c>
      <c r="T2182">
        <f t="shared" si="138"/>
        <v>18</v>
      </c>
      <c r="U2182" t="str" cm="1">
        <f t="array" ref="U2182">_xlfn.IFS(M2182&lt;=34,"YOUNG",M2182&lt;=54,"MIDDLE AGE",M2182&gt;=55,"OLD")</f>
        <v>OLD</v>
      </c>
      <c r="V2182" t="str">
        <f t="shared" si="139"/>
        <v>NORMAL</v>
      </c>
    </row>
    <row r="2183" spans="1:22" x14ac:dyDescent="0.35">
      <c r="A2183" t="s">
        <v>4087</v>
      </c>
      <c r="B2183" t="s">
        <v>1144</v>
      </c>
      <c r="C2183">
        <v>13.3</v>
      </c>
      <c r="D2183" s="1">
        <v>45083.692013888889</v>
      </c>
      <c r="E2183" s="2">
        <f t="shared" si="136"/>
        <v>0.69201388888905058</v>
      </c>
      <c r="F2183" s="3">
        <f t="shared" si="137"/>
        <v>45083</v>
      </c>
      <c r="G2183" t="s">
        <v>17</v>
      </c>
      <c r="H2183" t="s">
        <v>237</v>
      </c>
      <c r="I2183" t="s">
        <v>978</v>
      </c>
      <c r="J2183" t="s">
        <v>2925</v>
      </c>
      <c r="K2183" t="s">
        <v>35</v>
      </c>
      <c r="L2183" t="s">
        <v>22</v>
      </c>
      <c r="M2183">
        <v>23</v>
      </c>
      <c r="N2183" t="s">
        <v>37</v>
      </c>
      <c r="O2183">
        <v>63</v>
      </c>
      <c r="P2183">
        <v>1</v>
      </c>
      <c r="Q2183">
        <v>213</v>
      </c>
      <c r="R2183" s="4">
        <v>45600</v>
      </c>
      <c r="S2183" s="6">
        <v>0.33978009259259262</v>
      </c>
      <c r="T2183">
        <f t="shared" si="138"/>
        <v>16</v>
      </c>
      <c r="U2183" t="str" cm="1">
        <f t="array" ref="U2183">_xlfn.IFS(M2183&lt;=34,"YOUNG",M2183&lt;=54,"MIDDLE AGE",M2183&gt;=55,"OLD")</f>
        <v>YOUNG</v>
      </c>
      <c r="V2183" t="str">
        <f t="shared" si="139"/>
        <v>NORMAL</v>
      </c>
    </row>
    <row r="2184" spans="1:22" x14ac:dyDescent="0.35">
      <c r="A2184" t="s">
        <v>4088</v>
      </c>
      <c r="B2184" t="s">
        <v>2637</v>
      </c>
      <c r="C2184">
        <v>189.65</v>
      </c>
      <c r="D2184" s="1">
        <v>45194.689409722225</v>
      </c>
      <c r="E2184" s="2">
        <f t="shared" si="136"/>
        <v>0.68940972222480923</v>
      </c>
      <c r="F2184" s="3">
        <f t="shared" si="137"/>
        <v>45194</v>
      </c>
      <c r="G2184" t="s">
        <v>17</v>
      </c>
      <c r="H2184" t="s">
        <v>249</v>
      </c>
      <c r="I2184" t="s">
        <v>2873</v>
      </c>
      <c r="J2184" t="s">
        <v>2054</v>
      </c>
      <c r="K2184" t="s">
        <v>740</v>
      </c>
      <c r="L2184" t="s">
        <v>22</v>
      </c>
      <c r="M2184">
        <v>21</v>
      </c>
      <c r="N2184" t="s">
        <v>37</v>
      </c>
      <c r="O2184">
        <v>60</v>
      </c>
      <c r="P2184">
        <v>1</v>
      </c>
      <c r="Q2184">
        <v>8457.09</v>
      </c>
      <c r="R2184" s="4">
        <v>45600</v>
      </c>
      <c r="S2184" s="6">
        <v>0.34098379629629627</v>
      </c>
      <c r="T2184">
        <f t="shared" si="138"/>
        <v>16</v>
      </c>
      <c r="U2184" t="str" cm="1">
        <f t="array" ref="U2184">_xlfn.IFS(M2184&lt;=34,"YOUNG",M2184&lt;=54,"MIDDLE AGE",M2184&gt;=55,"OLD")</f>
        <v>YOUNG</v>
      </c>
      <c r="V2184" t="str">
        <f t="shared" si="139"/>
        <v>NORMAL</v>
      </c>
    </row>
    <row r="2185" spans="1:22" x14ac:dyDescent="0.35">
      <c r="A2185" t="s">
        <v>4089</v>
      </c>
      <c r="B2185" t="s">
        <v>2229</v>
      </c>
      <c r="C2185">
        <v>255.32</v>
      </c>
      <c r="D2185" s="1">
        <v>45182.676435185182</v>
      </c>
      <c r="E2185" s="2">
        <f t="shared" si="136"/>
        <v>0.67643518518161727</v>
      </c>
      <c r="F2185" s="3">
        <f t="shared" si="137"/>
        <v>45182</v>
      </c>
      <c r="G2185" t="s">
        <v>17</v>
      </c>
      <c r="H2185" t="s">
        <v>197</v>
      </c>
      <c r="I2185" t="s">
        <v>955</v>
      </c>
      <c r="J2185" t="s">
        <v>2273</v>
      </c>
      <c r="K2185" t="s">
        <v>762</v>
      </c>
      <c r="L2185" t="s">
        <v>22</v>
      </c>
      <c r="M2185">
        <v>80</v>
      </c>
      <c r="N2185" t="s">
        <v>70</v>
      </c>
      <c r="O2185">
        <v>27</v>
      </c>
      <c r="P2185">
        <v>1</v>
      </c>
      <c r="Q2185">
        <v>6290.62</v>
      </c>
      <c r="R2185" s="4">
        <v>45600</v>
      </c>
      <c r="S2185" s="6">
        <v>0.33853009259259259</v>
      </c>
      <c r="T2185">
        <f t="shared" si="138"/>
        <v>16</v>
      </c>
      <c r="U2185" t="str" cm="1">
        <f t="array" ref="U2185">_xlfn.IFS(M2185&lt;=34,"YOUNG",M2185&lt;=54,"MIDDLE AGE",M2185&gt;=55,"OLD")</f>
        <v>OLD</v>
      </c>
      <c r="V2185" t="str">
        <f t="shared" si="139"/>
        <v>NORMAL</v>
      </c>
    </row>
    <row r="2186" spans="1:22" x14ac:dyDescent="0.35">
      <c r="A2186" t="s">
        <v>4090</v>
      </c>
      <c r="B2186" t="s">
        <v>290</v>
      </c>
      <c r="C2186">
        <v>230.51</v>
      </c>
      <c r="D2186" s="1">
        <v>44974.750902777778</v>
      </c>
      <c r="E2186" s="2">
        <f t="shared" si="136"/>
        <v>0.75090277777781012</v>
      </c>
      <c r="F2186" s="3">
        <f t="shared" si="137"/>
        <v>44974</v>
      </c>
      <c r="G2186" t="s">
        <v>46</v>
      </c>
      <c r="H2186" t="s">
        <v>92</v>
      </c>
      <c r="I2186" t="s">
        <v>1493</v>
      </c>
      <c r="J2186" t="s">
        <v>307</v>
      </c>
      <c r="K2186" t="s">
        <v>619</v>
      </c>
      <c r="L2186" t="s">
        <v>69</v>
      </c>
      <c r="M2186">
        <v>51</v>
      </c>
      <c r="N2186" t="s">
        <v>77</v>
      </c>
      <c r="O2186">
        <v>56</v>
      </c>
      <c r="P2186">
        <v>1</v>
      </c>
      <c r="Q2186">
        <v>9522.3700000000008</v>
      </c>
      <c r="R2186" s="4">
        <v>45600</v>
      </c>
      <c r="S2186" s="6">
        <v>0.34084490740740742</v>
      </c>
      <c r="T2186">
        <f t="shared" si="138"/>
        <v>18</v>
      </c>
      <c r="U2186" t="str" cm="1">
        <f t="array" ref="U2186">_xlfn.IFS(M2186&lt;=34,"YOUNG",M2186&lt;=54,"MIDDLE AGE",M2186&gt;=55,"OLD")</f>
        <v>MIDDLE AGE</v>
      </c>
      <c r="V2186" t="str">
        <f t="shared" si="139"/>
        <v>NORMAL</v>
      </c>
    </row>
    <row r="2187" spans="1:22" x14ac:dyDescent="0.35">
      <c r="A2187" t="s">
        <v>4091</v>
      </c>
      <c r="B2187" t="s">
        <v>2056</v>
      </c>
      <c r="C2187">
        <v>237.74</v>
      </c>
      <c r="D2187" s="1">
        <v>45089.785752314812</v>
      </c>
      <c r="E2187" s="2">
        <f t="shared" si="136"/>
        <v>0.78575231481227092</v>
      </c>
      <c r="F2187" s="3">
        <f t="shared" si="137"/>
        <v>45089</v>
      </c>
      <c r="G2187" t="s">
        <v>17</v>
      </c>
      <c r="H2187" t="s">
        <v>255</v>
      </c>
      <c r="I2187" t="s">
        <v>4057</v>
      </c>
      <c r="J2187" t="s">
        <v>4092</v>
      </c>
      <c r="K2187" t="s">
        <v>154</v>
      </c>
      <c r="L2187" t="s">
        <v>22</v>
      </c>
      <c r="M2187">
        <v>61</v>
      </c>
      <c r="N2187" t="s">
        <v>23</v>
      </c>
      <c r="O2187">
        <v>152</v>
      </c>
      <c r="P2187">
        <v>1</v>
      </c>
      <c r="Q2187">
        <v>11795.12</v>
      </c>
      <c r="R2187" s="4">
        <v>45600</v>
      </c>
      <c r="S2187" s="6">
        <v>0.34057870370370369</v>
      </c>
      <c r="T2187">
        <f t="shared" si="138"/>
        <v>18</v>
      </c>
      <c r="U2187" t="str" cm="1">
        <f t="array" ref="U2187">_xlfn.IFS(M2187&lt;=34,"YOUNG",M2187&lt;=54,"MIDDLE AGE",M2187&gt;=55,"OLD")</f>
        <v>OLD</v>
      </c>
      <c r="V2187" t="str">
        <f t="shared" si="139"/>
        <v>NORMAL</v>
      </c>
    </row>
    <row r="2188" spans="1:22" x14ac:dyDescent="0.35">
      <c r="A2188" t="s">
        <v>4093</v>
      </c>
      <c r="B2188" t="s">
        <v>729</v>
      </c>
      <c r="C2188">
        <v>512.76</v>
      </c>
      <c r="D2188" s="1">
        <v>45027.692986111113</v>
      </c>
      <c r="E2188" s="2">
        <f t="shared" si="136"/>
        <v>0.69298611111298669</v>
      </c>
      <c r="F2188" s="3">
        <f t="shared" si="137"/>
        <v>45027</v>
      </c>
      <c r="G2188" t="s">
        <v>17</v>
      </c>
      <c r="H2188" t="s">
        <v>558</v>
      </c>
      <c r="I2188" t="s">
        <v>717</v>
      </c>
      <c r="J2188" t="s">
        <v>2705</v>
      </c>
      <c r="K2188" t="s">
        <v>1014</v>
      </c>
      <c r="L2188" t="s">
        <v>22</v>
      </c>
      <c r="M2188">
        <v>52</v>
      </c>
      <c r="N2188" t="s">
        <v>23</v>
      </c>
      <c r="O2188">
        <v>26</v>
      </c>
      <c r="P2188">
        <v>1</v>
      </c>
      <c r="Q2188">
        <v>5121.3599999999997</v>
      </c>
      <c r="R2188" s="4">
        <v>45600</v>
      </c>
      <c r="S2188" s="6">
        <v>0.33826388888888886</v>
      </c>
      <c r="T2188">
        <f t="shared" si="138"/>
        <v>16</v>
      </c>
      <c r="U2188" t="str" cm="1">
        <f t="array" ref="U2188">_xlfn.IFS(M2188&lt;=34,"YOUNG",M2188&lt;=54,"MIDDLE AGE",M2188&gt;=55,"OLD")</f>
        <v>MIDDLE AGE</v>
      </c>
      <c r="V2188" t="str">
        <f t="shared" si="139"/>
        <v>NORMAL</v>
      </c>
    </row>
    <row r="2189" spans="1:22" x14ac:dyDescent="0.35">
      <c r="A2189" t="s">
        <v>4094</v>
      </c>
      <c r="B2189" t="s">
        <v>1696</v>
      </c>
      <c r="C2189">
        <v>151.37</v>
      </c>
      <c r="D2189" s="1">
        <v>45019.705104166664</v>
      </c>
      <c r="E2189" s="2">
        <f t="shared" si="136"/>
        <v>0.70510416666365927</v>
      </c>
      <c r="F2189" s="3">
        <f t="shared" si="137"/>
        <v>45019</v>
      </c>
      <c r="G2189" t="s">
        <v>17</v>
      </c>
      <c r="H2189" t="s">
        <v>197</v>
      </c>
      <c r="I2189" t="s">
        <v>2870</v>
      </c>
      <c r="J2189" t="s">
        <v>1277</v>
      </c>
      <c r="K2189" t="s">
        <v>252</v>
      </c>
      <c r="L2189" t="s">
        <v>22</v>
      </c>
      <c r="M2189">
        <v>54</v>
      </c>
      <c r="N2189" t="s">
        <v>77</v>
      </c>
      <c r="O2189">
        <v>53</v>
      </c>
      <c r="P2189">
        <v>1</v>
      </c>
      <c r="Q2189">
        <v>8356.08</v>
      </c>
      <c r="R2189" s="4">
        <v>45600</v>
      </c>
      <c r="S2189" s="6">
        <v>0.33936342592592594</v>
      </c>
      <c r="T2189">
        <f t="shared" si="138"/>
        <v>16</v>
      </c>
      <c r="U2189" t="str" cm="1">
        <f t="array" ref="U2189">_xlfn.IFS(M2189&lt;=34,"YOUNG",M2189&lt;=54,"MIDDLE AGE",M2189&gt;=55,"OLD")</f>
        <v>MIDDLE AGE</v>
      </c>
      <c r="V2189" t="str">
        <f t="shared" si="139"/>
        <v>NORMAL</v>
      </c>
    </row>
    <row r="2190" spans="1:22" x14ac:dyDescent="0.35">
      <c r="A2190" t="s">
        <v>4095</v>
      </c>
      <c r="B2190" t="s">
        <v>300</v>
      </c>
      <c r="C2190">
        <v>85.01</v>
      </c>
      <c r="D2190" s="1">
        <v>44949.77480324074</v>
      </c>
      <c r="E2190" s="2">
        <f t="shared" si="136"/>
        <v>0.77480324073985685</v>
      </c>
      <c r="F2190" s="3">
        <f t="shared" si="137"/>
        <v>44949</v>
      </c>
      <c r="G2190" t="s">
        <v>46</v>
      </c>
      <c r="H2190" t="s">
        <v>595</v>
      </c>
      <c r="I2190" t="s">
        <v>2302</v>
      </c>
      <c r="J2190" t="s">
        <v>1864</v>
      </c>
      <c r="K2190" t="s">
        <v>240</v>
      </c>
      <c r="L2190" t="s">
        <v>22</v>
      </c>
      <c r="M2190">
        <v>25</v>
      </c>
      <c r="N2190" t="s">
        <v>37</v>
      </c>
      <c r="O2190">
        <v>157</v>
      </c>
      <c r="P2190">
        <v>1</v>
      </c>
      <c r="Q2190">
        <v>1299.4000000000001</v>
      </c>
      <c r="R2190" s="4">
        <v>45600</v>
      </c>
      <c r="S2190" s="6">
        <v>0.33956018518518516</v>
      </c>
      <c r="T2190">
        <f t="shared" si="138"/>
        <v>18</v>
      </c>
      <c r="U2190" t="str" cm="1">
        <f t="array" ref="U2190">_xlfn.IFS(M2190&lt;=34,"YOUNG",M2190&lt;=54,"MIDDLE AGE",M2190&gt;=55,"OLD")</f>
        <v>YOUNG</v>
      </c>
      <c r="V2190" t="str">
        <f t="shared" si="139"/>
        <v>NORMAL</v>
      </c>
    </row>
    <row r="2191" spans="1:22" x14ac:dyDescent="0.35">
      <c r="A2191" t="s">
        <v>4096</v>
      </c>
      <c r="B2191" t="s">
        <v>228</v>
      </c>
      <c r="C2191">
        <v>444.47</v>
      </c>
      <c r="D2191" s="1">
        <v>44942.677743055552</v>
      </c>
      <c r="E2191" s="2">
        <f t="shared" si="136"/>
        <v>0.67774305555212777</v>
      </c>
      <c r="F2191" s="3">
        <f t="shared" si="137"/>
        <v>44942</v>
      </c>
      <c r="G2191" t="s">
        <v>17</v>
      </c>
      <c r="H2191" t="s">
        <v>223</v>
      </c>
      <c r="I2191" t="s">
        <v>1573</v>
      </c>
      <c r="J2191" t="s">
        <v>2727</v>
      </c>
      <c r="K2191" t="s">
        <v>262</v>
      </c>
      <c r="L2191" t="s">
        <v>36</v>
      </c>
      <c r="M2191">
        <v>57</v>
      </c>
      <c r="N2191" t="s">
        <v>70</v>
      </c>
      <c r="O2191">
        <v>61</v>
      </c>
      <c r="P2191">
        <v>1</v>
      </c>
      <c r="Q2191">
        <v>6062.94</v>
      </c>
      <c r="R2191" s="4">
        <v>45600</v>
      </c>
      <c r="S2191" s="6">
        <v>0.34076388888888887</v>
      </c>
      <c r="T2191">
        <f t="shared" si="138"/>
        <v>16</v>
      </c>
      <c r="U2191" t="str" cm="1">
        <f t="array" ref="U2191">_xlfn.IFS(M2191&lt;=34,"YOUNG",M2191&lt;=54,"MIDDLE AGE",M2191&gt;=55,"OLD")</f>
        <v>OLD</v>
      </c>
      <c r="V2191" t="str">
        <f t="shared" si="139"/>
        <v>NORMAL</v>
      </c>
    </row>
    <row r="2192" spans="1:22" x14ac:dyDescent="0.35">
      <c r="A2192" t="s">
        <v>4097</v>
      </c>
      <c r="B2192" t="s">
        <v>2056</v>
      </c>
      <c r="C2192">
        <v>184.19</v>
      </c>
      <c r="D2192" s="1">
        <v>45040.686273148145</v>
      </c>
      <c r="E2192" s="2">
        <f t="shared" si="136"/>
        <v>0.68627314814511919</v>
      </c>
      <c r="F2192" s="3">
        <f t="shared" si="137"/>
        <v>45040</v>
      </c>
      <c r="G2192" t="s">
        <v>17</v>
      </c>
      <c r="H2192" t="s">
        <v>65</v>
      </c>
      <c r="I2192" t="s">
        <v>3958</v>
      </c>
      <c r="J2192" t="s">
        <v>2555</v>
      </c>
      <c r="K2192" t="s">
        <v>76</v>
      </c>
      <c r="L2192" t="s">
        <v>22</v>
      </c>
      <c r="M2192">
        <v>67</v>
      </c>
      <c r="N2192" t="s">
        <v>70</v>
      </c>
      <c r="O2192">
        <v>58</v>
      </c>
      <c r="P2192">
        <v>1</v>
      </c>
      <c r="Q2192">
        <v>7588.67</v>
      </c>
      <c r="R2192" s="4">
        <v>45600</v>
      </c>
      <c r="S2192" s="6">
        <v>0.34060185185185188</v>
      </c>
      <c r="T2192">
        <f t="shared" si="138"/>
        <v>16</v>
      </c>
      <c r="U2192" t="str" cm="1">
        <f t="array" ref="U2192">_xlfn.IFS(M2192&lt;=34,"YOUNG",M2192&lt;=54,"MIDDLE AGE",M2192&gt;=55,"OLD")</f>
        <v>OLD</v>
      </c>
      <c r="V2192" t="str">
        <f t="shared" si="139"/>
        <v>NORMAL</v>
      </c>
    </row>
    <row r="2193" spans="1:22" x14ac:dyDescent="0.35">
      <c r="A2193" t="s">
        <v>4098</v>
      </c>
      <c r="B2193" t="s">
        <v>1381</v>
      </c>
      <c r="C2193">
        <v>879.25</v>
      </c>
      <c r="D2193" s="1">
        <v>45237.739027777781</v>
      </c>
      <c r="E2193" s="2">
        <f t="shared" si="136"/>
        <v>0.73902777778130258</v>
      </c>
      <c r="F2193" s="3">
        <f t="shared" si="137"/>
        <v>45237</v>
      </c>
      <c r="G2193" t="s">
        <v>46</v>
      </c>
      <c r="H2193" t="s">
        <v>92</v>
      </c>
      <c r="I2193" t="s">
        <v>400</v>
      </c>
      <c r="J2193" t="s">
        <v>1943</v>
      </c>
      <c r="K2193" t="s">
        <v>572</v>
      </c>
      <c r="L2193" t="s">
        <v>36</v>
      </c>
      <c r="M2193">
        <v>24</v>
      </c>
      <c r="N2193" t="s">
        <v>37</v>
      </c>
      <c r="O2193">
        <v>137</v>
      </c>
      <c r="P2193">
        <v>1</v>
      </c>
      <c r="Q2193">
        <v>125.85</v>
      </c>
      <c r="R2193" s="4">
        <v>45600</v>
      </c>
      <c r="S2193" s="6">
        <v>0.33891203703703704</v>
      </c>
      <c r="T2193">
        <f t="shared" si="138"/>
        <v>17</v>
      </c>
      <c r="U2193" t="str" cm="1">
        <f t="array" ref="U2193">_xlfn.IFS(M2193&lt;=34,"YOUNG",M2193&lt;=54,"MIDDLE AGE",M2193&gt;=55,"OLD")</f>
        <v>YOUNG</v>
      </c>
      <c r="V2193" t="str">
        <f t="shared" si="139"/>
        <v>NORMAL</v>
      </c>
    </row>
    <row r="2194" spans="1:22" x14ac:dyDescent="0.35">
      <c r="A2194" t="s">
        <v>4099</v>
      </c>
      <c r="B2194" t="s">
        <v>3207</v>
      </c>
      <c r="C2194">
        <v>55.98</v>
      </c>
      <c r="D2194" s="1">
        <v>45194.695185185185</v>
      </c>
      <c r="E2194" s="2">
        <f t="shared" si="136"/>
        <v>0.69518518518452765</v>
      </c>
      <c r="F2194" s="3">
        <f t="shared" si="137"/>
        <v>45194</v>
      </c>
      <c r="G2194" t="s">
        <v>46</v>
      </c>
      <c r="H2194" t="s">
        <v>291</v>
      </c>
      <c r="I2194" t="s">
        <v>960</v>
      </c>
      <c r="J2194" t="s">
        <v>1348</v>
      </c>
      <c r="K2194" t="s">
        <v>759</v>
      </c>
      <c r="L2194" t="s">
        <v>69</v>
      </c>
      <c r="M2194">
        <v>24</v>
      </c>
      <c r="N2194" t="s">
        <v>37</v>
      </c>
      <c r="O2194">
        <v>87</v>
      </c>
      <c r="P2194">
        <v>1</v>
      </c>
      <c r="Q2194">
        <v>7047.04</v>
      </c>
      <c r="R2194" s="4">
        <v>45600</v>
      </c>
      <c r="S2194" s="6">
        <v>0.34171296296296294</v>
      </c>
      <c r="T2194">
        <f t="shared" si="138"/>
        <v>16</v>
      </c>
      <c r="U2194" t="str" cm="1">
        <f t="array" ref="U2194">_xlfn.IFS(M2194&lt;=34,"YOUNG",M2194&lt;=54,"MIDDLE AGE",M2194&gt;=55,"OLD")</f>
        <v>YOUNG</v>
      </c>
      <c r="V2194" t="str">
        <f t="shared" si="139"/>
        <v>NORMAL</v>
      </c>
    </row>
    <row r="2195" spans="1:22" x14ac:dyDescent="0.35">
      <c r="A2195" t="s">
        <v>4100</v>
      </c>
      <c r="B2195" t="s">
        <v>2070</v>
      </c>
      <c r="C2195">
        <v>54.91</v>
      </c>
      <c r="D2195" s="1">
        <v>44970.672893518517</v>
      </c>
      <c r="E2195" s="2">
        <f t="shared" si="136"/>
        <v>0.67289351851650281</v>
      </c>
      <c r="F2195" s="3">
        <f t="shared" si="137"/>
        <v>44970</v>
      </c>
      <c r="G2195" t="s">
        <v>46</v>
      </c>
      <c r="H2195" t="s">
        <v>125</v>
      </c>
      <c r="I2195" t="s">
        <v>818</v>
      </c>
      <c r="J2195" t="s">
        <v>1913</v>
      </c>
      <c r="K2195" t="s">
        <v>752</v>
      </c>
      <c r="L2195" t="s">
        <v>22</v>
      </c>
      <c r="M2195">
        <v>41</v>
      </c>
      <c r="N2195" t="s">
        <v>77</v>
      </c>
      <c r="O2195">
        <v>275</v>
      </c>
      <c r="P2195">
        <v>1</v>
      </c>
      <c r="Q2195">
        <v>7927.27</v>
      </c>
      <c r="R2195" s="4">
        <v>45600</v>
      </c>
      <c r="S2195" s="6">
        <v>0.33848379629629627</v>
      </c>
      <c r="T2195">
        <f t="shared" si="138"/>
        <v>16</v>
      </c>
      <c r="U2195" t="str" cm="1">
        <f t="array" ref="U2195">_xlfn.IFS(M2195&lt;=34,"YOUNG",M2195&lt;=54,"MIDDLE AGE",M2195&gt;=55,"OLD")</f>
        <v>MIDDLE AGE</v>
      </c>
      <c r="V2195" t="str">
        <f t="shared" si="139"/>
        <v>NORMAL</v>
      </c>
    </row>
    <row r="2196" spans="1:22" x14ac:dyDescent="0.35">
      <c r="A2196" t="s">
        <v>4101</v>
      </c>
      <c r="B2196" t="s">
        <v>1264</v>
      </c>
      <c r="C2196">
        <v>1047.69</v>
      </c>
      <c r="D2196" s="1">
        <v>45215.689247685186</v>
      </c>
      <c r="E2196" s="2">
        <f t="shared" si="136"/>
        <v>0.68924768518627388</v>
      </c>
      <c r="F2196" s="3">
        <f t="shared" si="137"/>
        <v>45215</v>
      </c>
      <c r="G2196" t="s">
        <v>17</v>
      </c>
      <c r="H2196" t="s">
        <v>119</v>
      </c>
      <c r="I2196" t="s">
        <v>1429</v>
      </c>
      <c r="J2196" t="s">
        <v>1717</v>
      </c>
      <c r="K2196" t="s">
        <v>980</v>
      </c>
      <c r="L2196" t="s">
        <v>36</v>
      </c>
      <c r="M2196">
        <v>20</v>
      </c>
      <c r="N2196" t="s">
        <v>37</v>
      </c>
      <c r="O2196">
        <v>139</v>
      </c>
      <c r="P2196">
        <v>1</v>
      </c>
      <c r="Q2196">
        <v>1889.78</v>
      </c>
      <c r="R2196" s="4">
        <v>45600</v>
      </c>
      <c r="S2196" s="6">
        <v>0.34076388888888887</v>
      </c>
      <c r="T2196">
        <f t="shared" si="138"/>
        <v>16</v>
      </c>
      <c r="U2196" t="str" cm="1">
        <f t="array" ref="U2196">_xlfn.IFS(M2196&lt;=34,"YOUNG",M2196&lt;=54,"MIDDLE AGE",M2196&gt;=55,"OLD")</f>
        <v>YOUNG</v>
      </c>
      <c r="V2196" t="str">
        <f t="shared" si="139"/>
        <v>NORMAL</v>
      </c>
    </row>
    <row r="2197" spans="1:22" x14ac:dyDescent="0.35">
      <c r="A2197" t="s">
        <v>4102</v>
      </c>
      <c r="B2197" t="s">
        <v>625</v>
      </c>
      <c r="C2197">
        <v>393.74</v>
      </c>
      <c r="D2197" s="1">
        <v>45264.758287037039</v>
      </c>
      <c r="E2197" s="2">
        <f t="shared" si="136"/>
        <v>0.75828703703882638</v>
      </c>
      <c r="F2197" s="3">
        <f t="shared" si="137"/>
        <v>45264</v>
      </c>
      <c r="G2197" t="s">
        <v>17</v>
      </c>
      <c r="H2197" t="s">
        <v>249</v>
      </c>
      <c r="I2197" t="s">
        <v>1145</v>
      </c>
      <c r="J2197" t="s">
        <v>940</v>
      </c>
      <c r="K2197" t="s">
        <v>514</v>
      </c>
      <c r="L2197" t="s">
        <v>36</v>
      </c>
      <c r="M2197">
        <v>26</v>
      </c>
      <c r="N2197" t="s">
        <v>37</v>
      </c>
      <c r="O2197">
        <v>90</v>
      </c>
      <c r="P2197">
        <v>1</v>
      </c>
      <c r="Q2197">
        <v>1769.06</v>
      </c>
      <c r="R2197" s="4">
        <v>45600</v>
      </c>
      <c r="S2197" s="6">
        <v>0.33810185185185188</v>
      </c>
      <c r="T2197">
        <f t="shared" si="138"/>
        <v>18</v>
      </c>
      <c r="U2197" t="str" cm="1">
        <f t="array" ref="U2197">_xlfn.IFS(M2197&lt;=34,"YOUNG",M2197&lt;=54,"MIDDLE AGE",M2197&gt;=55,"OLD")</f>
        <v>YOUNG</v>
      </c>
      <c r="V2197" t="str">
        <f t="shared" si="139"/>
        <v>NORMAL</v>
      </c>
    </row>
    <row r="2198" spans="1:22" x14ac:dyDescent="0.35">
      <c r="A2198" t="s">
        <v>4103</v>
      </c>
      <c r="B2198" t="s">
        <v>2564</v>
      </c>
      <c r="C2198">
        <v>58.94</v>
      </c>
      <c r="D2198" s="1">
        <v>44942.678263888891</v>
      </c>
      <c r="E2198" s="2">
        <f t="shared" si="136"/>
        <v>0.67826388889079681</v>
      </c>
      <c r="F2198" s="3">
        <f t="shared" si="137"/>
        <v>44942</v>
      </c>
      <c r="G2198" t="s">
        <v>17</v>
      </c>
      <c r="H2198" t="s">
        <v>172</v>
      </c>
      <c r="I2198" t="s">
        <v>1334</v>
      </c>
      <c r="J2198" t="s">
        <v>1929</v>
      </c>
      <c r="K2198" t="s">
        <v>246</v>
      </c>
      <c r="L2198" t="s">
        <v>36</v>
      </c>
      <c r="M2198">
        <v>30</v>
      </c>
      <c r="N2198" t="s">
        <v>77</v>
      </c>
      <c r="O2198">
        <v>26</v>
      </c>
      <c r="P2198">
        <v>1</v>
      </c>
      <c r="Q2198">
        <v>4575.9799999999996</v>
      </c>
      <c r="R2198" s="4">
        <v>45600</v>
      </c>
      <c r="S2198" s="6">
        <v>0.33932870370370372</v>
      </c>
      <c r="T2198">
        <f t="shared" si="138"/>
        <v>16</v>
      </c>
      <c r="U2198" t="str" cm="1">
        <f t="array" ref="U2198">_xlfn.IFS(M2198&lt;=34,"YOUNG",M2198&lt;=54,"MIDDLE AGE",M2198&gt;=55,"OLD")</f>
        <v>YOUNG</v>
      </c>
      <c r="V2198" t="str">
        <f t="shared" si="139"/>
        <v>NORMAL</v>
      </c>
    </row>
    <row r="2199" spans="1:22" x14ac:dyDescent="0.35">
      <c r="A2199" t="s">
        <v>4104</v>
      </c>
      <c r="B2199" t="s">
        <v>1446</v>
      </c>
      <c r="C2199">
        <v>515.57000000000005</v>
      </c>
      <c r="D2199" s="1">
        <v>44928.726782407408</v>
      </c>
      <c r="E2199" s="2">
        <f t="shared" si="136"/>
        <v>0.72678240740788169</v>
      </c>
      <c r="F2199" s="3">
        <f t="shared" si="137"/>
        <v>44928</v>
      </c>
      <c r="G2199" t="s">
        <v>17</v>
      </c>
      <c r="H2199" t="s">
        <v>125</v>
      </c>
      <c r="I2199" t="s">
        <v>1977</v>
      </c>
      <c r="J2199" t="s">
        <v>1505</v>
      </c>
      <c r="K2199" t="s">
        <v>1562</v>
      </c>
      <c r="L2199" t="s">
        <v>22</v>
      </c>
      <c r="M2199">
        <v>27</v>
      </c>
      <c r="N2199" t="s">
        <v>77</v>
      </c>
      <c r="O2199">
        <v>56</v>
      </c>
      <c r="P2199">
        <v>1</v>
      </c>
      <c r="Q2199">
        <v>9269.67</v>
      </c>
      <c r="R2199" s="4">
        <v>45600</v>
      </c>
      <c r="S2199" s="6">
        <v>0.33812500000000001</v>
      </c>
      <c r="T2199">
        <f t="shared" si="138"/>
        <v>17</v>
      </c>
      <c r="U2199" t="str" cm="1">
        <f t="array" ref="U2199">_xlfn.IFS(M2199&lt;=34,"YOUNG",M2199&lt;=54,"MIDDLE AGE",M2199&gt;=55,"OLD")</f>
        <v>YOUNG</v>
      </c>
      <c r="V2199" t="str">
        <f t="shared" si="139"/>
        <v>NORMAL</v>
      </c>
    </row>
    <row r="2200" spans="1:22" x14ac:dyDescent="0.35">
      <c r="A2200" t="s">
        <v>4105</v>
      </c>
      <c r="B2200" t="s">
        <v>1381</v>
      </c>
      <c r="C2200">
        <v>332.15</v>
      </c>
      <c r="D2200" s="1">
        <v>45215.717037037037</v>
      </c>
      <c r="E2200" s="2">
        <f t="shared" si="136"/>
        <v>0.71703703703678912</v>
      </c>
      <c r="F2200" s="3">
        <f t="shared" si="137"/>
        <v>45215</v>
      </c>
      <c r="G2200" t="s">
        <v>17</v>
      </c>
      <c r="H2200" t="s">
        <v>323</v>
      </c>
      <c r="I2200" t="s">
        <v>1234</v>
      </c>
      <c r="J2200" t="s">
        <v>1450</v>
      </c>
      <c r="K2200" t="s">
        <v>95</v>
      </c>
      <c r="L2200" t="s">
        <v>22</v>
      </c>
      <c r="M2200">
        <v>59</v>
      </c>
      <c r="N2200" t="s">
        <v>23</v>
      </c>
      <c r="O2200">
        <v>105</v>
      </c>
      <c r="P2200">
        <v>1</v>
      </c>
      <c r="Q2200">
        <v>9749.4599999999991</v>
      </c>
      <c r="R2200" s="4">
        <v>45600</v>
      </c>
      <c r="S2200" s="6">
        <v>0.33837962962962964</v>
      </c>
      <c r="T2200">
        <f t="shared" si="138"/>
        <v>17</v>
      </c>
      <c r="U2200" t="str" cm="1">
        <f t="array" ref="U2200">_xlfn.IFS(M2200&lt;=34,"YOUNG",M2200&lt;=54,"MIDDLE AGE",M2200&gt;=55,"OLD")</f>
        <v>OLD</v>
      </c>
      <c r="V2200" t="str">
        <f t="shared" si="139"/>
        <v>NORMAL</v>
      </c>
    </row>
    <row r="2201" spans="1:22" x14ac:dyDescent="0.35">
      <c r="A2201" t="s">
        <v>4106</v>
      </c>
      <c r="B2201" t="s">
        <v>2490</v>
      </c>
      <c r="C2201">
        <v>177.94</v>
      </c>
      <c r="D2201" s="1">
        <v>45195.672511574077</v>
      </c>
      <c r="E2201" s="2">
        <f t="shared" si="136"/>
        <v>0.67251157407736173</v>
      </c>
      <c r="F2201" s="3">
        <f t="shared" si="137"/>
        <v>45195</v>
      </c>
      <c r="G2201" t="s">
        <v>17</v>
      </c>
      <c r="H2201" t="s">
        <v>178</v>
      </c>
      <c r="I2201" t="s">
        <v>3995</v>
      </c>
      <c r="J2201" t="s">
        <v>3364</v>
      </c>
      <c r="K2201" t="s">
        <v>769</v>
      </c>
      <c r="L2201" t="s">
        <v>36</v>
      </c>
      <c r="M2201">
        <v>19</v>
      </c>
      <c r="N2201" t="s">
        <v>37</v>
      </c>
      <c r="O2201">
        <v>173</v>
      </c>
      <c r="P2201">
        <v>1</v>
      </c>
      <c r="Q2201">
        <v>123.24</v>
      </c>
      <c r="R2201" s="4">
        <v>45600</v>
      </c>
      <c r="S2201" s="6">
        <v>0.34130787037037036</v>
      </c>
      <c r="T2201">
        <f t="shared" si="138"/>
        <v>16</v>
      </c>
      <c r="U2201" t="str" cm="1">
        <f t="array" ref="U2201">_xlfn.IFS(M2201&lt;=34,"YOUNG",M2201&lt;=54,"MIDDLE AGE",M2201&gt;=55,"OLD")</f>
        <v>YOUNG</v>
      </c>
      <c r="V2201" t="str">
        <f t="shared" si="139"/>
        <v>NORMAL</v>
      </c>
    </row>
    <row r="2202" spans="1:22" x14ac:dyDescent="0.35">
      <c r="A2202" t="s">
        <v>4107</v>
      </c>
      <c r="B2202" t="s">
        <v>1206</v>
      </c>
      <c r="C2202">
        <v>68.680000000000007</v>
      </c>
      <c r="D2202" s="1">
        <v>45187.677303240744</v>
      </c>
      <c r="E2202" s="2">
        <f t="shared" si="136"/>
        <v>0.67730324074364034</v>
      </c>
      <c r="F2202" s="3">
        <f t="shared" si="137"/>
        <v>45187</v>
      </c>
      <c r="G2202" t="s">
        <v>17</v>
      </c>
      <c r="H2202" t="s">
        <v>285</v>
      </c>
      <c r="I2202" t="s">
        <v>1891</v>
      </c>
      <c r="J2202" t="s">
        <v>606</v>
      </c>
      <c r="K2202" t="s">
        <v>209</v>
      </c>
      <c r="L2202" t="s">
        <v>36</v>
      </c>
      <c r="M2202">
        <v>49</v>
      </c>
      <c r="N2202" t="s">
        <v>77</v>
      </c>
      <c r="O2202">
        <v>141</v>
      </c>
      <c r="P2202">
        <v>1</v>
      </c>
      <c r="Q2202">
        <v>4718.51</v>
      </c>
      <c r="R2202" s="4">
        <v>45600</v>
      </c>
      <c r="S2202" s="6">
        <v>0.33781250000000002</v>
      </c>
      <c r="T2202">
        <f t="shared" si="138"/>
        <v>16</v>
      </c>
      <c r="U2202" t="str" cm="1">
        <f t="array" ref="U2202">_xlfn.IFS(M2202&lt;=34,"YOUNG",M2202&lt;=54,"MIDDLE AGE",M2202&gt;=55,"OLD")</f>
        <v>MIDDLE AGE</v>
      </c>
      <c r="V2202" t="str">
        <f t="shared" si="139"/>
        <v>NORMAL</v>
      </c>
    </row>
    <row r="2203" spans="1:22" x14ac:dyDescent="0.35">
      <c r="A2203" t="s">
        <v>4108</v>
      </c>
      <c r="B2203" t="s">
        <v>79</v>
      </c>
      <c r="C2203">
        <v>1431.54</v>
      </c>
      <c r="D2203" s="1">
        <v>45271.683321759258</v>
      </c>
      <c r="E2203" s="2">
        <f t="shared" si="136"/>
        <v>0.68332175925752381</v>
      </c>
      <c r="F2203" s="3">
        <f t="shared" si="137"/>
        <v>45271</v>
      </c>
      <c r="G2203" t="s">
        <v>17</v>
      </c>
      <c r="H2203" t="s">
        <v>595</v>
      </c>
      <c r="I2203" t="s">
        <v>3801</v>
      </c>
      <c r="J2203" t="s">
        <v>1850</v>
      </c>
      <c r="K2203" t="s">
        <v>326</v>
      </c>
      <c r="L2203" t="s">
        <v>36</v>
      </c>
      <c r="M2203">
        <v>20</v>
      </c>
      <c r="N2203" t="s">
        <v>37</v>
      </c>
      <c r="O2203">
        <v>84</v>
      </c>
      <c r="P2203">
        <v>1</v>
      </c>
      <c r="Q2203">
        <v>1171.98</v>
      </c>
      <c r="R2203" s="4">
        <v>45600</v>
      </c>
      <c r="S2203" s="6">
        <v>0.33936342592592594</v>
      </c>
      <c r="T2203">
        <f t="shared" si="138"/>
        <v>16</v>
      </c>
      <c r="U2203" t="str" cm="1">
        <f t="array" ref="U2203">_xlfn.IFS(M2203&lt;=34,"YOUNG",M2203&lt;=54,"MIDDLE AGE",M2203&gt;=55,"OLD")</f>
        <v>YOUNG</v>
      </c>
      <c r="V2203" t="str">
        <f t="shared" si="139"/>
        <v>NORMAL</v>
      </c>
    </row>
    <row r="2204" spans="1:22" x14ac:dyDescent="0.35">
      <c r="A2204" t="s">
        <v>4109</v>
      </c>
      <c r="B2204" t="s">
        <v>1111</v>
      </c>
      <c r="C2204">
        <v>240.03</v>
      </c>
      <c r="D2204" s="1">
        <v>44984.725798611114</v>
      </c>
      <c r="E2204" s="2">
        <f t="shared" si="136"/>
        <v>0.72579861111444188</v>
      </c>
      <c r="F2204" s="3">
        <f t="shared" si="137"/>
        <v>44984</v>
      </c>
      <c r="G2204" t="s">
        <v>17</v>
      </c>
      <c r="H2204" t="s">
        <v>47</v>
      </c>
      <c r="I2204" t="s">
        <v>3344</v>
      </c>
      <c r="J2204" t="s">
        <v>2131</v>
      </c>
      <c r="K2204" t="s">
        <v>1281</v>
      </c>
      <c r="L2204" t="s">
        <v>36</v>
      </c>
      <c r="M2204">
        <v>33</v>
      </c>
      <c r="N2204" t="s">
        <v>77</v>
      </c>
      <c r="O2204">
        <v>31</v>
      </c>
      <c r="P2204">
        <v>1</v>
      </c>
      <c r="Q2204">
        <v>7807.73</v>
      </c>
      <c r="R2204" s="4">
        <v>45600</v>
      </c>
      <c r="S2204" s="6">
        <v>0.34005787037037039</v>
      </c>
      <c r="T2204">
        <f t="shared" si="138"/>
        <v>17</v>
      </c>
      <c r="U2204" t="str" cm="1">
        <f t="array" ref="U2204">_xlfn.IFS(M2204&lt;=34,"YOUNG",M2204&lt;=54,"MIDDLE AGE",M2204&gt;=55,"OLD")</f>
        <v>YOUNG</v>
      </c>
      <c r="V2204" t="str">
        <f t="shared" si="139"/>
        <v>NORMAL</v>
      </c>
    </row>
    <row r="2205" spans="1:22" x14ac:dyDescent="0.35">
      <c r="A2205" t="s">
        <v>4110</v>
      </c>
      <c r="B2205" t="s">
        <v>2000</v>
      </c>
      <c r="C2205">
        <v>168.34</v>
      </c>
      <c r="D2205" s="1">
        <v>45104.760069444441</v>
      </c>
      <c r="E2205" s="2">
        <f t="shared" si="136"/>
        <v>0.76006944444088731</v>
      </c>
      <c r="F2205" s="3">
        <f t="shared" si="137"/>
        <v>45104</v>
      </c>
      <c r="G2205" t="s">
        <v>17</v>
      </c>
      <c r="H2205" t="s">
        <v>425</v>
      </c>
      <c r="I2205" t="s">
        <v>2270</v>
      </c>
      <c r="J2205" t="s">
        <v>3386</v>
      </c>
      <c r="K2205" t="s">
        <v>1524</v>
      </c>
      <c r="L2205" t="s">
        <v>22</v>
      </c>
      <c r="M2205">
        <v>64</v>
      </c>
      <c r="N2205" t="s">
        <v>70</v>
      </c>
      <c r="O2205">
        <v>240</v>
      </c>
      <c r="P2205">
        <v>1</v>
      </c>
      <c r="Q2205">
        <v>7483.01</v>
      </c>
      <c r="R2205" s="4">
        <v>45600</v>
      </c>
      <c r="S2205" s="6">
        <v>0.34108796296296295</v>
      </c>
      <c r="T2205">
        <f t="shared" si="138"/>
        <v>18</v>
      </c>
      <c r="U2205" t="str" cm="1">
        <f t="array" ref="U2205">_xlfn.IFS(M2205&lt;=34,"YOUNG",M2205&lt;=54,"MIDDLE AGE",M2205&gt;=55,"OLD")</f>
        <v>OLD</v>
      </c>
      <c r="V2205" t="str">
        <f t="shared" si="139"/>
        <v>NORMAL</v>
      </c>
    </row>
    <row r="2206" spans="1:22" x14ac:dyDescent="0.35">
      <c r="A2206" t="s">
        <v>4111</v>
      </c>
      <c r="B2206" t="s">
        <v>585</v>
      </c>
      <c r="C2206">
        <v>474.77</v>
      </c>
      <c r="D2206" s="1">
        <v>45205.768576388888</v>
      </c>
      <c r="E2206" s="2">
        <f t="shared" si="136"/>
        <v>0.76857638888759539</v>
      </c>
      <c r="F2206" s="3">
        <f t="shared" si="137"/>
        <v>45205</v>
      </c>
      <c r="G2206" t="s">
        <v>17</v>
      </c>
      <c r="H2206" t="s">
        <v>388</v>
      </c>
      <c r="I2206" t="s">
        <v>512</v>
      </c>
      <c r="J2206" t="s">
        <v>4112</v>
      </c>
      <c r="K2206" t="s">
        <v>858</v>
      </c>
      <c r="L2206" t="s">
        <v>36</v>
      </c>
      <c r="M2206">
        <v>46</v>
      </c>
      <c r="N2206" t="s">
        <v>77</v>
      </c>
      <c r="O2206">
        <v>284</v>
      </c>
      <c r="P2206">
        <v>1</v>
      </c>
      <c r="Q2206">
        <v>8494.5300000000007</v>
      </c>
      <c r="R2206" s="4">
        <v>45600</v>
      </c>
      <c r="S2206" s="6">
        <v>0.33777777777777779</v>
      </c>
      <c r="T2206">
        <f t="shared" si="138"/>
        <v>18</v>
      </c>
      <c r="U2206" t="str" cm="1">
        <f t="array" ref="U2206">_xlfn.IFS(M2206&lt;=34,"YOUNG",M2206&lt;=54,"MIDDLE AGE",M2206&gt;=55,"OLD")</f>
        <v>MIDDLE AGE</v>
      </c>
      <c r="V2206" t="str">
        <f t="shared" si="139"/>
        <v>NORMAL</v>
      </c>
    </row>
    <row r="2207" spans="1:22" x14ac:dyDescent="0.35">
      <c r="A2207" t="s">
        <v>4113</v>
      </c>
      <c r="B2207" t="s">
        <v>310</v>
      </c>
      <c r="C2207">
        <v>451.7</v>
      </c>
      <c r="D2207" s="1">
        <v>44986.705567129633</v>
      </c>
      <c r="E2207" s="2">
        <f t="shared" si="136"/>
        <v>0.70556712963298196</v>
      </c>
      <c r="F2207" s="3">
        <f t="shared" si="137"/>
        <v>44986</v>
      </c>
      <c r="G2207" t="s">
        <v>17</v>
      </c>
      <c r="H2207" t="s">
        <v>265</v>
      </c>
      <c r="I2207" t="s">
        <v>220</v>
      </c>
      <c r="J2207" t="s">
        <v>714</v>
      </c>
      <c r="K2207" t="s">
        <v>111</v>
      </c>
      <c r="L2207" t="s">
        <v>36</v>
      </c>
      <c r="M2207">
        <v>29</v>
      </c>
      <c r="N2207" t="s">
        <v>77</v>
      </c>
      <c r="O2207">
        <v>103</v>
      </c>
      <c r="P2207">
        <v>1</v>
      </c>
      <c r="Q2207">
        <v>8994.67</v>
      </c>
      <c r="R2207" s="4">
        <v>45600</v>
      </c>
      <c r="S2207" s="6">
        <v>0.34086805555555555</v>
      </c>
      <c r="T2207">
        <f t="shared" si="138"/>
        <v>16</v>
      </c>
      <c r="U2207" t="str" cm="1">
        <f t="array" ref="U2207">_xlfn.IFS(M2207&lt;=34,"YOUNG",M2207&lt;=54,"MIDDLE AGE",M2207&gt;=55,"OLD")</f>
        <v>YOUNG</v>
      </c>
      <c r="V2207" t="str">
        <f t="shared" si="139"/>
        <v>NORMAL</v>
      </c>
    </row>
    <row r="2208" spans="1:22" x14ac:dyDescent="0.35">
      <c r="A2208" t="s">
        <v>4114</v>
      </c>
      <c r="B2208" t="s">
        <v>412</v>
      </c>
      <c r="C2208">
        <v>243.85</v>
      </c>
      <c r="D2208" s="1">
        <v>45280.695648148147</v>
      </c>
      <c r="E2208" s="2">
        <f t="shared" si="136"/>
        <v>0.69564814814657439</v>
      </c>
      <c r="F2208" s="3">
        <f t="shared" si="137"/>
        <v>45280</v>
      </c>
      <c r="G2208" t="s">
        <v>17</v>
      </c>
      <c r="H2208" t="s">
        <v>296</v>
      </c>
      <c r="I2208" t="s">
        <v>2890</v>
      </c>
      <c r="J2208" t="s">
        <v>266</v>
      </c>
      <c r="K2208" t="s">
        <v>984</v>
      </c>
      <c r="L2208" t="s">
        <v>69</v>
      </c>
      <c r="M2208">
        <v>39</v>
      </c>
      <c r="N2208" t="s">
        <v>77</v>
      </c>
      <c r="O2208">
        <v>43</v>
      </c>
      <c r="P2208">
        <v>1</v>
      </c>
      <c r="Q2208">
        <v>4576.78</v>
      </c>
      <c r="R2208" s="4">
        <v>45600</v>
      </c>
      <c r="S2208" s="6">
        <v>0.3395023148148148</v>
      </c>
      <c r="T2208">
        <f t="shared" si="138"/>
        <v>16</v>
      </c>
      <c r="U2208" t="str" cm="1">
        <f t="array" ref="U2208">_xlfn.IFS(M2208&lt;=34,"YOUNG",M2208&lt;=54,"MIDDLE AGE",M2208&gt;=55,"OLD")</f>
        <v>MIDDLE AGE</v>
      </c>
      <c r="V2208" t="str">
        <f t="shared" si="139"/>
        <v>NORMAL</v>
      </c>
    </row>
    <row r="2209" spans="1:22" x14ac:dyDescent="0.35">
      <c r="A2209" t="s">
        <v>4115</v>
      </c>
      <c r="B2209" t="s">
        <v>962</v>
      </c>
      <c r="C2209">
        <v>5.76</v>
      </c>
      <c r="D2209" s="1">
        <v>45166.717962962961</v>
      </c>
      <c r="E2209" s="2">
        <f t="shared" si="136"/>
        <v>0.71796296296088258</v>
      </c>
      <c r="F2209" s="3">
        <f t="shared" si="137"/>
        <v>45166</v>
      </c>
      <c r="G2209" t="s">
        <v>17</v>
      </c>
      <c r="H2209" t="s">
        <v>26</v>
      </c>
      <c r="I2209" t="s">
        <v>1406</v>
      </c>
      <c r="J2209" t="s">
        <v>361</v>
      </c>
      <c r="K2209" t="s">
        <v>272</v>
      </c>
      <c r="L2209" t="s">
        <v>69</v>
      </c>
      <c r="M2209">
        <v>38</v>
      </c>
      <c r="N2209" t="s">
        <v>77</v>
      </c>
      <c r="O2209">
        <v>164</v>
      </c>
      <c r="P2209">
        <v>1</v>
      </c>
      <c r="Q2209">
        <v>5859.79</v>
      </c>
      <c r="R2209" s="4">
        <v>45600</v>
      </c>
      <c r="S2209" s="6">
        <v>0.33982638888888889</v>
      </c>
      <c r="T2209">
        <f t="shared" si="138"/>
        <v>17</v>
      </c>
      <c r="U2209" t="str" cm="1">
        <f t="array" ref="U2209">_xlfn.IFS(M2209&lt;=34,"YOUNG",M2209&lt;=54,"MIDDLE AGE",M2209&gt;=55,"OLD")</f>
        <v>MIDDLE AGE</v>
      </c>
      <c r="V2209" t="str">
        <f t="shared" si="139"/>
        <v>NORMAL</v>
      </c>
    </row>
    <row r="2210" spans="1:22" x14ac:dyDescent="0.35">
      <c r="A2210" t="s">
        <v>4116</v>
      </c>
      <c r="B2210" t="s">
        <v>2024</v>
      </c>
      <c r="C2210">
        <v>435.08</v>
      </c>
      <c r="D2210" s="1">
        <v>45131.667673611111</v>
      </c>
      <c r="E2210" s="2">
        <f t="shared" si="136"/>
        <v>0.66767361111124046</v>
      </c>
      <c r="F2210" s="3">
        <f t="shared" si="137"/>
        <v>45131</v>
      </c>
      <c r="G2210" t="s">
        <v>17</v>
      </c>
      <c r="H2210" t="s">
        <v>212</v>
      </c>
      <c r="I2210" t="s">
        <v>2290</v>
      </c>
      <c r="J2210" t="s">
        <v>4117</v>
      </c>
      <c r="K2210" t="s">
        <v>858</v>
      </c>
      <c r="L2210" t="s">
        <v>36</v>
      </c>
      <c r="M2210">
        <v>55</v>
      </c>
      <c r="N2210" t="s">
        <v>77</v>
      </c>
      <c r="O2210">
        <v>78</v>
      </c>
      <c r="P2210">
        <v>1</v>
      </c>
      <c r="Q2210">
        <v>2103.41</v>
      </c>
      <c r="R2210" s="4">
        <v>45600</v>
      </c>
      <c r="S2210" s="6">
        <v>0.34114583333333331</v>
      </c>
      <c r="T2210">
        <f t="shared" si="138"/>
        <v>16</v>
      </c>
      <c r="U2210" t="str" cm="1">
        <f t="array" ref="U2210">_xlfn.IFS(M2210&lt;=34,"YOUNG",M2210&lt;=54,"MIDDLE AGE",M2210&gt;=55,"OLD")</f>
        <v>OLD</v>
      </c>
      <c r="V2210" t="str">
        <f t="shared" si="139"/>
        <v>NORMAL</v>
      </c>
    </row>
    <row r="2211" spans="1:22" x14ac:dyDescent="0.35">
      <c r="A2211" t="s">
        <v>4118</v>
      </c>
      <c r="B2211" t="s">
        <v>219</v>
      </c>
      <c r="C2211">
        <v>127.78</v>
      </c>
      <c r="D2211" s="1">
        <v>45041.695509259262</v>
      </c>
      <c r="E2211" s="2">
        <f t="shared" si="136"/>
        <v>0.69550925926159834</v>
      </c>
      <c r="F2211" s="3">
        <f t="shared" si="137"/>
        <v>45041</v>
      </c>
      <c r="G2211" t="s">
        <v>17</v>
      </c>
      <c r="H2211" t="s">
        <v>172</v>
      </c>
      <c r="I2211" t="s">
        <v>4119</v>
      </c>
      <c r="J2211" t="s">
        <v>1459</v>
      </c>
      <c r="K2211" t="s">
        <v>1345</v>
      </c>
      <c r="L2211" t="s">
        <v>22</v>
      </c>
      <c r="M2211">
        <v>20</v>
      </c>
      <c r="N2211" t="s">
        <v>37</v>
      </c>
      <c r="O2211">
        <v>170</v>
      </c>
      <c r="P2211">
        <v>1</v>
      </c>
      <c r="Q2211">
        <v>1046.6600000000001</v>
      </c>
      <c r="R2211" s="4">
        <v>45600</v>
      </c>
      <c r="S2211" s="6">
        <v>0.34057870370370369</v>
      </c>
      <c r="T2211">
        <f t="shared" si="138"/>
        <v>16</v>
      </c>
      <c r="U2211" t="str" cm="1">
        <f t="array" ref="U2211">_xlfn.IFS(M2211&lt;=34,"YOUNG",M2211&lt;=54,"MIDDLE AGE",M2211&gt;=55,"OLD")</f>
        <v>YOUNG</v>
      </c>
      <c r="V2211" t="str">
        <f t="shared" si="139"/>
        <v>NORMAL</v>
      </c>
    </row>
    <row r="2212" spans="1:22" x14ac:dyDescent="0.35">
      <c r="A2212" t="s">
        <v>4120</v>
      </c>
      <c r="B2212" t="s">
        <v>636</v>
      </c>
      <c r="C2212">
        <v>23.14</v>
      </c>
      <c r="D2212" s="1">
        <v>45245.724768518521</v>
      </c>
      <c r="E2212" s="2">
        <f t="shared" si="136"/>
        <v>0.72476851852115942</v>
      </c>
      <c r="F2212" s="3">
        <f t="shared" si="137"/>
        <v>45245</v>
      </c>
      <c r="G2212" t="s">
        <v>46</v>
      </c>
      <c r="H2212" t="s">
        <v>32</v>
      </c>
      <c r="I2212" t="s">
        <v>4121</v>
      </c>
      <c r="J2212" t="s">
        <v>4122</v>
      </c>
      <c r="K2212" t="s">
        <v>331</v>
      </c>
      <c r="L2212" t="s">
        <v>36</v>
      </c>
      <c r="M2212">
        <v>47</v>
      </c>
      <c r="N2212" t="s">
        <v>23</v>
      </c>
      <c r="O2212">
        <v>93</v>
      </c>
      <c r="P2212">
        <v>1</v>
      </c>
      <c r="Q2212">
        <v>10536.54</v>
      </c>
      <c r="R2212" s="4">
        <v>45600</v>
      </c>
      <c r="S2212" s="6">
        <v>0.33982638888888889</v>
      </c>
      <c r="T2212">
        <f t="shared" si="138"/>
        <v>17</v>
      </c>
      <c r="U2212" t="str" cm="1">
        <f t="array" ref="U2212">_xlfn.IFS(M2212&lt;=34,"YOUNG",M2212&lt;=54,"MIDDLE AGE",M2212&gt;=55,"OLD")</f>
        <v>MIDDLE AGE</v>
      </c>
      <c r="V2212" t="str">
        <f t="shared" si="139"/>
        <v>NORMAL</v>
      </c>
    </row>
    <row r="2213" spans="1:22" x14ac:dyDescent="0.35">
      <c r="A2213" t="s">
        <v>4123</v>
      </c>
      <c r="B2213" t="s">
        <v>520</v>
      </c>
      <c r="C2213">
        <v>545.87</v>
      </c>
      <c r="D2213" s="1">
        <v>44928.688518518517</v>
      </c>
      <c r="E2213" s="2">
        <f t="shared" si="136"/>
        <v>0.68851851851650281</v>
      </c>
      <c r="F2213" s="3">
        <f t="shared" si="137"/>
        <v>44928</v>
      </c>
      <c r="G2213" t="s">
        <v>17</v>
      </c>
      <c r="H2213" t="s">
        <v>172</v>
      </c>
      <c r="I2213" t="s">
        <v>924</v>
      </c>
      <c r="J2213" t="s">
        <v>1130</v>
      </c>
      <c r="K2213" t="s">
        <v>607</v>
      </c>
      <c r="L2213" t="s">
        <v>69</v>
      </c>
      <c r="M2213">
        <v>27</v>
      </c>
      <c r="N2213" t="s">
        <v>77</v>
      </c>
      <c r="O2213">
        <v>41</v>
      </c>
      <c r="P2213">
        <v>1</v>
      </c>
      <c r="Q2213">
        <v>4860.01</v>
      </c>
      <c r="R2213" s="4">
        <v>45600</v>
      </c>
      <c r="S2213" s="6">
        <v>0.34009259259259261</v>
      </c>
      <c r="T2213">
        <f t="shared" si="138"/>
        <v>16</v>
      </c>
      <c r="U2213" t="str" cm="1">
        <f t="array" ref="U2213">_xlfn.IFS(M2213&lt;=34,"YOUNG",M2213&lt;=54,"MIDDLE AGE",M2213&gt;=55,"OLD")</f>
        <v>YOUNG</v>
      </c>
      <c r="V2213" t="str">
        <f t="shared" si="139"/>
        <v>NORMAL</v>
      </c>
    </row>
    <row r="2214" spans="1:22" x14ac:dyDescent="0.35">
      <c r="A2214" t="s">
        <v>4124</v>
      </c>
      <c r="B2214" t="s">
        <v>2690</v>
      </c>
      <c r="C2214">
        <v>21.21</v>
      </c>
      <c r="D2214" s="1">
        <v>45264.68074074074</v>
      </c>
      <c r="E2214" s="2">
        <f t="shared" si="136"/>
        <v>0.68074074073956581</v>
      </c>
      <c r="F2214" s="3">
        <f t="shared" si="137"/>
        <v>45264</v>
      </c>
      <c r="G2214" t="s">
        <v>17</v>
      </c>
      <c r="H2214" t="s">
        <v>80</v>
      </c>
      <c r="I2214" t="s">
        <v>3818</v>
      </c>
      <c r="J2214" t="s">
        <v>2346</v>
      </c>
      <c r="K2214" t="s">
        <v>370</v>
      </c>
      <c r="L2214" t="s">
        <v>36</v>
      </c>
      <c r="M2214">
        <v>55</v>
      </c>
      <c r="N2214" t="s">
        <v>77</v>
      </c>
      <c r="O2214">
        <v>37</v>
      </c>
      <c r="P2214">
        <v>1</v>
      </c>
      <c r="Q2214">
        <v>9575.42</v>
      </c>
      <c r="R2214" s="4">
        <v>45600</v>
      </c>
      <c r="S2214" s="6">
        <v>0.33840277777777777</v>
      </c>
      <c r="T2214">
        <f t="shared" si="138"/>
        <v>16</v>
      </c>
      <c r="U2214" t="str" cm="1">
        <f t="array" ref="U2214">_xlfn.IFS(M2214&lt;=34,"YOUNG",M2214&lt;=54,"MIDDLE AGE",M2214&gt;=55,"OLD")</f>
        <v>OLD</v>
      </c>
      <c r="V2214" t="str">
        <f t="shared" si="139"/>
        <v>NORMAL</v>
      </c>
    </row>
    <row r="2215" spans="1:22" x14ac:dyDescent="0.35">
      <c r="A2215" t="s">
        <v>4125</v>
      </c>
      <c r="B2215" t="s">
        <v>2671</v>
      </c>
      <c r="C2215">
        <v>423.53</v>
      </c>
      <c r="D2215" s="1">
        <v>45148.714490740742</v>
      </c>
      <c r="E2215" s="2">
        <f t="shared" si="136"/>
        <v>0.71449074074189411</v>
      </c>
      <c r="F2215" s="3">
        <f t="shared" si="137"/>
        <v>45148</v>
      </c>
      <c r="G2215" t="s">
        <v>46</v>
      </c>
      <c r="H2215" t="s">
        <v>291</v>
      </c>
      <c r="I2215" t="s">
        <v>3025</v>
      </c>
      <c r="J2215" t="s">
        <v>1518</v>
      </c>
      <c r="K2215" t="s">
        <v>105</v>
      </c>
      <c r="L2215" t="s">
        <v>69</v>
      </c>
      <c r="M2215">
        <v>50</v>
      </c>
      <c r="N2215" t="s">
        <v>23</v>
      </c>
      <c r="O2215">
        <v>81</v>
      </c>
      <c r="P2215">
        <v>1</v>
      </c>
      <c r="Q2215">
        <v>5453.4</v>
      </c>
      <c r="R2215" s="4">
        <v>45600</v>
      </c>
      <c r="S2215" s="6">
        <v>0.33846064814814814</v>
      </c>
      <c r="T2215">
        <f t="shared" si="138"/>
        <v>17</v>
      </c>
      <c r="U2215" t="str" cm="1">
        <f t="array" ref="U2215">_xlfn.IFS(M2215&lt;=34,"YOUNG",M2215&lt;=54,"MIDDLE AGE",M2215&gt;=55,"OLD")</f>
        <v>MIDDLE AGE</v>
      </c>
      <c r="V2215" t="str">
        <f t="shared" si="139"/>
        <v>NORMAL</v>
      </c>
    </row>
    <row r="2216" spans="1:22" x14ac:dyDescent="0.35">
      <c r="A2216" t="s">
        <v>4126</v>
      </c>
      <c r="B2216" t="s">
        <v>2083</v>
      </c>
      <c r="C2216">
        <v>142.1</v>
      </c>
      <c r="D2216" s="1">
        <v>45085.713958333334</v>
      </c>
      <c r="E2216" s="2">
        <f t="shared" si="136"/>
        <v>0.71395833333372138</v>
      </c>
      <c r="F2216" s="3">
        <f t="shared" si="137"/>
        <v>45085</v>
      </c>
      <c r="G2216" t="s">
        <v>46</v>
      </c>
      <c r="H2216" t="s">
        <v>212</v>
      </c>
      <c r="I2216" t="s">
        <v>1369</v>
      </c>
      <c r="J2216" t="s">
        <v>3074</v>
      </c>
      <c r="K2216" t="s">
        <v>682</v>
      </c>
      <c r="L2216" t="s">
        <v>36</v>
      </c>
      <c r="M2216">
        <v>18</v>
      </c>
      <c r="N2216" t="s">
        <v>37</v>
      </c>
      <c r="O2216">
        <v>109</v>
      </c>
      <c r="P2216">
        <v>1</v>
      </c>
      <c r="Q2216">
        <v>1545.64</v>
      </c>
      <c r="R2216" s="4">
        <v>45600</v>
      </c>
      <c r="S2216" s="6">
        <v>0.34162037037037035</v>
      </c>
      <c r="T2216">
        <f t="shared" si="138"/>
        <v>17</v>
      </c>
      <c r="U2216" t="str" cm="1">
        <f t="array" ref="U2216">_xlfn.IFS(M2216&lt;=34,"YOUNG",M2216&lt;=54,"MIDDLE AGE",M2216&gt;=55,"OLD")</f>
        <v>YOUNG</v>
      </c>
      <c r="V2216" t="str">
        <f t="shared" si="139"/>
        <v>NORMAL</v>
      </c>
    </row>
    <row r="2217" spans="1:22" x14ac:dyDescent="0.35">
      <c r="A2217" t="s">
        <v>4127</v>
      </c>
      <c r="B2217" t="s">
        <v>1587</v>
      </c>
      <c r="C2217">
        <v>1413.24</v>
      </c>
      <c r="D2217" s="1">
        <v>45236.791250000002</v>
      </c>
      <c r="E2217" s="2">
        <f t="shared" si="136"/>
        <v>0.79125000000203727</v>
      </c>
      <c r="F2217" s="3">
        <f t="shared" si="137"/>
        <v>45236</v>
      </c>
      <c r="G2217" t="s">
        <v>17</v>
      </c>
      <c r="H2217" t="s">
        <v>203</v>
      </c>
      <c r="I2217" t="s">
        <v>2397</v>
      </c>
      <c r="J2217" t="s">
        <v>1571</v>
      </c>
      <c r="K2217" t="s">
        <v>1810</v>
      </c>
      <c r="L2217" t="s">
        <v>22</v>
      </c>
      <c r="M2217">
        <v>58</v>
      </c>
      <c r="N2217" t="s">
        <v>77</v>
      </c>
      <c r="O2217">
        <v>199</v>
      </c>
      <c r="P2217">
        <v>1</v>
      </c>
      <c r="Q2217">
        <v>7272.01</v>
      </c>
      <c r="R2217" s="4">
        <v>45600</v>
      </c>
      <c r="S2217" s="6">
        <v>0.34127314814814813</v>
      </c>
      <c r="T2217">
        <f t="shared" si="138"/>
        <v>18</v>
      </c>
      <c r="U2217" t="str" cm="1">
        <f t="array" ref="U2217">_xlfn.IFS(M2217&lt;=34,"YOUNG",M2217&lt;=54,"MIDDLE AGE",M2217&gt;=55,"OLD")</f>
        <v>OLD</v>
      </c>
      <c r="V2217" t="str">
        <f t="shared" si="139"/>
        <v>NORMAL</v>
      </c>
    </row>
    <row r="2218" spans="1:22" x14ac:dyDescent="0.35">
      <c r="A2218" t="s">
        <v>4128</v>
      </c>
      <c r="B2218" t="s">
        <v>3136</v>
      </c>
      <c r="C2218">
        <v>114.15</v>
      </c>
      <c r="D2218" s="1">
        <v>44978.699930555558</v>
      </c>
      <c r="E2218" s="2">
        <f t="shared" si="136"/>
        <v>0.69993055555823958</v>
      </c>
      <c r="F2218" s="3">
        <f t="shared" si="137"/>
        <v>44978</v>
      </c>
      <c r="G2218" t="s">
        <v>17</v>
      </c>
      <c r="H2218" t="s">
        <v>47</v>
      </c>
      <c r="I2218" t="s">
        <v>1162</v>
      </c>
      <c r="J2218" t="s">
        <v>230</v>
      </c>
      <c r="K2218" t="s">
        <v>353</v>
      </c>
      <c r="L2218" t="s">
        <v>22</v>
      </c>
      <c r="M2218">
        <v>19</v>
      </c>
      <c r="N2218" t="s">
        <v>37</v>
      </c>
      <c r="O2218">
        <v>52</v>
      </c>
      <c r="P2218">
        <v>1</v>
      </c>
      <c r="Q2218">
        <v>1612.4</v>
      </c>
      <c r="R2218" s="4">
        <v>45600</v>
      </c>
      <c r="S2218" s="6">
        <v>0.33932870370370372</v>
      </c>
      <c r="T2218">
        <f t="shared" si="138"/>
        <v>16</v>
      </c>
      <c r="U2218" t="str" cm="1">
        <f t="array" ref="U2218">_xlfn.IFS(M2218&lt;=34,"YOUNG",M2218&lt;=54,"MIDDLE AGE",M2218&gt;=55,"OLD")</f>
        <v>YOUNG</v>
      </c>
      <c r="V2218" t="str">
        <f t="shared" si="139"/>
        <v>NORMAL</v>
      </c>
    </row>
    <row r="2219" spans="1:22" x14ac:dyDescent="0.35">
      <c r="A2219" t="s">
        <v>4129</v>
      </c>
      <c r="B2219" t="s">
        <v>629</v>
      </c>
      <c r="C2219">
        <v>275.98</v>
      </c>
      <c r="D2219" s="1">
        <v>45275.669675925928</v>
      </c>
      <c r="E2219" s="2">
        <f t="shared" si="136"/>
        <v>0.66967592592845904</v>
      </c>
      <c r="F2219" s="3">
        <f t="shared" si="137"/>
        <v>45275</v>
      </c>
      <c r="G2219" t="s">
        <v>46</v>
      </c>
      <c r="H2219" t="s">
        <v>453</v>
      </c>
      <c r="I2219" t="s">
        <v>955</v>
      </c>
      <c r="J2219" t="s">
        <v>3486</v>
      </c>
      <c r="K2219" t="s">
        <v>200</v>
      </c>
      <c r="L2219" t="s">
        <v>36</v>
      </c>
      <c r="M2219">
        <v>72</v>
      </c>
      <c r="N2219" t="s">
        <v>70</v>
      </c>
      <c r="O2219">
        <v>67</v>
      </c>
      <c r="P2219">
        <v>1</v>
      </c>
      <c r="Q2219">
        <v>6151.05</v>
      </c>
      <c r="R2219" s="4">
        <v>45600</v>
      </c>
      <c r="S2219" s="6">
        <v>0.33837962962962964</v>
      </c>
      <c r="T2219">
        <f t="shared" si="138"/>
        <v>16</v>
      </c>
      <c r="U2219" t="str" cm="1">
        <f t="array" ref="U2219">_xlfn.IFS(M2219&lt;=34,"YOUNG",M2219&lt;=54,"MIDDLE AGE",M2219&gt;=55,"OLD")</f>
        <v>OLD</v>
      </c>
      <c r="V2219" t="str">
        <f t="shared" si="139"/>
        <v>NORMAL</v>
      </c>
    </row>
    <row r="2220" spans="1:22" x14ac:dyDescent="0.35">
      <c r="A2220" t="s">
        <v>4130</v>
      </c>
      <c r="B2220" t="s">
        <v>1238</v>
      </c>
      <c r="C2220">
        <v>590.67999999999995</v>
      </c>
      <c r="D2220" s="1">
        <v>45194.70579861111</v>
      </c>
      <c r="E2220" s="2">
        <f t="shared" si="136"/>
        <v>0.70579861111036735</v>
      </c>
      <c r="F2220" s="3">
        <f t="shared" si="137"/>
        <v>45194</v>
      </c>
      <c r="G2220" t="s">
        <v>17</v>
      </c>
      <c r="H2220" t="s">
        <v>453</v>
      </c>
      <c r="I2220" t="s">
        <v>1126</v>
      </c>
      <c r="J2220" t="s">
        <v>298</v>
      </c>
      <c r="K2220" t="s">
        <v>980</v>
      </c>
      <c r="L2220" t="s">
        <v>69</v>
      </c>
      <c r="M2220">
        <v>27</v>
      </c>
      <c r="N2220" t="s">
        <v>37</v>
      </c>
      <c r="O2220">
        <v>23</v>
      </c>
      <c r="P2220">
        <v>1</v>
      </c>
      <c r="Q2220">
        <v>852.2</v>
      </c>
      <c r="R2220" s="4">
        <v>45600</v>
      </c>
      <c r="S2220" s="6">
        <v>0.33975694444444443</v>
      </c>
      <c r="T2220">
        <f t="shared" si="138"/>
        <v>16</v>
      </c>
      <c r="U2220" t="str" cm="1">
        <f t="array" ref="U2220">_xlfn.IFS(M2220&lt;=34,"YOUNG",M2220&lt;=54,"MIDDLE AGE",M2220&gt;=55,"OLD")</f>
        <v>YOUNG</v>
      </c>
      <c r="V2220" t="str">
        <f t="shared" si="139"/>
        <v>NORMAL</v>
      </c>
    </row>
    <row r="2221" spans="1:22" x14ac:dyDescent="0.35">
      <c r="A2221" t="s">
        <v>4131</v>
      </c>
      <c r="B2221" t="s">
        <v>438</v>
      </c>
      <c r="C2221">
        <v>152.41999999999999</v>
      </c>
      <c r="D2221" s="1">
        <v>45222.698344907411</v>
      </c>
      <c r="E2221" s="2">
        <f t="shared" si="136"/>
        <v>0.69834490741050104</v>
      </c>
      <c r="F2221" s="3">
        <f t="shared" si="137"/>
        <v>45222</v>
      </c>
      <c r="G2221" t="s">
        <v>17</v>
      </c>
      <c r="H2221" t="s">
        <v>223</v>
      </c>
      <c r="I2221" t="s">
        <v>512</v>
      </c>
      <c r="J2221" t="s">
        <v>1879</v>
      </c>
      <c r="K2221" t="s">
        <v>100</v>
      </c>
      <c r="L2221" t="s">
        <v>22</v>
      </c>
      <c r="M2221">
        <v>42</v>
      </c>
      <c r="N2221" t="s">
        <v>23</v>
      </c>
      <c r="O2221">
        <v>176</v>
      </c>
      <c r="P2221">
        <v>1</v>
      </c>
      <c r="Q2221">
        <v>9141.7900000000009</v>
      </c>
      <c r="R2221" s="4">
        <v>45600</v>
      </c>
      <c r="S2221" s="6">
        <v>0.34187499999999998</v>
      </c>
      <c r="T2221">
        <f t="shared" si="138"/>
        <v>16</v>
      </c>
      <c r="U2221" t="str" cm="1">
        <f t="array" ref="U2221">_xlfn.IFS(M2221&lt;=34,"YOUNG",M2221&lt;=54,"MIDDLE AGE",M2221&gt;=55,"OLD")</f>
        <v>MIDDLE AGE</v>
      </c>
      <c r="V2221" t="str">
        <f t="shared" si="139"/>
        <v>NORMAL</v>
      </c>
    </row>
    <row r="2222" spans="1:22" x14ac:dyDescent="0.35">
      <c r="A2222" t="s">
        <v>4132</v>
      </c>
      <c r="B2222" t="s">
        <v>151</v>
      </c>
      <c r="C2222">
        <v>395.77</v>
      </c>
      <c r="D2222" s="1">
        <v>44984.68346064815</v>
      </c>
      <c r="E2222" s="2">
        <f t="shared" si="136"/>
        <v>0.68346064814977581</v>
      </c>
      <c r="F2222" s="3">
        <f t="shared" si="137"/>
        <v>44984</v>
      </c>
      <c r="G2222" t="s">
        <v>46</v>
      </c>
      <c r="H2222" t="s">
        <v>506</v>
      </c>
      <c r="I2222" t="s">
        <v>738</v>
      </c>
      <c r="J2222" t="s">
        <v>4133</v>
      </c>
      <c r="K2222" t="s">
        <v>312</v>
      </c>
      <c r="L2222" t="s">
        <v>69</v>
      </c>
      <c r="M2222">
        <v>43</v>
      </c>
      <c r="N2222" t="s">
        <v>23</v>
      </c>
      <c r="O2222">
        <v>118</v>
      </c>
      <c r="P2222">
        <v>1</v>
      </c>
      <c r="Q2222">
        <v>6425.99</v>
      </c>
      <c r="R2222" s="4">
        <v>45600</v>
      </c>
      <c r="S2222" s="6">
        <v>0.33908564814814812</v>
      </c>
      <c r="T2222">
        <f t="shared" si="138"/>
        <v>16</v>
      </c>
      <c r="U2222" t="str" cm="1">
        <f t="array" ref="U2222">_xlfn.IFS(M2222&lt;=34,"YOUNG",M2222&lt;=54,"MIDDLE AGE",M2222&gt;=55,"OLD")</f>
        <v>MIDDLE AGE</v>
      </c>
      <c r="V2222" t="str">
        <f t="shared" si="139"/>
        <v>NORMAL</v>
      </c>
    </row>
    <row r="2223" spans="1:22" x14ac:dyDescent="0.35">
      <c r="A2223" t="s">
        <v>4134</v>
      </c>
      <c r="B2223" t="s">
        <v>801</v>
      </c>
      <c r="C2223">
        <v>615.16</v>
      </c>
      <c r="D2223" s="1">
        <v>44963.694756944446</v>
      </c>
      <c r="E2223" s="2">
        <f t="shared" si="136"/>
        <v>0.69475694444554392</v>
      </c>
      <c r="F2223" s="3">
        <f t="shared" si="137"/>
        <v>44963</v>
      </c>
      <c r="G2223" t="s">
        <v>17</v>
      </c>
      <c r="H2223" t="s">
        <v>388</v>
      </c>
      <c r="I2223" t="s">
        <v>1355</v>
      </c>
      <c r="J2223" t="s">
        <v>940</v>
      </c>
      <c r="K2223" t="s">
        <v>1014</v>
      </c>
      <c r="L2223" t="s">
        <v>36</v>
      </c>
      <c r="M2223">
        <v>26</v>
      </c>
      <c r="N2223" t="s">
        <v>37</v>
      </c>
      <c r="O2223">
        <v>140</v>
      </c>
      <c r="P2223">
        <v>1</v>
      </c>
      <c r="Q2223">
        <v>214.61</v>
      </c>
      <c r="R2223" s="4">
        <v>45600</v>
      </c>
      <c r="S2223" s="6">
        <v>0.33792824074074074</v>
      </c>
      <c r="T2223">
        <f t="shared" si="138"/>
        <v>16</v>
      </c>
      <c r="U2223" t="str" cm="1">
        <f t="array" ref="U2223">_xlfn.IFS(M2223&lt;=34,"YOUNG",M2223&lt;=54,"MIDDLE AGE",M2223&gt;=55,"OLD")</f>
        <v>YOUNG</v>
      </c>
      <c r="V2223" t="str">
        <f t="shared" si="139"/>
        <v>NORMAL</v>
      </c>
    </row>
    <row r="2224" spans="1:22" x14ac:dyDescent="0.35">
      <c r="A2224" t="s">
        <v>4135</v>
      </c>
      <c r="B2224" t="s">
        <v>424</v>
      </c>
      <c r="C2224">
        <v>207.82</v>
      </c>
      <c r="D2224" s="1">
        <v>44985.690798611111</v>
      </c>
      <c r="E2224" s="2">
        <f t="shared" si="136"/>
        <v>0.69079861111094942</v>
      </c>
      <c r="F2224" s="3">
        <f t="shared" si="137"/>
        <v>44985</v>
      </c>
      <c r="G2224" t="s">
        <v>46</v>
      </c>
      <c r="H2224" t="s">
        <v>146</v>
      </c>
      <c r="I2224" t="s">
        <v>1615</v>
      </c>
      <c r="J2224" t="s">
        <v>1518</v>
      </c>
      <c r="K2224" t="s">
        <v>303</v>
      </c>
      <c r="L2224" t="s">
        <v>36</v>
      </c>
      <c r="M2224">
        <v>19</v>
      </c>
      <c r="N2224" t="s">
        <v>37</v>
      </c>
      <c r="O2224">
        <v>30</v>
      </c>
      <c r="P2224">
        <v>1</v>
      </c>
      <c r="Q2224">
        <v>229.02</v>
      </c>
      <c r="R2224" s="4">
        <v>45600</v>
      </c>
      <c r="S2224" s="6">
        <v>0.3382175925925926</v>
      </c>
      <c r="T2224">
        <f t="shared" si="138"/>
        <v>16</v>
      </c>
      <c r="U2224" t="str" cm="1">
        <f t="array" ref="U2224">_xlfn.IFS(M2224&lt;=34,"YOUNG",M2224&lt;=54,"MIDDLE AGE",M2224&gt;=55,"OLD")</f>
        <v>YOUNG</v>
      </c>
      <c r="V2224" t="str">
        <f t="shared" si="139"/>
        <v>NORMAL</v>
      </c>
    </row>
    <row r="2225" spans="1:22" x14ac:dyDescent="0.35">
      <c r="A2225" t="s">
        <v>4136</v>
      </c>
      <c r="B2225" t="s">
        <v>79</v>
      </c>
      <c r="C2225">
        <v>220.52</v>
      </c>
      <c r="D2225" s="1">
        <v>45084.671782407408</v>
      </c>
      <c r="E2225" s="2">
        <f t="shared" si="136"/>
        <v>0.67178240740759065</v>
      </c>
      <c r="F2225" s="3">
        <f t="shared" si="137"/>
        <v>45084</v>
      </c>
      <c r="G2225" t="s">
        <v>17</v>
      </c>
      <c r="H2225" t="s">
        <v>59</v>
      </c>
      <c r="I2225" t="s">
        <v>4137</v>
      </c>
      <c r="J2225" t="s">
        <v>1291</v>
      </c>
      <c r="K2225" t="s">
        <v>56</v>
      </c>
      <c r="L2225" t="s">
        <v>22</v>
      </c>
      <c r="M2225">
        <v>57</v>
      </c>
      <c r="N2225" t="s">
        <v>70</v>
      </c>
      <c r="O2225">
        <v>152</v>
      </c>
      <c r="P2225">
        <v>1</v>
      </c>
      <c r="Q2225">
        <v>1793.09</v>
      </c>
      <c r="R2225" s="4">
        <v>45600</v>
      </c>
      <c r="S2225" s="6">
        <v>0.33841435185185187</v>
      </c>
      <c r="T2225">
        <f t="shared" si="138"/>
        <v>16</v>
      </c>
      <c r="U2225" t="str" cm="1">
        <f t="array" ref="U2225">_xlfn.IFS(M2225&lt;=34,"YOUNG",M2225&lt;=54,"MIDDLE AGE",M2225&gt;=55,"OLD")</f>
        <v>OLD</v>
      </c>
      <c r="V2225" t="str">
        <f t="shared" si="139"/>
        <v>NORMAL</v>
      </c>
    </row>
    <row r="2226" spans="1:22" x14ac:dyDescent="0.35">
      <c r="A2226" t="s">
        <v>4138</v>
      </c>
      <c r="B2226" t="s">
        <v>328</v>
      </c>
      <c r="C2226">
        <v>281.47000000000003</v>
      </c>
      <c r="D2226" s="1">
        <v>45156.70989583333</v>
      </c>
      <c r="E2226" s="2">
        <f t="shared" si="136"/>
        <v>0.70989583332993789</v>
      </c>
      <c r="F2226" s="3">
        <f t="shared" si="137"/>
        <v>45156</v>
      </c>
      <c r="G2226" t="s">
        <v>17</v>
      </c>
      <c r="H2226" t="s">
        <v>243</v>
      </c>
      <c r="I2226" t="s">
        <v>538</v>
      </c>
      <c r="J2226" t="s">
        <v>1725</v>
      </c>
      <c r="K2226" t="s">
        <v>175</v>
      </c>
      <c r="L2226" t="s">
        <v>22</v>
      </c>
      <c r="M2226">
        <v>34</v>
      </c>
      <c r="N2226" t="s">
        <v>77</v>
      </c>
      <c r="O2226">
        <v>142</v>
      </c>
      <c r="P2226">
        <v>1</v>
      </c>
      <c r="Q2226">
        <v>4437.4799999999996</v>
      </c>
      <c r="R2226" s="4">
        <v>45600</v>
      </c>
      <c r="S2226" s="6">
        <v>0.34112268518518518</v>
      </c>
      <c r="T2226">
        <f t="shared" si="138"/>
        <v>17</v>
      </c>
      <c r="U2226" t="str" cm="1">
        <f t="array" ref="U2226">_xlfn.IFS(M2226&lt;=34,"YOUNG",M2226&lt;=54,"MIDDLE AGE",M2226&gt;=55,"OLD")</f>
        <v>YOUNG</v>
      </c>
      <c r="V2226" t="str">
        <f t="shared" si="139"/>
        <v>NORMAL</v>
      </c>
    </row>
    <row r="2227" spans="1:22" x14ac:dyDescent="0.35">
      <c r="A2227" t="s">
        <v>4139</v>
      </c>
      <c r="B2227" t="s">
        <v>1057</v>
      </c>
      <c r="C2227">
        <v>57.91</v>
      </c>
      <c r="D2227" s="1">
        <v>45258.698009259257</v>
      </c>
      <c r="E2227" s="2">
        <f t="shared" si="136"/>
        <v>0.69800925925665069</v>
      </c>
      <c r="F2227" s="3">
        <f t="shared" si="137"/>
        <v>45258</v>
      </c>
      <c r="G2227" t="s">
        <v>46</v>
      </c>
      <c r="H2227" t="s">
        <v>285</v>
      </c>
      <c r="I2227" t="s">
        <v>1323</v>
      </c>
      <c r="J2227" t="s">
        <v>2673</v>
      </c>
      <c r="K2227" t="s">
        <v>1281</v>
      </c>
      <c r="L2227" t="s">
        <v>69</v>
      </c>
      <c r="M2227">
        <v>58</v>
      </c>
      <c r="N2227" t="s">
        <v>77</v>
      </c>
      <c r="O2227">
        <v>97</v>
      </c>
      <c r="P2227">
        <v>1</v>
      </c>
      <c r="Q2227">
        <v>3641.06</v>
      </c>
      <c r="R2227" s="4">
        <v>45600</v>
      </c>
      <c r="S2227" s="6">
        <v>0.33822916666666669</v>
      </c>
      <c r="T2227">
        <f t="shared" si="138"/>
        <v>16</v>
      </c>
      <c r="U2227" t="str" cm="1">
        <f t="array" ref="U2227">_xlfn.IFS(M2227&lt;=34,"YOUNG",M2227&lt;=54,"MIDDLE AGE",M2227&gt;=55,"OLD")</f>
        <v>OLD</v>
      </c>
      <c r="V2227" t="str">
        <f t="shared" si="139"/>
        <v>NORMAL</v>
      </c>
    </row>
    <row r="2228" spans="1:22" x14ac:dyDescent="0.35">
      <c r="A2228" t="s">
        <v>4140</v>
      </c>
      <c r="B2228" t="s">
        <v>785</v>
      </c>
      <c r="C2228">
        <v>30.48</v>
      </c>
      <c r="D2228" s="1">
        <v>45264.685543981483</v>
      </c>
      <c r="E2228" s="2">
        <f t="shared" si="136"/>
        <v>0.68554398148262408</v>
      </c>
      <c r="F2228" s="3">
        <f t="shared" si="137"/>
        <v>45264</v>
      </c>
      <c r="G2228" t="s">
        <v>46</v>
      </c>
      <c r="H2228" t="s">
        <v>59</v>
      </c>
      <c r="I2228" t="s">
        <v>468</v>
      </c>
      <c r="J2228" t="s">
        <v>234</v>
      </c>
      <c r="K2228" t="s">
        <v>89</v>
      </c>
      <c r="L2228" t="s">
        <v>69</v>
      </c>
      <c r="M2228">
        <v>32</v>
      </c>
      <c r="N2228" t="s">
        <v>23</v>
      </c>
      <c r="O2228">
        <v>78</v>
      </c>
      <c r="P2228">
        <v>1</v>
      </c>
      <c r="Q2228">
        <v>11481.85</v>
      </c>
      <c r="R2228" s="4">
        <v>45600</v>
      </c>
      <c r="S2228" s="6">
        <v>0.33863425925925927</v>
      </c>
      <c r="T2228">
        <f t="shared" si="138"/>
        <v>16</v>
      </c>
      <c r="U2228" t="str" cm="1">
        <f t="array" ref="U2228">_xlfn.IFS(M2228&lt;=34,"YOUNG",M2228&lt;=54,"MIDDLE AGE",M2228&gt;=55,"OLD")</f>
        <v>YOUNG</v>
      </c>
      <c r="V2228" t="str">
        <f t="shared" si="139"/>
        <v>NORMAL</v>
      </c>
    </row>
    <row r="2229" spans="1:22" x14ac:dyDescent="0.35">
      <c r="A2229" t="s">
        <v>4141</v>
      </c>
      <c r="B2229" t="s">
        <v>196</v>
      </c>
      <c r="C2229">
        <v>1152.58</v>
      </c>
      <c r="D2229" s="1">
        <v>45182.748796296299</v>
      </c>
      <c r="E2229" s="2">
        <f t="shared" si="136"/>
        <v>0.7487962962986785</v>
      </c>
      <c r="F2229" s="3">
        <f t="shared" si="137"/>
        <v>45182</v>
      </c>
      <c r="G2229" t="s">
        <v>17</v>
      </c>
      <c r="H2229" t="s">
        <v>119</v>
      </c>
      <c r="I2229" t="s">
        <v>2160</v>
      </c>
      <c r="J2229" t="s">
        <v>266</v>
      </c>
      <c r="K2229" t="s">
        <v>68</v>
      </c>
      <c r="L2229" t="s">
        <v>69</v>
      </c>
      <c r="M2229">
        <v>65</v>
      </c>
      <c r="N2229" t="s">
        <v>70</v>
      </c>
      <c r="O2229">
        <v>180</v>
      </c>
      <c r="P2229">
        <v>1</v>
      </c>
      <c r="Q2229">
        <v>7567.17</v>
      </c>
      <c r="R2229" s="4">
        <v>45600</v>
      </c>
      <c r="S2229" s="6">
        <v>0.34149305555555554</v>
      </c>
      <c r="T2229">
        <f t="shared" si="138"/>
        <v>17</v>
      </c>
      <c r="U2229" t="str" cm="1">
        <f t="array" ref="U2229">_xlfn.IFS(M2229&lt;=34,"YOUNG",M2229&lt;=54,"MIDDLE AGE",M2229&gt;=55,"OLD")</f>
        <v>OLD</v>
      </c>
      <c r="V2229" t="str">
        <f t="shared" si="139"/>
        <v>NORMAL</v>
      </c>
    </row>
    <row r="2230" spans="1:22" x14ac:dyDescent="0.35">
      <c r="A2230" t="s">
        <v>4142</v>
      </c>
      <c r="B2230" t="s">
        <v>1016</v>
      </c>
      <c r="C2230">
        <v>453.09</v>
      </c>
      <c r="D2230" s="1">
        <v>45082.683587962965</v>
      </c>
      <c r="E2230" s="2">
        <f t="shared" si="136"/>
        <v>0.68358796296524815</v>
      </c>
      <c r="F2230" s="3">
        <f t="shared" si="137"/>
        <v>45082</v>
      </c>
      <c r="G2230" t="s">
        <v>17</v>
      </c>
      <c r="H2230" t="s">
        <v>223</v>
      </c>
      <c r="I2230" t="s">
        <v>1045</v>
      </c>
      <c r="J2230" t="s">
        <v>3386</v>
      </c>
      <c r="K2230" t="s">
        <v>769</v>
      </c>
      <c r="L2230" t="s">
        <v>69</v>
      </c>
      <c r="M2230">
        <v>48</v>
      </c>
      <c r="N2230" t="s">
        <v>23</v>
      </c>
      <c r="O2230">
        <v>97</v>
      </c>
      <c r="P2230">
        <v>1</v>
      </c>
      <c r="Q2230">
        <v>6708.65</v>
      </c>
      <c r="R2230" s="4">
        <v>45600</v>
      </c>
      <c r="S2230" s="6">
        <v>0.33902777777777776</v>
      </c>
      <c r="T2230">
        <f t="shared" si="138"/>
        <v>16</v>
      </c>
      <c r="U2230" t="str" cm="1">
        <f t="array" ref="U2230">_xlfn.IFS(M2230&lt;=34,"YOUNG",M2230&lt;=54,"MIDDLE AGE",M2230&gt;=55,"OLD")</f>
        <v>MIDDLE AGE</v>
      </c>
      <c r="V2230" t="str">
        <f t="shared" si="139"/>
        <v>NORMAL</v>
      </c>
    </row>
    <row r="2231" spans="1:22" x14ac:dyDescent="0.35">
      <c r="A2231" t="s">
        <v>4143</v>
      </c>
      <c r="B2231" t="s">
        <v>749</v>
      </c>
      <c r="C2231">
        <v>424.47</v>
      </c>
      <c r="D2231" s="1">
        <v>44984.670543981483</v>
      </c>
      <c r="E2231" s="2">
        <f t="shared" si="136"/>
        <v>0.67054398148320615</v>
      </c>
      <c r="F2231" s="3">
        <f t="shared" si="137"/>
        <v>44984</v>
      </c>
      <c r="G2231" t="s">
        <v>17</v>
      </c>
      <c r="H2231" t="s">
        <v>53</v>
      </c>
      <c r="I2231" t="s">
        <v>990</v>
      </c>
      <c r="J2231" t="s">
        <v>1689</v>
      </c>
      <c r="K2231" t="s">
        <v>1345</v>
      </c>
      <c r="L2231" t="s">
        <v>36</v>
      </c>
      <c r="M2231">
        <v>22</v>
      </c>
      <c r="N2231" t="s">
        <v>37</v>
      </c>
      <c r="O2231">
        <v>116</v>
      </c>
      <c r="P2231">
        <v>1</v>
      </c>
      <c r="Q2231">
        <v>5491.55</v>
      </c>
      <c r="R2231" s="4">
        <v>45600</v>
      </c>
      <c r="S2231" s="6">
        <v>0.33938657407407408</v>
      </c>
      <c r="T2231">
        <f t="shared" si="138"/>
        <v>16</v>
      </c>
      <c r="U2231" t="str" cm="1">
        <f t="array" ref="U2231">_xlfn.IFS(M2231&lt;=34,"YOUNG",M2231&lt;=54,"MIDDLE AGE",M2231&gt;=55,"OLD")</f>
        <v>YOUNG</v>
      </c>
      <c r="V2231" t="str">
        <f t="shared" si="139"/>
        <v>NORMAL</v>
      </c>
    </row>
    <row r="2232" spans="1:22" x14ac:dyDescent="0.35">
      <c r="A2232" t="s">
        <v>4144</v>
      </c>
      <c r="B2232" t="s">
        <v>1313</v>
      </c>
      <c r="C2232">
        <v>228.4</v>
      </c>
      <c r="D2232" s="1">
        <v>44931.682083333333</v>
      </c>
      <c r="E2232" s="2">
        <f t="shared" si="136"/>
        <v>0.68208333333313931</v>
      </c>
      <c r="F2232" s="3">
        <f t="shared" si="137"/>
        <v>44931</v>
      </c>
      <c r="G2232" t="s">
        <v>17</v>
      </c>
      <c r="H2232" t="s">
        <v>296</v>
      </c>
      <c r="I2232" t="s">
        <v>943</v>
      </c>
      <c r="J2232" t="s">
        <v>3941</v>
      </c>
      <c r="K2232" t="s">
        <v>406</v>
      </c>
      <c r="L2232" t="s">
        <v>22</v>
      </c>
      <c r="M2232">
        <v>67</v>
      </c>
      <c r="N2232" t="s">
        <v>23</v>
      </c>
      <c r="O2232">
        <v>116</v>
      </c>
      <c r="P2232">
        <v>1</v>
      </c>
      <c r="Q2232">
        <v>9598.43</v>
      </c>
      <c r="R2232" s="4">
        <v>45600</v>
      </c>
      <c r="S2232" s="6">
        <v>0.34</v>
      </c>
      <c r="T2232">
        <f t="shared" si="138"/>
        <v>16</v>
      </c>
      <c r="U2232" t="str" cm="1">
        <f t="array" ref="U2232">_xlfn.IFS(M2232&lt;=34,"YOUNG",M2232&lt;=54,"MIDDLE AGE",M2232&gt;=55,"OLD")</f>
        <v>OLD</v>
      </c>
      <c r="V2232" t="str">
        <f t="shared" si="139"/>
        <v>NORMAL</v>
      </c>
    </row>
    <row r="2233" spans="1:22" x14ac:dyDescent="0.35">
      <c r="A2233" t="s">
        <v>4145</v>
      </c>
      <c r="B2233" t="s">
        <v>2707</v>
      </c>
      <c r="C2233">
        <v>67.17</v>
      </c>
      <c r="D2233" s="1">
        <v>45110.752638888887</v>
      </c>
      <c r="E2233" s="2">
        <f t="shared" si="136"/>
        <v>0.75263888888730435</v>
      </c>
      <c r="F2233" s="3">
        <f t="shared" si="137"/>
        <v>45110</v>
      </c>
      <c r="G2233" t="s">
        <v>17</v>
      </c>
      <c r="H2233" t="s">
        <v>59</v>
      </c>
      <c r="I2233" t="s">
        <v>1347</v>
      </c>
      <c r="J2233" t="s">
        <v>465</v>
      </c>
      <c r="K2233" t="s">
        <v>639</v>
      </c>
      <c r="L2233" t="s">
        <v>36</v>
      </c>
      <c r="M2233">
        <v>63</v>
      </c>
      <c r="N2233" t="s">
        <v>23</v>
      </c>
      <c r="O2233">
        <v>48</v>
      </c>
      <c r="P2233">
        <v>1</v>
      </c>
      <c r="Q2233">
        <v>14410.44</v>
      </c>
      <c r="R2233" s="4">
        <v>45600</v>
      </c>
      <c r="S2233" s="6">
        <v>0.33952546296296299</v>
      </c>
      <c r="T2233">
        <f t="shared" si="138"/>
        <v>18</v>
      </c>
      <c r="U2233" t="str" cm="1">
        <f t="array" ref="U2233">_xlfn.IFS(M2233&lt;=34,"YOUNG",M2233&lt;=54,"MIDDLE AGE",M2233&gt;=55,"OLD")</f>
        <v>OLD</v>
      </c>
      <c r="V2233" t="str">
        <f t="shared" si="139"/>
        <v>NORMAL</v>
      </c>
    </row>
    <row r="2234" spans="1:22" x14ac:dyDescent="0.35">
      <c r="A2234" t="s">
        <v>4146</v>
      </c>
      <c r="B2234" t="s">
        <v>2986</v>
      </c>
      <c r="C2234">
        <v>284.89</v>
      </c>
      <c r="D2234" s="1">
        <v>45278.745173611111</v>
      </c>
      <c r="E2234" s="2">
        <f t="shared" si="136"/>
        <v>0.74517361111065838</v>
      </c>
      <c r="F2234" s="3">
        <f t="shared" si="137"/>
        <v>45278</v>
      </c>
      <c r="G2234" t="s">
        <v>17</v>
      </c>
      <c r="H2234" t="s">
        <v>47</v>
      </c>
      <c r="I2234" t="s">
        <v>135</v>
      </c>
      <c r="J2234" t="s">
        <v>2181</v>
      </c>
      <c r="K2234" t="s">
        <v>564</v>
      </c>
      <c r="L2234" t="s">
        <v>36</v>
      </c>
      <c r="M2234">
        <v>53</v>
      </c>
      <c r="N2234" t="s">
        <v>23</v>
      </c>
      <c r="O2234">
        <v>115</v>
      </c>
      <c r="P2234">
        <v>1</v>
      </c>
      <c r="Q2234">
        <v>9738.6</v>
      </c>
      <c r="R2234" s="4">
        <v>45600</v>
      </c>
      <c r="S2234" s="6">
        <v>0.33809027777777778</v>
      </c>
      <c r="T2234">
        <f t="shared" si="138"/>
        <v>17</v>
      </c>
      <c r="U2234" t="str" cm="1">
        <f t="array" ref="U2234">_xlfn.IFS(M2234&lt;=34,"YOUNG",M2234&lt;=54,"MIDDLE AGE",M2234&gt;=55,"OLD")</f>
        <v>MIDDLE AGE</v>
      </c>
      <c r="V2234" t="str">
        <f t="shared" si="139"/>
        <v>NORMAL</v>
      </c>
    </row>
    <row r="2235" spans="1:22" x14ac:dyDescent="0.35">
      <c r="A2235" t="s">
        <v>4147</v>
      </c>
      <c r="B2235" t="s">
        <v>2102</v>
      </c>
      <c r="C2235">
        <v>118.69</v>
      </c>
      <c r="D2235" s="1">
        <v>44970.775243055556</v>
      </c>
      <c r="E2235" s="2">
        <f t="shared" si="136"/>
        <v>0.77524305555562023</v>
      </c>
      <c r="F2235" s="3">
        <f t="shared" si="137"/>
        <v>44970</v>
      </c>
      <c r="G2235" t="s">
        <v>17</v>
      </c>
      <c r="H2235" t="s">
        <v>296</v>
      </c>
      <c r="I2235" t="s">
        <v>1103</v>
      </c>
      <c r="J2235" t="s">
        <v>394</v>
      </c>
      <c r="K2235" t="s">
        <v>175</v>
      </c>
      <c r="L2235" t="s">
        <v>36</v>
      </c>
      <c r="M2235">
        <v>33</v>
      </c>
      <c r="N2235" t="s">
        <v>23</v>
      </c>
      <c r="O2235">
        <v>296</v>
      </c>
      <c r="P2235">
        <v>1</v>
      </c>
      <c r="Q2235">
        <v>749.34</v>
      </c>
      <c r="R2235" s="4">
        <v>45600</v>
      </c>
      <c r="S2235" s="6">
        <v>0.34027777777777779</v>
      </c>
      <c r="T2235">
        <f t="shared" si="138"/>
        <v>18</v>
      </c>
      <c r="U2235" t="str" cm="1">
        <f t="array" ref="U2235">_xlfn.IFS(M2235&lt;=34,"YOUNG",M2235&lt;=54,"MIDDLE AGE",M2235&gt;=55,"OLD")</f>
        <v>YOUNG</v>
      </c>
      <c r="V2235" t="str">
        <f t="shared" si="139"/>
        <v>NORMAL</v>
      </c>
    </row>
    <row r="2236" spans="1:22" x14ac:dyDescent="0.35">
      <c r="A2236" t="s">
        <v>4148</v>
      </c>
      <c r="B2236" t="s">
        <v>1796</v>
      </c>
      <c r="C2236">
        <v>221.33</v>
      </c>
      <c r="D2236" s="1">
        <v>45217.761863425927</v>
      </c>
      <c r="E2236" s="2">
        <f t="shared" si="136"/>
        <v>0.76186342592700385</v>
      </c>
      <c r="F2236" s="3">
        <f t="shared" si="137"/>
        <v>45217</v>
      </c>
      <c r="G2236" t="s">
        <v>17</v>
      </c>
      <c r="H2236" t="s">
        <v>108</v>
      </c>
      <c r="I2236" t="s">
        <v>1152</v>
      </c>
      <c r="J2236" t="s">
        <v>542</v>
      </c>
      <c r="K2236" t="s">
        <v>21</v>
      </c>
      <c r="L2236" t="s">
        <v>22</v>
      </c>
      <c r="M2236">
        <v>27</v>
      </c>
      <c r="N2236" t="s">
        <v>37</v>
      </c>
      <c r="O2236">
        <v>276</v>
      </c>
      <c r="P2236">
        <v>1</v>
      </c>
      <c r="Q2236">
        <v>1185.43</v>
      </c>
      <c r="R2236" s="4">
        <v>45600</v>
      </c>
      <c r="S2236" s="6">
        <v>0.34017361111111111</v>
      </c>
      <c r="T2236">
        <f t="shared" si="138"/>
        <v>18</v>
      </c>
      <c r="U2236" t="str" cm="1">
        <f t="array" ref="U2236">_xlfn.IFS(M2236&lt;=34,"YOUNG",M2236&lt;=54,"MIDDLE AGE",M2236&gt;=55,"OLD")</f>
        <v>YOUNG</v>
      </c>
      <c r="V2236" t="str">
        <f t="shared" si="139"/>
        <v>NORMAL</v>
      </c>
    </row>
    <row r="2237" spans="1:22" x14ac:dyDescent="0.35">
      <c r="A2237" t="s">
        <v>4149</v>
      </c>
      <c r="B2237" t="s">
        <v>1858</v>
      </c>
      <c r="C2237">
        <v>252.31</v>
      </c>
      <c r="D2237" s="1">
        <v>45014.673993055556</v>
      </c>
      <c r="E2237" s="2">
        <f t="shared" si="136"/>
        <v>0.67399305555591127</v>
      </c>
      <c r="F2237" s="3">
        <f t="shared" si="137"/>
        <v>45014</v>
      </c>
      <c r="G2237" t="s">
        <v>46</v>
      </c>
      <c r="H2237" t="s">
        <v>59</v>
      </c>
      <c r="I2237" t="s">
        <v>990</v>
      </c>
      <c r="J2237" t="s">
        <v>2273</v>
      </c>
      <c r="K2237" t="s">
        <v>980</v>
      </c>
      <c r="L2237" t="s">
        <v>22</v>
      </c>
      <c r="M2237">
        <v>26</v>
      </c>
      <c r="N2237" t="s">
        <v>37</v>
      </c>
      <c r="O2237">
        <v>172</v>
      </c>
      <c r="P2237">
        <v>1</v>
      </c>
      <c r="Q2237">
        <v>1584.6</v>
      </c>
      <c r="R2237" s="4">
        <v>45600</v>
      </c>
      <c r="S2237" s="6">
        <v>0.34174768518518517</v>
      </c>
      <c r="T2237">
        <f t="shared" si="138"/>
        <v>16</v>
      </c>
      <c r="U2237" t="str" cm="1">
        <f t="array" ref="U2237">_xlfn.IFS(M2237&lt;=34,"YOUNG",M2237&lt;=54,"MIDDLE AGE",M2237&gt;=55,"OLD")</f>
        <v>YOUNG</v>
      </c>
      <c r="V2237" t="str">
        <f t="shared" si="139"/>
        <v>NORMAL</v>
      </c>
    </row>
    <row r="2238" spans="1:22" x14ac:dyDescent="0.35">
      <c r="A2238" t="s">
        <v>4150</v>
      </c>
      <c r="B2238" t="s">
        <v>795</v>
      </c>
      <c r="C2238">
        <v>58.85</v>
      </c>
      <c r="D2238" s="1">
        <v>45061.719039351854</v>
      </c>
      <c r="E2238" s="2">
        <f t="shared" si="136"/>
        <v>0.71903935185400769</v>
      </c>
      <c r="F2238" s="3">
        <f t="shared" si="137"/>
        <v>45061</v>
      </c>
      <c r="G2238" t="s">
        <v>46</v>
      </c>
      <c r="H2238" t="s">
        <v>178</v>
      </c>
      <c r="I2238" t="s">
        <v>914</v>
      </c>
      <c r="J2238" t="s">
        <v>116</v>
      </c>
      <c r="K2238" t="s">
        <v>576</v>
      </c>
      <c r="L2238" t="s">
        <v>36</v>
      </c>
      <c r="M2238">
        <v>71</v>
      </c>
      <c r="N2238" t="s">
        <v>70</v>
      </c>
      <c r="O2238">
        <v>115</v>
      </c>
      <c r="P2238">
        <v>1</v>
      </c>
      <c r="Q2238">
        <v>1789.8</v>
      </c>
      <c r="R2238" s="4">
        <v>45600</v>
      </c>
      <c r="S2238" s="6">
        <v>0.33789351851851851</v>
      </c>
      <c r="T2238">
        <f t="shared" si="138"/>
        <v>17</v>
      </c>
      <c r="U2238" t="str" cm="1">
        <f t="array" ref="U2238">_xlfn.IFS(M2238&lt;=34,"YOUNG",M2238&lt;=54,"MIDDLE AGE",M2238&gt;=55,"OLD")</f>
        <v>OLD</v>
      </c>
      <c r="V2238" t="str">
        <f t="shared" si="139"/>
        <v>NORMAL</v>
      </c>
    </row>
    <row r="2239" spans="1:22" x14ac:dyDescent="0.35">
      <c r="A2239" t="s">
        <v>4151</v>
      </c>
      <c r="B2239" t="s">
        <v>725</v>
      </c>
      <c r="C2239">
        <v>194.68</v>
      </c>
      <c r="D2239" s="1">
        <v>45040.689444444448</v>
      </c>
      <c r="E2239" s="2">
        <f t="shared" si="136"/>
        <v>0.68944444444787223</v>
      </c>
      <c r="F2239" s="3">
        <f t="shared" si="137"/>
        <v>45040</v>
      </c>
      <c r="G2239" t="s">
        <v>17</v>
      </c>
      <c r="H2239" t="s">
        <v>92</v>
      </c>
      <c r="I2239" t="s">
        <v>468</v>
      </c>
      <c r="J2239" t="s">
        <v>863</v>
      </c>
      <c r="K2239" t="s">
        <v>43</v>
      </c>
      <c r="L2239" t="s">
        <v>36</v>
      </c>
      <c r="M2239">
        <v>32</v>
      </c>
      <c r="N2239" t="s">
        <v>23</v>
      </c>
      <c r="O2239">
        <v>165</v>
      </c>
      <c r="P2239">
        <v>1</v>
      </c>
      <c r="Q2239">
        <v>14494.18</v>
      </c>
      <c r="R2239" s="4">
        <v>45600</v>
      </c>
      <c r="S2239" s="6">
        <v>0.34159722222222222</v>
      </c>
      <c r="T2239">
        <f t="shared" si="138"/>
        <v>16</v>
      </c>
      <c r="U2239" t="str" cm="1">
        <f t="array" ref="U2239">_xlfn.IFS(M2239&lt;=34,"YOUNG",M2239&lt;=54,"MIDDLE AGE",M2239&gt;=55,"OLD")</f>
        <v>YOUNG</v>
      </c>
      <c r="V2239" t="str">
        <f t="shared" si="139"/>
        <v>NORMAL</v>
      </c>
    </row>
    <row r="2240" spans="1:22" x14ac:dyDescent="0.35">
      <c r="A2240" t="s">
        <v>4152</v>
      </c>
      <c r="B2240" t="s">
        <v>1422</v>
      </c>
      <c r="C2240">
        <v>433.53</v>
      </c>
      <c r="D2240" s="1">
        <v>45218.713159722225</v>
      </c>
      <c r="E2240" s="2">
        <f t="shared" si="136"/>
        <v>0.71315972222510027</v>
      </c>
      <c r="F2240" s="3">
        <f t="shared" si="137"/>
        <v>45218</v>
      </c>
      <c r="G2240" t="s">
        <v>17</v>
      </c>
      <c r="H2240" t="s">
        <v>243</v>
      </c>
      <c r="I2240" t="s">
        <v>1453</v>
      </c>
      <c r="J2240" t="s">
        <v>1819</v>
      </c>
      <c r="K2240" t="s">
        <v>634</v>
      </c>
      <c r="L2240" t="s">
        <v>69</v>
      </c>
      <c r="M2240">
        <v>38</v>
      </c>
      <c r="N2240" t="s">
        <v>23</v>
      </c>
      <c r="O2240">
        <v>231</v>
      </c>
      <c r="P2240">
        <v>1</v>
      </c>
      <c r="Q2240">
        <v>6368.32</v>
      </c>
      <c r="R2240" s="4">
        <v>45600</v>
      </c>
      <c r="S2240" s="6">
        <v>0.33967592592592594</v>
      </c>
      <c r="T2240">
        <f t="shared" si="138"/>
        <v>17</v>
      </c>
      <c r="U2240" t="str" cm="1">
        <f t="array" ref="U2240">_xlfn.IFS(M2240&lt;=34,"YOUNG",M2240&lt;=54,"MIDDLE AGE",M2240&gt;=55,"OLD")</f>
        <v>MIDDLE AGE</v>
      </c>
      <c r="V2240" t="str">
        <f t="shared" si="139"/>
        <v>NORMAL</v>
      </c>
    </row>
    <row r="2241" spans="1:22" x14ac:dyDescent="0.35">
      <c r="A2241" t="s">
        <v>4153</v>
      </c>
      <c r="B2241" t="s">
        <v>771</v>
      </c>
      <c r="C2241">
        <v>178.26</v>
      </c>
      <c r="D2241" s="1">
        <v>45215.705543981479</v>
      </c>
      <c r="E2241" s="2">
        <f t="shared" si="136"/>
        <v>0.70554398147942265</v>
      </c>
      <c r="F2241" s="3">
        <f t="shared" si="137"/>
        <v>45215</v>
      </c>
      <c r="G2241" t="s">
        <v>17</v>
      </c>
      <c r="H2241" t="s">
        <v>53</v>
      </c>
      <c r="I2241" t="s">
        <v>3454</v>
      </c>
      <c r="J2241" t="s">
        <v>4154</v>
      </c>
      <c r="K2241" t="s">
        <v>362</v>
      </c>
      <c r="L2241" t="s">
        <v>22</v>
      </c>
      <c r="M2241">
        <v>59</v>
      </c>
      <c r="N2241" t="s">
        <v>70</v>
      </c>
      <c r="O2241">
        <v>59</v>
      </c>
      <c r="P2241">
        <v>1</v>
      </c>
      <c r="Q2241">
        <v>1137.1300000000001</v>
      </c>
      <c r="R2241" s="4">
        <v>45600</v>
      </c>
      <c r="S2241" s="6">
        <v>0.33947916666666667</v>
      </c>
      <c r="T2241">
        <f t="shared" si="138"/>
        <v>16</v>
      </c>
      <c r="U2241" t="str" cm="1">
        <f t="array" ref="U2241">_xlfn.IFS(M2241&lt;=34,"YOUNG",M2241&lt;=54,"MIDDLE AGE",M2241&gt;=55,"OLD")</f>
        <v>OLD</v>
      </c>
      <c r="V2241" t="str">
        <f t="shared" si="139"/>
        <v>NORMAL</v>
      </c>
    </row>
    <row r="2242" spans="1:22" x14ac:dyDescent="0.35">
      <c r="A2242" t="s">
        <v>4155</v>
      </c>
      <c r="B2242" t="s">
        <v>3154</v>
      </c>
      <c r="C2242">
        <v>207.65</v>
      </c>
      <c r="D2242" s="1">
        <v>45180.703020833331</v>
      </c>
      <c r="E2242" s="2">
        <f t="shared" ref="E2242:E2305" si="140">D2242-INT(D2242)</f>
        <v>0.703020833330811</v>
      </c>
      <c r="F2242" s="3">
        <f t="shared" ref="F2242:F2305" si="141">INT(D2242)</f>
        <v>45180</v>
      </c>
      <c r="G2242" t="s">
        <v>17</v>
      </c>
      <c r="H2242" t="s">
        <v>212</v>
      </c>
      <c r="I2242" t="s">
        <v>1207</v>
      </c>
      <c r="J2242" t="s">
        <v>185</v>
      </c>
      <c r="K2242" t="s">
        <v>386</v>
      </c>
      <c r="L2242" t="s">
        <v>36</v>
      </c>
      <c r="M2242">
        <v>34</v>
      </c>
      <c r="N2242" t="s">
        <v>77</v>
      </c>
      <c r="O2242">
        <v>98</v>
      </c>
      <c r="P2242">
        <v>1</v>
      </c>
      <c r="Q2242">
        <v>5143.8</v>
      </c>
      <c r="R2242" s="4">
        <v>45600</v>
      </c>
      <c r="S2242" s="6">
        <v>0.33991898148148147</v>
      </c>
      <c r="T2242">
        <f t="shared" si="138"/>
        <v>16</v>
      </c>
      <c r="U2242" t="str" cm="1">
        <f t="array" ref="U2242">_xlfn.IFS(M2242&lt;=34,"YOUNG",M2242&lt;=54,"MIDDLE AGE",M2242&gt;=55,"OLD")</f>
        <v>YOUNG</v>
      </c>
      <c r="V2242" t="str">
        <f t="shared" si="139"/>
        <v>NORMAL</v>
      </c>
    </row>
    <row r="2243" spans="1:22" x14ac:dyDescent="0.35">
      <c r="A2243" t="s">
        <v>4156</v>
      </c>
      <c r="B2243" t="s">
        <v>1452</v>
      </c>
      <c r="C2243">
        <v>237</v>
      </c>
      <c r="D2243" s="1">
        <v>44967.701504629629</v>
      </c>
      <c r="E2243" s="2">
        <f t="shared" si="140"/>
        <v>0.70150462962919846</v>
      </c>
      <c r="F2243" s="3">
        <f t="shared" si="141"/>
        <v>44967</v>
      </c>
      <c r="G2243" t="s">
        <v>17</v>
      </c>
      <c r="H2243" t="s">
        <v>255</v>
      </c>
      <c r="I2243" t="s">
        <v>1406</v>
      </c>
      <c r="J2243" t="s">
        <v>4157</v>
      </c>
      <c r="K2243" t="s">
        <v>592</v>
      </c>
      <c r="L2243" t="s">
        <v>36</v>
      </c>
      <c r="M2243">
        <v>49</v>
      </c>
      <c r="N2243" t="s">
        <v>23</v>
      </c>
      <c r="O2243">
        <v>115</v>
      </c>
      <c r="P2243">
        <v>1</v>
      </c>
      <c r="Q2243">
        <v>14021.4</v>
      </c>
      <c r="R2243" s="4">
        <v>45600</v>
      </c>
      <c r="S2243" s="6">
        <v>0.33903935185185186</v>
      </c>
      <c r="T2243">
        <f t="shared" ref="T2243:T2306" si="142">HOUR(E2243)</f>
        <v>16</v>
      </c>
      <c r="U2243" t="str" cm="1">
        <f t="array" ref="U2243">_xlfn.IFS(M2243&lt;=34,"YOUNG",M2243&lt;=54,"MIDDLE AGE",M2243&gt;=55,"OLD")</f>
        <v>MIDDLE AGE</v>
      </c>
      <c r="V2243" t="str">
        <f t="shared" ref="V2243:V2306" si="143">IF(P2243&gt;1,"HIGH","NORMAL")</f>
        <v>NORMAL</v>
      </c>
    </row>
    <row r="2244" spans="1:22" x14ac:dyDescent="0.35">
      <c r="A2244" t="s">
        <v>4158</v>
      </c>
      <c r="B2244" t="s">
        <v>3905</v>
      </c>
      <c r="C2244">
        <v>1169.5899999999999</v>
      </c>
      <c r="D2244" s="1">
        <v>45285.716909722221</v>
      </c>
      <c r="E2244" s="2">
        <f t="shared" si="140"/>
        <v>0.71690972222131677</v>
      </c>
      <c r="F2244" s="3">
        <f t="shared" si="141"/>
        <v>45285</v>
      </c>
      <c r="G2244" t="s">
        <v>17</v>
      </c>
      <c r="H2244" t="s">
        <v>203</v>
      </c>
      <c r="I2244" t="s">
        <v>1115</v>
      </c>
      <c r="J2244" t="s">
        <v>1641</v>
      </c>
      <c r="K2244" t="s">
        <v>652</v>
      </c>
      <c r="L2244" t="s">
        <v>36</v>
      </c>
      <c r="M2244">
        <v>28</v>
      </c>
      <c r="N2244" t="s">
        <v>37</v>
      </c>
      <c r="O2244">
        <v>114</v>
      </c>
      <c r="P2244">
        <v>1</v>
      </c>
      <c r="Q2244">
        <v>5946.45</v>
      </c>
      <c r="R2244" s="4">
        <v>45600</v>
      </c>
      <c r="S2244" s="6">
        <v>0.34135416666666668</v>
      </c>
      <c r="T2244">
        <f t="shared" si="142"/>
        <v>17</v>
      </c>
      <c r="U2244" t="str" cm="1">
        <f t="array" ref="U2244">_xlfn.IFS(M2244&lt;=34,"YOUNG",M2244&lt;=54,"MIDDLE AGE",M2244&gt;=55,"OLD")</f>
        <v>YOUNG</v>
      </c>
      <c r="V2244" t="str">
        <f t="shared" si="143"/>
        <v>NORMAL</v>
      </c>
    </row>
    <row r="2245" spans="1:22" x14ac:dyDescent="0.35">
      <c r="A2245" t="s">
        <v>4159</v>
      </c>
      <c r="B2245" t="s">
        <v>1004</v>
      </c>
      <c r="C2245">
        <v>347.63</v>
      </c>
      <c r="D2245" s="1">
        <v>45273.695289351854</v>
      </c>
      <c r="E2245" s="2">
        <f t="shared" si="140"/>
        <v>0.69528935185371665</v>
      </c>
      <c r="F2245" s="3">
        <f t="shared" si="141"/>
        <v>45273</v>
      </c>
      <c r="G2245" t="s">
        <v>46</v>
      </c>
      <c r="H2245" t="s">
        <v>265</v>
      </c>
      <c r="I2245" t="s">
        <v>413</v>
      </c>
      <c r="J2245" t="s">
        <v>1819</v>
      </c>
      <c r="K2245" t="s">
        <v>105</v>
      </c>
      <c r="L2245" t="s">
        <v>36</v>
      </c>
      <c r="M2245">
        <v>25</v>
      </c>
      <c r="N2245" t="s">
        <v>37</v>
      </c>
      <c r="O2245">
        <v>272</v>
      </c>
      <c r="P2245">
        <v>1</v>
      </c>
      <c r="Q2245">
        <v>1400.04</v>
      </c>
      <c r="R2245" s="4">
        <v>45600</v>
      </c>
      <c r="S2245" s="6">
        <v>0.33934027777777775</v>
      </c>
      <c r="T2245">
        <f t="shared" si="142"/>
        <v>16</v>
      </c>
      <c r="U2245" t="str" cm="1">
        <f t="array" ref="U2245">_xlfn.IFS(M2245&lt;=34,"YOUNG",M2245&lt;=54,"MIDDLE AGE",M2245&gt;=55,"OLD")</f>
        <v>YOUNG</v>
      </c>
      <c r="V2245" t="str">
        <f t="shared" si="143"/>
        <v>NORMAL</v>
      </c>
    </row>
    <row r="2246" spans="1:22" x14ac:dyDescent="0.35">
      <c r="A2246" t="s">
        <v>4160</v>
      </c>
      <c r="B2246" t="s">
        <v>625</v>
      </c>
      <c r="C2246">
        <v>517.67999999999995</v>
      </c>
      <c r="D2246" s="1">
        <v>45021.744722222225</v>
      </c>
      <c r="E2246" s="2">
        <f t="shared" si="140"/>
        <v>0.74472222222539131</v>
      </c>
      <c r="F2246" s="3">
        <f t="shared" si="141"/>
        <v>45021</v>
      </c>
      <c r="G2246" t="s">
        <v>17</v>
      </c>
      <c r="H2246" t="s">
        <v>296</v>
      </c>
      <c r="I2246" t="s">
        <v>726</v>
      </c>
      <c r="J2246" t="s">
        <v>217</v>
      </c>
      <c r="K2246" t="s">
        <v>386</v>
      </c>
      <c r="L2246" t="s">
        <v>22</v>
      </c>
      <c r="M2246">
        <v>31</v>
      </c>
      <c r="N2246" t="s">
        <v>23</v>
      </c>
      <c r="O2246">
        <v>24</v>
      </c>
      <c r="P2246">
        <v>1</v>
      </c>
      <c r="Q2246">
        <v>11305.81</v>
      </c>
      <c r="R2246" s="4">
        <v>45600</v>
      </c>
      <c r="S2246" s="6">
        <v>0.33895833333333331</v>
      </c>
      <c r="T2246">
        <f t="shared" si="142"/>
        <v>17</v>
      </c>
      <c r="U2246" t="str" cm="1">
        <f t="array" ref="U2246">_xlfn.IFS(M2246&lt;=34,"YOUNG",M2246&lt;=54,"MIDDLE AGE",M2246&gt;=55,"OLD")</f>
        <v>YOUNG</v>
      </c>
      <c r="V2246" t="str">
        <f t="shared" si="143"/>
        <v>NORMAL</v>
      </c>
    </row>
    <row r="2247" spans="1:22" x14ac:dyDescent="0.35">
      <c r="A2247" t="s">
        <v>4161</v>
      </c>
      <c r="B2247" t="s">
        <v>1391</v>
      </c>
      <c r="C2247">
        <v>36.25</v>
      </c>
      <c r="D2247" s="1">
        <v>45257.770104166666</v>
      </c>
      <c r="E2247" s="2">
        <f t="shared" si="140"/>
        <v>0.77010416666598758</v>
      </c>
      <c r="F2247" s="3">
        <f t="shared" si="141"/>
        <v>45257</v>
      </c>
      <c r="G2247" t="s">
        <v>17</v>
      </c>
      <c r="H2247" t="s">
        <v>255</v>
      </c>
      <c r="I2247" t="s">
        <v>280</v>
      </c>
      <c r="J2247" t="s">
        <v>937</v>
      </c>
      <c r="K2247" t="s">
        <v>128</v>
      </c>
      <c r="L2247" t="s">
        <v>69</v>
      </c>
      <c r="M2247">
        <v>52</v>
      </c>
      <c r="N2247" t="s">
        <v>23</v>
      </c>
      <c r="O2247">
        <v>76</v>
      </c>
      <c r="P2247">
        <v>1</v>
      </c>
      <c r="Q2247">
        <v>193.06</v>
      </c>
      <c r="R2247" s="4">
        <v>45600</v>
      </c>
      <c r="S2247" s="6">
        <v>0.34038194444444442</v>
      </c>
      <c r="T2247">
        <f t="shared" si="142"/>
        <v>18</v>
      </c>
      <c r="U2247" t="str" cm="1">
        <f t="array" ref="U2247">_xlfn.IFS(M2247&lt;=34,"YOUNG",M2247&lt;=54,"MIDDLE AGE",M2247&gt;=55,"OLD")</f>
        <v>MIDDLE AGE</v>
      </c>
      <c r="V2247" t="str">
        <f t="shared" si="143"/>
        <v>NORMAL</v>
      </c>
    </row>
    <row r="2248" spans="1:22" x14ac:dyDescent="0.35">
      <c r="A2248" t="s">
        <v>4162</v>
      </c>
      <c r="B2248" t="s">
        <v>1125</v>
      </c>
      <c r="C2248">
        <v>46.53</v>
      </c>
      <c r="D2248" s="1">
        <v>45099.727662037039</v>
      </c>
      <c r="E2248" s="2">
        <f t="shared" si="140"/>
        <v>0.72766203703940846</v>
      </c>
      <c r="F2248" s="3">
        <f t="shared" si="141"/>
        <v>45099</v>
      </c>
      <c r="G2248" t="s">
        <v>17</v>
      </c>
      <c r="H2248" t="s">
        <v>212</v>
      </c>
      <c r="I2248" t="s">
        <v>1441</v>
      </c>
      <c r="J2248" t="s">
        <v>205</v>
      </c>
      <c r="K2248" t="s">
        <v>984</v>
      </c>
      <c r="L2248" t="s">
        <v>22</v>
      </c>
      <c r="M2248">
        <v>42</v>
      </c>
      <c r="N2248" t="s">
        <v>77</v>
      </c>
      <c r="O2248">
        <v>34</v>
      </c>
      <c r="P2248">
        <v>1</v>
      </c>
      <c r="Q2248">
        <v>4468.12</v>
      </c>
      <c r="R2248" s="4">
        <v>45600</v>
      </c>
      <c r="S2248" s="6">
        <v>0.3384490740740741</v>
      </c>
      <c r="T2248">
        <f t="shared" si="142"/>
        <v>17</v>
      </c>
      <c r="U2248" t="str" cm="1">
        <f t="array" ref="U2248">_xlfn.IFS(M2248&lt;=34,"YOUNG",M2248&lt;=54,"MIDDLE AGE",M2248&gt;=55,"OLD")</f>
        <v>MIDDLE AGE</v>
      </c>
      <c r="V2248" t="str">
        <f t="shared" si="143"/>
        <v>NORMAL</v>
      </c>
    </row>
    <row r="2249" spans="1:22" x14ac:dyDescent="0.35">
      <c r="A2249" t="s">
        <v>4163</v>
      </c>
      <c r="B2249" t="s">
        <v>3702</v>
      </c>
      <c r="C2249">
        <v>207.47</v>
      </c>
      <c r="D2249" s="1">
        <v>45201.789803240739</v>
      </c>
      <c r="E2249" s="2">
        <f t="shared" si="140"/>
        <v>0.78980324073927477</v>
      </c>
      <c r="F2249" s="3">
        <f t="shared" si="141"/>
        <v>45201</v>
      </c>
      <c r="G2249" t="s">
        <v>17</v>
      </c>
      <c r="H2249" t="s">
        <v>172</v>
      </c>
      <c r="I2249" t="s">
        <v>1937</v>
      </c>
      <c r="J2249" t="s">
        <v>623</v>
      </c>
      <c r="K2249" t="s">
        <v>414</v>
      </c>
      <c r="L2249" t="s">
        <v>22</v>
      </c>
      <c r="M2249">
        <v>53</v>
      </c>
      <c r="N2249" t="s">
        <v>23</v>
      </c>
      <c r="O2249">
        <v>12</v>
      </c>
      <c r="P2249">
        <v>1</v>
      </c>
      <c r="Q2249">
        <v>1688.9</v>
      </c>
      <c r="R2249" s="4">
        <v>45600</v>
      </c>
      <c r="S2249" s="6">
        <v>0.3382060185185185</v>
      </c>
      <c r="T2249">
        <f t="shared" si="142"/>
        <v>18</v>
      </c>
      <c r="U2249" t="str" cm="1">
        <f t="array" ref="U2249">_xlfn.IFS(M2249&lt;=34,"YOUNG",M2249&lt;=54,"MIDDLE AGE",M2249&gt;=55,"OLD")</f>
        <v>MIDDLE AGE</v>
      </c>
      <c r="V2249" t="str">
        <f t="shared" si="143"/>
        <v>NORMAL</v>
      </c>
    </row>
    <row r="2250" spans="1:22" x14ac:dyDescent="0.35">
      <c r="A2250" t="s">
        <v>4164</v>
      </c>
      <c r="B2250" t="s">
        <v>1870</v>
      </c>
      <c r="C2250">
        <v>199.7</v>
      </c>
      <c r="D2250" s="1">
        <v>45019.779131944444</v>
      </c>
      <c r="E2250" s="2">
        <f t="shared" si="140"/>
        <v>0.77913194444408873</v>
      </c>
      <c r="F2250" s="3">
        <f t="shared" si="141"/>
        <v>45019</v>
      </c>
      <c r="G2250" t="s">
        <v>17</v>
      </c>
      <c r="H2250" t="s">
        <v>65</v>
      </c>
      <c r="I2250" t="s">
        <v>2944</v>
      </c>
      <c r="J2250" t="s">
        <v>3111</v>
      </c>
      <c r="K2250" t="s">
        <v>820</v>
      </c>
      <c r="L2250" t="s">
        <v>22</v>
      </c>
      <c r="M2250">
        <v>43</v>
      </c>
      <c r="N2250" t="s">
        <v>77</v>
      </c>
      <c r="O2250">
        <v>285</v>
      </c>
      <c r="P2250">
        <v>1</v>
      </c>
      <c r="Q2250">
        <v>7574.45</v>
      </c>
      <c r="R2250" s="4">
        <v>45600</v>
      </c>
      <c r="S2250" s="6">
        <v>0.33956018518518516</v>
      </c>
      <c r="T2250">
        <f t="shared" si="142"/>
        <v>18</v>
      </c>
      <c r="U2250" t="str" cm="1">
        <f t="array" ref="U2250">_xlfn.IFS(M2250&lt;=34,"YOUNG",M2250&lt;=54,"MIDDLE AGE",M2250&gt;=55,"OLD")</f>
        <v>MIDDLE AGE</v>
      </c>
      <c r="V2250" t="str">
        <f t="shared" si="143"/>
        <v>NORMAL</v>
      </c>
    </row>
    <row r="2251" spans="1:22" x14ac:dyDescent="0.35">
      <c r="A2251" t="s">
        <v>4165</v>
      </c>
      <c r="B2251" t="s">
        <v>1169</v>
      </c>
      <c r="C2251">
        <v>307.89</v>
      </c>
      <c r="D2251" s="1">
        <v>45117.690775462965</v>
      </c>
      <c r="E2251" s="2">
        <f t="shared" si="140"/>
        <v>0.69077546296466608</v>
      </c>
      <c r="F2251" s="3">
        <f t="shared" si="141"/>
        <v>45117</v>
      </c>
      <c r="G2251" t="s">
        <v>46</v>
      </c>
      <c r="H2251" t="s">
        <v>80</v>
      </c>
      <c r="I2251" t="s">
        <v>3692</v>
      </c>
      <c r="J2251" t="s">
        <v>2614</v>
      </c>
      <c r="K2251" t="s">
        <v>418</v>
      </c>
      <c r="L2251" t="s">
        <v>36</v>
      </c>
      <c r="M2251">
        <v>62</v>
      </c>
      <c r="N2251" t="s">
        <v>70</v>
      </c>
      <c r="O2251">
        <v>90</v>
      </c>
      <c r="P2251">
        <v>1</v>
      </c>
      <c r="Q2251">
        <v>2637.55</v>
      </c>
      <c r="R2251" s="4">
        <v>45600</v>
      </c>
      <c r="S2251" s="6">
        <v>0.34136574074074072</v>
      </c>
      <c r="T2251">
        <f t="shared" si="142"/>
        <v>16</v>
      </c>
      <c r="U2251" t="str" cm="1">
        <f t="array" ref="U2251">_xlfn.IFS(M2251&lt;=34,"YOUNG",M2251&lt;=54,"MIDDLE AGE",M2251&gt;=55,"OLD")</f>
        <v>OLD</v>
      </c>
      <c r="V2251" t="str">
        <f t="shared" si="143"/>
        <v>NORMAL</v>
      </c>
    </row>
    <row r="2252" spans="1:22" x14ac:dyDescent="0.35">
      <c r="A2252" t="s">
        <v>4166</v>
      </c>
      <c r="B2252" t="s">
        <v>350</v>
      </c>
      <c r="C2252">
        <v>403.63</v>
      </c>
      <c r="D2252" s="1">
        <v>45085.705740740741</v>
      </c>
      <c r="E2252" s="2">
        <f t="shared" si="140"/>
        <v>0.705740740741021</v>
      </c>
      <c r="F2252" s="3">
        <f t="shared" si="141"/>
        <v>45085</v>
      </c>
      <c r="G2252" t="s">
        <v>17</v>
      </c>
      <c r="H2252" t="s">
        <v>146</v>
      </c>
      <c r="I2252" t="s">
        <v>1453</v>
      </c>
      <c r="J2252" t="s">
        <v>2383</v>
      </c>
      <c r="K2252" t="s">
        <v>564</v>
      </c>
      <c r="L2252" t="s">
        <v>69</v>
      </c>
      <c r="M2252">
        <v>31</v>
      </c>
      <c r="N2252" t="s">
        <v>77</v>
      </c>
      <c r="O2252">
        <v>167</v>
      </c>
      <c r="P2252">
        <v>3</v>
      </c>
      <c r="Q2252">
        <v>3304.02</v>
      </c>
      <c r="R2252" s="4">
        <v>45600</v>
      </c>
      <c r="S2252" s="6">
        <v>0.33886574074074072</v>
      </c>
      <c r="T2252">
        <f t="shared" si="142"/>
        <v>16</v>
      </c>
      <c r="U2252" t="str" cm="1">
        <f t="array" ref="U2252">_xlfn.IFS(M2252&lt;=34,"YOUNG",M2252&lt;=54,"MIDDLE AGE",M2252&gt;=55,"OLD")</f>
        <v>YOUNG</v>
      </c>
      <c r="V2252" t="str">
        <f t="shared" si="143"/>
        <v>HIGH</v>
      </c>
    </row>
    <row r="2253" spans="1:22" x14ac:dyDescent="0.35">
      <c r="A2253" t="s">
        <v>4167</v>
      </c>
      <c r="B2253" t="s">
        <v>124</v>
      </c>
      <c r="C2253">
        <v>20.059999999999999</v>
      </c>
      <c r="D2253" s="1">
        <v>45035.695451388892</v>
      </c>
      <c r="E2253" s="2">
        <f t="shared" si="140"/>
        <v>0.695451388892252</v>
      </c>
      <c r="F2253" s="3">
        <f t="shared" si="141"/>
        <v>45035</v>
      </c>
      <c r="G2253" t="s">
        <v>17</v>
      </c>
      <c r="H2253" t="s">
        <v>92</v>
      </c>
      <c r="I2253" t="s">
        <v>2032</v>
      </c>
      <c r="J2253" t="s">
        <v>3494</v>
      </c>
      <c r="K2253" t="s">
        <v>111</v>
      </c>
      <c r="L2253" t="s">
        <v>22</v>
      </c>
      <c r="M2253">
        <v>27</v>
      </c>
      <c r="N2253" t="s">
        <v>37</v>
      </c>
      <c r="O2253">
        <v>144</v>
      </c>
      <c r="P2253">
        <v>1</v>
      </c>
      <c r="Q2253">
        <v>445.21</v>
      </c>
      <c r="R2253" s="4">
        <v>45600</v>
      </c>
      <c r="S2253" s="6">
        <v>0.34028935185185183</v>
      </c>
      <c r="T2253">
        <f t="shared" si="142"/>
        <v>16</v>
      </c>
      <c r="U2253" t="str" cm="1">
        <f t="array" ref="U2253">_xlfn.IFS(M2253&lt;=34,"YOUNG",M2253&lt;=54,"MIDDLE AGE",M2253&gt;=55,"OLD")</f>
        <v>YOUNG</v>
      </c>
      <c r="V2253" t="str">
        <f t="shared" si="143"/>
        <v>NORMAL</v>
      </c>
    </row>
    <row r="2254" spans="1:22" x14ac:dyDescent="0.35">
      <c r="A2254" t="s">
        <v>4168</v>
      </c>
      <c r="B2254" t="s">
        <v>228</v>
      </c>
      <c r="C2254">
        <v>236.57</v>
      </c>
      <c r="D2254" s="1">
        <v>45170.744143518517</v>
      </c>
      <c r="E2254" s="2">
        <f t="shared" si="140"/>
        <v>0.74414351851737592</v>
      </c>
      <c r="F2254" s="3">
        <f t="shared" si="141"/>
        <v>45170</v>
      </c>
      <c r="G2254" t="s">
        <v>17</v>
      </c>
      <c r="H2254" t="s">
        <v>285</v>
      </c>
      <c r="I2254" t="s">
        <v>3938</v>
      </c>
      <c r="J2254" t="s">
        <v>257</v>
      </c>
      <c r="K2254" t="s">
        <v>282</v>
      </c>
      <c r="L2254" t="s">
        <v>22</v>
      </c>
      <c r="M2254">
        <v>79</v>
      </c>
      <c r="N2254" t="s">
        <v>70</v>
      </c>
      <c r="O2254">
        <v>112</v>
      </c>
      <c r="P2254">
        <v>1</v>
      </c>
      <c r="Q2254">
        <v>3488.77</v>
      </c>
      <c r="R2254" s="4">
        <v>45600</v>
      </c>
      <c r="S2254" s="6">
        <v>0.33785879629629628</v>
      </c>
      <c r="T2254">
        <f t="shared" si="142"/>
        <v>17</v>
      </c>
      <c r="U2254" t="str" cm="1">
        <f t="array" ref="U2254">_xlfn.IFS(M2254&lt;=34,"YOUNG",M2254&lt;=54,"MIDDLE AGE",M2254&gt;=55,"OLD")</f>
        <v>OLD</v>
      </c>
      <c r="V2254" t="str">
        <f t="shared" si="143"/>
        <v>NORMAL</v>
      </c>
    </row>
    <row r="2255" spans="1:22" x14ac:dyDescent="0.35">
      <c r="A2255" t="s">
        <v>4169</v>
      </c>
      <c r="B2255" t="s">
        <v>429</v>
      </c>
      <c r="C2255">
        <v>0.32</v>
      </c>
      <c r="D2255" s="1">
        <v>45142.739305555559</v>
      </c>
      <c r="E2255" s="2">
        <f t="shared" si="140"/>
        <v>0.73930555555853061</v>
      </c>
      <c r="F2255" s="3">
        <f t="shared" si="141"/>
        <v>45142</v>
      </c>
      <c r="G2255" t="s">
        <v>17</v>
      </c>
      <c r="H2255" t="s">
        <v>388</v>
      </c>
      <c r="I2255" t="s">
        <v>865</v>
      </c>
      <c r="J2255" t="s">
        <v>257</v>
      </c>
      <c r="K2255" t="s">
        <v>450</v>
      </c>
      <c r="L2255" t="s">
        <v>22</v>
      </c>
      <c r="M2255">
        <v>39</v>
      </c>
      <c r="N2255" t="s">
        <v>77</v>
      </c>
      <c r="O2255">
        <v>136</v>
      </c>
      <c r="P2255">
        <v>1</v>
      </c>
      <c r="Q2255">
        <v>7158.58</v>
      </c>
      <c r="R2255" s="4">
        <v>45600</v>
      </c>
      <c r="S2255" s="6">
        <v>0.34024305555555556</v>
      </c>
      <c r="T2255">
        <f t="shared" si="142"/>
        <v>17</v>
      </c>
      <c r="U2255" t="str" cm="1">
        <f t="array" ref="U2255">_xlfn.IFS(M2255&lt;=34,"YOUNG",M2255&lt;=54,"MIDDLE AGE",M2255&gt;=55,"OLD")</f>
        <v>MIDDLE AGE</v>
      </c>
      <c r="V2255" t="str">
        <f t="shared" si="143"/>
        <v>NORMAL</v>
      </c>
    </row>
    <row r="2256" spans="1:22" x14ac:dyDescent="0.35">
      <c r="A2256" t="s">
        <v>4170</v>
      </c>
      <c r="B2256" t="s">
        <v>107</v>
      </c>
      <c r="C2256">
        <v>14.28</v>
      </c>
      <c r="D2256" s="1">
        <v>45184.710925925923</v>
      </c>
      <c r="E2256" s="2">
        <f t="shared" si="140"/>
        <v>0.71092592592322035</v>
      </c>
      <c r="F2256" s="3">
        <f t="shared" si="141"/>
        <v>45184</v>
      </c>
      <c r="G2256" t="s">
        <v>17</v>
      </c>
      <c r="H2256" t="s">
        <v>425</v>
      </c>
      <c r="I2256" t="s">
        <v>2413</v>
      </c>
      <c r="J2256" t="s">
        <v>1414</v>
      </c>
      <c r="K2256" t="s">
        <v>128</v>
      </c>
      <c r="L2256" t="s">
        <v>22</v>
      </c>
      <c r="M2256">
        <v>23</v>
      </c>
      <c r="N2256" t="s">
        <v>37</v>
      </c>
      <c r="O2256">
        <v>81</v>
      </c>
      <c r="P2256">
        <v>1</v>
      </c>
      <c r="Q2256">
        <v>1597.51</v>
      </c>
      <c r="R2256" s="4">
        <v>45600</v>
      </c>
      <c r="S2256" s="6">
        <v>0.33846064814814814</v>
      </c>
      <c r="T2256">
        <f t="shared" si="142"/>
        <v>17</v>
      </c>
      <c r="U2256" t="str" cm="1">
        <f t="array" ref="U2256">_xlfn.IFS(M2256&lt;=34,"YOUNG",M2256&lt;=54,"MIDDLE AGE",M2256&gt;=55,"OLD")</f>
        <v>YOUNG</v>
      </c>
      <c r="V2256" t="str">
        <f t="shared" si="143"/>
        <v>NORMAL</v>
      </c>
    </row>
    <row r="2257" spans="1:22" x14ac:dyDescent="0.35">
      <c r="A2257" t="s">
        <v>4171</v>
      </c>
      <c r="B2257" t="s">
        <v>636</v>
      </c>
      <c r="C2257">
        <v>232.35</v>
      </c>
      <c r="D2257" s="1">
        <v>45058.67664351852</v>
      </c>
      <c r="E2257" s="2">
        <f t="shared" si="140"/>
        <v>0.67664351851999527</v>
      </c>
      <c r="F2257" s="3">
        <f t="shared" si="141"/>
        <v>45058</v>
      </c>
      <c r="G2257" t="s">
        <v>46</v>
      </c>
      <c r="H2257" t="s">
        <v>47</v>
      </c>
      <c r="I2257" t="s">
        <v>2272</v>
      </c>
      <c r="J2257" t="s">
        <v>747</v>
      </c>
      <c r="K2257" t="s">
        <v>122</v>
      </c>
      <c r="L2257" t="s">
        <v>69</v>
      </c>
      <c r="M2257">
        <v>33</v>
      </c>
      <c r="N2257" t="s">
        <v>77</v>
      </c>
      <c r="O2257">
        <v>153</v>
      </c>
      <c r="P2257">
        <v>1</v>
      </c>
      <c r="Q2257">
        <v>4186.25</v>
      </c>
      <c r="R2257" s="4">
        <v>45600</v>
      </c>
      <c r="S2257" s="6">
        <v>0.33914351851851854</v>
      </c>
      <c r="T2257">
        <f t="shared" si="142"/>
        <v>16</v>
      </c>
      <c r="U2257" t="str" cm="1">
        <f t="array" ref="U2257">_xlfn.IFS(M2257&lt;=34,"YOUNG",M2257&lt;=54,"MIDDLE AGE",M2257&gt;=55,"OLD")</f>
        <v>YOUNG</v>
      </c>
      <c r="V2257" t="str">
        <f t="shared" si="143"/>
        <v>NORMAL</v>
      </c>
    </row>
    <row r="2258" spans="1:22" x14ac:dyDescent="0.35">
      <c r="A2258" t="s">
        <v>4172</v>
      </c>
      <c r="B2258" t="s">
        <v>946</v>
      </c>
      <c r="C2258">
        <v>317.52999999999997</v>
      </c>
      <c r="D2258" s="1">
        <v>44981.767754629633</v>
      </c>
      <c r="E2258" s="2">
        <f t="shared" si="140"/>
        <v>0.76775462963269092</v>
      </c>
      <c r="F2258" s="3">
        <f t="shared" si="141"/>
        <v>44981</v>
      </c>
      <c r="G2258" t="s">
        <v>17</v>
      </c>
      <c r="H2258" t="s">
        <v>172</v>
      </c>
      <c r="I2258" t="s">
        <v>1749</v>
      </c>
      <c r="J2258" t="s">
        <v>2465</v>
      </c>
      <c r="K2258" t="s">
        <v>272</v>
      </c>
      <c r="L2258" t="s">
        <v>36</v>
      </c>
      <c r="M2258">
        <v>44</v>
      </c>
      <c r="N2258" t="s">
        <v>77</v>
      </c>
      <c r="O2258">
        <v>104</v>
      </c>
      <c r="P2258">
        <v>1</v>
      </c>
      <c r="Q2258">
        <v>6237.68</v>
      </c>
      <c r="R2258" s="4">
        <v>45600</v>
      </c>
      <c r="S2258" s="6">
        <v>0.33795138888888887</v>
      </c>
      <c r="T2258">
        <f t="shared" si="142"/>
        <v>18</v>
      </c>
      <c r="U2258" t="str" cm="1">
        <f t="array" ref="U2258">_xlfn.IFS(M2258&lt;=34,"YOUNG",M2258&lt;=54,"MIDDLE AGE",M2258&gt;=55,"OLD")</f>
        <v>MIDDLE AGE</v>
      </c>
      <c r="V2258" t="str">
        <f t="shared" si="143"/>
        <v>NORMAL</v>
      </c>
    </row>
    <row r="2259" spans="1:22" x14ac:dyDescent="0.35">
      <c r="A2259" t="s">
        <v>4173</v>
      </c>
      <c r="B2259" t="s">
        <v>2000</v>
      </c>
      <c r="C2259">
        <v>74.67</v>
      </c>
      <c r="D2259" s="1">
        <v>45061.734398148146</v>
      </c>
      <c r="E2259" s="2">
        <f t="shared" si="140"/>
        <v>0.73439814814628335</v>
      </c>
      <c r="F2259" s="3">
        <f t="shared" si="141"/>
        <v>45061</v>
      </c>
      <c r="G2259" t="s">
        <v>17</v>
      </c>
      <c r="H2259" t="s">
        <v>65</v>
      </c>
      <c r="I2259" t="s">
        <v>1651</v>
      </c>
      <c r="J2259" t="s">
        <v>449</v>
      </c>
      <c r="K2259" t="s">
        <v>226</v>
      </c>
      <c r="L2259" t="s">
        <v>22</v>
      </c>
      <c r="M2259">
        <v>43</v>
      </c>
      <c r="N2259" t="s">
        <v>77</v>
      </c>
      <c r="O2259">
        <v>283</v>
      </c>
      <c r="P2259">
        <v>1</v>
      </c>
      <c r="Q2259">
        <v>3449.35</v>
      </c>
      <c r="R2259" s="4">
        <v>45600</v>
      </c>
      <c r="S2259" s="6">
        <v>0.34098379629629627</v>
      </c>
      <c r="T2259">
        <f t="shared" si="142"/>
        <v>17</v>
      </c>
      <c r="U2259" t="str" cm="1">
        <f t="array" ref="U2259">_xlfn.IFS(M2259&lt;=34,"YOUNG",M2259&lt;=54,"MIDDLE AGE",M2259&gt;=55,"OLD")</f>
        <v>MIDDLE AGE</v>
      </c>
      <c r="V2259" t="str">
        <f t="shared" si="143"/>
        <v>NORMAL</v>
      </c>
    </row>
    <row r="2260" spans="1:22" x14ac:dyDescent="0.35">
      <c r="A2260" t="s">
        <v>4174</v>
      </c>
      <c r="B2260" t="s">
        <v>2251</v>
      </c>
      <c r="C2260">
        <v>65.010000000000005</v>
      </c>
      <c r="D2260" s="1">
        <v>45223.727986111109</v>
      </c>
      <c r="E2260" s="2">
        <f t="shared" si="140"/>
        <v>0.72798611110920319</v>
      </c>
      <c r="F2260" s="3">
        <f t="shared" si="141"/>
        <v>45223</v>
      </c>
      <c r="G2260" t="s">
        <v>46</v>
      </c>
      <c r="H2260" t="s">
        <v>119</v>
      </c>
      <c r="I2260" t="s">
        <v>1633</v>
      </c>
      <c r="J2260" t="s">
        <v>4092</v>
      </c>
      <c r="K2260" t="s">
        <v>432</v>
      </c>
      <c r="L2260" t="s">
        <v>36</v>
      </c>
      <c r="M2260">
        <v>29</v>
      </c>
      <c r="N2260" t="s">
        <v>23</v>
      </c>
      <c r="O2260">
        <v>67</v>
      </c>
      <c r="P2260">
        <v>1</v>
      </c>
      <c r="Q2260">
        <v>10235.19</v>
      </c>
      <c r="R2260" s="4">
        <v>45600</v>
      </c>
      <c r="S2260" s="6">
        <v>0.33988425925925925</v>
      </c>
      <c r="T2260">
        <f t="shared" si="142"/>
        <v>17</v>
      </c>
      <c r="U2260" t="str" cm="1">
        <f t="array" ref="U2260">_xlfn.IFS(M2260&lt;=34,"YOUNG",M2260&lt;=54,"MIDDLE AGE",M2260&gt;=55,"OLD")</f>
        <v>YOUNG</v>
      </c>
      <c r="V2260" t="str">
        <f t="shared" si="143"/>
        <v>NORMAL</v>
      </c>
    </row>
    <row r="2261" spans="1:22" x14ac:dyDescent="0.35">
      <c r="A2261" t="s">
        <v>4175</v>
      </c>
      <c r="B2261" t="s">
        <v>2229</v>
      </c>
      <c r="C2261">
        <v>0.45</v>
      </c>
      <c r="D2261" s="1">
        <v>45133.728750000002</v>
      </c>
      <c r="E2261" s="2">
        <f t="shared" si="140"/>
        <v>0.72875000000203727</v>
      </c>
      <c r="F2261" s="3">
        <f t="shared" si="141"/>
        <v>45133</v>
      </c>
      <c r="G2261" t="s">
        <v>17</v>
      </c>
      <c r="H2261" t="s">
        <v>291</v>
      </c>
      <c r="I2261" t="s">
        <v>2387</v>
      </c>
      <c r="J2261" t="s">
        <v>2325</v>
      </c>
      <c r="K2261" t="s">
        <v>303</v>
      </c>
      <c r="L2261" t="s">
        <v>69</v>
      </c>
      <c r="M2261">
        <v>34</v>
      </c>
      <c r="N2261" t="s">
        <v>77</v>
      </c>
      <c r="O2261">
        <v>172</v>
      </c>
      <c r="P2261">
        <v>1</v>
      </c>
      <c r="Q2261">
        <v>8670.23</v>
      </c>
      <c r="R2261" s="4">
        <v>45600</v>
      </c>
      <c r="S2261" s="6">
        <v>0.34038194444444442</v>
      </c>
      <c r="T2261">
        <f t="shared" si="142"/>
        <v>17</v>
      </c>
      <c r="U2261" t="str" cm="1">
        <f t="array" ref="U2261">_xlfn.IFS(M2261&lt;=34,"YOUNG",M2261&lt;=54,"MIDDLE AGE",M2261&gt;=55,"OLD")</f>
        <v>YOUNG</v>
      </c>
      <c r="V2261" t="str">
        <f t="shared" si="143"/>
        <v>NORMAL</v>
      </c>
    </row>
    <row r="2262" spans="1:22" x14ac:dyDescent="0.35">
      <c r="A2262" t="s">
        <v>4176</v>
      </c>
      <c r="B2262" t="s">
        <v>151</v>
      </c>
      <c r="C2262">
        <v>364.13</v>
      </c>
      <c r="D2262" s="1">
        <v>44960.67083333333</v>
      </c>
      <c r="E2262" s="2">
        <f t="shared" si="140"/>
        <v>0.67083333332993789</v>
      </c>
      <c r="F2262" s="3">
        <f t="shared" si="141"/>
        <v>44960</v>
      </c>
      <c r="G2262" t="s">
        <v>17</v>
      </c>
      <c r="H2262" t="s">
        <v>157</v>
      </c>
      <c r="I2262" t="s">
        <v>3126</v>
      </c>
      <c r="J2262" t="s">
        <v>28</v>
      </c>
      <c r="K2262" t="s">
        <v>272</v>
      </c>
      <c r="L2262" t="s">
        <v>22</v>
      </c>
      <c r="M2262">
        <v>63</v>
      </c>
      <c r="N2262" t="s">
        <v>23</v>
      </c>
      <c r="O2262">
        <v>61</v>
      </c>
      <c r="P2262">
        <v>1</v>
      </c>
      <c r="Q2262">
        <v>8198</v>
      </c>
      <c r="R2262" s="4">
        <v>45600</v>
      </c>
      <c r="S2262" s="6">
        <v>0.34054398148148146</v>
      </c>
      <c r="T2262">
        <f t="shared" si="142"/>
        <v>16</v>
      </c>
      <c r="U2262" t="str" cm="1">
        <f t="array" ref="U2262">_xlfn.IFS(M2262&lt;=34,"YOUNG",M2262&lt;=54,"MIDDLE AGE",M2262&gt;=55,"OLD")</f>
        <v>OLD</v>
      </c>
      <c r="V2262" t="str">
        <f t="shared" si="143"/>
        <v>NORMAL</v>
      </c>
    </row>
    <row r="2263" spans="1:22" x14ac:dyDescent="0.35">
      <c r="A2263" t="s">
        <v>4177</v>
      </c>
      <c r="B2263" t="s">
        <v>1802</v>
      </c>
      <c r="C2263">
        <v>340.13</v>
      </c>
      <c r="D2263" s="1">
        <v>44963.724907407406</v>
      </c>
      <c r="E2263" s="2">
        <f t="shared" si="140"/>
        <v>0.72490740740613546</v>
      </c>
      <c r="F2263" s="3">
        <f t="shared" si="141"/>
        <v>44963</v>
      </c>
      <c r="G2263" t="s">
        <v>17</v>
      </c>
      <c r="H2263" t="s">
        <v>32</v>
      </c>
      <c r="I2263" t="s">
        <v>928</v>
      </c>
      <c r="J2263" t="s">
        <v>2030</v>
      </c>
      <c r="K2263" t="s">
        <v>175</v>
      </c>
      <c r="L2263" t="s">
        <v>69</v>
      </c>
      <c r="M2263">
        <v>24</v>
      </c>
      <c r="N2263" t="s">
        <v>37</v>
      </c>
      <c r="O2263">
        <v>32</v>
      </c>
      <c r="P2263">
        <v>3</v>
      </c>
      <c r="Q2263">
        <v>1149.74</v>
      </c>
      <c r="R2263" s="4">
        <v>45600</v>
      </c>
      <c r="S2263" s="6">
        <v>0.34152777777777776</v>
      </c>
      <c r="T2263">
        <f t="shared" si="142"/>
        <v>17</v>
      </c>
      <c r="U2263" t="str" cm="1">
        <f t="array" ref="U2263">_xlfn.IFS(M2263&lt;=34,"YOUNG",M2263&lt;=54,"MIDDLE AGE",M2263&gt;=55,"OLD")</f>
        <v>YOUNG</v>
      </c>
      <c r="V2263" t="str">
        <f t="shared" si="143"/>
        <v>HIGH</v>
      </c>
    </row>
    <row r="2264" spans="1:22" x14ac:dyDescent="0.35">
      <c r="A2264" t="s">
        <v>4178</v>
      </c>
      <c r="B2264" t="s">
        <v>687</v>
      </c>
      <c r="C2264">
        <v>15.81</v>
      </c>
      <c r="D2264" s="1">
        <v>44987.775636574072</v>
      </c>
      <c r="E2264" s="2">
        <f t="shared" si="140"/>
        <v>0.77563657407154096</v>
      </c>
      <c r="F2264" s="3">
        <f t="shared" si="141"/>
        <v>44987</v>
      </c>
      <c r="G2264" t="s">
        <v>17</v>
      </c>
      <c r="H2264" t="s">
        <v>53</v>
      </c>
      <c r="I2264" t="s">
        <v>750</v>
      </c>
      <c r="J2264" t="s">
        <v>1763</v>
      </c>
      <c r="K2264" t="s">
        <v>762</v>
      </c>
      <c r="L2264" t="s">
        <v>69</v>
      </c>
      <c r="M2264">
        <v>69</v>
      </c>
      <c r="N2264" t="s">
        <v>23</v>
      </c>
      <c r="O2264">
        <v>11</v>
      </c>
      <c r="P2264">
        <v>4</v>
      </c>
      <c r="Q2264">
        <v>8384.85</v>
      </c>
      <c r="R2264" s="4">
        <v>45600</v>
      </c>
      <c r="S2264" s="6">
        <v>0.34173611111111113</v>
      </c>
      <c r="T2264">
        <f t="shared" si="142"/>
        <v>18</v>
      </c>
      <c r="U2264" t="str" cm="1">
        <f t="array" ref="U2264">_xlfn.IFS(M2264&lt;=34,"YOUNG",M2264&lt;=54,"MIDDLE AGE",M2264&gt;=55,"OLD")</f>
        <v>OLD</v>
      </c>
      <c r="V2264" t="str">
        <f t="shared" si="143"/>
        <v>HIGH</v>
      </c>
    </row>
    <row r="2265" spans="1:22" x14ac:dyDescent="0.35">
      <c r="A2265" t="s">
        <v>4179</v>
      </c>
      <c r="B2265" t="s">
        <v>1183</v>
      </c>
      <c r="C2265">
        <v>222.66</v>
      </c>
      <c r="D2265" s="1">
        <v>45105.670358796298</v>
      </c>
      <c r="E2265" s="2">
        <f t="shared" si="140"/>
        <v>0.67035879629838746</v>
      </c>
      <c r="F2265" s="3">
        <f t="shared" si="141"/>
        <v>45105</v>
      </c>
      <c r="G2265" t="s">
        <v>17</v>
      </c>
      <c r="H2265" t="s">
        <v>73</v>
      </c>
      <c r="I2265" t="s">
        <v>1395</v>
      </c>
      <c r="J2265" t="s">
        <v>194</v>
      </c>
      <c r="K2265" t="s">
        <v>858</v>
      </c>
      <c r="L2265" t="s">
        <v>36</v>
      </c>
      <c r="M2265">
        <v>39</v>
      </c>
      <c r="N2265" t="s">
        <v>23</v>
      </c>
      <c r="O2265">
        <v>88</v>
      </c>
      <c r="P2265">
        <v>1</v>
      </c>
      <c r="Q2265">
        <v>14466.38</v>
      </c>
      <c r="R2265" s="4">
        <v>45600</v>
      </c>
      <c r="S2265" s="6">
        <v>0.34085648148148145</v>
      </c>
      <c r="T2265">
        <f t="shared" si="142"/>
        <v>16</v>
      </c>
      <c r="U2265" t="str" cm="1">
        <f t="array" ref="U2265">_xlfn.IFS(M2265&lt;=34,"YOUNG",M2265&lt;=54,"MIDDLE AGE",M2265&gt;=55,"OLD")</f>
        <v>MIDDLE AGE</v>
      </c>
      <c r="V2265" t="str">
        <f t="shared" si="143"/>
        <v>NORMAL</v>
      </c>
    </row>
    <row r="2266" spans="1:22" x14ac:dyDescent="0.35">
      <c r="A2266" t="s">
        <v>4180</v>
      </c>
      <c r="B2266" t="s">
        <v>1753</v>
      </c>
      <c r="C2266">
        <v>638.24</v>
      </c>
      <c r="D2266" s="1">
        <v>44994.753148148149</v>
      </c>
      <c r="E2266" s="2">
        <f t="shared" si="140"/>
        <v>0.75314814814919373</v>
      </c>
      <c r="F2266" s="3">
        <f t="shared" si="141"/>
        <v>44994</v>
      </c>
      <c r="G2266" t="s">
        <v>17</v>
      </c>
      <c r="H2266" t="s">
        <v>425</v>
      </c>
      <c r="I2266" t="s">
        <v>1861</v>
      </c>
      <c r="J2266" t="s">
        <v>1013</v>
      </c>
      <c r="K2266" t="s">
        <v>478</v>
      </c>
      <c r="L2266" t="s">
        <v>69</v>
      </c>
      <c r="M2266">
        <v>48</v>
      </c>
      <c r="N2266" t="s">
        <v>77</v>
      </c>
      <c r="O2266">
        <v>64</v>
      </c>
      <c r="P2266">
        <v>1</v>
      </c>
      <c r="Q2266">
        <v>5695.78</v>
      </c>
      <c r="R2266" s="4">
        <v>45600</v>
      </c>
      <c r="S2266" s="6">
        <v>0.34153935185185186</v>
      </c>
      <c r="T2266">
        <f t="shared" si="142"/>
        <v>18</v>
      </c>
      <c r="U2266" t="str" cm="1">
        <f t="array" ref="U2266">_xlfn.IFS(M2266&lt;=34,"YOUNG",M2266&lt;=54,"MIDDLE AGE",M2266&gt;=55,"OLD")</f>
        <v>MIDDLE AGE</v>
      </c>
      <c r="V2266" t="str">
        <f t="shared" si="143"/>
        <v>NORMAL</v>
      </c>
    </row>
    <row r="2267" spans="1:22" x14ac:dyDescent="0.35">
      <c r="A2267" t="s">
        <v>4181</v>
      </c>
      <c r="B2267" t="s">
        <v>2707</v>
      </c>
      <c r="C2267">
        <v>241.21</v>
      </c>
      <c r="D2267" s="1">
        <v>45194.692407407405</v>
      </c>
      <c r="E2267" s="2">
        <f t="shared" si="140"/>
        <v>0.69240740740497131</v>
      </c>
      <c r="F2267" s="3">
        <f t="shared" si="141"/>
        <v>45194</v>
      </c>
      <c r="G2267" t="s">
        <v>17</v>
      </c>
      <c r="H2267" t="s">
        <v>296</v>
      </c>
      <c r="I2267" t="s">
        <v>1548</v>
      </c>
      <c r="J2267" t="s">
        <v>1321</v>
      </c>
      <c r="K2267" t="s">
        <v>980</v>
      </c>
      <c r="L2267" t="s">
        <v>22</v>
      </c>
      <c r="M2267">
        <v>31</v>
      </c>
      <c r="N2267" t="s">
        <v>77</v>
      </c>
      <c r="O2267">
        <v>108</v>
      </c>
      <c r="P2267">
        <v>1</v>
      </c>
      <c r="Q2267">
        <v>1220.8599999999999</v>
      </c>
      <c r="R2267" s="4">
        <v>45600</v>
      </c>
      <c r="S2267" s="6">
        <v>0.33976851851851853</v>
      </c>
      <c r="T2267">
        <f t="shared" si="142"/>
        <v>16</v>
      </c>
      <c r="U2267" t="str" cm="1">
        <f t="array" ref="U2267">_xlfn.IFS(M2267&lt;=34,"YOUNG",M2267&lt;=54,"MIDDLE AGE",M2267&gt;=55,"OLD")</f>
        <v>YOUNG</v>
      </c>
      <c r="V2267" t="str">
        <f t="shared" si="143"/>
        <v>NORMAL</v>
      </c>
    </row>
    <row r="2268" spans="1:22" x14ac:dyDescent="0.35">
      <c r="A2268" t="s">
        <v>4182</v>
      </c>
      <c r="B2268" t="s">
        <v>777</v>
      </c>
      <c r="C2268">
        <v>171.16</v>
      </c>
      <c r="D2268" s="1">
        <v>45197.689675925925</v>
      </c>
      <c r="E2268" s="2">
        <f t="shared" si="140"/>
        <v>0.68967592592525762</v>
      </c>
      <c r="F2268" s="3">
        <f t="shared" si="141"/>
        <v>45197</v>
      </c>
      <c r="G2268" t="s">
        <v>17</v>
      </c>
      <c r="H2268" t="s">
        <v>203</v>
      </c>
      <c r="I2268" t="s">
        <v>4183</v>
      </c>
      <c r="J2268" t="s">
        <v>828</v>
      </c>
      <c r="K2268" t="s">
        <v>707</v>
      </c>
      <c r="L2268" t="s">
        <v>36</v>
      </c>
      <c r="M2268">
        <v>51</v>
      </c>
      <c r="N2268" t="s">
        <v>70</v>
      </c>
      <c r="O2268">
        <v>42</v>
      </c>
      <c r="P2268">
        <v>1</v>
      </c>
      <c r="Q2268">
        <v>6126.5</v>
      </c>
      <c r="R2268" s="4">
        <v>45600</v>
      </c>
      <c r="S2268" s="6">
        <v>0.34099537037037037</v>
      </c>
      <c r="T2268">
        <f t="shared" si="142"/>
        <v>16</v>
      </c>
      <c r="U2268" t="str" cm="1">
        <f t="array" ref="U2268">_xlfn.IFS(M2268&lt;=34,"YOUNG",M2268&lt;=54,"MIDDLE AGE",M2268&gt;=55,"OLD")</f>
        <v>MIDDLE AGE</v>
      </c>
      <c r="V2268" t="str">
        <f t="shared" si="143"/>
        <v>NORMAL</v>
      </c>
    </row>
    <row r="2269" spans="1:22" x14ac:dyDescent="0.35">
      <c r="A2269" t="s">
        <v>4184</v>
      </c>
      <c r="B2269" t="s">
        <v>1982</v>
      </c>
      <c r="C2269">
        <v>1360.67</v>
      </c>
      <c r="D2269" s="1">
        <v>45035.693530092591</v>
      </c>
      <c r="E2269" s="2">
        <f t="shared" si="140"/>
        <v>0.69353009259066312</v>
      </c>
      <c r="F2269" s="3">
        <f t="shared" si="141"/>
        <v>45035</v>
      </c>
      <c r="G2269" t="s">
        <v>17</v>
      </c>
      <c r="H2269" t="s">
        <v>40</v>
      </c>
      <c r="I2269" t="s">
        <v>2870</v>
      </c>
      <c r="J2269" t="s">
        <v>1104</v>
      </c>
      <c r="K2269" t="s">
        <v>186</v>
      </c>
      <c r="L2269" t="s">
        <v>69</v>
      </c>
      <c r="M2269">
        <v>29</v>
      </c>
      <c r="N2269" t="s">
        <v>77</v>
      </c>
      <c r="O2269">
        <v>118</v>
      </c>
      <c r="P2269">
        <v>1</v>
      </c>
      <c r="Q2269">
        <v>2861.65</v>
      </c>
      <c r="R2269" s="4">
        <v>45600</v>
      </c>
      <c r="S2269" s="6">
        <v>0.33781250000000002</v>
      </c>
      <c r="T2269">
        <f t="shared" si="142"/>
        <v>16</v>
      </c>
      <c r="U2269" t="str" cm="1">
        <f t="array" ref="U2269">_xlfn.IFS(M2269&lt;=34,"YOUNG",M2269&lt;=54,"MIDDLE AGE",M2269&gt;=55,"OLD")</f>
        <v>YOUNG</v>
      </c>
      <c r="V2269" t="str">
        <f t="shared" si="143"/>
        <v>NORMAL</v>
      </c>
    </row>
    <row r="2270" spans="1:22" x14ac:dyDescent="0.35">
      <c r="A2270" t="s">
        <v>4185</v>
      </c>
      <c r="B2270" t="s">
        <v>2000</v>
      </c>
      <c r="C2270">
        <v>37.65</v>
      </c>
      <c r="D2270" s="1">
        <v>45194.728483796294</v>
      </c>
      <c r="E2270" s="2">
        <f t="shared" si="140"/>
        <v>0.72848379629431292</v>
      </c>
      <c r="F2270" s="3">
        <f t="shared" si="141"/>
        <v>45194</v>
      </c>
      <c r="G2270" t="s">
        <v>46</v>
      </c>
      <c r="H2270" t="s">
        <v>223</v>
      </c>
      <c r="I2270" t="s">
        <v>2548</v>
      </c>
      <c r="J2270" t="s">
        <v>2635</v>
      </c>
      <c r="K2270" t="s">
        <v>619</v>
      </c>
      <c r="L2270" t="s">
        <v>36</v>
      </c>
      <c r="M2270">
        <v>27</v>
      </c>
      <c r="N2270" t="s">
        <v>37</v>
      </c>
      <c r="O2270">
        <v>109</v>
      </c>
      <c r="P2270">
        <v>1</v>
      </c>
      <c r="Q2270">
        <v>411.78</v>
      </c>
      <c r="R2270" s="4">
        <v>45600</v>
      </c>
      <c r="S2270" s="6">
        <v>0.34099537037037037</v>
      </c>
      <c r="T2270">
        <f t="shared" si="142"/>
        <v>17</v>
      </c>
      <c r="U2270" t="str" cm="1">
        <f t="array" ref="U2270">_xlfn.IFS(M2270&lt;=34,"YOUNG",M2270&lt;=54,"MIDDLE AGE",M2270&gt;=55,"OLD")</f>
        <v>YOUNG</v>
      </c>
      <c r="V2270" t="str">
        <f t="shared" si="143"/>
        <v>NORMAL</v>
      </c>
    </row>
    <row r="2271" spans="1:22" x14ac:dyDescent="0.35">
      <c r="A2271" t="s">
        <v>4186</v>
      </c>
      <c r="B2271" t="s">
        <v>3556</v>
      </c>
      <c r="C2271">
        <v>25.77</v>
      </c>
      <c r="D2271" s="1">
        <v>45201.689247685186</v>
      </c>
      <c r="E2271" s="2">
        <f t="shared" si="140"/>
        <v>0.68924768518627388</v>
      </c>
      <c r="F2271" s="3">
        <f t="shared" si="141"/>
        <v>45201</v>
      </c>
      <c r="G2271" t="s">
        <v>17</v>
      </c>
      <c r="H2271" t="s">
        <v>92</v>
      </c>
      <c r="I2271" t="s">
        <v>448</v>
      </c>
      <c r="J2271" t="s">
        <v>972</v>
      </c>
      <c r="K2271" t="s">
        <v>56</v>
      </c>
      <c r="L2271" t="s">
        <v>36</v>
      </c>
      <c r="M2271">
        <v>68</v>
      </c>
      <c r="N2271" t="s">
        <v>70</v>
      </c>
      <c r="O2271">
        <v>18</v>
      </c>
      <c r="P2271">
        <v>1</v>
      </c>
      <c r="Q2271">
        <v>4331.54</v>
      </c>
      <c r="R2271" s="4">
        <v>45600</v>
      </c>
      <c r="S2271" s="6">
        <v>0.33796296296296297</v>
      </c>
      <c r="T2271">
        <f t="shared" si="142"/>
        <v>16</v>
      </c>
      <c r="U2271" t="str" cm="1">
        <f t="array" ref="U2271">_xlfn.IFS(M2271&lt;=34,"YOUNG",M2271&lt;=54,"MIDDLE AGE",M2271&gt;=55,"OLD")</f>
        <v>OLD</v>
      </c>
      <c r="V2271" t="str">
        <f t="shared" si="143"/>
        <v>NORMAL</v>
      </c>
    </row>
    <row r="2272" spans="1:22" x14ac:dyDescent="0.35">
      <c r="A2272" t="s">
        <v>4187</v>
      </c>
      <c r="B2272" t="s">
        <v>550</v>
      </c>
      <c r="C2272">
        <v>789.8</v>
      </c>
      <c r="D2272" s="1">
        <v>45117.669895833336</v>
      </c>
      <c r="E2272" s="2">
        <f t="shared" si="140"/>
        <v>0.66989583333634073</v>
      </c>
      <c r="F2272" s="3">
        <f t="shared" si="141"/>
        <v>45117</v>
      </c>
      <c r="G2272" t="s">
        <v>17</v>
      </c>
      <c r="H2272" t="s">
        <v>392</v>
      </c>
      <c r="I2272" t="s">
        <v>1508</v>
      </c>
      <c r="J2272" t="s">
        <v>3054</v>
      </c>
      <c r="K2272" t="s">
        <v>858</v>
      </c>
      <c r="L2272" t="s">
        <v>22</v>
      </c>
      <c r="M2272">
        <v>40</v>
      </c>
      <c r="N2272" t="s">
        <v>23</v>
      </c>
      <c r="O2272">
        <v>94</v>
      </c>
      <c r="P2272">
        <v>1</v>
      </c>
      <c r="Q2272">
        <v>13948.09</v>
      </c>
      <c r="R2272" s="4">
        <v>45600</v>
      </c>
      <c r="S2272" s="6">
        <v>0.33856481481481482</v>
      </c>
      <c r="T2272">
        <f t="shared" si="142"/>
        <v>16</v>
      </c>
      <c r="U2272" t="str" cm="1">
        <f t="array" ref="U2272">_xlfn.IFS(M2272&lt;=34,"YOUNG",M2272&lt;=54,"MIDDLE AGE",M2272&gt;=55,"OLD")</f>
        <v>MIDDLE AGE</v>
      </c>
      <c r="V2272" t="str">
        <f t="shared" si="143"/>
        <v>NORMAL</v>
      </c>
    </row>
    <row r="2273" spans="1:22" x14ac:dyDescent="0.35">
      <c r="A2273" t="s">
        <v>4188</v>
      </c>
      <c r="B2273" t="s">
        <v>581</v>
      </c>
      <c r="C2273">
        <v>308.85000000000002</v>
      </c>
      <c r="D2273" s="1">
        <v>45259.752615740741</v>
      </c>
      <c r="E2273" s="2">
        <f t="shared" si="140"/>
        <v>0.752615740741021</v>
      </c>
      <c r="F2273" s="3">
        <f t="shared" si="141"/>
        <v>45259</v>
      </c>
      <c r="G2273" t="s">
        <v>46</v>
      </c>
      <c r="H2273" t="s">
        <v>140</v>
      </c>
      <c r="I2273" t="s">
        <v>4189</v>
      </c>
      <c r="J2273" t="s">
        <v>2527</v>
      </c>
      <c r="K2273" t="s">
        <v>95</v>
      </c>
      <c r="L2273" t="s">
        <v>69</v>
      </c>
      <c r="M2273">
        <v>20</v>
      </c>
      <c r="N2273" t="s">
        <v>37</v>
      </c>
      <c r="O2273">
        <v>33</v>
      </c>
      <c r="P2273">
        <v>2</v>
      </c>
      <c r="Q2273">
        <v>333.19</v>
      </c>
      <c r="R2273" s="4">
        <v>45600</v>
      </c>
      <c r="S2273" s="6">
        <v>0.33906249999999999</v>
      </c>
      <c r="T2273">
        <f t="shared" si="142"/>
        <v>18</v>
      </c>
      <c r="U2273" t="str" cm="1">
        <f t="array" ref="U2273">_xlfn.IFS(M2273&lt;=34,"YOUNG",M2273&lt;=54,"MIDDLE AGE",M2273&gt;=55,"OLD")</f>
        <v>YOUNG</v>
      </c>
      <c r="V2273" t="str">
        <f t="shared" si="143"/>
        <v>HIGH</v>
      </c>
    </row>
    <row r="2274" spans="1:22" x14ac:dyDescent="0.35">
      <c r="A2274" t="s">
        <v>4190</v>
      </c>
      <c r="B2274" t="s">
        <v>764</v>
      </c>
      <c r="C2274">
        <v>1454.52</v>
      </c>
      <c r="D2274" s="1">
        <v>45191.675763888888</v>
      </c>
      <c r="E2274" s="2">
        <f t="shared" si="140"/>
        <v>0.6757638888884685</v>
      </c>
      <c r="F2274" s="3">
        <f t="shared" si="141"/>
        <v>45191</v>
      </c>
      <c r="G2274" t="s">
        <v>17</v>
      </c>
      <c r="H2274" t="s">
        <v>172</v>
      </c>
      <c r="I2274" t="s">
        <v>297</v>
      </c>
      <c r="J2274" t="s">
        <v>907</v>
      </c>
      <c r="K2274" t="s">
        <v>769</v>
      </c>
      <c r="L2274" t="s">
        <v>22</v>
      </c>
      <c r="M2274">
        <v>27</v>
      </c>
      <c r="N2274" t="s">
        <v>37</v>
      </c>
      <c r="O2274">
        <v>20</v>
      </c>
      <c r="P2274">
        <v>1</v>
      </c>
      <c r="Q2274">
        <v>1189.03</v>
      </c>
      <c r="R2274" s="4">
        <v>45600</v>
      </c>
      <c r="S2274" s="6">
        <v>0.33840277777777777</v>
      </c>
      <c r="T2274">
        <f t="shared" si="142"/>
        <v>16</v>
      </c>
      <c r="U2274" t="str" cm="1">
        <f t="array" ref="U2274">_xlfn.IFS(M2274&lt;=34,"YOUNG",M2274&lt;=54,"MIDDLE AGE",M2274&gt;=55,"OLD")</f>
        <v>YOUNG</v>
      </c>
      <c r="V2274" t="str">
        <f t="shared" si="143"/>
        <v>NORMAL</v>
      </c>
    </row>
    <row r="2275" spans="1:22" x14ac:dyDescent="0.35">
      <c r="A2275" t="s">
        <v>4191</v>
      </c>
      <c r="B2275" t="s">
        <v>1517</v>
      </c>
      <c r="C2275">
        <v>806.97</v>
      </c>
      <c r="D2275" s="1">
        <v>44992.741724537038</v>
      </c>
      <c r="E2275" s="2">
        <f t="shared" si="140"/>
        <v>0.74172453703795327</v>
      </c>
      <c r="F2275" s="3">
        <f t="shared" si="141"/>
        <v>44992</v>
      </c>
      <c r="G2275" t="s">
        <v>17</v>
      </c>
      <c r="H2275" t="s">
        <v>59</v>
      </c>
      <c r="I2275" t="s">
        <v>3360</v>
      </c>
      <c r="J2275" t="s">
        <v>2044</v>
      </c>
      <c r="K2275" t="s">
        <v>165</v>
      </c>
      <c r="L2275" t="s">
        <v>36</v>
      </c>
      <c r="M2275">
        <v>25</v>
      </c>
      <c r="N2275" t="s">
        <v>37</v>
      </c>
      <c r="O2275">
        <v>11</v>
      </c>
      <c r="P2275">
        <v>1</v>
      </c>
      <c r="Q2275">
        <v>102.2</v>
      </c>
      <c r="R2275" s="4">
        <v>45600</v>
      </c>
      <c r="S2275" s="6">
        <v>0.3395023148148148</v>
      </c>
      <c r="T2275">
        <f t="shared" si="142"/>
        <v>17</v>
      </c>
      <c r="U2275" t="str" cm="1">
        <f t="array" ref="U2275">_xlfn.IFS(M2275&lt;=34,"YOUNG",M2275&lt;=54,"MIDDLE AGE",M2275&gt;=55,"OLD")</f>
        <v>YOUNG</v>
      </c>
      <c r="V2275" t="str">
        <f t="shared" si="143"/>
        <v>NORMAL</v>
      </c>
    </row>
    <row r="2276" spans="1:22" x14ac:dyDescent="0.35">
      <c r="A2276" t="s">
        <v>4192</v>
      </c>
      <c r="B2276" t="s">
        <v>1507</v>
      </c>
      <c r="C2276">
        <v>364.81</v>
      </c>
      <c r="D2276" s="1">
        <v>45103.731944444444</v>
      </c>
      <c r="E2276" s="2">
        <f t="shared" si="140"/>
        <v>0.73194444444379769</v>
      </c>
      <c r="F2276" s="3">
        <f t="shared" si="141"/>
        <v>45103</v>
      </c>
      <c r="G2276" t="s">
        <v>17</v>
      </c>
      <c r="H2276" t="s">
        <v>249</v>
      </c>
      <c r="I2276" t="s">
        <v>1575</v>
      </c>
      <c r="J2276" t="s">
        <v>1705</v>
      </c>
      <c r="K2276" t="s">
        <v>1562</v>
      </c>
      <c r="L2276" t="s">
        <v>36</v>
      </c>
      <c r="M2276">
        <v>25</v>
      </c>
      <c r="N2276" t="s">
        <v>37</v>
      </c>
      <c r="O2276">
        <v>53</v>
      </c>
      <c r="P2276">
        <v>1</v>
      </c>
      <c r="Q2276">
        <v>1145.23</v>
      </c>
      <c r="R2276" s="4">
        <v>45600</v>
      </c>
      <c r="S2276" s="6">
        <v>0.33841435185185187</v>
      </c>
      <c r="T2276">
        <f t="shared" si="142"/>
        <v>17</v>
      </c>
      <c r="U2276" t="str" cm="1">
        <f t="array" ref="U2276">_xlfn.IFS(M2276&lt;=34,"YOUNG",M2276&lt;=54,"MIDDLE AGE",M2276&gt;=55,"OLD")</f>
        <v>YOUNG</v>
      </c>
      <c r="V2276" t="str">
        <f t="shared" si="143"/>
        <v>NORMAL</v>
      </c>
    </row>
    <row r="2277" spans="1:22" x14ac:dyDescent="0.35">
      <c r="A2277" t="s">
        <v>4193</v>
      </c>
      <c r="B2277" t="s">
        <v>192</v>
      </c>
      <c r="C2277">
        <v>490.82</v>
      </c>
      <c r="D2277" s="1">
        <v>45078.753182870372</v>
      </c>
      <c r="E2277" s="2">
        <f t="shared" si="140"/>
        <v>0.75318287037225673</v>
      </c>
      <c r="F2277" s="3">
        <f t="shared" si="141"/>
        <v>45078</v>
      </c>
      <c r="G2277" t="s">
        <v>17</v>
      </c>
      <c r="H2277" t="s">
        <v>291</v>
      </c>
      <c r="I2277" t="s">
        <v>1453</v>
      </c>
      <c r="J2277" t="s">
        <v>3069</v>
      </c>
      <c r="K2277" t="s">
        <v>175</v>
      </c>
      <c r="L2277" t="s">
        <v>22</v>
      </c>
      <c r="M2277">
        <v>26</v>
      </c>
      <c r="N2277" t="s">
        <v>77</v>
      </c>
      <c r="O2277">
        <v>114</v>
      </c>
      <c r="P2277">
        <v>1</v>
      </c>
      <c r="Q2277">
        <v>8704.27</v>
      </c>
      <c r="R2277" s="4">
        <v>45600</v>
      </c>
      <c r="S2277" s="6">
        <v>0.34005787037037039</v>
      </c>
      <c r="T2277">
        <f t="shared" si="142"/>
        <v>18</v>
      </c>
      <c r="U2277" t="str" cm="1">
        <f t="array" ref="U2277">_xlfn.IFS(M2277&lt;=34,"YOUNG",M2277&lt;=54,"MIDDLE AGE",M2277&gt;=55,"OLD")</f>
        <v>YOUNG</v>
      </c>
      <c r="V2277" t="str">
        <f t="shared" si="143"/>
        <v>NORMAL</v>
      </c>
    </row>
    <row r="2278" spans="1:22" x14ac:dyDescent="0.35">
      <c r="A2278" t="s">
        <v>4194</v>
      </c>
      <c r="B2278" t="s">
        <v>1137</v>
      </c>
      <c r="C2278">
        <v>1021.38</v>
      </c>
      <c r="D2278" s="1">
        <v>44953.79146990741</v>
      </c>
      <c r="E2278" s="2">
        <f t="shared" si="140"/>
        <v>0.79146990740991896</v>
      </c>
      <c r="F2278" s="3">
        <f t="shared" si="141"/>
        <v>44953</v>
      </c>
      <c r="G2278" t="s">
        <v>17</v>
      </c>
      <c r="H2278" t="s">
        <v>73</v>
      </c>
      <c r="I2278" t="s">
        <v>570</v>
      </c>
      <c r="J2278" t="s">
        <v>493</v>
      </c>
      <c r="K2278" t="s">
        <v>759</v>
      </c>
      <c r="L2278" t="s">
        <v>69</v>
      </c>
      <c r="M2278">
        <v>61</v>
      </c>
      <c r="N2278" t="s">
        <v>23</v>
      </c>
      <c r="O2278">
        <v>125</v>
      </c>
      <c r="P2278">
        <v>1</v>
      </c>
      <c r="Q2278">
        <v>6223.26</v>
      </c>
      <c r="R2278" s="4">
        <v>45600</v>
      </c>
      <c r="S2278" s="6">
        <v>0.3394212962962963</v>
      </c>
      <c r="T2278">
        <f t="shared" si="142"/>
        <v>18</v>
      </c>
      <c r="U2278" t="str" cm="1">
        <f t="array" ref="U2278">_xlfn.IFS(M2278&lt;=34,"YOUNG",M2278&lt;=54,"MIDDLE AGE",M2278&gt;=55,"OLD")</f>
        <v>OLD</v>
      </c>
      <c r="V2278" t="str">
        <f t="shared" si="143"/>
        <v>NORMAL</v>
      </c>
    </row>
    <row r="2279" spans="1:22" x14ac:dyDescent="0.35">
      <c r="A2279" t="s">
        <v>4195</v>
      </c>
      <c r="B2279" t="s">
        <v>641</v>
      </c>
      <c r="C2279">
        <v>311.27999999999997</v>
      </c>
      <c r="D2279" s="1">
        <v>45068.695277777777</v>
      </c>
      <c r="E2279" s="2">
        <f t="shared" si="140"/>
        <v>0.695277777776937</v>
      </c>
      <c r="F2279" s="3">
        <f t="shared" si="141"/>
        <v>45068</v>
      </c>
      <c r="G2279" t="s">
        <v>17</v>
      </c>
      <c r="H2279" t="s">
        <v>47</v>
      </c>
      <c r="I2279" t="s">
        <v>2312</v>
      </c>
      <c r="J2279" t="s">
        <v>937</v>
      </c>
      <c r="K2279" t="s">
        <v>414</v>
      </c>
      <c r="L2279" t="s">
        <v>69</v>
      </c>
      <c r="M2279">
        <v>49</v>
      </c>
      <c r="N2279" t="s">
        <v>23</v>
      </c>
      <c r="O2279">
        <v>198</v>
      </c>
      <c r="P2279">
        <v>1</v>
      </c>
      <c r="Q2279">
        <v>135.96</v>
      </c>
      <c r="R2279" s="4">
        <v>45600</v>
      </c>
      <c r="S2279" s="6">
        <v>0.3397337962962963</v>
      </c>
      <c r="T2279">
        <f t="shared" si="142"/>
        <v>16</v>
      </c>
      <c r="U2279" t="str" cm="1">
        <f t="array" ref="U2279">_xlfn.IFS(M2279&lt;=34,"YOUNG",M2279&lt;=54,"MIDDLE AGE",M2279&gt;=55,"OLD")</f>
        <v>MIDDLE AGE</v>
      </c>
      <c r="V2279" t="str">
        <f t="shared" si="143"/>
        <v>NORMAL</v>
      </c>
    </row>
    <row r="2280" spans="1:22" x14ac:dyDescent="0.35">
      <c r="A2280" t="s">
        <v>4196</v>
      </c>
      <c r="B2280" t="s">
        <v>3215</v>
      </c>
      <c r="C2280">
        <v>85.03</v>
      </c>
      <c r="D2280" s="1">
        <v>45026.703368055554</v>
      </c>
      <c r="E2280" s="2">
        <f t="shared" si="140"/>
        <v>0.70336805555416504</v>
      </c>
      <c r="F2280" s="3">
        <f t="shared" si="141"/>
        <v>45026</v>
      </c>
      <c r="G2280" t="s">
        <v>17</v>
      </c>
      <c r="H2280" t="s">
        <v>18</v>
      </c>
      <c r="I2280" t="s">
        <v>680</v>
      </c>
      <c r="J2280" t="s">
        <v>2140</v>
      </c>
      <c r="K2280" t="s">
        <v>68</v>
      </c>
      <c r="L2280" t="s">
        <v>22</v>
      </c>
      <c r="M2280">
        <v>51</v>
      </c>
      <c r="N2280" t="s">
        <v>70</v>
      </c>
      <c r="O2280">
        <v>48</v>
      </c>
      <c r="P2280">
        <v>1</v>
      </c>
      <c r="Q2280">
        <v>4597.57</v>
      </c>
      <c r="R2280" s="4">
        <v>45600</v>
      </c>
      <c r="S2280" s="6">
        <v>0.33818287037037037</v>
      </c>
      <c r="T2280">
        <f t="shared" si="142"/>
        <v>16</v>
      </c>
      <c r="U2280" t="str" cm="1">
        <f t="array" ref="U2280">_xlfn.IFS(M2280&lt;=34,"YOUNG",M2280&lt;=54,"MIDDLE AGE",M2280&gt;=55,"OLD")</f>
        <v>MIDDLE AGE</v>
      </c>
      <c r="V2280" t="str">
        <f t="shared" si="143"/>
        <v>NORMAL</v>
      </c>
    </row>
    <row r="2281" spans="1:22" x14ac:dyDescent="0.35">
      <c r="A2281" t="s">
        <v>4197</v>
      </c>
      <c r="B2281" t="s">
        <v>1770</v>
      </c>
      <c r="C2281">
        <v>307.75</v>
      </c>
      <c r="D2281" s="1">
        <v>45028.746377314812</v>
      </c>
      <c r="E2281" s="2">
        <f t="shared" si="140"/>
        <v>0.74637731481197989</v>
      </c>
      <c r="F2281" s="3">
        <f t="shared" si="141"/>
        <v>45028</v>
      </c>
      <c r="G2281" t="s">
        <v>17</v>
      </c>
      <c r="H2281" t="s">
        <v>73</v>
      </c>
      <c r="I2281" t="s">
        <v>2784</v>
      </c>
      <c r="J2281" t="s">
        <v>2367</v>
      </c>
      <c r="K2281" t="s">
        <v>674</v>
      </c>
      <c r="L2281" t="s">
        <v>69</v>
      </c>
      <c r="M2281">
        <v>64</v>
      </c>
      <c r="N2281" t="s">
        <v>23</v>
      </c>
      <c r="O2281">
        <v>63</v>
      </c>
      <c r="P2281">
        <v>1</v>
      </c>
      <c r="Q2281">
        <v>1061.58</v>
      </c>
      <c r="R2281" s="4">
        <v>45600</v>
      </c>
      <c r="S2281" s="6">
        <v>0.34031250000000002</v>
      </c>
      <c r="T2281">
        <f t="shared" si="142"/>
        <v>17</v>
      </c>
      <c r="U2281" t="str" cm="1">
        <f t="array" ref="U2281">_xlfn.IFS(M2281&lt;=34,"YOUNG",M2281&lt;=54,"MIDDLE AGE",M2281&gt;=55,"OLD")</f>
        <v>OLD</v>
      </c>
      <c r="V2281" t="str">
        <f t="shared" si="143"/>
        <v>NORMAL</v>
      </c>
    </row>
    <row r="2282" spans="1:22" x14ac:dyDescent="0.35">
      <c r="A2282" t="s">
        <v>4198</v>
      </c>
      <c r="B2282" t="s">
        <v>2118</v>
      </c>
      <c r="C2282">
        <v>333.67</v>
      </c>
      <c r="D2282" s="1">
        <v>45113.756319444445</v>
      </c>
      <c r="E2282" s="2">
        <f t="shared" si="140"/>
        <v>0.75631944444467081</v>
      </c>
      <c r="F2282" s="3">
        <f t="shared" si="141"/>
        <v>45113</v>
      </c>
      <c r="G2282" t="s">
        <v>17</v>
      </c>
      <c r="H2282" t="s">
        <v>157</v>
      </c>
      <c r="I2282" t="s">
        <v>2126</v>
      </c>
      <c r="J2282" t="s">
        <v>3609</v>
      </c>
      <c r="K2282" t="s">
        <v>980</v>
      </c>
      <c r="L2282" t="s">
        <v>36</v>
      </c>
      <c r="M2282">
        <v>36</v>
      </c>
      <c r="N2282" t="s">
        <v>77</v>
      </c>
      <c r="O2282">
        <v>68</v>
      </c>
      <c r="P2282">
        <v>1</v>
      </c>
      <c r="Q2282">
        <v>9238.08</v>
      </c>
      <c r="R2282" s="4">
        <v>45600</v>
      </c>
      <c r="S2282" s="6">
        <v>0.33939814814814817</v>
      </c>
      <c r="T2282">
        <f t="shared" si="142"/>
        <v>18</v>
      </c>
      <c r="U2282" t="str" cm="1">
        <f t="array" ref="U2282">_xlfn.IFS(M2282&lt;=34,"YOUNG",M2282&lt;=54,"MIDDLE AGE",M2282&gt;=55,"OLD")</f>
        <v>MIDDLE AGE</v>
      </c>
      <c r="V2282" t="str">
        <f t="shared" si="143"/>
        <v>NORMAL</v>
      </c>
    </row>
    <row r="2283" spans="1:22" x14ac:dyDescent="0.35">
      <c r="A2283" t="s">
        <v>4199</v>
      </c>
      <c r="B2283" t="s">
        <v>801</v>
      </c>
      <c r="C2283">
        <v>589.89</v>
      </c>
      <c r="D2283" s="1">
        <v>45219.687314814815</v>
      </c>
      <c r="E2283" s="2">
        <f t="shared" si="140"/>
        <v>0.68731481481518131</v>
      </c>
      <c r="F2283" s="3">
        <f t="shared" si="141"/>
        <v>45219</v>
      </c>
      <c r="G2283" t="s">
        <v>17</v>
      </c>
      <c r="H2283" t="s">
        <v>392</v>
      </c>
      <c r="I2283" t="s">
        <v>4200</v>
      </c>
      <c r="J2283" t="s">
        <v>2477</v>
      </c>
      <c r="K2283" t="s">
        <v>165</v>
      </c>
      <c r="L2283" t="s">
        <v>69</v>
      </c>
      <c r="M2283">
        <v>56</v>
      </c>
      <c r="N2283" t="s">
        <v>77</v>
      </c>
      <c r="O2283">
        <v>213</v>
      </c>
      <c r="P2283">
        <v>3</v>
      </c>
      <c r="Q2283">
        <v>9404.6299999999992</v>
      </c>
      <c r="R2283" s="4">
        <v>45600</v>
      </c>
      <c r="S2283" s="6">
        <v>0.3417013888888889</v>
      </c>
      <c r="T2283">
        <f t="shared" si="142"/>
        <v>16</v>
      </c>
      <c r="U2283" t="str" cm="1">
        <f t="array" ref="U2283">_xlfn.IFS(M2283&lt;=34,"YOUNG",M2283&lt;=54,"MIDDLE AGE",M2283&gt;=55,"OLD")</f>
        <v>OLD</v>
      </c>
      <c r="V2283" t="str">
        <f t="shared" si="143"/>
        <v>HIGH</v>
      </c>
    </row>
    <row r="2284" spans="1:22" x14ac:dyDescent="0.35">
      <c r="A2284" t="s">
        <v>4201</v>
      </c>
      <c r="B2284" t="s">
        <v>2701</v>
      </c>
      <c r="C2284">
        <v>372.08</v>
      </c>
      <c r="D2284" s="1">
        <v>44991.692627314813</v>
      </c>
      <c r="E2284" s="2">
        <f t="shared" si="140"/>
        <v>0.692627314812853</v>
      </c>
      <c r="F2284" s="3">
        <f t="shared" si="141"/>
        <v>44991</v>
      </c>
      <c r="G2284" t="s">
        <v>17</v>
      </c>
      <c r="H2284" t="s">
        <v>26</v>
      </c>
      <c r="I2284" t="s">
        <v>1082</v>
      </c>
      <c r="J2284" t="s">
        <v>4202</v>
      </c>
      <c r="K2284" t="s">
        <v>418</v>
      </c>
      <c r="L2284" t="s">
        <v>69</v>
      </c>
      <c r="M2284">
        <v>66</v>
      </c>
      <c r="N2284" t="s">
        <v>23</v>
      </c>
      <c r="O2284">
        <v>63</v>
      </c>
      <c r="P2284">
        <v>1</v>
      </c>
      <c r="Q2284">
        <v>13330.74</v>
      </c>
      <c r="R2284" s="4">
        <v>45600</v>
      </c>
      <c r="S2284" s="6">
        <v>0.34184027777777776</v>
      </c>
      <c r="T2284">
        <f t="shared" si="142"/>
        <v>16</v>
      </c>
      <c r="U2284" t="str" cm="1">
        <f t="array" ref="U2284">_xlfn.IFS(M2284&lt;=34,"YOUNG",M2284&lt;=54,"MIDDLE AGE",M2284&gt;=55,"OLD")</f>
        <v>OLD</v>
      </c>
      <c r="V2284" t="str">
        <f t="shared" si="143"/>
        <v>NORMAL</v>
      </c>
    </row>
    <row r="2285" spans="1:22" x14ac:dyDescent="0.35">
      <c r="A2285" t="s">
        <v>4203</v>
      </c>
      <c r="B2285" t="s">
        <v>452</v>
      </c>
      <c r="C2285">
        <v>502.9</v>
      </c>
      <c r="D2285" s="1">
        <v>45187.717731481483</v>
      </c>
      <c r="E2285" s="2">
        <f t="shared" si="140"/>
        <v>0.71773148148349719</v>
      </c>
      <c r="F2285" s="3">
        <f t="shared" si="141"/>
        <v>45187</v>
      </c>
      <c r="G2285" t="s">
        <v>46</v>
      </c>
      <c r="H2285" t="s">
        <v>558</v>
      </c>
      <c r="I2285" t="s">
        <v>2142</v>
      </c>
      <c r="J2285" t="s">
        <v>2150</v>
      </c>
      <c r="K2285" t="s">
        <v>353</v>
      </c>
      <c r="L2285" t="s">
        <v>36</v>
      </c>
      <c r="M2285">
        <v>26</v>
      </c>
      <c r="N2285" t="s">
        <v>37</v>
      </c>
      <c r="O2285">
        <v>141</v>
      </c>
      <c r="P2285">
        <v>1</v>
      </c>
      <c r="Q2285">
        <v>341.24</v>
      </c>
      <c r="R2285" s="4">
        <v>45600</v>
      </c>
      <c r="S2285" s="6">
        <v>0.33935185185185185</v>
      </c>
      <c r="T2285">
        <f t="shared" si="142"/>
        <v>17</v>
      </c>
      <c r="U2285" t="str" cm="1">
        <f t="array" ref="U2285">_xlfn.IFS(M2285&lt;=34,"YOUNG",M2285&lt;=54,"MIDDLE AGE",M2285&gt;=55,"OLD")</f>
        <v>YOUNG</v>
      </c>
      <c r="V2285" t="str">
        <f t="shared" si="143"/>
        <v>NORMAL</v>
      </c>
    </row>
    <row r="2286" spans="1:22" x14ac:dyDescent="0.35">
      <c r="A2286" t="s">
        <v>4204</v>
      </c>
      <c r="B2286" t="s">
        <v>1703</v>
      </c>
      <c r="C2286">
        <v>103.81</v>
      </c>
      <c r="D2286" s="1">
        <v>45196.694189814814</v>
      </c>
      <c r="E2286" s="2">
        <f t="shared" si="140"/>
        <v>0.69418981481430819</v>
      </c>
      <c r="F2286" s="3">
        <f t="shared" si="141"/>
        <v>45196</v>
      </c>
      <c r="G2286" t="s">
        <v>17</v>
      </c>
      <c r="H2286" t="s">
        <v>53</v>
      </c>
      <c r="I2286" t="s">
        <v>1302</v>
      </c>
      <c r="J2286" t="s">
        <v>2535</v>
      </c>
      <c r="K2286" t="s">
        <v>634</v>
      </c>
      <c r="L2286" t="s">
        <v>22</v>
      </c>
      <c r="M2286">
        <v>36</v>
      </c>
      <c r="N2286" t="s">
        <v>23</v>
      </c>
      <c r="O2286">
        <v>34</v>
      </c>
      <c r="P2286">
        <v>1</v>
      </c>
      <c r="Q2286">
        <v>7044.63</v>
      </c>
      <c r="R2286" s="4">
        <v>45600</v>
      </c>
      <c r="S2286" s="6">
        <v>0.34159722222222222</v>
      </c>
      <c r="T2286">
        <f t="shared" si="142"/>
        <v>16</v>
      </c>
      <c r="U2286" t="str" cm="1">
        <f t="array" ref="U2286">_xlfn.IFS(M2286&lt;=34,"YOUNG",M2286&lt;=54,"MIDDLE AGE",M2286&gt;=55,"OLD")</f>
        <v>MIDDLE AGE</v>
      </c>
      <c r="V2286" t="str">
        <f t="shared" si="143"/>
        <v>NORMAL</v>
      </c>
    </row>
    <row r="2287" spans="1:22" x14ac:dyDescent="0.35">
      <c r="A2287" t="s">
        <v>4205</v>
      </c>
      <c r="B2287" t="s">
        <v>471</v>
      </c>
      <c r="C2287">
        <v>69.430000000000007</v>
      </c>
      <c r="D2287" s="1">
        <v>44963.735335648147</v>
      </c>
      <c r="E2287" s="2">
        <f t="shared" si="140"/>
        <v>0.73533564814715646</v>
      </c>
      <c r="F2287" s="3">
        <f t="shared" si="141"/>
        <v>44963</v>
      </c>
      <c r="G2287" t="s">
        <v>17</v>
      </c>
      <c r="H2287" t="s">
        <v>146</v>
      </c>
      <c r="I2287" t="s">
        <v>2361</v>
      </c>
      <c r="J2287" t="s">
        <v>1094</v>
      </c>
      <c r="K2287" t="s">
        <v>362</v>
      </c>
      <c r="L2287" t="s">
        <v>22</v>
      </c>
      <c r="M2287">
        <v>30</v>
      </c>
      <c r="N2287" t="s">
        <v>77</v>
      </c>
      <c r="O2287">
        <v>162</v>
      </c>
      <c r="P2287">
        <v>1</v>
      </c>
      <c r="Q2287">
        <v>9281.85</v>
      </c>
      <c r="R2287" s="4">
        <v>45600</v>
      </c>
      <c r="S2287" s="6">
        <v>0.33924768518518517</v>
      </c>
      <c r="T2287">
        <f t="shared" si="142"/>
        <v>17</v>
      </c>
      <c r="U2287" t="str" cm="1">
        <f t="array" ref="U2287">_xlfn.IFS(M2287&lt;=34,"YOUNG",M2287&lt;=54,"MIDDLE AGE",M2287&gt;=55,"OLD")</f>
        <v>YOUNG</v>
      </c>
      <c r="V2287" t="str">
        <f t="shared" si="143"/>
        <v>NORMAL</v>
      </c>
    </row>
    <row r="2288" spans="1:22" x14ac:dyDescent="0.35">
      <c r="A2288" t="s">
        <v>4206</v>
      </c>
      <c r="B2288" t="s">
        <v>156</v>
      </c>
      <c r="C2288">
        <v>110.4</v>
      </c>
      <c r="D2288" s="1">
        <v>45190.702986111108</v>
      </c>
      <c r="E2288" s="2">
        <f t="shared" si="140"/>
        <v>0.702986111107748</v>
      </c>
      <c r="F2288" s="3">
        <f t="shared" si="141"/>
        <v>45190</v>
      </c>
      <c r="G2288" t="s">
        <v>46</v>
      </c>
      <c r="H2288" t="s">
        <v>18</v>
      </c>
      <c r="I2288" t="s">
        <v>1956</v>
      </c>
      <c r="J2288" t="s">
        <v>473</v>
      </c>
      <c r="K2288" t="s">
        <v>450</v>
      </c>
      <c r="L2288" t="s">
        <v>22</v>
      </c>
      <c r="M2288">
        <v>56</v>
      </c>
      <c r="N2288" t="s">
        <v>23</v>
      </c>
      <c r="O2288">
        <v>62</v>
      </c>
      <c r="P2288">
        <v>1</v>
      </c>
      <c r="Q2288">
        <v>8639.36</v>
      </c>
      <c r="R2288" s="4">
        <v>45600</v>
      </c>
      <c r="S2288" s="6">
        <v>0.33927083333333335</v>
      </c>
      <c r="T2288">
        <f t="shared" si="142"/>
        <v>16</v>
      </c>
      <c r="U2288" t="str" cm="1">
        <f t="array" ref="U2288">_xlfn.IFS(M2288&lt;=34,"YOUNG",M2288&lt;=54,"MIDDLE AGE",M2288&gt;=55,"OLD")</f>
        <v>OLD</v>
      </c>
      <c r="V2288" t="str">
        <f t="shared" si="143"/>
        <v>NORMAL</v>
      </c>
    </row>
    <row r="2289" spans="1:22" x14ac:dyDescent="0.35">
      <c r="A2289" t="s">
        <v>4207</v>
      </c>
      <c r="B2289" t="s">
        <v>1020</v>
      </c>
      <c r="C2289">
        <v>275.64999999999998</v>
      </c>
      <c r="D2289" s="1">
        <v>45152.703148148146</v>
      </c>
      <c r="E2289" s="2">
        <f t="shared" si="140"/>
        <v>0.70314814814628335</v>
      </c>
      <c r="F2289" s="3">
        <f t="shared" si="141"/>
        <v>45152</v>
      </c>
      <c r="G2289" t="s">
        <v>46</v>
      </c>
      <c r="H2289" t="s">
        <v>47</v>
      </c>
      <c r="I2289" t="s">
        <v>60</v>
      </c>
      <c r="J2289" t="s">
        <v>1048</v>
      </c>
      <c r="K2289" t="s">
        <v>759</v>
      </c>
      <c r="L2289" t="s">
        <v>69</v>
      </c>
      <c r="M2289">
        <v>28</v>
      </c>
      <c r="N2289" t="s">
        <v>77</v>
      </c>
      <c r="O2289">
        <v>14</v>
      </c>
      <c r="P2289">
        <v>1</v>
      </c>
      <c r="Q2289">
        <v>4957.57</v>
      </c>
      <c r="R2289" s="4">
        <v>45600</v>
      </c>
      <c r="S2289" s="6">
        <v>0.33909722222222222</v>
      </c>
      <c r="T2289">
        <f t="shared" si="142"/>
        <v>16</v>
      </c>
      <c r="U2289" t="str" cm="1">
        <f t="array" ref="U2289">_xlfn.IFS(M2289&lt;=34,"YOUNG",M2289&lt;=54,"MIDDLE AGE",M2289&gt;=55,"OLD")</f>
        <v>YOUNG</v>
      </c>
      <c r="V2289" t="str">
        <f t="shared" si="143"/>
        <v>NORMAL</v>
      </c>
    </row>
    <row r="2290" spans="1:22" x14ac:dyDescent="0.35">
      <c r="A2290" t="s">
        <v>4208</v>
      </c>
      <c r="B2290" t="s">
        <v>471</v>
      </c>
      <c r="C2290">
        <v>336.01</v>
      </c>
      <c r="D2290" s="1">
        <v>45239.781365740739</v>
      </c>
      <c r="E2290" s="2">
        <f t="shared" si="140"/>
        <v>0.78136574073869269</v>
      </c>
      <c r="F2290" s="3">
        <f t="shared" si="141"/>
        <v>45239</v>
      </c>
      <c r="G2290" t="s">
        <v>17</v>
      </c>
      <c r="H2290" t="s">
        <v>521</v>
      </c>
      <c r="I2290" t="s">
        <v>1680</v>
      </c>
      <c r="J2290" t="s">
        <v>3588</v>
      </c>
      <c r="K2290" t="s">
        <v>169</v>
      </c>
      <c r="L2290" t="s">
        <v>36</v>
      </c>
      <c r="M2290">
        <v>63</v>
      </c>
      <c r="N2290" t="s">
        <v>23</v>
      </c>
      <c r="O2290">
        <v>121</v>
      </c>
      <c r="P2290">
        <v>4</v>
      </c>
      <c r="Q2290">
        <v>9938.2000000000007</v>
      </c>
      <c r="R2290" s="4">
        <v>45600</v>
      </c>
      <c r="S2290" s="6">
        <v>0.33947916666666667</v>
      </c>
      <c r="T2290">
        <f t="shared" si="142"/>
        <v>18</v>
      </c>
      <c r="U2290" t="str" cm="1">
        <f t="array" ref="U2290">_xlfn.IFS(M2290&lt;=34,"YOUNG",M2290&lt;=54,"MIDDLE AGE",M2290&gt;=55,"OLD")</f>
        <v>OLD</v>
      </c>
      <c r="V2290" t="str">
        <f t="shared" si="143"/>
        <v>HIGH</v>
      </c>
    </row>
    <row r="2291" spans="1:22" x14ac:dyDescent="0.35">
      <c r="A2291" t="s">
        <v>4209</v>
      </c>
      <c r="B2291" t="s">
        <v>124</v>
      </c>
      <c r="C2291">
        <v>251.8</v>
      </c>
      <c r="D2291" s="1">
        <v>45019.676782407405</v>
      </c>
      <c r="E2291" s="2">
        <f t="shared" si="140"/>
        <v>0.67678240740497131</v>
      </c>
      <c r="F2291" s="3">
        <f t="shared" si="141"/>
        <v>45019</v>
      </c>
      <c r="G2291" t="s">
        <v>17</v>
      </c>
      <c r="H2291" t="s">
        <v>32</v>
      </c>
      <c r="I2291" t="s">
        <v>881</v>
      </c>
      <c r="J2291" t="s">
        <v>1306</v>
      </c>
      <c r="K2291" t="s">
        <v>68</v>
      </c>
      <c r="L2291" t="s">
        <v>22</v>
      </c>
      <c r="M2291">
        <v>62</v>
      </c>
      <c r="N2291" t="s">
        <v>23</v>
      </c>
      <c r="O2291">
        <v>102</v>
      </c>
      <c r="P2291">
        <v>1</v>
      </c>
      <c r="Q2291">
        <v>11796.66</v>
      </c>
      <c r="R2291" s="4">
        <v>45600</v>
      </c>
      <c r="S2291" s="6">
        <v>0.34045138888888887</v>
      </c>
      <c r="T2291">
        <f t="shared" si="142"/>
        <v>16</v>
      </c>
      <c r="U2291" t="str" cm="1">
        <f t="array" ref="U2291">_xlfn.IFS(M2291&lt;=34,"YOUNG",M2291&lt;=54,"MIDDLE AGE",M2291&gt;=55,"OLD")</f>
        <v>OLD</v>
      </c>
      <c r="V2291" t="str">
        <f t="shared" si="143"/>
        <v>NORMAL</v>
      </c>
    </row>
    <row r="2292" spans="1:22" x14ac:dyDescent="0.35">
      <c r="A2292" t="s">
        <v>4210</v>
      </c>
      <c r="B2292" t="s">
        <v>2309</v>
      </c>
      <c r="C2292">
        <v>334.07</v>
      </c>
      <c r="D2292" s="1">
        <v>45149.727268518516</v>
      </c>
      <c r="E2292" s="2">
        <f t="shared" si="140"/>
        <v>0.72726851851621177</v>
      </c>
      <c r="F2292" s="3">
        <f t="shared" si="141"/>
        <v>45149</v>
      </c>
      <c r="G2292" t="s">
        <v>17</v>
      </c>
      <c r="H2292" t="s">
        <v>203</v>
      </c>
      <c r="I2292" t="s">
        <v>951</v>
      </c>
      <c r="J2292" t="s">
        <v>651</v>
      </c>
      <c r="K2292" t="s">
        <v>56</v>
      </c>
      <c r="L2292" t="s">
        <v>69</v>
      </c>
      <c r="M2292">
        <v>59</v>
      </c>
      <c r="N2292" t="s">
        <v>77</v>
      </c>
      <c r="O2292">
        <v>200</v>
      </c>
      <c r="P2292">
        <v>1</v>
      </c>
      <c r="Q2292">
        <v>7306.79</v>
      </c>
      <c r="R2292" s="4">
        <v>45600</v>
      </c>
      <c r="S2292" s="6">
        <v>0.34060185185185188</v>
      </c>
      <c r="T2292">
        <f t="shared" si="142"/>
        <v>17</v>
      </c>
      <c r="U2292" t="str" cm="1">
        <f t="array" ref="U2292">_xlfn.IFS(M2292&lt;=34,"YOUNG",M2292&lt;=54,"MIDDLE AGE",M2292&gt;=55,"OLD")</f>
        <v>OLD</v>
      </c>
      <c r="V2292" t="str">
        <f t="shared" si="143"/>
        <v>NORMAL</v>
      </c>
    </row>
    <row r="2293" spans="1:22" x14ac:dyDescent="0.35">
      <c r="A2293" t="s">
        <v>4211</v>
      </c>
      <c r="B2293" t="s">
        <v>1631</v>
      </c>
      <c r="C2293">
        <v>52.44</v>
      </c>
      <c r="D2293" s="1">
        <v>45175.789166666669</v>
      </c>
      <c r="E2293" s="2">
        <f t="shared" si="140"/>
        <v>0.789166666669189</v>
      </c>
      <c r="F2293" s="3">
        <f t="shared" si="141"/>
        <v>45175</v>
      </c>
      <c r="G2293" t="s">
        <v>17</v>
      </c>
      <c r="H2293" t="s">
        <v>40</v>
      </c>
      <c r="I2293" t="s">
        <v>1251</v>
      </c>
      <c r="J2293" t="s">
        <v>465</v>
      </c>
      <c r="K2293" t="s">
        <v>246</v>
      </c>
      <c r="L2293" t="s">
        <v>36</v>
      </c>
      <c r="M2293">
        <v>27</v>
      </c>
      <c r="N2293" t="s">
        <v>37</v>
      </c>
      <c r="O2293">
        <v>87</v>
      </c>
      <c r="P2293">
        <v>1</v>
      </c>
      <c r="Q2293">
        <v>3157.75</v>
      </c>
      <c r="R2293" s="4">
        <v>45600</v>
      </c>
      <c r="S2293" s="6">
        <v>0.33994212962962961</v>
      </c>
      <c r="T2293">
        <f t="shared" si="142"/>
        <v>18</v>
      </c>
      <c r="U2293" t="str" cm="1">
        <f t="array" ref="U2293">_xlfn.IFS(M2293&lt;=34,"YOUNG",M2293&lt;=54,"MIDDLE AGE",M2293&gt;=55,"OLD")</f>
        <v>YOUNG</v>
      </c>
      <c r="V2293" t="str">
        <f t="shared" si="143"/>
        <v>NORMAL</v>
      </c>
    </row>
    <row r="2294" spans="1:22" x14ac:dyDescent="0.35">
      <c r="A2294" t="s">
        <v>4212</v>
      </c>
      <c r="B2294" t="s">
        <v>3890</v>
      </c>
      <c r="C2294">
        <v>1030.8499999999999</v>
      </c>
      <c r="D2294" s="1">
        <v>45173.72388888889</v>
      </c>
      <c r="E2294" s="2">
        <f t="shared" si="140"/>
        <v>0.72388888888963265</v>
      </c>
      <c r="F2294" s="3">
        <f t="shared" si="141"/>
        <v>45173</v>
      </c>
      <c r="G2294" t="s">
        <v>17</v>
      </c>
      <c r="H2294" t="s">
        <v>18</v>
      </c>
      <c r="I2294" t="s">
        <v>476</v>
      </c>
      <c r="J2294" t="s">
        <v>662</v>
      </c>
      <c r="K2294" t="s">
        <v>406</v>
      </c>
      <c r="L2294" t="s">
        <v>22</v>
      </c>
      <c r="M2294">
        <v>25</v>
      </c>
      <c r="N2294" t="s">
        <v>37</v>
      </c>
      <c r="O2294">
        <v>39</v>
      </c>
      <c r="P2294">
        <v>1</v>
      </c>
      <c r="Q2294">
        <v>1941.8</v>
      </c>
      <c r="R2294" s="4">
        <v>45600</v>
      </c>
      <c r="S2294" s="6">
        <v>0.34098379629629627</v>
      </c>
      <c r="T2294">
        <f t="shared" si="142"/>
        <v>17</v>
      </c>
      <c r="U2294" t="str" cm="1">
        <f t="array" ref="U2294">_xlfn.IFS(M2294&lt;=34,"YOUNG",M2294&lt;=54,"MIDDLE AGE",M2294&gt;=55,"OLD")</f>
        <v>YOUNG</v>
      </c>
      <c r="V2294" t="str">
        <f t="shared" si="143"/>
        <v>NORMAL</v>
      </c>
    </row>
    <row r="2295" spans="1:22" x14ac:dyDescent="0.35">
      <c r="A2295" t="s">
        <v>4213</v>
      </c>
      <c r="B2295" t="s">
        <v>1368</v>
      </c>
      <c r="C2295">
        <v>141.37</v>
      </c>
      <c r="D2295" s="1">
        <v>45128.704282407409</v>
      </c>
      <c r="E2295" s="2">
        <f t="shared" si="140"/>
        <v>0.70428240740875481</v>
      </c>
      <c r="F2295" s="3">
        <f t="shared" si="141"/>
        <v>45128</v>
      </c>
      <c r="G2295" t="s">
        <v>17</v>
      </c>
      <c r="H2295" t="s">
        <v>114</v>
      </c>
      <c r="I2295" t="s">
        <v>1809</v>
      </c>
      <c r="J2295" t="s">
        <v>1036</v>
      </c>
      <c r="K2295" t="s">
        <v>607</v>
      </c>
      <c r="L2295" t="s">
        <v>36</v>
      </c>
      <c r="M2295">
        <v>46</v>
      </c>
      <c r="N2295" t="s">
        <v>77</v>
      </c>
      <c r="O2295">
        <v>77</v>
      </c>
      <c r="P2295">
        <v>1</v>
      </c>
      <c r="Q2295">
        <v>1019.77</v>
      </c>
      <c r="R2295" s="4">
        <v>45600</v>
      </c>
      <c r="S2295" s="6">
        <v>0.34144675925925927</v>
      </c>
      <c r="T2295">
        <f t="shared" si="142"/>
        <v>16</v>
      </c>
      <c r="U2295" t="str" cm="1">
        <f t="array" ref="U2295">_xlfn.IFS(M2295&lt;=34,"YOUNG",M2295&lt;=54,"MIDDLE AGE",M2295&gt;=55,"OLD")</f>
        <v>MIDDLE AGE</v>
      </c>
      <c r="V2295" t="str">
        <f t="shared" si="143"/>
        <v>NORMAL</v>
      </c>
    </row>
    <row r="2296" spans="1:22" x14ac:dyDescent="0.35">
      <c r="A2296" t="s">
        <v>4214</v>
      </c>
      <c r="B2296" t="s">
        <v>438</v>
      </c>
      <c r="C2296">
        <v>211.7</v>
      </c>
      <c r="D2296" s="1">
        <v>45243.70716435185</v>
      </c>
      <c r="E2296" s="2">
        <f t="shared" si="140"/>
        <v>0.70716435185022419</v>
      </c>
      <c r="F2296" s="3">
        <f t="shared" si="141"/>
        <v>45243</v>
      </c>
      <c r="G2296" t="s">
        <v>46</v>
      </c>
      <c r="H2296" t="s">
        <v>265</v>
      </c>
      <c r="I2296" t="s">
        <v>2990</v>
      </c>
      <c r="J2296" t="s">
        <v>1523</v>
      </c>
      <c r="K2296" t="s">
        <v>331</v>
      </c>
      <c r="L2296" t="s">
        <v>36</v>
      </c>
      <c r="M2296">
        <v>50</v>
      </c>
      <c r="N2296" t="s">
        <v>23</v>
      </c>
      <c r="O2296">
        <v>205</v>
      </c>
      <c r="P2296">
        <v>1</v>
      </c>
      <c r="Q2296">
        <v>12272.78</v>
      </c>
      <c r="R2296" s="4">
        <v>45600</v>
      </c>
      <c r="S2296" s="6">
        <v>0.33828703703703705</v>
      </c>
      <c r="T2296">
        <f t="shared" si="142"/>
        <v>16</v>
      </c>
      <c r="U2296" t="str" cm="1">
        <f t="array" ref="U2296">_xlfn.IFS(M2296&lt;=34,"YOUNG",M2296&lt;=54,"MIDDLE AGE",M2296&gt;=55,"OLD")</f>
        <v>MIDDLE AGE</v>
      </c>
      <c r="V2296" t="str">
        <f t="shared" si="143"/>
        <v>NORMAL</v>
      </c>
    </row>
    <row r="2297" spans="1:22" x14ac:dyDescent="0.35">
      <c r="A2297" t="s">
        <v>4215</v>
      </c>
      <c r="B2297" t="s">
        <v>3016</v>
      </c>
      <c r="C2297">
        <v>61.4</v>
      </c>
      <c r="D2297" s="1">
        <v>44956.69804398148</v>
      </c>
      <c r="E2297" s="2">
        <f t="shared" si="140"/>
        <v>0.69804398147971369</v>
      </c>
      <c r="F2297" s="3">
        <f t="shared" si="141"/>
        <v>44956</v>
      </c>
      <c r="G2297" t="s">
        <v>17</v>
      </c>
      <c r="H2297" t="s">
        <v>223</v>
      </c>
      <c r="I2297" t="s">
        <v>1493</v>
      </c>
      <c r="J2297" t="s">
        <v>2091</v>
      </c>
      <c r="K2297" t="s">
        <v>89</v>
      </c>
      <c r="L2297" t="s">
        <v>69</v>
      </c>
      <c r="M2297">
        <v>41</v>
      </c>
      <c r="N2297" t="s">
        <v>77</v>
      </c>
      <c r="O2297">
        <v>20</v>
      </c>
      <c r="P2297">
        <v>2</v>
      </c>
      <c r="Q2297">
        <v>7892.87</v>
      </c>
      <c r="R2297" s="4">
        <v>45600</v>
      </c>
      <c r="S2297" s="6">
        <v>0.3392013888888889</v>
      </c>
      <c r="T2297">
        <f t="shared" si="142"/>
        <v>16</v>
      </c>
      <c r="U2297" t="str" cm="1">
        <f t="array" ref="U2297">_xlfn.IFS(M2297&lt;=34,"YOUNG",M2297&lt;=54,"MIDDLE AGE",M2297&gt;=55,"OLD")</f>
        <v>MIDDLE AGE</v>
      </c>
      <c r="V2297" t="str">
        <f t="shared" si="143"/>
        <v>HIGH</v>
      </c>
    </row>
    <row r="2298" spans="1:22" x14ac:dyDescent="0.35">
      <c r="A2298" t="s">
        <v>4216</v>
      </c>
      <c r="B2298" t="s">
        <v>3586</v>
      </c>
      <c r="C2298">
        <v>308.23</v>
      </c>
      <c r="D2298" s="1">
        <v>45033.675254629627</v>
      </c>
      <c r="E2298" s="2">
        <f t="shared" si="140"/>
        <v>0.67525462962657912</v>
      </c>
      <c r="F2298" s="3">
        <f t="shared" si="141"/>
        <v>45033</v>
      </c>
      <c r="G2298" t="s">
        <v>17</v>
      </c>
      <c r="H2298" t="s">
        <v>146</v>
      </c>
      <c r="I2298" t="s">
        <v>1429</v>
      </c>
      <c r="J2298" t="s">
        <v>325</v>
      </c>
      <c r="K2298" t="s">
        <v>707</v>
      </c>
      <c r="L2298" t="s">
        <v>22</v>
      </c>
      <c r="M2298">
        <v>60</v>
      </c>
      <c r="N2298" t="s">
        <v>70</v>
      </c>
      <c r="O2298">
        <v>23</v>
      </c>
      <c r="P2298">
        <v>1</v>
      </c>
      <c r="Q2298">
        <v>4150.63</v>
      </c>
      <c r="R2298" s="4">
        <v>45600</v>
      </c>
      <c r="S2298" s="6">
        <v>0.34137731481481481</v>
      </c>
      <c r="T2298">
        <f t="shared" si="142"/>
        <v>16</v>
      </c>
      <c r="U2298" t="str" cm="1">
        <f t="array" ref="U2298">_xlfn.IFS(M2298&lt;=34,"YOUNG",M2298&lt;=54,"MIDDLE AGE",M2298&gt;=55,"OLD")</f>
        <v>OLD</v>
      </c>
      <c r="V2298" t="str">
        <f t="shared" si="143"/>
        <v>NORMAL</v>
      </c>
    </row>
    <row r="2299" spans="1:22" x14ac:dyDescent="0.35">
      <c r="A2299" t="s">
        <v>4217</v>
      </c>
      <c r="B2299" t="s">
        <v>1206</v>
      </c>
      <c r="C2299">
        <v>111.41</v>
      </c>
      <c r="D2299" s="1">
        <v>45287.721030092594</v>
      </c>
      <c r="E2299" s="2">
        <f t="shared" si="140"/>
        <v>0.72103009259444661</v>
      </c>
      <c r="F2299" s="3">
        <f t="shared" si="141"/>
        <v>45287</v>
      </c>
      <c r="G2299" t="s">
        <v>17</v>
      </c>
      <c r="H2299" t="s">
        <v>265</v>
      </c>
      <c r="I2299" t="s">
        <v>158</v>
      </c>
      <c r="J2299" t="s">
        <v>503</v>
      </c>
      <c r="K2299" t="s">
        <v>1281</v>
      </c>
      <c r="L2299" t="s">
        <v>69</v>
      </c>
      <c r="M2299">
        <v>21</v>
      </c>
      <c r="N2299" t="s">
        <v>37</v>
      </c>
      <c r="O2299">
        <v>181</v>
      </c>
      <c r="P2299">
        <v>1</v>
      </c>
      <c r="Q2299">
        <v>1204.1099999999999</v>
      </c>
      <c r="R2299" s="4">
        <v>45600</v>
      </c>
      <c r="S2299" s="6">
        <v>0.34078703703703705</v>
      </c>
      <c r="T2299">
        <f t="shared" si="142"/>
        <v>17</v>
      </c>
      <c r="U2299" t="str" cm="1">
        <f t="array" ref="U2299">_xlfn.IFS(M2299&lt;=34,"YOUNG",M2299&lt;=54,"MIDDLE AGE",M2299&gt;=55,"OLD")</f>
        <v>YOUNG</v>
      </c>
      <c r="V2299" t="str">
        <f t="shared" si="143"/>
        <v>NORMAL</v>
      </c>
    </row>
    <row r="2300" spans="1:22" x14ac:dyDescent="0.35">
      <c r="A2300" t="s">
        <v>4218</v>
      </c>
      <c r="B2300" t="s">
        <v>889</v>
      </c>
      <c r="C2300">
        <v>675.49</v>
      </c>
      <c r="D2300" s="1">
        <v>45000.678391203706</v>
      </c>
      <c r="E2300" s="2">
        <f t="shared" si="140"/>
        <v>0.67839120370626915</v>
      </c>
      <c r="F2300" s="3">
        <f t="shared" si="141"/>
        <v>45000</v>
      </c>
      <c r="G2300" t="s">
        <v>17</v>
      </c>
      <c r="H2300" t="s">
        <v>249</v>
      </c>
      <c r="I2300" t="s">
        <v>1989</v>
      </c>
      <c r="J2300" t="s">
        <v>963</v>
      </c>
      <c r="K2300" t="s">
        <v>149</v>
      </c>
      <c r="L2300" t="s">
        <v>22</v>
      </c>
      <c r="M2300">
        <v>61</v>
      </c>
      <c r="N2300" t="s">
        <v>70</v>
      </c>
      <c r="O2300">
        <v>159</v>
      </c>
      <c r="P2300">
        <v>1</v>
      </c>
      <c r="Q2300">
        <v>1893</v>
      </c>
      <c r="R2300" s="4">
        <v>45600</v>
      </c>
      <c r="S2300" s="6">
        <v>0.34082175925925928</v>
      </c>
      <c r="T2300">
        <f t="shared" si="142"/>
        <v>16</v>
      </c>
      <c r="U2300" t="str" cm="1">
        <f t="array" ref="U2300">_xlfn.IFS(M2300&lt;=34,"YOUNG",M2300&lt;=54,"MIDDLE AGE",M2300&gt;=55,"OLD")</f>
        <v>OLD</v>
      </c>
      <c r="V2300" t="str">
        <f t="shared" si="143"/>
        <v>NORMAL</v>
      </c>
    </row>
    <row r="2301" spans="1:22" x14ac:dyDescent="0.35">
      <c r="A2301" t="s">
        <v>4219</v>
      </c>
      <c r="B2301" t="s">
        <v>2507</v>
      </c>
      <c r="C2301">
        <v>29.72</v>
      </c>
      <c r="D2301" s="1">
        <v>45126.719652777778</v>
      </c>
      <c r="E2301" s="2">
        <f t="shared" si="140"/>
        <v>0.71965277777781012</v>
      </c>
      <c r="F2301" s="3">
        <f t="shared" si="141"/>
        <v>45126</v>
      </c>
      <c r="G2301" t="s">
        <v>17</v>
      </c>
      <c r="H2301" t="s">
        <v>237</v>
      </c>
      <c r="I2301" t="s">
        <v>3490</v>
      </c>
      <c r="J2301" t="s">
        <v>627</v>
      </c>
      <c r="K2301" t="s">
        <v>820</v>
      </c>
      <c r="L2301" t="s">
        <v>22</v>
      </c>
      <c r="M2301">
        <v>26</v>
      </c>
      <c r="N2301" t="s">
        <v>37</v>
      </c>
      <c r="O2301">
        <v>38</v>
      </c>
      <c r="P2301">
        <v>1</v>
      </c>
      <c r="Q2301">
        <v>1059.6199999999999</v>
      </c>
      <c r="R2301" s="4">
        <v>45600</v>
      </c>
      <c r="S2301" s="6">
        <v>0.33877314814814813</v>
      </c>
      <c r="T2301">
        <f t="shared" si="142"/>
        <v>17</v>
      </c>
      <c r="U2301" t="str" cm="1">
        <f t="array" ref="U2301">_xlfn.IFS(M2301&lt;=34,"YOUNG",M2301&lt;=54,"MIDDLE AGE",M2301&gt;=55,"OLD")</f>
        <v>YOUNG</v>
      </c>
      <c r="V2301" t="str">
        <f t="shared" si="143"/>
        <v>NORMAL</v>
      </c>
    </row>
    <row r="2302" spans="1:22" x14ac:dyDescent="0.35">
      <c r="A2302" t="s">
        <v>4220</v>
      </c>
      <c r="B2302" t="s">
        <v>4221</v>
      </c>
      <c r="C2302">
        <v>301.73</v>
      </c>
      <c r="D2302" s="1">
        <v>45104.695115740738</v>
      </c>
      <c r="E2302" s="2">
        <f t="shared" si="140"/>
        <v>0.69511574073840166</v>
      </c>
      <c r="F2302" s="3">
        <f t="shared" si="141"/>
        <v>45104</v>
      </c>
      <c r="G2302" t="s">
        <v>17</v>
      </c>
      <c r="H2302" t="s">
        <v>255</v>
      </c>
      <c r="I2302" t="s">
        <v>1838</v>
      </c>
      <c r="J2302" t="s">
        <v>3857</v>
      </c>
      <c r="K2302" t="s">
        <v>252</v>
      </c>
      <c r="L2302" t="s">
        <v>36</v>
      </c>
      <c r="M2302">
        <v>67</v>
      </c>
      <c r="N2302" t="s">
        <v>23</v>
      </c>
      <c r="O2302">
        <v>163</v>
      </c>
      <c r="P2302">
        <v>1</v>
      </c>
      <c r="Q2302">
        <v>990.74</v>
      </c>
      <c r="R2302" s="4">
        <v>45600</v>
      </c>
      <c r="S2302" s="6">
        <v>0.33831018518518519</v>
      </c>
      <c r="T2302">
        <f t="shared" si="142"/>
        <v>16</v>
      </c>
      <c r="U2302" t="str" cm="1">
        <f t="array" ref="U2302">_xlfn.IFS(M2302&lt;=34,"YOUNG",M2302&lt;=54,"MIDDLE AGE",M2302&gt;=55,"OLD")</f>
        <v>OLD</v>
      </c>
      <c r="V2302" t="str">
        <f t="shared" si="143"/>
        <v>NORMAL</v>
      </c>
    </row>
    <row r="2303" spans="1:22" x14ac:dyDescent="0.35">
      <c r="A2303" t="s">
        <v>4222</v>
      </c>
      <c r="B2303" t="s">
        <v>1121</v>
      </c>
      <c r="C2303">
        <v>294.61</v>
      </c>
      <c r="D2303" s="1">
        <v>45197.786828703705</v>
      </c>
      <c r="E2303" s="2">
        <f t="shared" si="140"/>
        <v>0.78682870370539604</v>
      </c>
      <c r="F2303" s="3">
        <f t="shared" si="141"/>
        <v>45197</v>
      </c>
      <c r="G2303" t="s">
        <v>17</v>
      </c>
      <c r="H2303" t="s">
        <v>296</v>
      </c>
      <c r="I2303" t="s">
        <v>955</v>
      </c>
      <c r="J2303" t="s">
        <v>696</v>
      </c>
      <c r="K2303" t="s">
        <v>246</v>
      </c>
      <c r="L2303" t="s">
        <v>69</v>
      </c>
      <c r="M2303">
        <v>60</v>
      </c>
      <c r="N2303" t="s">
        <v>70</v>
      </c>
      <c r="O2303">
        <v>74</v>
      </c>
      <c r="P2303">
        <v>1</v>
      </c>
      <c r="Q2303">
        <v>7375.59</v>
      </c>
      <c r="R2303" s="4">
        <v>45600</v>
      </c>
      <c r="S2303" s="6">
        <v>0.33857638888888891</v>
      </c>
      <c r="T2303">
        <f t="shared" si="142"/>
        <v>18</v>
      </c>
      <c r="U2303" t="str" cm="1">
        <f t="array" ref="U2303">_xlfn.IFS(M2303&lt;=34,"YOUNG",M2303&lt;=54,"MIDDLE AGE",M2303&gt;=55,"OLD")</f>
        <v>OLD</v>
      </c>
      <c r="V2303" t="str">
        <f t="shared" si="143"/>
        <v>NORMAL</v>
      </c>
    </row>
    <row r="2304" spans="1:22" x14ac:dyDescent="0.35">
      <c r="A2304" t="s">
        <v>4223</v>
      </c>
      <c r="B2304" t="s">
        <v>1023</v>
      </c>
      <c r="C2304">
        <v>106.43</v>
      </c>
      <c r="D2304" s="1">
        <v>45033.730694444443</v>
      </c>
      <c r="E2304" s="2">
        <f t="shared" si="140"/>
        <v>0.73069444444263354</v>
      </c>
      <c r="F2304" s="3">
        <f t="shared" si="141"/>
        <v>45033</v>
      </c>
      <c r="G2304" t="s">
        <v>46</v>
      </c>
      <c r="H2304" t="s">
        <v>425</v>
      </c>
      <c r="I2304" t="s">
        <v>2029</v>
      </c>
      <c r="J2304" t="s">
        <v>1370</v>
      </c>
      <c r="K2304" t="s">
        <v>370</v>
      </c>
      <c r="L2304" t="s">
        <v>22</v>
      </c>
      <c r="M2304">
        <v>52</v>
      </c>
      <c r="N2304" t="s">
        <v>77</v>
      </c>
      <c r="O2304">
        <v>164</v>
      </c>
      <c r="P2304">
        <v>1</v>
      </c>
      <c r="Q2304">
        <v>9403.1200000000008</v>
      </c>
      <c r="R2304" s="4">
        <v>45600</v>
      </c>
      <c r="S2304" s="6">
        <v>0.34068287037037037</v>
      </c>
      <c r="T2304">
        <f t="shared" si="142"/>
        <v>17</v>
      </c>
      <c r="U2304" t="str" cm="1">
        <f t="array" ref="U2304">_xlfn.IFS(M2304&lt;=34,"YOUNG",M2304&lt;=54,"MIDDLE AGE",M2304&gt;=55,"OLD")</f>
        <v>MIDDLE AGE</v>
      </c>
      <c r="V2304" t="str">
        <f t="shared" si="143"/>
        <v>NORMAL</v>
      </c>
    </row>
    <row r="2305" spans="1:22" x14ac:dyDescent="0.35">
      <c r="A2305" t="s">
        <v>4224</v>
      </c>
      <c r="B2305" t="s">
        <v>3465</v>
      </c>
      <c r="C2305">
        <v>381.52</v>
      </c>
      <c r="D2305" s="1">
        <v>45250.695972222224</v>
      </c>
      <c r="E2305" s="2">
        <f t="shared" si="140"/>
        <v>0.69597222222364508</v>
      </c>
      <c r="F2305" s="3">
        <f t="shared" si="141"/>
        <v>45250</v>
      </c>
      <c r="G2305" t="s">
        <v>17</v>
      </c>
      <c r="H2305" t="s">
        <v>59</v>
      </c>
      <c r="I2305" t="s">
        <v>4225</v>
      </c>
      <c r="J2305" t="s">
        <v>110</v>
      </c>
      <c r="K2305" t="s">
        <v>29</v>
      </c>
      <c r="L2305" t="s">
        <v>36</v>
      </c>
      <c r="M2305">
        <v>36</v>
      </c>
      <c r="N2305" t="s">
        <v>23</v>
      </c>
      <c r="O2305">
        <v>79</v>
      </c>
      <c r="P2305">
        <v>1</v>
      </c>
      <c r="Q2305">
        <v>5798.92</v>
      </c>
      <c r="R2305" s="4">
        <v>45600</v>
      </c>
      <c r="S2305" s="6">
        <v>0.34105324074074073</v>
      </c>
      <c r="T2305">
        <f t="shared" si="142"/>
        <v>16</v>
      </c>
      <c r="U2305" t="str" cm="1">
        <f t="array" ref="U2305">_xlfn.IFS(M2305&lt;=34,"YOUNG",M2305&lt;=54,"MIDDLE AGE",M2305&gt;=55,"OLD")</f>
        <v>MIDDLE AGE</v>
      </c>
      <c r="V2305" t="str">
        <f t="shared" si="143"/>
        <v>NORMAL</v>
      </c>
    </row>
    <row r="2306" spans="1:22" x14ac:dyDescent="0.35">
      <c r="A2306" t="s">
        <v>4226</v>
      </c>
      <c r="B2306" t="s">
        <v>2949</v>
      </c>
      <c r="C2306">
        <v>1142.76</v>
      </c>
      <c r="D2306" s="1">
        <v>45000.715416666666</v>
      </c>
      <c r="E2306" s="2">
        <f t="shared" ref="E2306:E2369" si="144">D2306-INT(D2306)</f>
        <v>0.71541666666598758</v>
      </c>
      <c r="F2306" s="3">
        <f t="shared" ref="F2306:F2369" si="145">INT(D2306)</f>
        <v>45000</v>
      </c>
      <c r="G2306" t="s">
        <v>46</v>
      </c>
      <c r="H2306" t="s">
        <v>26</v>
      </c>
      <c r="I2306" t="s">
        <v>2034</v>
      </c>
      <c r="J2306" t="s">
        <v>361</v>
      </c>
      <c r="K2306" t="s">
        <v>707</v>
      </c>
      <c r="L2306" t="s">
        <v>36</v>
      </c>
      <c r="M2306">
        <v>25</v>
      </c>
      <c r="N2306" t="s">
        <v>37</v>
      </c>
      <c r="O2306">
        <v>71</v>
      </c>
      <c r="P2306">
        <v>1</v>
      </c>
      <c r="Q2306">
        <v>1498.93</v>
      </c>
      <c r="R2306" s="4">
        <v>45600</v>
      </c>
      <c r="S2306" s="6">
        <v>0.34031250000000002</v>
      </c>
      <c r="T2306">
        <f t="shared" si="142"/>
        <v>17</v>
      </c>
      <c r="U2306" t="str" cm="1">
        <f t="array" ref="U2306">_xlfn.IFS(M2306&lt;=34,"YOUNG",M2306&lt;=54,"MIDDLE AGE",M2306&gt;=55,"OLD")</f>
        <v>YOUNG</v>
      </c>
      <c r="V2306" t="str">
        <f t="shared" si="143"/>
        <v>NORMAL</v>
      </c>
    </row>
    <row r="2307" spans="1:22" x14ac:dyDescent="0.35">
      <c r="A2307" t="s">
        <v>4227</v>
      </c>
      <c r="B2307" t="s">
        <v>222</v>
      </c>
      <c r="C2307">
        <v>5.66</v>
      </c>
      <c r="D2307" s="1">
        <v>45264.780289351853</v>
      </c>
      <c r="E2307" s="2">
        <f t="shared" si="144"/>
        <v>0.78028935185284354</v>
      </c>
      <c r="F2307" s="3">
        <f t="shared" si="145"/>
        <v>45264</v>
      </c>
      <c r="G2307" t="s">
        <v>17</v>
      </c>
      <c r="H2307" t="s">
        <v>558</v>
      </c>
      <c r="I2307" t="s">
        <v>852</v>
      </c>
      <c r="J2307" t="s">
        <v>257</v>
      </c>
      <c r="K2307" t="s">
        <v>175</v>
      </c>
      <c r="L2307" t="s">
        <v>69</v>
      </c>
      <c r="M2307">
        <v>40</v>
      </c>
      <c r="N2307" t="s">
        <v>77</v>
      </c>
      <c r="O2307">
        <v>33</v>
      </c>
      <c r="P2307">
        <v>1</v>
      </c>
      <c r="Q2307">
        <v>5434.64</v>
      </c>
      <c r="R2307" s="4">
        <v>45600</v>
      </c>
      <c r="S2307" s="6">
        <v>0.3414699074074074</v>
      </c>
      <c r="T2307">
        <f t="shared" ref="T2307:T2370" si="146">HOUR(E2307)</f>
        <v>18</v>
      </c>
      <c r="U2307" t="str" cm="1">
        <f t="array" ref="U2307">_xlfn.IFS(M2307&lt;=34,"YOUNG",M2307&lt;=54,"MIDDLE AGE",M2307&gt;=55,"OLD")</f>
        <v>MIDDLE AGE</v>
      </c>
      <c r="V2307" t="str">
        <f t="shared" ref="V2307:V2370" si="147">IF(P2307&gt;1,"HIGH","NORMAL")</f>
        <v>NORMAL</v>
      </c>
    </row>
    <row r="2308" spans="1:22" x14ac:dyDescent="0.35">
      <c r="A2308" t="s">
        <v>4228</v>
      </c>
      <c r="B2308" t="s">
        <v>1176</v>
      </c>
      <c r="C2308">
        <v>209.09</v>
      </c>
      <c r="D2308" s="1">
        <v>45237.781087962961</v>
      </c>
      <c r="E2308" s="2">
        <f t="shared" si="144"/>
        <v>0.78108796296146465</v>
      </c>
      <c r="F2308" s="3">
        <f t="shared" si="145"/>
        <v>45237</v>
      </c>
      <c r="G2308" t="s">
        <v>17</v>
      </c>
      <c r="H2308" t="s">
        <v>301</v>
      </c>
      <c r="I2308" t="s">
        <v>1967</v>
      </c>
      <c r="J2308" t="s">
        <v>765</v>
      </c>
      <c r="K2308" t="s">
        <v>50</v>
      </c>
      <c r="L2308" t="s">
        <v>22</v>
      </c>
      <c r="M2308">
        <v>48</v>
      </c>
      <c r="N2308" t="s">
        <v>23</v>
      </c>
      <c r="O2308">
        <v>203</v>
      </c>
      <c r="P2308">
        <v>1</v>
      </c>
      <c r="Q2308">
        <v>9100.81</v>
      </c>
      <c r="R2308" s="4">
        <v>45600</v>
      </c>
      <c r="S2308" s="6">
        <v>0.33785879629629628</v>
      </c>
      <c r="T2308">
        <f t="shared" si="146"/>
        <v>18</v>
      </c>
      <c r="U2308" t="str" cm="1">
        <f t="array" ref="U2308">_xlfn.IFS(M2308&lt;=34,"YOUNG",M2308&lt;=54,"MIDDLE AGE",M2308&gt;=55,"OLD")</f>
        <v>MIDDLE AGE</v>
      </c>
      <c r="V2308" t="str">
        <f t="shared" si="147"/>
        <v>NORMAL</v>
      </c>
    </row>
    <row r="2309" spans="1:22" x14ac:dyDescent="0.35">
      <c r="A2309" t="s">
        <v>4229</v>
      </c>
      <c r="B2309" t="s">
        <v>1854</v>
      </c>
      <c r="C2309">
        <v>521.80999999999995</v>
      </c>
      <c r="D2309" s="1">
        <v>45246.726817129631</v>
      </c>
      <c r="E2309" s="2">
        <f t="shared" si="144"/>
        <v>0.72681712963094469</v>
      </c>
      <c r="F2309" s="3">
        <f t="shared" si="145"/>
        <v>45246</v>
      </c>
      <c r="G2309" t="s">
        <v>17</v>
      </c>
      <c r="H2309" t="s">
        <v>301</v>
      </c>
      <c r="I2309" t="s">
        <v>4230</v>
      </c>
      <c r="J2309" t="s">
        <v>99</v>
      </c>
      <c r="K2309" t="s">
        <v>707</v>
      </c>
      <c r="L2309" t="s">
        <v>22</v>
      </c>
      <c r="M2309">
        <v>47</v>
      </c>
      <c r="N2309" t="s">
        <v>77</v>
      </c>
      <c r="O2309">
        <v>34</v>
      </c>
      <c r="P2309">
        <v>1</v>
      </c>
      <c r="Q2309">
        <v>4750.96</v>
      </c>
      <c r="R2309" s="4">
        <v>45600</v>
      </c>
      <c r="S2309" s="6">
        <v>0.33850694444444446</v>
      </c>
      <c r="T2309">
        <f t="shared" si="146"/>
        <v>17</v>
      </c>
      <c r="U2309" t="str" cm="1">
        <f t="array" ref="U2309">_xlfn.IFS(M2309&lt;=34,"YOUNG",M2309&lt;=54,"MIDDLE AGE",M2309&gt;=55,"OLD")</f>
        <v>MIDDLE AGE</v>
      </c>
      <c r="V2309" t="str">
        <f t="shared" si="147"/>
        <v>NORMAL</v>
      </c>
    </row>
    <row r="2310" spans="1:22" x14ac:dyDescent="0.35">
      <c r="A2310" t="s">
        <v>4231</v>
      </c>
      <c r="B2310" t="s">
        <v>2616</v>
      </c>
      <c r="C2310">
        <v>588.36</v>
      </c>
      <c r="D2310" s="1">
        <v>44935.672731481478</v>
      </c>
      <c r="E2310" s="2">
        <f t="shared" si="144"/>
        <v>0.67273148147796746</v>
      </c>
      <c r="F2310" s="3">
        <f t="shared" si="145"/>
        <v>44935</v>
      </c>
      <c r="G2310" t="s">
        <v>17</v>
      </c>
      <c r="H2310" t="s">
        <v>249</v>
      </c>
      <c r="I2310" t="s">
        <v>2397</v>
      </c>
      <c r="J2310" t="s">
        <v>3352</v>
      </c>
      <c r="K2310" t="s">
        <v>1524</v>
      </c>
      <c r="L2310" t="s">
        <v>36</v>
      </c>
      <c r="M2310">
        <v>33</v>
      </c>
      <c r="N2310" t="s">
        <v>77</v>
      </c>
      <c r="O2310">
        <v>134</v>
      </c>
      <c r="P2310">
        <v>1</v>
      </c>
      <c r="Q2310">
        <v>8434.99</v>
      </c>
      <c r="R2310" s="4">
        <v>45600</v>
      </c>
      <c r="S2310" s="6">
        <v>0.34053240740740742</v>
      </c>
      <c r="T2310">
        <f t="shared" si="146"/>
        <v>16</v>
      </c>
      <c r="U2310" t="str" cm="1">
        <f t="array" ref="U2310">_xlfn.IFS(M2310&lt;=34,"YOUNG",M2310&lt;=54,"MIDDLE AGE",M2310&gt;=55,"OLD")</f>
        <v>YOUNG</v>
      </c>
      <c r="V2310" t="str">
        <f t="shared" si="147"/>
        <v>NORMAL</v>
      </c>
    </row>
    <row r="2311" spans="1:22" x14ac:dyDescent="0.35">
      <c r="A2311" t="s">
        <v>4232</v>
      </c>
      <c r="B2311" t="s">
        <v>756</v>
      </c>
      <c r="C2311">
        <v>146.66999999999999</v>
      </c>
      <c r="D2311" s="1">
        <v>45230.670138888891</v>
      </c>
      <c r="E2311" s="2">
        <f t="shared" si="144"/>
        <v>0.67013888889050577</v>
      </c>
      <c r="F2311" s="3">
        <f t="shared" si="145"/>
        <v>45230</v>
      </c>
      <c r="G2311" t="s">
        <v>17</v>
      </c>
      <c r="H2311" t="s">
        <v>86</v>
      </c>
      <c r="I2311" t="s">
        <v>1031</v>
      </c>
      <c r="J2311" t="s">
        <v>2353</v>
      </c>
      <c r="K2311" t="s">
        <v>105</v>
      </c>
      <c r="L2311" t="s">
        <v>36</v>
      </c>
      <c r="M2311">
        <v>20</v>
      </c>
      <c r="N2311" t="s">
        <v>37</v>
      </c>
      <c r="O2311">
        <v>273</v>
      </c>
      <c r="P2311">
        <v>1</v>
      </c>
      <c r="Q2311">
        <v>1569.75</v>
      </c>
      <c r="R2311" s="4">
        <v>45600</v>
      </c>
      <c r="S2311" s="6">
        <v>0.34104166666666669</v>
      </c>
      <c r="T2311">
        <f t="shared" si="146"/>
        <v>16</v>
      </c>
      <c r="U2311" t="str" cm="1">
        <f t="array" ref="U2311">_xlfn.IFS(M2311&lt;=34,"YOUNG",M2311&lt;=54,"MIDDLE AGE",M2311&gt;=55,"OLD")</f>
        <v>YOUNG</v>
      </c>
      <c r="V2311" t="str">
        <f t="shared" si="147"/>
        <v>NORMAL</v>
      </c>
    </row>
    <row r="2312" spans="1:22" x14ac:dyDescent="0.35">
      <c r="A2312" t="s">
        <v>4233</v>
      </c>
      <c r="B2312" t="s">
        <v>2530</v>
      </c>
      <c r="C2312">
        <v>176.52</v>
      </c>
      <c r="D2312" s="1">
        <v>44999.712708333333</v>
      </c>
      <c r="E2312" s="2">
        <f t="shared" si="144"/>
        <v>0.71270833333255723</v>
      </c>
      <c r="F2312" s="3">
        <f t="shared" si="145"/>
        <v>44999</v>
      </c>
      <c r="G2312" t="s">
        <v>46</v>
      </c>
      <c r="H2312" t="s">
        <v>18</v>
      </c>
      <c r="I2312" t="s">
        <v>3318</v>
      </c>
      <c r="J2312" t="s">
        <v>799</v>
      </c>
      <c r="K2312" t="s">
        <v>154</v>
      </c>
      <c r="L2312" t="s">
        <v>36</v>
      </c>
      <c r="M2312">
        <v>73</v>
      </c>
      <c r="N2312" t="s">
        <v>70</v>
      </c>
      <c r="O2312">
        <v>94</v>
      </c>
      <c r="P2312">
        <v>5</v>
      </c>
      <c r="Q2312">
        <v>7132.08</v>
      </c>
      <c r="R2312" s="4">
        <v>45600</v>
      </c>
      <c r="S2312" s="6">
        <v>0.33936342592592594</v>
      </c>
      <c r="T2312">
        <f t="shared" si="146"/>
        <v>17</v>
      </c>
      <c r="U2312" t="str" cm="1">
        <f t="array" ref="U2312">_xlfn.IFS(M2312&lt;=34,"YOUNG",M2312&lt;=54,"MIDDLE AGE",M2312&gt;=55,"OLD")</f>
        <v>OLD</v>
      </c>
      <c r="V2312" t="str">
        <f t="shared" si="147"/>
        <v>HIGH</v>
      </c>
    </row>
    <row r="2313" spans="1:22" x14ac:dyDescent="0.35">
      <c r="A2313" t="s">
        <v>4234</v>
      </c>
      <c r="B2313" t="s">
        <v>594</v>
      </c>
      <c r="C2313">
        <v>57.34</v>
      </c>
      <c r="D2313" s="1">
        <v>45222.669317129628</v>
      </c>
      <c r="E2313" s="2">
        <f t="shared" si="144"/>
        <v>0.66931712962832535</v>
      </c>
      <c r="F2313" s="3">
        <f t="shared" si="145"/>
        <v>45222</v>
      </c>
      <c r="G2313" t="s">
        <v>17</v>
      </c>
      <c r="H2313" t="s">
        <v>47</v>
      </c>
      <c r="I2313" t="s">
        <v>4235</v>
      </c>
      <c r="J2313" t="s">
        <v>3721</v>
      </c>
      <c r="K2313" t="s">
        <v>548</v>
      </c>
      <c r="L2313" t="s">
        <v>36</v>
      </c>
      <c r="M2313">
        <v>27</v>
      </c>
      <c r="N2313" t="s">
        <v>37</v>
      </c>
      <c r="O2313">
        <v>81</v>
      </c>
      <c r="P2313">
        <v>1</v>
      </c>
      <c r="Q2313">
        <v>1100.6400000000001</v>
      </c>
      <c r="R2313" s="4">
        <v>45600</v>
      </c>
      <c r="S2313" s="6">
        <v>0.34053240740740742</v>
      </c>
      <c r="T2313">
        <f t="shared" si="146"/>
        <v>16</v>
      </c>
      <c r="U2313" t="str" cm="1">
        <f t="array" ref="U2313">_xlfn.IFS(M2313&lt;=34,"YOUNG",M2313&lt;=54,"MIDDLE AGE",M2313&gt;=55,"OLD")</f>
        <v>YOUNG</v>
      </c>
      <c r="V2313" t="str">
        <f t="shared" si="147"/>
        <v>NORMAL</v>
      </c>
    </row>
    <row r="2314" spans="1:22" x14ac:dyDescent="0.35">
      <c r="A2314" t="s">
        <v>4236</v>
      </c>
      <c r="B2314" t="s">
        <v>1659</v>
      </c>
      <c r="C2314">
        <v>294.77</v>
      </c>
      <c r="D2314" s="1">
        <v>45209.720127314817</v>
      </c>
      <c r="E2314" s="2">
        <f t="shared" si="144"/>
        <v>0.7201273148166365</v>
      </c>
      <c r="F2314" s="3">
        <f t="shared" si="145"/>
        <v>45209</v>
      </c>
      <c r="G2314" t="s">
        <v>17</v>
      </c>
      <c r="H2314" t="s">
        <v>243</v>
      </c>
      <c r="I2314" t="s">
        <v>1479</v>
      </c>
      <c r="J2314" t="s">
        <v>3364</v>
      </c>
      <c r="K2314" t="s">
        <v>343</v>
      </c>
      <c r="L2314" t="s">
        <v>36</v>
      </c>
      <c r="M2314">
        <v>77</v>
      </c>
      <c r="N2314" t="s">
        <v>70</v>
      </c>
      <c r="O2314">
        <v>101</v>
      </c>
      <c r="P2314">
        <v>1</v>
      </c>
      <c r="Q2314">
        <v>2272.17</v>
      </c>
      <c r="R2314" s="4">
        <v>45600</v>
      </c>
      <c r="S2314" s="6">
        <v>0.34030092592592592</v>
      </c>
      <c r="T2314">
        <f t="shared" si="146"/>
        <v>17</v>
      </c>
      <c r="U2314" t="str" cm="1">
        <f t="array" ref="U2314">_xlfn.IFS(M2314&lt;=34,"YOUNG",M2314&lt;=54,"MIDDLE AGE",M2314&gt;=55,"OLD")</f>
        <v>OLD</v>
      </c>
      <c r="V2314" t="str">
        <f t="shared" si="147"/>
        <v>NORMAL</v>
      </c>
    </row>
    <row r="2315" spans="1:22" x14ac:dyDescent="0.35">
      <c r="A2315" t="s">
        <v>4237</v>
      </c>
      <c r="B2315" t="s">
        <v>2179</v>
      </c>
      <c r="C2315">
        <v>881.32</v>
      </c>
      <c r="D2315" s="1">
        <v>45169.728506944448</v>
      </c>
      <c r="E2315" s="2">
        <f t="shared" si="144"/>
        <v>0.72850694444787223</v>
      </c>
      <c r="F2315" s="3">
        <f t="shared" si="145"/>
        <v>45169</v>
      </c>
      <c r="G2315" t="s">
        <v>17</v>
      </c>
      <c r="H2315" t="s">
        <v>506</v>
      </c>
      <c r="I2315" t="s">
        <v>1734</v>
      </c>
      <c r="J2315" t="s">
        <v>3526</v>
      </c>
      <c r="K2315" t="s">
        <v>21</v>
      </c>
      <c r="L2315" t="s">
        <v>36</v>
      </c>
      <c r="M2315">
        <v>31</v>
      </c>
      <c r="N2315" t="s">
        <v>77</v>
      </c>
      <c r="O2315">
        <v>59</v>
      </c>
      <c r="P2315">
        <v>1</v>
      </c>
      <c r="Q2315">
        <v>2287.9299999999998</v>
      </c>
      <c r="R2315" s="4">
        <v>45600</v>
      </c>
      <c r="S2315" s="6">
        <v>0.33810185185185188</v>
      </c>
      <c r="T2315">
        <f t="shared" si="146"/>
        <v>17</v>
      </c>
      <c r="U2315" t="str" cm="1">
        <f t="array" ref="U2315">_xlfn.IFS(M2315&lt;=34,"YOUNG",M2315&lt;=54,"MIDDLE AGE",M2315&gt;=55,"OLD")</f>
        <v>YOUNG</v>
      </c>
      <c r="V2315" t="str">
        <f t="shared" si="147"/>
        <v>NORMAL</v>
      </c>
    </row>
    <row r="2316" spans="1:22" x14ac:dyDescent="0.35">
      <c r="A2316" t="s">
        <v>4238</v>
      </c>
      <c r="B2316" t="s">
        <v>843</v>
      </c>
      <c r="C2316">
        <v>162.59</v>
      </c>
      <c r="D2316" s="1">
        <v>44979.679537037038</v>
      </c>
      <c r="E2316" s="2">
        <f t="shared" si="144"/>
        <v>0.67953703703824431</v>
      </c>
      <c r="F2316" s="3">
        <f t="shared" si="145"/>
        <v>44979</v>
      </c>
      <c r="G2316" t="s">
        <v>17</v>
      </c>
      <c r="H2316" t="s">
        <v>65</v>
      </c>
      <c r="I2316" t="s">
        <v>1777</v>
      </c>
      <c r="J2316" t="s">
        <v>1953</v>
      </c>
      <c r="K2316" t="s">
        <v>634</v>
      </c>
      <c r="L2316" t="s">
        <v>69</v>
      </c>
      <c r="M2316">
        <v>64</v>
      </c>
      <c r="N2316" t="s">
        <v>70</v>
      </c>
      <c r="O2316">
        <v>19</v>
      </c>
      <c r="P2316">
        <v>1</v>
      </c>
      <c r="Q2316">
        <v>7104.83</v>
      </c>
      <c r="R2316" s="4">
        <v>45600</v>
      </c>
      <c r="S2316" s="6">
        <v>0.3394212962962963</v>
      </c>
      <c r="T2316">
        <f t="shared" si="146"/>
        <v>16</v>
      </c>
      <c r="U2316" t="str" cm="1">
        <f t="array" ref="U2316">_xlfn.IFS(M2316&lt;=34,"YOUNG",M2316&lt;=54,"MIDDLE AGE",M2316&gt;=55,"OLD")</f>
        <v>OLD</v>
      </c>
      <c r="V2316" t="str">
        <f t="shared" si="147"/>
        <v>NORMAL</v>
      </c>
    </row>
    <row r="2317" spans="1:22" x14ac:dyDescent="0.35">
      <c r="A2317" t="s">
        <v>4239</v>
      </c>
      <c r="B2317" t="s">
        <v>2701</v>
      </c>
      <c r="C2317">
        <v>56.15</v>
      </c>
      <c r="D2317" s="1">
        <v>45288.787141203706</v>
      </c>
      <c r="E2317" s="2">
        <f t="shared" si="144"/>
        <v>0.78714120370568708</v>
      </c>
      <c r="F2317" s="3">
        <f t="shared" si="145"/>
        <v>45288</v>
      </c>
      <c r="G2317" t="s">
        <v>17</v>
      </c>
      <c r="H2317" t="s">
        <v>80</v>
      </c>
      <c r="I2317" t="s">
        <v>4240</v>
      </c>
      <c r="J2317" t="s">
        <v>3334</v>
      </c>
      <c r="K2317" t="s">
        <v>548</v>
      </c>
      <c r="L2317" t="s">
        <v>69</v>
      </c>
      <c r="M2317">
        <v>31</v>
      </c>
      <c r="N2317" t="s">
        <v>23</v>
      </c>
      <c r="O2317">
        <v>77</v>
      </c>
      <c r="P2317">
        <v>1</v>
      </c>
      <c r="Q2317">
        <v>13265.92</v>
      </c>
      <c r="R2317" s="4">
        <v>45600</v>
      </c>
      <c r="S2317" s="6">
        <v>0.33961805555555558</v>
      </c>
      <c r="T2317">
        <f t="shared" si="146"/>
        <v>18</v>
      </c>
      <c r="U2317" t="str" cm="1">
        <f t="array" ref="U2317">_xlfn.IFS(M2317&lt;=34,"YOUNG",M2317&lt;=54,"MIDDLE AGE",M2317&gt;=55,"OLD")</f>
        <v>YOUNG</v>
      </c>
      <c r="V2317" t="str">
        <f t="shared" si="147"/>
        <v>NORMAL</v>
      </c>
    </row>
    <row r="2318" spans="1:22" x14ac:dyDescent="0.35">
      <c r="A2318" t="s">
        <v>4241</v>
      </c>
      <c r="B2318" t="s">
        <v>1520</v>
      </c>
      <c r="C2318">
        <v>524.54999999999995</v>
      </c>
      <c r="D2318" s="1">
        <v>45188.688888888886</v>
      </c>
      <c r="E2318" s="2">
        <f t="shared" si="144"/>
        <v>0.68888888888614019</v>
      </c>
      <c r="F2318" s="3">
        <f t="shared" si="145"/>
        <v>45188</v>
      </c>
      <c r="G2318" t="s">
        <v>17</v>
      </c>
      <c r="H2318" t="s">
        <v>506</v>
      </c>
      <c r="I2318" t="s">
        <v>2698</v>
      </c>
      <c r="J2318" t="s">
        <v>1309</v>
      </c>
      <c r="K2318" t="s">
        <v>137</v>
      </c>
      <c r="L2318" t="s">
        <v>22</v>
      </c>
      <c r="M2318">
        <v>39</v>
      </c>
      <c r="N2318" t="s">
        <v>23</v>
      </c>
      <c r="O2318">
        <v>175</v>
      </c>
      <c r="P2318">
        <v>1</v>
      </c>
      <c r="Q2318">
        <v>8292.75</v>
      </c>
      <c r="R2318" s="4">
        <v>45600</v>
      </c>
      <c r="S2318" s="6">
        <v>0.33819444444444446</v>
      </c>
      <c r="T2318">
        <f t="shared" si="146"/>
        <v>16</v>
      </c>
      <c r="U2318" t="str" cm="1">
        <f t="array" ref="U2318">_xlfn.IFS(M2318&lt;=34,"YOUNG",M2318&lt;=54,"MIDDLE AGE",M2318&gt;=55,"OLD")</f>
        <v>MIDDLE AGE</v>
      </c>
      <c r="V2318" t="str">
        <f t="shared" si="147"/>
        <v>NORMAL</v>
      </c>
    </row>
    <row r="2319" spans="1:22" x14ac:dyDescent="0.35">
      <c r="A2319" t="s">
        <v>4242</v>
      </c>
      <c r="B2319" t="s">
        <v>913</v>
      </c>
      <c r="C2319">
        <v>535.4</v>
      </c>
      <c r="D2319" s="1">
        <v>45058.776516203703</v>
      </c>
      <c r="E2319" s="2">
        <f t="shared" si="144"/>
        <v>0.77651620370306773</v>
      </c>
      <c r="F2319" s="3">
        <f t="shared" si="145"/>
        <v>45058</v>
      </c>
      <c r="G2319" t="s">
        <v>17</v>
      </c>
      <c r="H2319" t="s">
        <v>18</v>
      </c>
      <c r="I2319" t="s">
        <v>457</v>
      </c>
      <c r="J2319" t="s">
        <v>230</v>
      </c>
      <c r="K2319" t="s">
        <v>282</v>
      </c>
      <c r="L2319" t="s">
        <v>69</v>
      </c>
      <c r="M2319">
        <v>23</v>
      </c>
      <c r="N2319" t="s">
        <v>37</v>
      </c>
      <c r="O2319">
        <v>110</v>
      </c>
      <c r="P2319">
        <v>1</v>
      </c>
      <c r="Q2319">
        <v>651.84</v>
      </c>
      <c r="R2319" s="4">
        <v>45600</v>
      </c>
      <c r="S2319" s="6">
        <v>0.33946759259259257</v>
      </c>
      <c r="T2319">
        <f t="shared" si="146"/>
        <v>18</v>
      </c>
      <c r="U2319" t="str" cm="1">
        <f t="array" ref="U2319">_xlfn.IFS(M2319&lt;=34,"YOUNG",M2319&lt;=54,"MIDDLE AGE",M2319&gt;=55,"OLD")</f>
        <v>YOUNG</v>
      </c>
      <c r="V2319" t="str">
        <f t="shared" si="147"/>
        <v>NORMAL</v>
      </c>
    </row>
    <row r="2320" spans="1:22" x14ac:dyDescent="0.35">
      <c r="A2320" t="s">
        <v>4243</v>
      </c>
      <c r="B2320" t="s">
        <v>801</v>
      </c>
      <c r="C2320">
        <v>56.84</v>
      </c>
      <c r="D2320" s="1">
        <v>45152.728819444441</v>
      </c>
      <c r="E2320" s="2">
        <f t="shared" si="144"/>
        <v>0.72881944444088731</v>
      </c>
      <c r="F2320" s="3">
        <f t="shared" si="145"/>
        <v>45152</v>
      </c>
      <c r="G2320" t="s">
        <v>17</v>
      </c>
      <c r="H2320" t="s">
        <v>40</v>
      </c>
      <c r="I2320" t="s">
        <v>3845</v>
      </c>
      <c r="J2320" t="s">
        <v>1202</v>
      </c>
      <c r="K2320" t="s">
        <v>769</v>
      </c>
      <c r="L2320" t="s">
        <v>22</v>
      </c>
      <c r="M2320">
        <v>45</v>
      </c>
      <c r="N2320" t="s">
        <v>77</v>
      </c>
      <c r="O2320">
        <v>185</v>
      </c>
      <c r="P2320">
        <v>1</v>
      </c>
      <c r="Q2320">
        <v>7977.78</v>
      </c>
      <c r="R2320" s="4">
        <v>45600</v>
      </c>
      <c r="S2320" s="6">
        <v>0.34019675925925924</v>
      </c>
      <c r="T2320">
        <f t="shared" si="146"/>
        <v>17</v>
      </c>
      <c r="U2320" t="str" cm="1">
        <f t="array" ref="U2320">_xlfn.IFS(M2320&lt;=34,"YOUNG",M2320&lt;=54,"MIDDLE AGE",M2320&gt;=55,"OLD")</f>
        <v>MIDDLE AGE</v>
      </c>
      <c r="V2320" t="str">
        <f t="shared" si="147"/>
        <v>NORMAL</v>
      </c>
    </row>
    <row r="2321" spans="1:22" x14ac:dyDescent="0.35">
      <c r="A2321" t="s">
        <v>4244</v>
      </c>
      <c r="B2321" t="s">
        <v>3136</v>
      </c>
      <c r="C2321">
        <v>135.94</v>
      </c>
      <c r="D2321" s="1">
        <v>44944.700370370374</v>
      </c>
      <c r="E2321" s="2">
        <f t="shared" si="144"/>
        <v>0.70037037037400296</v>
      </c>
      <c r="F2321" s="3">
        <f t="shared" si="145"/>
        <v>44944</v>
      </c>
      <c r="G2321" t="s">
        <v>17</v>
      </c>
      <c r="H2321" t="s">
        <v>26</v>
      </c>
      <c r="I2321" t="s">
        <v>582</v>
      </c>
      <c r="J2321" t="s">
        <v>2775</v>
      </c>
      <c r="K2321" t="s">
        <v>68</v>
      </c>
      <c r="L2321" t="s">
        <v>69</v>
      </c>
      <c r="M2321">
        <v>71</v>
      </c>
      <c r="N2321" t="s">
        <v>70</v>
      </c>
      <c r="O2321">
        <v>258</v>
      </c>
      <c r="P2321">
        <v>1</v>
      </c>
      <c r="Q2321">
        <v>4710.21</v>
      </c>
      <c r="R2321" s="4">
        <v>45600</v>
      </c>
      <c r="S2321" s="6">
        <v>0.34030092592592592</v>
      </c>
      <c r="T2321">
        <f t="shared" si="146"/>
        <v>16</v>
      </c>
      <c r="U2321" t="str" cm="1">
        <f t="array" ref="U2321">_xlfn.IFS(M2321&lt;=34,"YOUNG",M2321&lt;=54,"MIDDLE AGE",M2321&gt;=55,"OLD")</f>
        <v>OLD</v>
      </c>
      <c r="V2321" t="str">
        <f t="shared" si="147"/>
        <v>NORMAL</v>
      </c>
    </row>
    <row r="2322" spans="1:22" x14ac:dyDescent="0.35">
      <c r="A2322" t="s">
        <v>4245</v>
      </c>
      <c r="B2322" t="s">
        <v>367</v>
      </c>
      <c r="C2322">
        <v>47.1</v>
      </c>
      <c r="D2322" s="1">
        <v>45110.726956018516</v>
      </c>
      <c r="E2322" s="2">
        <f t="shared" si="144"/>
        <v>0.72695601851592073</v>
      </c>
      <c r="F2322" s="3">
        <f t="shared" si="145"/>
        <v>45110</v>
      </c>
      <c r="G2322" t="s">
        <v>46</v>
      </c>
      <c r="H2322" t="s">
        <v>453</v>
      </c>
      <c r="I2322" t="s">
        <v>2944</v>
      </c>
      <c r="J2322" t="s">
        <v>894</v>
      </c>
      <c r="K2322" t="s">
        <v>1037</v>
      </c>
      <c r="L2322" t="s">
        <v>69</v>
      </c>
      <c r="M2322">
        <v>42</v>
      </c>
      <c r="N2322" t="s">
        <v>23</v>
      </c>
      <c r="O2322">
        <v>178</v>
      </c>
      <c r="P2322">
        <v>1</v>
      </c>
      <c r="Q2322">
        <v>6308.07</v>
      </c>
      <c r="R2322" s="4">
        <v>45600</v>
      </c>
      <c r="S2322" s="6">
        <v>0.34004629629629629</v>
      </c>
      <c r="T2322">
        <f t="shared" si="146"/>
        <v>17</v>
      </c>
      <c r="U2322" t="str" cm="1">
        <f t="array" ref="U2322">_xlfn.IFS(M2322&lt;=34,"YOUNG",M2322&lt;=54,"MIDDLE AGE",M2322&gt;=55,"OLD")</f>
        <v>MIDDLE AGE</v>
      </c>
      <c r="V2322" t="str">
        <f t="shared" si="147"/>
        <v>NORMAL</v>
      </c>
    </row>
    <row r="2323" spans="1:22" x14ac:dyDescent="0.35">
      <c r="A2323" t="s">
        <v>4246</v>
      </c>
      <c r="B2323" t="s">
        <v>1854</v>
      </c>
      <c r="C2323">
        <v>124.05</v>
      </c>
      <c r="D2323" s="1">
        <v>45224.701412037037</v>
      </c>
      <c r="E2323" s="2">
        <f t="shared" si="144"/>
        <v>0.70141203703678912</v>
      </c>
      <c r="F2323" s="3">
        <f t="shared" si="145"/>
        <v>45224</v>
      </c>
      <c r="G2323" t="s">
        <v>46</v>
      </c>
      <c r="H2323" t="s">
        <v>86</v>
      </c>
      <c r="I2323" t="s">
        <v>955</v>
      </c>
      <c r="J2323" t="s">
        <v>870</v>
      </c>
      <c r="K2323" t="s">
        <v>1000</v>
      </c>
      <c r="L2323" t="s">
        <v>69</v>
      </c>
      <c r="M2323">
        <v>61</v>
      </c>
      <c r="N2323" t="s">
        <v>23</v>
      </c>
      <c r="O2323">
        <v>220</v>
      </c>
      <c r="P2323">
        <v>1</v>
      </c>
      <c r="Q2323">
        <v>7009.54</v>
      </c>
      <c r="R2323" s="4">
        <v>45600</v>
      </c>
      <c r="S2323" s="6">
        <v>0.34177083333333336</v>
      </c>
      <c r="T2323">
        <f t="shared" si="146"/>
        <v>16</v>
      </c>
      <c r="U2323" t="str" cm="1">
        <f t="array" ref="U2323">_xlfn.IFS(M2323&lt;=34,"YOUNG",M2323&lt;=54,"MIDDLE AGE",M2323&gt;=55,"OLD")</f>
        <v>OLD</v>
      </c>
      <c r="V2323" t="str">
        <f t="shared" si="147"/>
        <v>NORMAL</v>
      </c>
    </row>
    <row r="2324" spans="1:22" x14ac:dyDescent="0.35">
      <c r="A2324" t="s">
        <v>4247</v>
      </c>
      <c r="B2324" t="s">
        <v>1368</v>
      </c>
      <c r="C2324">
        <v>802.89</v>
      </c>
      <c r="D2324" s="1">
        <v>45166.772222222222</v>
      </c>
      <c r="E2324" s="2">
        <f t="shared" si="144"/>
        <v>0.77222222222189885</v>
      </c>
      <c r="F2324" s="3">
        <f t="shared" si="145"/>
        <v>45166</v>
      </c>
      <c r="G2324" t="s">
        <v>17</v>
      </c>
      <c r="H2324" t="s">
        <v>265</v>
      </c>
      <c r="I2324" t="s">
        <v>2947</v>
      </c>
      <c r="J2324" t="s">
        <v>293</v>
      </c>
      <c r="K2324" t="s">
        <v>980</v>
      </c>
      <c r="L2324" t="s">
        <v>22</v>
      </c>
      <c r="M2324">
        <v>19</v>
      </c>
      <c r="N2324" t="s">
        <v>37</v>
      </c>
      <c r="O2324">
        <v>175</v>
      </c>
      <c r="P2324">
        <v>1</v>
      </c>
      <c r="Q2324">
        <v>1973.63</v>
      </c>
      <c r="R2324" s="4">
        <v>45600</v>
      </c>
      <c r="S2324" s="6">
        <v>0.3411689814814815</v>
      </c>
      <c r="T2324">
        <f t="shared" si="146"/>
        <v>18</v>
      </c>
      <c r="U2324" t="str" cm="1">
        <f t="array" ref="U2324">_xlfn.IFS(M2324&lt;=34,"YOUNG",M2324&lt;=54,"MIDDLE AGE",M2324&gt;=55,"OLD")</f>
        <v>YOUNG</v>
      </c>
      <c r="V2324" t="str">
        <f t="shared" si="147"/>
        <v>NORMAL</v>
      </c>
    </row>
    <row r="2325" spans="1:22" x14ac:dyDescent="0.35">
      <c r="A2325" t="s">
        <v>4248</v>
      </c>
      <c r="B2325" t="s">
        <v>2073</v>
      </c>
      <c r="C2325">
        <v>193.16</v>
      </c>
      <c r="D2325" s="1">
        <v>45022.695497685185</v>
      </c>
      <c r="E2325" s="2">
        <f t="shared" si="144"/>
        <v>0.69549768518481869</v>
      </c>
      <c r="F2325" s="3">
        <f t="shared" si="145"/>
        <v>45022</v>
      </c>
      <c r="G2325" t="s">
        <v>17</v>
      </c>
      <c r="H2325" t="s">
        <v>249</v>
      </c>
      <c r="I2325" t="s">
        <v>393</v>
      </c>
      <c r="J2325" t="s">
        <v>1387</v>
      </c>
      <c r="K2325" t="s">
        <v>740</v>
      </c>
      <c r="L2325" t="s">
        <v>22</v>
      </c>
      <c r="M2325">
        <v>64</v>
      </c>
      <c r="N2325" t="s">
        <v>70</v>
      </c>
      <c r="O2325">
        <v>109</v>
      </c>
      <c r="P2325">
        <v>1</v>
      </c>
      <c r="Q2325">
        <v>2304.56</v>
      </c>
      <c r="R2325" s="4">
        <v>45600</v>
      </c>
      <c r="S2325" s="6">
        <v>0.33834490740740741</v>
      </c>
      <c r="T2325">
        <f t="shared" si="146"/>
        <v>16</v>
      </c>
      <c r="U2325" t="str" cm="1">
        <f t="array" ref="U2325">_xlfn.IFS(M2325&lt;=34,"YOUNG",M2325&lt;=54,"MIDDLE AGE",M2325&gt;=55,"OLD")</f>
        <v>OLD</v>
      </c>
      <c r="V2325" t="str">
        <f t="shared" si="147"/>
        <v>NORMAL</v>
      </c>
    </row>
    <row r="2326" spans="1:22" x14ac:dyDescent="0.35">
      <c r="A2326" t="s">
        <v>4249</v>
      </c>
      <c r="B2326" t="s">
        <v>1016</v>
      </c>
      <c r="C2326">
        <v>541.52</v>
      </c>
      <c r="D2326" s="1">
        <v>45105.74114583333</v>
      </c>
      <c r="E2326" s="2">
        <f t="shared" si="144"/>
        <v>0.74114583332993789</v>
      </c>
      <c r="F2326" s="3">
        <f t="shared" si="145"/>
        <v>45105</v>
      </c>
      <c r="G2326" t="s">
        <v>46</v>
      </c>
      <c r="H2326" t="s">
        <v>65</v>
      </c>
      <c r="I2326" t="s">
        <v>4240</v>
      </c>
      <c r="J2326" t="s">
        <v>2140</v>
      </c>
      <c r="K2326" t="s">
        <v>209</v>
      </c>
      <c r="L2326" t="s">
        <v>69</v>
      </c>
      <c r="M2326">
        <v>48</v>
      </c>
      <c r="N2326" t="s">
        <v>77</v>
      </c>
      <c r="O2326">
        <v>161</v>
      </c>
      <c r="P2326">
        <v>1</v>
      </c>
      <c r="Q2326">
        <v>6087.24</v>
      </c>
      <c r="R2326" s="4">
        <v>45600</v>
      </c>
      <c r="S2326" s="6">
        <v>0.33930555555555558</v>
      </c>
      <c r="T2326">
        <f t="shared" si="146"/>
        <v>17</v>
      </c>
      <c r="U2326" t="str" cm="1">
        <f t="array" ref="U2326">_xlfn.IFS(M2326&lt;=34,"YOUNG",M2326&lt;=54,"MIDDLE AGE",M2326&gt;=55,"OLD")</f>
        <v>MIDDLE AGE</v>
      </c>
      <c r="V2326" t="str">
        <f t="shared" si="147"/>
        <v>NORMAL</v>
      </c>
    </row>
    <row r="2327" spans="1:22" x14ac:dyDescent="0.35">
      <c r="A2327" t="s">
        <v>4250</v>
      </c>
      <c r="B2327" t="s">
        <v>3702</v>
      </c>
      <c r="C2327">
        <v>20.170000000000002</v>
      </c>
      <c r="D2327" s="1">
        <v>44928.697974537034</v>
      </c>
      <c r="E2327" s="2">
        <f t="shared" si="144"/>
        <v>0.69797453703358769</v>
      </c>
      <c r="F2327" s="3">
        <f t="shared" si="145"/>
        <v>44928</v>
      </c>
      <c r="G2327" t="s">
        <v>17</v>
      </c>
      <c r="H2327" t="s">
        <v>237</v>
      </c>
      <c r="I2327" t="s">
        <v>1441</v>
      </c>
      <c r="J2327" t="s">
        <v>1884</v>
      </c>
      <c r="K2327" t="s">
        <v>769</v>
      </c>
      <c r="L2327" t="s">
        <v>22</v>
      </c>
      <c r="M2327">
        <v>77</v>
      </c>
      <c r="N2327" t="s">
        <v>70</v>
      </c>
      <c r="O2327">
        <v>86</v>
      </c>
      <c r="P2327">
        <v>1</v>
      </c>
      <c r="Q2327">
        <v>3869.37</v>
      </c>
      <c r="R2327" s="4">
        <v>45600</v>
      </c>
      <c r="S2327" s="6">
        <v>0.33934027777777775</v>
      </c>
      <c r="T2327">
        <f t="shared" si="146"/>
        <v>16</v>
      </c>
      <c r="U2327" t="str" cm="1">
        <f t="array" ref="U2327">_xlfn.IFS(M2327&lt;=34,"YOUNG",M2327&lt;=54,"MIDDLE AGE",M2327&gt;=55,"OLD")</f>
        <v>OLD</v>
      </c>
      <c r="V2327" t="str">
        <f t="shared" si="147"/>
        <v>NORMAL</v>
      </c>
    </row>
    <row r="2328" spans="1:22" x14ac:dyDescent="0.35">
      <c r="A2328" t="s">
        <v>4251</v>
      </c>
      <c r="B2328" t="s">
        <v>3654</v>
      </c>
      <c r="C2328">
        <v>35.979999999999997</v>
      </c>
      <c r="D2328" s="1">
        <v>45155.676932870374</v>
      </c>
      <c r="E2328" s="2">
        <f t="shared" si="144"/>
        <v>0.67693287037400296</v>
      </c>
      <c r="F2328" s="3">
        <f t="shared" si="145"/>
        <v>45155</v>
      </c>
      <c r="G2328" t="s">
        <v>46</v>
      </c>
      <c r="H2328" t="s">
        <v>80</v>
      </c>
      <c r="I2328" t="s">
        <v>4252</v>
      </c>
      <c r="J2328" t="s">
        <v>3767</v>
      </c>
      <c r="K2328" t="s">
        <v>432</v>
      </c>
      <c r="L2328" t="s">
        <v>69</v>
      </c>
      <c r="M2328">
        <v>40</v>
      </c>
      <c r="N2328" t="s">
        <v>23</v>
      </c>
      <c r="O2328">
        <v>133</v>
      </c>
      <c r="P2328">
        <v>1</v>
      </c>
      <c r="Q2328">
        <v>11147.34</v>
      </c>
      <c r="R2328" s="4">
        <v>45600</v>
      </c>
      <c r="S2328" s="6">
        <v>0.33818287037037037</v>
      </c>
      <c r="T2328">
        <f t="shared" si="146"/>
        <v>16</v>
      </c>
      <c r="U2328" t="str" cm="1">
        <f t="array" ref="U2328">_xlfn.IFS(M2328&lt;=34,"YOUNG",M2328&lt;=54,"MIDDLE AGE",M2328&gt;=55,"OLD")</f>
        <v>MIDDLE AGE</v>
      </c>
      <c r="V2328" t="str">
        <f t="shared" si="147"/>
        <v>NORMAL</v>
      </c>
    </row>
    <row r="2329" spans="1:22" x14ac:dyDescent="0.35">
      <c r="A2329" t="s">
        <v>4253</v>
      </c>
      <c r="B2329" t="s">
        <v>935</v>
      </c>
      <c r="C2329">
        <v>273.24</v>
      </c>
      <c r="D2329" s="1">
        <v>45272.705763888887</v>
      </c>
      <c r="E2329" s="2">
        <f t="shared" si="144"/>
        <v>0.70576388888730435</v>
      </c>
      <c r="F2329" s="3">
        <f t="shared" si="145"/>
        <v>45272</v>
      </c>
      <c r="G2329" t="s">
        <v>17</v>
      </c>
      <c r="H2329" t="s">
        <v>558</v>
      </c>
      <c r="I2329" t="s">
        <v>807</v>
      </c>
      <c r="J2329" t="s">
        <v>2131</v>
      </c>
      <c r="K2329" t="s">
        <v>1349</v>
      </c>
      <c r="L2329" t="s">
        <v>69</v>
      </c>
      <c r="M2329">
        <v>51</v>
      </c>
      <c r="N2329" t="s">
        <v>70</v>
      </c>
      <c r="O2329">
        <v>173</v>
      </c>
      <c r="P2329">
        <v>1</v>
      </c>
      <c r="Q2329">
        <v>2202.21</v>
      </c>
      <c r="R2329" s="4">
        <v>45600</v>
      </c>
      <c r="S2329" s="6">
        <v>0.34033564814814815</v>
      </c>
      <c r="T2329">
        <f t="shared" si="146"/>
        <v>16</v>
      </c>
      <c r="U2329" t="str" cm="1">
        <f t="array" ref="U2329">_xlfn.IFS(M2329&lt;=34,"YOUNG",M2329&lt;=54,"MIDDLE AGE",M2329&gt;=55,"OLD")</f>
        <v>MIDDLE AGE</v>
      </c>
      <c r="V2329" t="str">
        <f t="shared" si="147"/>
        <v>NORMAL</v>
      </c>
    </row>
    <row r="2330" spans="1:22" x14ac:dyDescent="0.35">
      <c r="A2330" t="s">
        <v>4254</v>
      </c>
      <c r="B2330" t="s">
        <v>1200</v>
      </c>
      <c r="C2330">
        <v>663.45</v>
      </c>
      <c r="D2330" s="1">
        <v>45272.722754629627</v>
      </c>
      <c r="E2330" s="2">
        <f t="shared" si="144"/>
        <v>0.72275462962716119</v>
      </c>
      <c r="F2330" s="3">
        <f t="shared" si="145"/>
        <v>45272</v>
      </c>
      <c r="G2330" t="s">
        <v>17</v>
      </c>
      <c r="H2330" t="s">
        <v>86</v>
      </c>
      <c r="I2330" t="s">
        <v>1347</v>
      </c>
      <c r="J2330" t="s">
        <v>2501</v>
      </c>
      <c r="K2330" t="s">
        <v>592</v>
      </c>
      <c r="L2330" t="s">
        <v>22</v>
      </c>
      <c r="M2330">
        <v>67</v>
      </c>
      <c r="N2330" t="s">
        <v>70</v>
      </c>
      <c r="O2330">
        <v>147</v>
      </c>
      <c r="P2330">
        <v>1</v>
      </c>
      <c r="Q2330">
        <v>5897.29</v>
      </c>
      <c r="R2330" s="4">
        <v>45600</v>
      </c>
      <c r="S2330" s="6">
        <v>0.34143518518518517</v>
      </c>
      <c r="T2330">
        <f t="shared" si="146"/>
        <v>17</v>
      </c>
      <c r="U2330" t="str" cm="1">
        <f t="array" ref="U2330">_xlfn.IFS(M2330&lt;=34,"YOUNG",M2330&lt;=54,"MIDDLE AGE",M2330&gt;=55,"OLD")</f>
        <v>OLD</v>
      </c>
      <c r="V2330" t="str">
        <f t="shared" si="147"/>
        <v>NORMAL</v>
      </c>
    </row>
    <row r="2331" spans="1:22" x14ac:dyDescent="0.35">
      <c r="A2331" t="s">
        <v>4255</v>
      </c>
      <c r="B2331" t="s">
        <v>1267</v>
      </c>
      <c r="C2331">
        <v>343.86</v>
      </c>
      <c r="D2331" s="1">
        <v>44970.697812500002</v>
      </c>
      <c r="E2331" s="2">
        <f t="shared" si="144"/>
        <v>0.69781250000232831</v>
      </c>
      <c r="F2331" s="3">
        <f t="shared" si="145"/>
        <v>44970</v>
      </c>
      <c r="G2331" t="s">
        <v>17</v>
      </c>
      <c r="H2331" t="s">
        <v>249</v>
      </c>
      <c r="I2331" t="s">
        <v>2020</v>
      </c>
      <c r="J2331" t="s">
        <v>1953</v>
      </c>
      <c r="K2331" t="s">
        <v>707</v>
      </c>
      <c r="L2331" t="s">
        <v>69</v>
      </c>
      <c r="M2331">
        <v>57</v>
      </c>
      <c r="N2331" t="s">
        <v>77</v>
      </c>
      <c r="O2331">
        <v>70</v>
      </c>
      <c r="P2331">
        <v>1</v>
      </c>
      <c r="Q2331">
        <v>3278.65</v>
      </c>
      <c r="R2331" s="4">
        <v>45600</v>
      </c>
      <c r="S2331" s="6">
        <v>0.34013888888888888</v>
      </c>
      <c r="T2331">
        <f t="shared" si="146"/>
        <v>16</v>
      </c>
      <c r="U2331" t="str" cm="1">
        <f t="array" ref="U2331">_xlfn.IFS(M2331&lt;=34,"YOUNG",M2331&lt;=54,"MIDDLE AGE",M2331&gt;=55,"OLD")</f>
        <v>OLD</v>
      </c>
      <c r="V2331" t="str">
        <f t="shared" si="147"/>
        <v>NORMAL</v>
      </c>
    </row>
    <row r="2332" spans="1:22" x14ac:dyDescent="0.35">
      <c r="A2332" t="s">
        <v>4256</v>
      </c>
      <c r="B2332" t="s">
        <v>1012</v>
      </c>
      <c r="C2332">
        <v>69.38</v>
      </c>
      <c r="D2332" s="1">
        <v>44937.673333333332</v>
      </c>
      <c r="E2332" s="2">
        <f t="shared" si="144"/>
        <v>0.67333333333226619</v>
      </c>
      <c r="F2332" s="3">
        <f t="shared" si="145"/>
        <v>44937</v>
      </c>
      <c r="G2332" t="s">
        <v>17</v>
      </c>
      <c r="H2332" t="s">
        <v>73</v>
      </c>
      <c r="I2332" t="s">
        <v>1005</v>
      </c>
      <c r="J2332" t="s">
        <v>4257</v>
      </c>
      <c r="K2332" t="s">
        <v>564</v>
      </c>
      <c r="L2332" t="s">
        <v>69</v>
      </c>
      <c r="M2332">
        <v>69</v>
      </c>
      <c r="N2332" t="s">
        <v>23</v>
      </c>
      <c r="O2332">
        <v>280</v>
      </c>
      <c r="P2332">
        <v>2</v>
      </c>
      <c r="Q2332">
        <v>12072.11</v>
      </c>
      <c r="R2332" s="4">
        <v>45600</v>
      </c>
      <c r="S2332" s="6">
        <v>0.34111111111111109</v>
      </c>
      <c r="T2332">
        <f t="shared" si="146"/>
        <v>16</v>
      </c>
      <c r="U2332" t="str" cm="1">
        <f t="array" ref="U2332">_xlfn.IFS(M2332&lt;=34,"YOUNG",M2332&lt;=54,"MIDDLE AGE",M2332&gt;=55,"OLD")</f>
        <v>OLD</v>
      </c>
      <c r="V2332" t="str">
        <f t="shared" si="147"/>
        <v>HIGH</v>
      </c>
    </row>
    <row r="2333" spans="1:22" x14ac:dyDescent="0.35">
      <c r="A2333" t="s">
        <v>4258</v>
      </c>
      <c r="B2333" t="s">
        <v>3154</v>
      </c>
      <c r="C2333">
        <v>75.430000000000007</v>
      </c>
      <c r="D2333" s="1">
        <v>45152.668020833335</v>
      </c>
      <c r="E2333" s="2">
        <f t="shared" si="144"/>
        <v>0.6680208333345945</v>
      </c>
      <c r="F2333" s="3">
        <f t="shared" si="145"/>
        <v>45152</v>
      </c>
      <c r="G2333" t="s">
        <v>17</v>
      </c>
      <c r="H2333" t="s">
        <v>558</v>
      </c>
      <c r="I2333" t="s">
        <v>1269</v>
      </c>
      <c r="J2333" t="s">
        <v>2325</v>
      </c>
      <c r="K2333" t="s">
        <v>1287</v>
      </c>
      <c r="L2333" t="s">
        <v>22</v>
      </c>
      <c r="M2333">
        <v>77</v>
      </c>
      <c r="N2333" t="s">
        <v>70</v>
      </c>
      <c r="O2333">
        <v>266</v>
      </c>
      <c r="P2333">
        <v>1</v>
      </c>
      <c r="Q2333">
        <v>1441.86</v>
      </c>
      <c r="R2333" s="4">
        <v>45600</v>
      </c>
      <c r="S2333" s="6">
        <v>0.34119212962962964</v>
      </c>
      <c r="T2333">
        <f t="shared" si="146"/>
        <v>16</v>
      </c>
      <c r="U2333" t="str" cm="1">
        <f t="array" ref="U2333">_xlfn.IFS(M2333&lt;=34,"YOUNG",M2333&lt;=54,"MIDDLE AGE",M2333&gt;=55,"OLD")</f>
        <v>OLD</v>
      </c>
      <c r="V2333" t="str">
        <f t="shared" si="147"/>
        <v>NORMAL</v>
      </c>
    </row>
    <row r="2334" spans="1:22" x14ac:dyDescent="0.35">
      <c r="A2334" t="s">
        <v>4259</v>
      </c>
      <c r="B2334" t="s">
        <v>2133</v>
      </c>
      <c r="C2334">
        <v>414.64</v>
      </c>
      <c r="D2334" s="1">
        <v>45019.685694444444</v>
      </c>
      <c r="E2334" s="2">
        <f t="shared" si="144"/>
        <v>0.68569444444437977</v>
      </c>
      <c r="F2334" s="3">
        <f t="shared" si="145"/>
        <v>45019</v>
      </c>
      <c r="G2334" t="s">
        <v>17</v>
      </c>
      <c r="H2334" t="s">
        <v>32</v>
      </c>
      <c r="I2334" t="s">
        <v>3995</v>
      </c>
      <c r="J2334" t="s">
        <v>3074</v>
      </c>
      <c r="K2334" t="s">
        <v>406</v>
      </c>
      <c r="L2334" t="s">
        <v>69</v>
      </c>
      <c r="M2334">
        <v>32</v>
      </c>
      <c r="N2334" t="s">
        <v>23</v>
      </c>
      <c r="O2334">
        <v>74</v>
      </c>
      <c r="P2334">
        <v>1</v>
      </c>
      <c r="Q2334">
        <v>7253.22</v>
      </c>
      <c r="R2334" s="4">
        <v>45600</v>
      </c>
      <c r="S2334" s="6">
        <v>0.33978009259259262</v>
      </c>
      <c r="T2334">
        <f t="shared" si="146"/>
        <v>16</v>
      </c>
      <c r="U2334" t="str" cm="1">
        <f t="array" ref="U2334">_xlfn.IFS(M2334&lt;=34,"YOUNG",M2334&lt;=54,"MIDDLE AGE",M2334&gt;=55,"OLD")</f>
        <v>YOUNG</v>
      </c>
      <c r="V2334" t="str">
        <f t="shared" si="147"/>
        <v>NORMAL</v>
      </c>
    </row>
    <row r="2335" spans="1:22" x14ac:dyDescent="0.35">
      <c r="A2335" t="s">
        <v>4260</v>
      </c>
      <c r="B2335" t="s">
        <v>1027</v>
      </c>
      <c r="C2335">
        <v>86.79</v>
      </c>
      <c r="D2335" s="1">
        <v>44949.68854166667</v>
      </c>
      <c r="E2335" s="2">
        <f t="shared" si="144"/>
        <v>0.68854166667006211</v>
      </c>
      <c r="F2335" s="3">
        <f t="shared" si="145"/>
        <v>44949</v>
      </c>
      <c r="G2335" t="s">
        <v>17</v>
      </c>
      <c r="H2335" t="s">
        <v>157</v>
      </c>
      <c r="I2335" t="s">
        <v>1529</v>
      </c>
      <c r="J2335" t="s">
        <v>2350</v>
      </c>
      <c r="K2335" t="s">
        <v>740</v>
      </c>
      <c r="L2335" t="s">
        <v>69</v>
      </c>
      <c r="M2335">
        <v>33</v>
      </c>
      <c r="N2335" t="s">
        <v>23</v>
      </c>
      <c r="O2335">
        <v>166</v>
      </c>
      <c r="P2335">
        <v>1</v>
      </c>
      <c r="Q2335">
        <v>8795.3700000000008</v>
      </c>
      <c r="R2335" s="4">
        <v>45600</v>
      </c>
      <c r="S2335" s="6">
        <v>0.33875</v>
      </c>
      <c r="T2335">
        <f t="shared" si="146"/>
        <v>16</v>
      </c>
      <c r="U2335" t="str" cm="1">
        <f t="array" ref="U2335">_xlfn.IFS(M2335&lt;=34,"YOUNG",M2335&lt;=54,"MIDDLE AGE",M2335&gt;=55,"OLD")</f>
        <v>YOUNG</v>
      </c>
      <c r="V2335" t="str">
        <f t="shared" si="147"/>
        <v>NORMAL</v>
      </c>
    </row>
    <row r="2336" spans="1:22" x14ac:dyDescent="0.35">
      <c r="A2336" t="s">
        <v>4261</v>
      </c>
      <c r="B2336" t="s">
        <v>2802</v>
      </c>
      <c r="C2336">
        <v>1105.8800000000001</v>
      </c>
      <c r="D2336" s="1">
        <v>44991.734398148146</v>
      </c>
      <c r="E2336" s="2">
        <f t="shared" si="144"/>
        <v>0.73439814814628335</v>
      </c>
      <c r="F2336" s="3">
        <f t="shared" si="145"/>
        <v>44991</v>
      </c>
      <c r="G2336" t="s">
        <v>17</v>
      </c>
      <c r="H2336" t="s">
        <v>296</v>
      </c>
      <c r="I2336" t="s">
        <v>2160</v>
      </c>
      <c r="J2336" t="s">
        <v>2268</v>
      </c>
      <c r="K2336" t="s">
        <v>478</v>
      </c>
      <c r="L2336" t="s">
        <v>22</v>
      </c>
      <c r="M2336">
        <v>34</v>
      </c>
      <c r="N2336" t="s">
        <v>77</v>
      </c>
      <c r="O2336">
        <v>36</v>
      </c>
      <c r="P2336">
        <v>1</v>
      </c>
      <c r="Q2336">
        <v>2636.32</v>
      </c>
      <c r="R2336" s="4">
        <v>45600</v>
      </c>
      <c r="S2336" s="6">
        <v>0.34122685185185186</v>
      </c>
      <c r="T2336">
        <f t="shared" si="146"/>
        <v>17</v>
      </c>
      <c r="U2336" t="str" cm="1">
        <f t="array" ref="U2336">_xlfn.IFS(M2336&lt;=34,"YOUNG",M2336&lt;=54,"MIDDLE AGE",M2336&gt;=55,"OLD")</f>
        <v>YOUNG</v>
      </c>
      <c r="V2336" t="str">
        <f t="shared" si="147"/>
        <v>NORMAL</v>
      </c>
    </row>
    <row r="2337" spans="1:22" x14ac:dyDescent="0.35">
      <c r="A2337" t="s">
        <v>4262</v>
      </c>
      <c r="B2337" t="s">
        <v>3548</v>
      </c>
      <c r="C2337">
        <v>14.1</v>
      </c>
      <c r="D2337" s="1">
        <v>45285.717893518522</v>
      </c>
      <c r="E2337" s="2">
        <f t="shared" si="144"/>
        <v>0.71789351852203254</v>
      </c>
      <c r="F2337" s="3">
        <f t="shared" si="145"/>
        <v>45285</v>
      </c>
      <c r="G2337" t="s">
        <v>17</v>
      </c>
      <c r="H2337" t="s">
        <v>108</v>
      </c>
      <c r="I2337" t="s">
        <v>1971</v>
      </c>
      <c r="J2337" t="s">
        <v>1104</v>
      </c>
      <c r="K2337" t="s">
        <v>1562</v>
      </c>
      <c r="L2337" t="s">
        <v>69</v>
      </c>
      <c r="M2337">
        <v>45</v>
      </c>
      <c r="N2337" t="s">
        <v>77</v>
      </c>
      <c r="O2337">
        <v>73</v>
      </c>
      <c r="P2337">
        <v>1</v>
      </c>
      <c r="Q2337">
        <v>6949.21</v>
      </c>
      <c r="R2337" s="4">
        <v>45600</v>
      </c>
      <c r="S2337" s="6">
        <v>0.33907407407407408</v>
      </c>
      <c r="T2337">
        <f t="shared" si="146"/>
        <v>17</v>
      </c>
      <c r="U2337" t="str" cm="1">
        <f t="array" ref="U2337">_xlfn.IFS(M2337&lt;=34,"YOUNG",M2337&lt;=54,"MIDDLE AGE",M2337&gt;=55,"OLD")</f>
        <v>MIDDLE AGE</v>
      </c>
      <c r="V2337" t="str">
        <f t="shared" si="147"/>
        <v>NORMAL</v>
      </c>
    </row>
    <row r="2338" spans="1:22" x14ac:dyDescent="0.35">
      <c r="A2338" t="s">
        <v>4263</v>
      </c>
      <c r="B2338" t="s">
        <v>2664</v>
      </c>
      <c r="C2338">
        <v>63.33</v>
      </c>
      <c r="D2338" s="1">
        <v>45286.715289351851</v>
      </c>
      <c r="E2338" s="2">
        <f t="shared" si="144"/>
        <v>0.71528935185051523</v>
      </c>
      <c r="F2338" s="3">
        <f t="shared" si="145"/>
        <v>45286</v>
      </c>
      <c r="G2338" t="s">
        <v>46</v>
      </c>
      <c r="H2338" t="s">
        <v>108</v>
      </c>
      <c r="I2338" t="s">
        <v>966</v>
      </c>
      <c r="J2338" t="s">
        <v>2190</v>
      </c>
      <c r="K2338" t="s">
        <v>240</v>
      </c>
      <c r="L2338" t="s">
        <v>69</v>
      </c>
      <c r="M2338">
        <v>23</v>
      </c>
      <c r="N2338" t="s">
        <v>37</v>
      </c>
      <c r="O2338">
        <v>124</v>
      </c>
      <c r="P2338">
        <v>1</v>
      </c>
      <c r="Q2338">
        <v>792.33</v>
      </c>
      <c r="R2338" s="4">
        <v>45600</v>
      </c>
      <c r="S2338" s="6">
        <v>0.34168981481481481</v>
      </c>
      <c r="T2338">
        <f t="shared" si="146"/>
        <v>17</v>
      </c>
      <c r="U2338" t="str" cm="1">
        <f t="array" ref="U2338">_xlfn.IFS(M2338&lt;=34,"YOUNG",M2338&lt;=54,"MIDDLE AGE",M2338&gt;=55,"OLD")</f>
        <v>YOUNG</v>
      </c>
      <c r="V2338" t="str">
        <f t="shared" si="147"/>
        <v>NORMAL</v>
      </c>
    </row>
    <row r="2339" spans="1:22" x14ac:dyDescent="0.35">
      <c r="A2339" t="s">
        <v>4264</v>
      </c>
      <c r="B2339" t="s">
        <v>3811</v>
      </c>
      <c r="C2339">
        <v>606.27</v>
      </c>
      <c r="D2339" s="1">
        <v>45099.712291666663</v>
      </c>
      <c r="E2339" s="2">
        <f t="shared" si="144"/>
        <v>0.71229166666307719</v>
      </c>
      <c r="F2339" s="3">
        <f t="shared" si="145"/>
        <v>45099</v>
      </c>
      <c r="G2339" t="s">
        <v>17</v>
      </c>
      <c r="H2339" t="s">
        <v>108</v>
      </c>
      <c r="I2339" t="s">
        <v>3094</v>
      </c>
      <c r="J2339" t="s">
        <v>4265</v>
      </c>
      <c r="K2339" t="s">
        <v>762</v>
      </c>
      <c r="L2339" t="s">
        <v>69</v>
      </c>
      <c r="M2339">
        <v>29</v>
      </c>
      <c r="N2339" t="s">
        <v>23</v>
      </c>
      <c r="O2339">
        <v>42</v>
      </c>
      <c r="P2339">
        <v>1</v>
      </c>
      <c r="Q2339">
        <v>9668.7800000000007</v>
      </c>
      <c r="R2339" s="4">
        <v>45600</v>
      </c>
      <c r="S2339" s="6">
        <v>0.3399652777777778</v>
      </c>
      <c r="T2339">
        <f t="shared" si="146"/>
        <v>17</v>
      </c>
      <c r="U2339" t="str" cm="1">
        <f t="array" ref="U2339">_xlfn.IFS(M2339&lt;=34,"YOUNG",M2339&lt;=54,"MIDDLE AGE",M2339&gt;=55,"OLD")</f>
        <v>YOUNG</v>
      </c>
      <c r="V2339" t="str">
        <f t="shared" si="147"/>
        <v>NORMAL</v>
      </c>
    </row>
    <row r="2340" spans="1:22" x14ac:dyDescent="0.35">
      <c r="A2340" t="s">
        <v>4266</v>
      </c>
      <c r="B2340" t="s">
        <v>3402</v>
      </c>
      <c r="C2340">
        <v>4.47</v>
      </c>
      <c r="D2340" s="1">
        <v>45152.681122685186</v>
      </c>
      <c r="E2340" s="2">
        <f t="shared" si="144"/>
        <v>0.68112268518598285</v>
      </c>
      <c r="F2340" s="3">
        <f t="shared" si="145"/>
        <v>45152</v>
      </c>
      <c r="G2340" t="s">
        <v>17</v>
      </c>
      <c r="H2340" t="s">
        <v>197</v>
      </c>
      <c r="I2340" t="s">
        <v>3025</v>
      </c>
      <c r="J2340" t="s">
        <v>623</v>
      </c>
      <c r="K2340" t="s">
        <v>450</v>
      </c>
      <c r="L2340" t="s">
        <v>69</v>
      </c>
      <c r="M2340">
        <v>27</v>
      </c>
      <c r="N2340" t="s">
        <v>37</v>
      </c>
      <c r="O2340">
        <v>132</v>
      </c>
      <c r="P2340">
        <v>1</v>
      </c>
      <c r="Q2340">
        <v>1381.75</v>
      </c>
      <c r="R2340" s="4">
        <v>45600</v>
      </c>
      <c r="S2340" s="6">
        <v>0.34055555555555556</v>
      </c>
      <c r="T2340">
        <f t="shared" si="146"/>
        <v>16</v>
      </c>
      <c r="U2340" t="str" cm="1">
        <f t="array" ref="U2340">_xlfn.IFS(M2340&lt;=34,"YOUNG",M2340&lt;=54,"MIDDLE AGE",M2340&gt;=55,"OLD")</f>
        <v>YOUNG</v>
      </c>
      <c r="V2340" t="str">
        <f t="shared" si="147"/>
        <v>NORMAL</v>
      </c>
    </row>
    <row r="2341" spans="1:22" x14ac:dyDescent="0.35">
      <c r="A2341" t="s">
        <v>4267</v>
      </c>
      <c r="B2341" t="s">
        <v>2690</v>
      </c>
      <c r="C2341">
        <v>289.01</v>
      </c>
      <c r="D2341" s="1">
        <v>45166.695381944446</v>
      </c>
      <c r="E2341" s="2">
        <f t="shared" si="144"/>
        <v>0.695381944446126</v>
      </c>
      <c r="F2341" s="3">
        <f t="shared" si="145"/>
        <v>45166</v>
      </c>
      <c r="G2341" t="s">
        <v>17</v>
      </c>
      <c r="H2341" t="s">
        <v>172</v>
      </c>
      <c r="I2341" t="s">
        <v>2687</v>
      </c>
      <c r="J2341" t="s">
        <v>714</v>
      </c>
      <c r="K2341" t="s">
        <v>252</v>
      </c>
      <c r="L2341" t="s">
        <v>36</v>
      </c>
      <c r="M2341">
        <v>66</v>
      </c>
      <c r="N2341" t="s">
        <v>70</v>
      </c>
      <c r="O2341">
        <v>96</v>
      </c>
      <c r="P2341">
        <v>1</v>
      </c>
      <c r="Q2341">
        <v>4226.26</v>
      </c>
      <c r="R2341" s="4">
        <v>45600</v>
      </c>
      <c r="S2341" s="6">
        <v>0.33902777777777776</v>
      </c>
      <c r="T2341">
        <f t="shared" si="146"/>
        <v>16</v>
      </c>
      <c r="U2341" t="str" cm="1">
        <f t="array" ref="U2341">_xlfn.IFS(M2341&lt;=34,"YOUNG",M2341&lt;=54,"MIDDLE AGE",M2341&gt;=55,"OLD")</f>
        <v>OLD</v>
      </c>
      <c r="V2341" t="str">
        <f t="shared" si="147"/>
        <v>NORMAL</v>
      </c>
    </row>
    <row r="2342" spans="1:22" x14ac:dyDescent="0.35">
      <c r="A2342" t="s">
        <v>4268</v>
      </c>
      <c r="B2342" t="s">
        <v>2650</v>
      </c>
      <c r="C2342">
        <v>338.69</v>
      </c>
      <c r="D2342" s="1">
        <v>45222.782534722224</v>
      </c>
      <c r="E2342" s="2">
        <f t="shared" si="144"/>
        <v>0.78253472222422715</v>
      </c>
      <c r="F2342" s="3">
        <f t="shared" si="145"/>
        <v>45222</v>
      </c>
      <c r="G2342" t="s">
        <v>17</v>
      </c>
      <c r="H2342" t="s">
        <v>301</v>
      </c>
      <c r="I2342" t="s">
        <v>1097</v>
      </c>
      <c r="J2342" t="s">
        <v>1797</v>
      </c>
      <c r="K2342" t="s">
        <v>607</v>
      </c>
      <c r="L2342" t="s">
        <v>69</v>
      </c>
      <c r="M2342">
        <v>18</v>
      </c>
      <c r="N2342" t="s">
        <v>37</v>
      </c>
      <c r="O2342">
        <v>169</v>
      </c>
      <c r="P2342">
        <v>1</v>
      </c>
      <c r="Q2342">
        <v>1137.8900000000001</v>
      </c>
      <c r="R2342" s="4">
        <v>45600</v>
      </c>
      <c r="S2342" s="6">
        <v>0.33787037037037038</v>
      </c>
      <c r="T2342">
        <f t="shared" si="146"/>
        <v>18</v>
      </c>
      <c r="U2342" t="str" cm="1">
        <f t="array" ref="U2342">_xlfn.IFS(M2342&lt;=34,"YOUNG",M2342&lt;=54,"MIDDLE AGE",M2342&gt;=55,"OLD")</f>
        <v>YOUNG</v>
      </c>
      <c r="V2342" t="str">
        <f t="shared" si="147"/>
        <v>NORMAL</v>
      </c>
    </row>
    <row r="2343" spans="1:22" x14ac:dyDescent="0.35">
      <c r="A2343" t="s">
        <v>4269</v>
      </c>
      <c r="B2343" t="s">
        <v>1874</v>
      </c>
      <c r="C2343">
        <v>97.73</v>
      </c>
      <c r="D2343" s="1">
        <v>45075.746793981481</v>
      </c>
      <c r="E2343" s="2">
        <f t="shared" si="144"/>
        <v>0.74679398148145992</v>
      </c>
      <c r="F2343" s="3">
        <f t="shared" si="145"/>
        <v>45075</v>
      </c>
      <c r="G2343" t="s">
        <v>17</v>
      </c>
      <c r="H2343" t="s">
        <v>285</v>
      </c>
      <c r="I2343" t="s">
        <v>233</v>
      </c>
      <c r="J2343" t="s">
        <v>1055</v>
      </c>
      <c r="K2343" t="s">
        <v>762</v>
      </c>
      <c r="L2343" t="s">
        <v>69</v>
      </c>
      <c r="M2343">
        <v>69</v>
      </c>
      <c r="N2343" t="s">
        <v>23</v>
      </c>
      <c r="O2343">
        <v>156</v>
      </c>
      <c r="P2343">
        <v>1</v>
      </c>
      <c r="Q2343">
        <v>7885.21</v>
      </c>
      <c r="R2343" s="4">
        <v>45600</v>
      </c>
      <c r="S2343" s="6">
        <v>0.3392013888888889</v>
      </c>
      <c r="T2343">
        <f t="shared" si="146"/>
        <v>17</v>
      </c>
      <c r="U2343" t="str" cm="1">
        <f t="array" ref="U2343">_xlfn.IFS(M2343&lt;=34,"YOUNG",M2343&lt;=54,"MIDDLE AGE",M2343&gt;=55,"OLD")</f>
        <v>OLD</v>
      </c>
      <c r="V2343" t="str">
        <f t="shared" si="147"/>
        <v>NORMAL</v>
      </c>
    </row>
    <row r="2344" spans="1:22" x14ac:dyDescent="0.35">
      <c r="A2344" t="s">
        <v>4270</v>
      </c>
      <c r="B2344" t="s">
        <v>1542</v>
      </c>
      <c r="C2344">
        <v>1021.16</v>
      </c>
      <c r="D2344" s="1">
        <v>45215.730740740742</v>
      </c>
      <c r="E2344" s="2">
        <f t="shared" si="144"/>
        <v>0.73074074074247619</v>
      </c>
      <c r="F2344" s="3">
        <f t="shared" si="145"/>
        <v>45215</v>
      </c>
      <c r="G2344" t="s">
        <v>17</v>
      </c>
      <c r="H2344" t="s">
        <v>86</v>
      </c>
      <c r="I2344" t="s">
        <v>1875</v>
      </c>
      <c r="J2344" t="s">
        <v>490</v>
      </c>
      <c r="K2344" t="s">
        <v>246</v>
      </c>
      <c r="L2344" t="s">
        <v>22</v>
      </c>
      <c r="M2344">
        <v>20</v>
      </c>
      <c r="N2344" t="s">
        <v>37</v>
      </c>
      <c r="O2344">
        <v>104</v>
      </c>
      <c r="P2344">
        <v>1</v>
      </c>
      <c r="Q2344">
        <v>9427.06</v>
      </c>
      <c r="R2344" s="4">
        <v>45600</v>
      </c>
      <c r="S2344" s="6">
        <v>0.33877314814814813</v>
      </c>
      <c r="T2344">
        <f t="shared" si="146"/>
        <v>17</v>
      </c>
      <c r="U2344" t="str" cm="1">
        <f t="array" ref="U2344">_xlfn.IFS(M2344&lt;=34,"YOUNG",M2344&lt;=54,"MIDDLE AGE",M2344&gt;=55,"OLD")</f>
        <v>YOUNG</v>
      </c>
      <c r="V2344" t="str">
        <f t="shared" si="147"/>
        <v>NORMAL</v>
      </c>
    </row>
    <row r="2345" spans="1:22" x14ac:dyDescent="0.35">
      <c r="A2345" t="s">
        <v>4271</v>
      </c>
      <c r="B2345" t="s">
        <v>1057</v>
      </c>
      <c r="C2345">
        <v>27.61</v>
      </c>
      <c r="D2345" s="1">
        <v>44995.686192129629</v>
      </c>
      <c r="E2345" s="2">
        <f t="shared" si="144"/>
        <v>0.6861921296294895</v>
      </c>
      <c r="F2345" s="3">
        <f t="shared" si="145"/>
        <v>44995</v>
      </c>
      <c r="G2345" t="s">
        <v>46</v>
      </c>
      <c r="H2345" t="s">
        <v>157</v>
      </c>
      <c r="I2345" t="s">
        <v>2079</v>
      </c>
      <c r="J2345" t="s">
        <v>2527</v>
      </c>
      <c r="K2345" t="s">
        <v>21</v>
      </c>
      <c r="L2345" t="s">
        <v>22</v>
      </c>
      <c r="M2345">
        <v>54</v>
      </c>
      <c r="N2345" t="s">
        <v>70</v>
      </c>
      <c r="O2345">
        <v>26</v>
      </c>
      <c r="P2345">
        <v>1</v>
      </c>
      <c r="Q2345">
        <v>3679.64</v>
      </c>
      <c r="R2345" s="4">
        <v>45600</v>
      </c>
      <c r="S2345" s="6">
        <v>0.33976851851851853</v>
      </c>
      <c r="T2345">
        <f t="shared" si="146"/>
        <v>16</v>
      </c>
      <c r="U2345" t="str" cm="1">
        <f t="array" ref="U2345">_xlfn.IFS(M2345&lt;=34,"YOUNG",M2345&lt;=54,"MIDDLE AGE",M2345&gt;=55,"OLD")</f>
        <v>MIDDLE AGE</v>
      </c>
      <c r="V2345" t="str">
        <f t="shared" si="147"/>
        <v>NORMAL</v>
      </c>
    </row>
    <row r="2346" spans="1:22" x14ac:dyDescent="0.35">
      <c r="A2346" t="s">
        <v>4272</v>
      </c>
      <c r="B2346" t="s">
        <v>781</v>
      </c>
      <c r="C2346">
        <v>284.17</v>
      </c>
      <c r="D2346" s="1">
        <v>45070.668506944443</v>
      </c>
      <c r="E2346" s="2">
        <f t="shared" si="144"/>
        <v>0.66850694444292458</v>
      </c>
      <c r="F2346" s="3">
        <f t="shared" si="145"/>
        <v>45070</v>
      </c>
      <c r="G2346" t="s">
        <v>17</v>
      </c>
      <c r="H2346" t="s">
        <v>92</v>
      </c>
      <c r="I2346" t="s">
        <v>4273</v>
      </c>
      <c r="J2346" t="s">
        <v>897</v>
      </c>
      <c r="K2346" t="s">
        <v>226</v>
      </c>
      <c r="L2346" t="s">
        <v>22</v>
      </c>
      <c r="M2346">
        <v>51</v>
      </c>
      <c r="N2346" t="s">
        <v>70</v>
      </c>
      <c r="O2346">
        <v>189</v>
      </c>
      <c r="P2346">
        <v>1</v>
      </c>
      <c r="Q2346">
        <v>3479.56</v>
      </c>
      <c r="R2346" s="4">
        <v>45600</v>
      </c>
      <c r="S2346" s="6">
        <v>0.33894675925925927</v>
      </c>
      <c r="T2346">
        <f t="shared" si="146"/>
        <v>16</v>
      </c>
      <c r="U2346" t="str" cm="1">
        <f t="array" ref="U2346">_xlfn.IFS(M2346&lt;=34,"YOUNG",M2346&lt;=54,"MIDDLE AGE",M2346&gt;=55,"OLD")</f>
        <v>MIDDLE AGE</v>
      </c>
      <c r="V2346" t="str">
        <f t="shared" si="147"/>
        <v>NORMAL</v>
      </c>
    </row>
    <row r="2347" spans="1:22" x14ac:dyDescent="0.35">
      <c r="A2347" t="s">
        <v>4274</v>
      </c>
      <c r="B2347" t="s">
        <v>550</v>
      </c>
      <c r="C2347">
        <v>76.209999999999994</v>
      </c>
      <c r="D2347" s="1">
        <v>44936.695625</v>
      </c>
      <c r="E2347" s="2">
        <f t="shared" si="144"/>
        <v>0.69562500000029104</v>
      </c>
      <c r="F2347" s="3">
        <f t="shared" si="145"/>
        <v>44936</v>
      </c>
      <c r="G2347" t="s">
        <v>17</v>
      </c>
      <c r="H2347" t="s">
        <v>140</v>
      </c>
      <c r="I2347" t="s">
        <v>1671</v>
      </c>
      <c r="J2347" t="s">
        <v>1230</v>
      </c>
      <c r="K2347" t="s">
        <v>288</v>
      </c>
      <c r="L2347" t="s">
        <v>69</v>
      </c>
      <c r="M2347">
        <v>22</v>
      </c>
      <c r="N2347" t="s">
        <v>37</v>
      </c>
      <c r="O2347">
        <v>69</v>
      </c>
      <c r="P2347">
        <v>1</v>
      </c>
      <c r="Q2347">
        <v>664.93</v>
      </c>
      <c r="R2347" s="4">
        <v>45600</v>
      </c>
      <c r="S2347" s="6">
        <v>0.34078703703703705</v>
      </c>
      <c r="T2347">
        <f t="shared" si="146"/>
        <v>16</v>
      </c>
      <c r="U2347" t="str" cm="1">
        <f t="array" ref="U2347">_xlfn.IFS(M2347&lt;=34,"YOUNG",M2347&lt;=54,"MIDDLE AGE",M2347&gt;=55,"OLD")</f>
        <v>YOUNG</v>
      </c>
      <c r="V2347" t="str">
        <f t="shared" si="147"/>
        <v>NORMAL</v>
      </c>
    </row>
    <row r="2348" spans="1:22" x14ac:dyDescent="0.35">
      <c r="A2348" t="s">
        <v>4275</v>
      </c>
      <c r="B2348" t="s">
        <v>322</v>
      </c>
      <c r="C2348">
        <v>334.79</v>
      </c>
      <c r="D2348" s="1">
        <v>45250.743807870371</v>
      </c>
      <c r="E2348" s="2">
        <f t="shared" si="144"/>
        <v>0.74380787037080154</v>
      </c>
      <c r="F2348" s="3">
        <f t="shared" si="145"/>
        <v>45250</v>
      </c>
      <c r="G2348" t="s">
        <v>46</v>
      </c>
      <c r="H2348" t="s">
        <v>114</v>
      </c>
      <c r="I2348" t="s">
        <v>562</v>
      </c>
      <c r="J2348" t="s">
        <v>1048</v>
      </c>
      <c r="K2348" t="s">
        <v>348</v>
      </c>
      <c r="L2348" t="s">
        <v>69</v>
      </c>
      <c r="M2348">
        <v>69</v>
      </c>
      <c r="N2348" t="s">
        <v>23</v>
      </c>
      <c r="O2348">
        <v>292</v>
      </c>
      <c r="P2348">
        <v>1</v>
      </c>
      <c r="Q2348">
        <v>624.09</v>
      </c>
      <c r="R2348" s="4">
        <v>45600</v>
      </c>
      <c r="S2348" s="6">
        <v>0.33918981481481481</v>
      </c>
      <c r="T2348">
        <f t="shared" si="146"/>
        <v>17</v>
      </c>
      <c r="U2348" t="str" cm="1">
        <f t="array" ref="U2348">_xlfn.IFS(M2348&lt;=34,"YOUNG",M2348&lt;=54,"MIDDLE AGE",M2348&gt;=55,"OLD")</f>
        <v>OLD</v>
      </c>
      <c r="V2348" t="str">
        <f t="shared" si="147"/>
        <v>NORMAL</v>
      </c>
    </row>
    <row r="2349" spans="1:22" x14ac:dyDescent="0.35">
      <c r="A2349" t="s">
        <v>4276</v>
      </c>
      <c r="B2349" t="s">
        <v>781</v>
      </c>
      <c r="C2349">
        <v>584.51</v>
      </c>
      <c r="D2349" s="1">
        <v>45163.741053240738</v>
      </c>
      <c r="E2349" s="2">
        <f t="shared" si="144"/>
        <v>0.74105324073752854</v>
      </c>
      <c r="F2349" s="3">
        <f t="shared" si="145"/>
        <v>45163</v>
      </c>
      <c r="G2349" t="s">
        <v>17</v>
      </c>
      <c r="H2349" t="s">
        <v>114</v>
      </c>
      <c r="I2349" t="s">
        <v>1633</v>
      </c>
      <c r="J2349" t="s">
        <v>4133</v>
      </c>
      <c r="K2349" t="s">
        <v>752</v>
      </c>
      <c r="L2349" t="s">
        <v>22</v>
      </c>
      <c r="M2349">
        <v>74</v>
      </c>
      <c r="N2349" t="s">
        <v>70</v>
      </c>
      <c r="O2349">
        <v>76</v>
      </c>
      <c r="P2349">
        <v>1</v>
      </c>
      <c r="Q2349">
        <v>3254.56</v>
      </c>
      <c r="R2349" s="4">
        <v>45600</v>
      </c>
      <c r="S2349" s="6">
        <v>0.33945601851851853</v>
      </c>
      <c r="T2349">
        <f t="shared" si="146"/>
        <v>17</v>
      </c>
      <c r="U2349" t="str" cm="1">
        <f t="array" ref="U2349">_xlfn.IFS(M2349&lt;=34,"YOUNG",M2349&lt;=54,"MIDDLE AGE",M2349&gt;=55,"OLD")</f>
        <v>OLD</v>
      </c>
      <c r="V2349" t="str">
        <f t="shared" si="147"/>
        <v>NORMAL</v>
      </c>
    </row>
    <row r="2350" spans="1:22" x14ac:dyDescent="0.35">
      <c r="A2350" t="s">
        <v>4277</v>
      </c>
      <c r="B2350" t="s">
        <v>1433</v>
      </c>
      <c r="C2350">
        <v>432.18</v>
      </c>
      <c r="D2350" s="1">
        <v>45065.688321759262</v>
      </c>
      <c r="E2350" s="2">
        <f t="shared" si="144"/>
        <v>0.68832175926218042</v>
      </c>
      <c r="F2350" s="3">
        <f t="shared" si="145"/>
        <v>45065</v>
      </c>
      <c r="G2350" t="s">
        <v>17</v>
      </c>
      <c r="H2350" t="s">
        <v>146</v>
      </c>
      <c r="I2350" t="s">
        <v>1855</v>
      </c>
      <c r="J2350" t="s">
        <v>1411</v>
      </c>
      <c r="K2350" t="s">
        <v>181</v>
      </c>
      <c r="L2350" t="s">
        <v>69</v>
      </c>
      <c r="M2350">
        <v>18</v>
      </c>
      <c r="N2350" t="s">
        <v>37</v>
      </c>
      <c r="O2350">
        <v>162</v>
      </c>
      <c r="P2350">
        <v>1</v>
      </c>
      <c r="Q2350">
        <v>678.83</v>
      </c>
      <c r="R2350" s="4">
        <v>45600</v>
      </c>
      <c r="S2350" s="6">
        <v>0.33923611111111113</v>
      </c>
      <c r="T2350">
        <f t="shared" si="146"/>
        <v>16</v>
      </c>
      <c r="U2350" t="str" cm="1">
        <f t="array" ref="U2350">_xlfn.IFS(M2350&lt;=34,"YOUNG",M2350&lt;=54,"MIDDLE AGE",M2350&gt;=55,"OLD")</f>
        <v>YOUNG</v>
      </c>
      <c r="V2350" t="str">
        <f t="shared" si="147"/>
        <v>NORMAL</v>
      </c>
    </row>
    <row r="2351" spans="1:22" x14ac:dyDescent="0.35">
      <c r="A2351" t="s">
        <v>4278</v>
      </c>
      <c r="B2351" t="s">
        <v>3561</v>
      </c>
      <c r="C2351">
        <v>134.55000000000001</v>
      </c>
      <c r="D2351" s="1">
        <v>45208.697800925926</v>
      </c>
      <c r="E2351" s="2">
        <f t="shared" si="144"/>
        <v>0.69780092592554865</v>
      </c>
      <c r="F2351" s="3">
        <f t="shared" si="145"/>
        <v>45208</v>
      </c>
      <c r="G2351" t="s">
        <v>17</v>
      </c>
      <c r="H2351" t="s">
        <v>223</v>
      </c>
      <c r="I2351" t="s">
        <v>2611</v>
      </c>
      <c r="J2351" t="s">
        <v>1225</v>
      </c>
      <c r="K2351" t="s">
        <v>607</v>
      </c>
      <c r="L2351" t="s">
        <v>36</v>
      </c>
      <c r="M2351">
        <v>59</v>
      </c>
      <c r="N2351" t="s">
        <v>23</v>
      </c>
      <c r="O2351">
        <v>165</v>
      </c>
      <c r="P2351">
        <v>1</v>
      </c>
      <c r="Q2351">
        <v>14852.42</v>
      </c>
      <c r="R2351" s="4">
        <v>45600</v>
      </c>
      <c r="S2351" s="6">
        <v>0.33917824074074077</v>
      </c>
      <c r="T2351">
        <f t="shared" si="146"/>
        <v>16</v>
      </c>
      <c r="U2351" t="str" cm="1">
        <f t="array" ref="U2351">_xlfn.IFS(M2351&lt;=34,"YOUNG",M2351&lt;=54,"MIDDLE AGE",M2351&gt;=55,"OLD")</f>
        <v>OLD</v>
      </c>
      <c r="V2351" t="str">
        <f t="shared" si="147"/>
        <v>NORMAL</v>
      </c>
    </row>
    <row r="2352" spans="1:22" x14ac:dyDescent="0.35">
      <c r="A2352" t="s">
        <v>4279</v>
      </c>
      <c r="B2352" t="s">
        <v>993</v>
      </c>
      <c r="C2352">
        <v>61.66</v>
      </c>
      <c r="D2352" s="1">
        <v>44967.69027777778</v>
      </c>
      <c r="E2352" s="2">
        <f t="shared" si="144"/>
        <v>0.69027777777955635</v>
      </c>
      <c r="F2352" s="3">
        <f t="shared" si="145"/>
        <v>44967</v>
      </c>
      <c r="G2352" t="s">
        <v>17</v>
      </c>
      <c r="H2352" t="s">
        <v>285</v>
      </c>
      <c r="I2352" t="s">
        <v>3757</v>
      </c>
      <c r="J2352" t="s">
        <v>1490</v>
      </c>
      <c r="K2352" t="s">
        <v>674</v>
      </c>
      <c r="L2352" t="s">
        <v>22</v>
      </c>
      <c r="M2352">
        <v>26</v>
      </c>
      <c r="N2352" t="s">
        <v>37</v>
      </c>
      <c r="O2352">
        <v>86</v>
      </c>
      <c r="P2352">
        <v>1</v>
      </c>
      <c r="Q2352">
        <v>5705.4</v>
      </c>
      <c r="R2352" s="4">
        <v>45600</v>
      </c>
      <c r="S2352" s="6">
        <v>0.33805555555555555</v>
      </c>
      <c r="T2352">
        <f t="shared" si="146"/>
        <v>16</v>
      </c>
      <c r="U2352" t="str" cm="1">
        <f t="array" ref="U2352">_xlfn.IFS(M2352&lt;=34,"YOUNG",M2352&lt;=54,"MIDDLE AGE",M2352&gt;=55,"OLD")</f>
        <v>YOUNG</v>
      </c>
      <c r="V2352" t="str">
        <f t="shared" si="147"/>
        <v>NORMAL</v>
      </c>
    </row>
    <row r="2353" spans="1:22" x14ac:dyDescent="0.35">
      <c r="A2353" t="s">
        <v>4280</v>
      </c>
      <c r="B2353" t="s">
        <v>1343</v>
      </c>
      <c r="C2353">
        <v>12.35</v>
      </c>
      <c r="D2353" s="1">
        <v>44963.777662037035</v>
      </c>
      <c r="E2353" s="2">
        <f t="shared" si="144"/>
        <v>0.77766203703504289</v>
      </c>
      <c r="F2353" s="3">
        <f t="shared" si="145"/>
        <v>44963</v>
      </c>
      <c r="G2353" t="s">
        <v>17</v>
      </c>
      <c r="H2353" t="s">
        <v>558</v>
      </c>
      <c r="I2353" t="s">
        <v>782</v>
      </c>
      <c r="J2353" t="s">
        <v>2925</v>
      </c>
      <c r="K2353" t="s">
        <v>186</v>
      </c>
      <c r="L2353" t="s">
        <v>69</v>
      </c>
      <c r="M2353">
        <v>25</v>
      </c>
      <c r="N2353" t="s">
        <v>37</v>
      </c>
      <c r="O2353">
        <v>22</v>
      </c>
      <c r="P2353">
        <v>1</v>
      </c>
      <c r="Q2353">
        <v>1846.85</v>
      </c>
      <c r="R2353" s="4">
        <v>45600</v>
      </c>
      <c r="S2353" s="6">
        <v>0.34111111111111109</v>
      </c>
      <c r="T2353">
        <f t="shared" si="146"/>
        <v>18</v>
      </c>
      <c r="U2353" t="str" cm="1">
        <f t="array" ref="U2353">_xlfn.IFS(M2353&lt;=34,"YOUNG",M2353&lt;=54,"MIDDLE AGE",M2353&gt;=55,"OLD")</f>
        <v>YOUNG</v>
      </c>
      <c r="V2353" t="str">
        <f t="shared" si="147"/>
        <v>NORMAL</v>
      </c>
    </row>
    <row r="2354" spans="1:22" x14ac:dyDescent="0.35">
      <c r="A2354" t="s">
        <v>4281</v>
      </c>
      <c r="B2354" t="s">
        <v>1308</v>
      </c>
      <c r="C2354">
        <v>213.25</v>
      </c>
      <c r="D2354" s="1">
        <v>44980.729247685187</v>
      </c>
      <c r="E2354" s="2">
        <f t="shared" si="144"/>
        <v>0.729247685187147</v>
      </c>
      <c r="F2354" s="3">
        <f t="shared" si="145"/>
        <v>44980</v>
      </c>
      <c r="G2354" t="s">
        <v>17</v>
      </c>
      <c r="H2354" t="s">
        <v>212</v>
      </c>
      <c r="I2354" t="s">
        <v>1815</v>
      </c>
      <c r="J2354" t="s">
        <v>3350</v>
      </c>
      <c r="K2354" t="s">
        <v>592</v>
      </c>
      <c r="L2354" t="s">
        <v>69</v>
      </c>
      <c r="M2354">
        <v>25</v>
      </c>
      <c r="N2354" t="s">
        <v>37</v>
      </c>
      <c r="O2354">
        <v>63</v>
      </c>
      <c r="P2354">
        <v>1</v>
      </c>
      <c r="Q2354">
        <v>677.79</v>
      </c>
      <c r="R2354" s="4">
        <v>45600</v>
      </c>
      <c r="S2354" s="6">
        <v>0.33892361111111113</v>
      </c>
      <c r="T2354">
        <f t="shared" si="146"/>
        <v>17</v>
      </c>
      <c r="U2354" t="str" cm="1">
        <f t="array" ref="U2354">_xlfn.IFS(M2354&lt;=34,"YOUNG",M2354&lt;=54,"MIDDLE AGE",M2354&gt;=55,"OLD")</f>
        <v>YOUNG</v>
      </c>
      <c r="V2354" t="str">
        <f t="shared" si="147"/>
        <v>NORMAL</v>
      </c>
    </row>
    <row r="2355" spans="1:22" x14ac:dyDescent="0.35">
      <c r="A2355" t="s">
        <v>4282</v>
      </c>
      <c r="B2355" t="s">
        <v>97</v>
      </c>
      <c r="C2355">
        <v>34.93</v>
      </c>
      <c r="D2355" s="1">
        <v>45215.674907407411</v>
      </c>
      <c r="E2355" s="2">
        <f t="shared" si="144"/>
        <v>0.67490740741050104</v>
      </c>
      <c r="F2355" s="3">
        <f t="shared" si="145"/>
        <v>45215</v>
      </c>
      <c r="G2355" t="s">
        <v>17</v>
      </c>
      <c r="H2355" t="s">
        <v>125</v>
      </c>
      <c r="I2355" t="s">
        <v>586</v>
      </c>
      <c r="J2355" t="s">
        <v>3182</v>
      </c>
      <c r="K2355" t="s">
        <v>682</v>
      </c>
      <c r="L2355" t="s">
        <v>69</v>
      </c>
      <c r="M2355">
        <v>31</v>
      </c>
      <c r="N2355" t="s">
        <v>77</v>
      </c>
      <c r="O2355">
        <v>72</v>
      </c>
      <c r="P2355">
        <v>1</v>
      </c>
      <c r="Q2355">
        <v>2810.37</v>
      </c>
      <c r="R2355" s="4">
        <v>45600</v>
      </c>
      <c r="S2355" s="6">
        <v>0.34111111111111109</v>
      </c>
      <c r="T2355">
        <f t="shared" si="146"/>
        <v>16</v>
      </c>
      <c r="U2355" t="str" cm="1">
        <f t="array" ref="U2355">_xlfn.IFS(M2355&lt;=34,"YOUNG",M2355&lt;=54,"MIDDLE AGE",M2355&gt;=55,"OLD")</f>
        <v>YOUNG</v>
      </c>
      <c r="V2355" t="str">
        <f t="shared" si="147"/>
        <v>NORMAL</v>
      </c>
    </row>
    <row r="2356" spans="1:22" x14ac:dyDescent="0.35">
      <c r="A2356" t="s">
        <v>4283</v>
      </c>
      <c r="B2356" t="s">
        <v>269</v>
      </c>
      <c r="C2356">
        <v>959.48</v>
      </c>
      <c r="D2356" s="1">
        <v>44936.68613425926</v>
      </c>
      <c r="E2356" s="2">
        <f t="shared" si="144"/>
        <v>0.68613425926014315</v>
      </c>
      <c r="F2356" s="3">
        <f t="shared" si="145"/>
        <v>44936</v>
      </c>
      <c r="G2356" t="s">
        <v>17</v>
      </c>
      <c r="H2356" t="s">
        <v>172</v>
      </c>
      <c r="I2356" t="s">
        <v>2001</v>
      </c>
      <c r="J2356" t="s">
        <v>1540</v>
      </c>
      <c r="K2356" t="s">
        <v>432</v>
      </c>
      <c r="L2356" t="s">
        <v>69</v>
      </c>
      <c r="M2356">
        <v>67</v>
      </c>
      <c r="N2356" t="s">
        <v>23</v>
      </c>
      <c r="O2356">
        <v>36</v>
      </c>
      <c r="P2356">
        <v>1</v>
      </c>
      <c r="Q2356">
        <v>10631.43</v>
      </c>
      <c r="R2356" s="4">
        <v>45600</v>
      </c>
      <c r="S2356" s="6">
        <v>0.33885416666666668</v>
      </c>
      <c r="T2356">
        <f t="shared" si="146"/>
        <v>16</v>
      </c>
      <c r="U2356" t="str" cm="1">
        <f t="array" ref="U2356">_xlfn.IFS(M2356&lt;=34,"YOUNG",M2356&lt;=54,"MIDDLE AGE",M2356&gt;=55,"OLD")</f>
        <v>OLD</v>
      </c>
      <c r="V2356" t="str">
        <f t="shared" si="147"/>
        <v>NORMAL</v>
      </c>
    </row>
    <row r="2357" spans="1:22" x14ac:dyDescent="0.35">
      <c r="A2357" t="s">
        <v>4284</v>
      </c>
      <c r="B2357" t="s">
        <v>4285</v>
      </c>
      <c r="C2357">
        <v>335.68</v>
      </c>
      <c r="D2357" s="1">
        <v>45236.722685185188</v>
      </c>
      <c r="E2357" s="2">
        <f t="shared" si="144"/>
        <v>0.72268518518831115</v>
      </c>
      <c r="F2357" s="3">
        <f t="shared" si="145"/>
        <v>45236</v>
      </c>
      <c r="G2357" t="s">
        <v>17</v>
      </c>
      <c r="H2357" t="s">
        <v>255</v>
      </c>
      <c r="I2357" t="s">
        <v>1754</v>
      </c>
      <c r="J2357" t="s">
        <v>2981</v>
      </c>
      <c r="K2357" t="s">
        <v>619</v>
      </c>
      <c r="L2357" t="s">
        <v>36</v>
      </c>
      <c r="M2357">
        <v>24</v>
      </c>
      <c r="N2357" t="s">
        <v>37</v>
      </c>
      <c r="O2357">
        <v>142</v>
      </c>
      <c r="P2357">
        <v>1</v>
      </c>
      <c r="Q2357">
        <v>1188.95</v>
      </c>
      <c r="R2357" s="4">
        <v>45600</v>
      </c>
      <c r="S2357" s="6">
        <v>0.34120370370370373</v>
      </c>
      <c r="T2357">
        <f t="shared" si="146"/>
        <v>17</v>
      </c>
      <c r="U2357" t="str" cm="1">
        <f t="array" ref="U2357">_xlfn.IFS(M2357&lt;=34,"YOUNG",M2357&lt;=54,"MIDDLE AGE",M2357&gt;=55,"OLD")</f>
        <v>YOUNG</v>
      </c>
      <c r="V2357" t="str">
        <f t="shared" si="147"/>
        <v>NORMAL</v>
      </c>
    </row>
    <row r="2358" spans="1:22" x14ac:dyDescent="0.35">
      <c r="A2358" t="s">
        <v>4286</v>
      </c>
      <c r="B2358" t="s">
        <v>905</v>
      </c>
      <c r="C2358">
        <v>423.96</v>
      </c>
      <c r="D2358" s="1">
        <v>44956.784884259258</v>
      </c>
      <c r="E2358" s="2">
        <f t="shared" si="144"/>
        <v>0.78488425925752381</v>
      </c>
      <c r="F2358" s="3">
        <f t="shared" si="145"/>
        <v>44956</v>
      </c>
      <c r="G2358" t="s">
        <v>17</v>
      </c>
      <c r="H2358" t="s">
        <v>18</v>
      </c>
      <c r="I2358" t="s">
        <v>216</v>
      </c>
      <c r="J2358" t="s">
        <v>1270</v>
      </c>
      <c r="K2358" t="s">
        <v>572</v>
      </c>
      <c r="L2358" t="s">
        <v>22</v>
      </c>
      <c r="M2358">
        <v>43</v>
      </c>
      <c r="N2358" t="s">
        <v>23</v>
      </c>
      <c r="O2358">
        <v>75</v>
      </c>
      <c r="P2358">
        <v>1</v>
      </c>
      <c r="Q2358">
        <v>8374.3799999999992</v>
      </c>
      <c r="R2358" s="4">
        <v>45600</v>
      </c>
      <c r="S2358" s="6">
        <v>0.33936342592592594</v>
      </c>
      <c r="T2358">
        <f t="shared" si="146"/>
        <v>18</v>
      </c>
      <c r="U2358" t="str" cm="1">
        <f t="array" ref="U2358">_xlfn.IFS(M2358&lt;=34,"YOUNG",M2358&lt;=54,"MIDDLE AGE",M2358&gt;=55,"OLD")</f>
        <v>MIDDLE AGE</v>
      </c>
      <c r="V2358" t="str">
        <f t="shared" si="147"/>
        <v>NORMAL</v>
      </c>
    </row>
    <row r="2359" spans="1:22" x14ac:dyDescent="0.35">
      <c r="A2359" t="s">
        <v>4287</v>
      </c>
      <c r="B2359" t="s">
        <v>1060</v>
      </c>
      <c r="C2359">
        <v>361.38</v>
      </c>
      <c r="D2359" s="1">
        <v>44987.710381944446</v>
      </c>
      <c r="E2359" s="2">
        <f t="shared" si="144"/>
        <v>0.71038194444554392</v>
      </c>
      <c r="F2359" s="3">
        <f t="shared" si="145"/>
        <v>44987</v>
      </c>
      <c r="G2359" t="s">
        <v>46</v>
      </c>
      <c r="H2359" t="s">
        <v>178</v>
      </c>
      <c r="I2359" t="s">
        <v>1550</v>
      </c>
      <c r="J2359" t="s">
        <v>251</v>
      </c>
      <c r="K2359" t="s">
        <v>312</v>
      </c>
      <c r="L2359" t="s">
        <v>36</v>
      </c>
      <c r="M2359">
        <v>72</v>
      </c>
      <c r="N2359" t="s">
        <v>70</v>
      </c>
      <c r="O2359">
        <v>71</v>
      </c>
      <c r="P2359">
        <v>3</v>
      </c>
      <c r="Q2359">
        <v>4972.92</v>
      </c>
      <c r="R2359" s="4">
        <v>45600</v>
      </c>
      <c r="S2359" s="6">
        <v>0.34186342592592595</v>
      </c>
      <c r="T2359">
        <f t="shared" si="146"/>
        <v>17</v>
      </c>
      <c r="U2359" t="str" cm="1">
        <f t="array" ref="U2359">_xlfn.IFS(M2359&lt;=34,"YOUNG",M2359&lt;=54,"MIDDLE AGE",M2359&gt;=55,"OLD")</f>
        <v>OLD</v>
      </c>
      <c r="V2359" t="str">
        <f t="shared" si="147"/>
        <v>HIGH</v>
      </c>
    </row>
    <row r="2360" spans="1:22" x14ac:dyDescent="0.35">
      <c r="A2360" t="s">
        <v>4288</v>
      </c>
      <c r="B2360" t="s">
        <v>822</v>
      </c>
      <c r="C2360">
        <v>220.82</v>
      </c>
      <c r="D2360" s="1">
        <v>45289.688113425924</v>
      </c>
      <c r="E2360" s="2">
        <f t="shared" si="144"/>
        <v>0.68811342592380242</v>
      </c>
      <c r="F2360" s="3">
        <f t="shared" si="145"/>
        <v>45289</v>
      </c>
      <c r="G2360" t="s">
        <v>17</v>
      </c>
      <c r="H2360" t="s">
        <v>108</v>
      </c>
      <c r="I2360" t="s">
        <v>189</v>
      </c>
      <c r="J2360" t="s">
        <v>3227</v>
      </c>
      <c r="K2360" t="s">
        <v>548</v>
      </c>
      <c r="L2360" t="s">
        <v>69</v>
      </c>
      <c r="M2360">
        <v>42</v>
      </c>
      <c r="N2360" t="s">
        <v>77</v>
      </c>
      <c r="O2360">
        <v>31</v>
      </c>
      <c r="P2360">
        <v>1</v>
      </c>
      <c r="Q2360">
        <v>4298.13</v>
      </c>
      <c r="R2360" s="4">
        <v>45600</v>
      </c>
      <c r="S2360" s="6">
        <v>0.33916666666666667</v>
      </c>
      <c r="T2360">
        <f t="shared" si="146"/>
        <v>16</v>
      </c>
      <c r="U2360" t="str" cm="1">
        <f t="array" ref="U2360">_xlfn.IFS(M2360&lt;=34,"YOUNG",M2360&lt;=54,"MIDDLE AGE",M2360&gt;=55,"OLD")</f>
        <v>MIDDLE AGE</v>
      </c>
      <c r="V2360" t="str">
        <f t="shared" si="147"/>
        <v>NORMAL</v>
      </c>
    </row>
    <row r="2361" spans="1:22" x14ac:dyDescent="0.35">
      <c r="A2361" t="s">
        <v>4289</v>
      </c>
      <c r="B2361" t="s">
        <v>2024</v>
      </c>
      <c r="C2361">
        <v>717.36</v>
      </c>
      <c r="D2361" s="1">
        <v>44928.708715277775</v>
      </c>
      <c r="E2361" s="2">
        <f t="shared" si="144"/>
        <v>0.70871527777489973</v>
      </c>
      <c r="F2361" s="3">
        <f t="shared" si="145"/>
        <v>44928</v>
      </c>
      <c r="G2361" t="s">
        <v>46</v>
      </c>
      <c r="H2361" t="s">
        <v>18</v>
      </c>
      <c r="I2361" t="s">
        <v>2461</v>
      </c>
      <c r="J2361" t="s">
        <v>1717</v>
      </c>
      <c r="K2361" t="s">
        <v>68</v>
      </c>
      <c r="L2361" t="s">
        <v>36</v>
      </c>
      <c r="M2361">
        <v>22</v>
      </c>
      <c r="N2361" t="s">
        <v>37</v>
      </c>
      <c r="O2361">
        <v>138</v>
      </c>
      <c r="P2361">
        <v>1</v>
      </c>
      <c r="Q2361">
        <v>514.88</v>
      </c>
      <c r="R2361" s="4">
        <v>45600</v>
      </c>
      <c r="S2361" s="6">
        <v>0.3400347222222222</v>
      </c>
      <c r="T2361">
        <f t="shared" si="146"/>
        <v>17</v>
      </c>
      <c r="U2361" t="str" cm="1">
        <f t="array" ref="U2361">_xlfn.IFS(M2361&lt;=34,"YOUNG",M2361&lt;=54,"MIDDLE AGE",M2361&gt;=55,"OLD")</f>
        <v>YOUNG</v>
      </c>
      <c r="V2361" t="str">
        <f t="shared" si="147"/>
        <v>NORMAL</v>
      </c>
    </row>
    <row r="2362" spans="1:22" x14ac:dyDescent="0.35">
      <c r="A2362" t="s">
        <v>4290</v>
      </c>
      <c r="B2362" t="s">
        <v>2169</v>
      </c>
      <c r="C2362">
        <v>406.12</v>
      </c>
      <c r="D2362" s="1">
        <v>45141.731006944443</v>
      </c>
      <c r="E2362" s="2">
        <f t="shared" si="144"/>
        <v>0.73100694444292458</v>
      </c>
      <c r="F2362" s="3">
        <f t="shared" si="145"/>
        <v>45141</v>
      </c>
      <c r="G2362" t="s">
        <v>17</v>
      </c>
      <c r="H2362" t="s">
        <v>26</v>
      </c>
      <c r="I2362" t="s">
        <v>680</v>
      </c>
      <c r="J2362" t="s">
        <v>3007</v>
      </c>
      <c r="K2362" t="s">
        <v>432</v>
      </c>
      <c r="L2362" t="s">
        <v>22</v>
      </c>
      <c r="M2362">
        <v>42</v>
      </c>
      <c r="N2362" t="s">
        <v>23</v>
      </c>
      <c r="O2362">
        <v>106</v>
      </c>
      <c r="P2362">
        <v>1</v>
      </c>
      <c r="Q2362">
        <v>10501.53</v>
      </c>
      <c r="R2362" s="4">
        <v>45600</v>
      </c>
      <c r="S2362" s="6">
        <v>0.34130787037037036</v>
      </c>
      <c r="T2362">
        <f t="shared" si="146"/>
        <v>17</v>
      </c>
      <c r="U2362" t="str" cm="1">
        <f t="array" ref="U2362">_xlfn.IFS(M2362&lt;=34,"YOUNG",M2362&lt;=54,"MIDDLE AGE",M2362&gt;=55,"OLD")</f>
        <v>MIDDLE AGE</v>
      </c>
      <c r="V2362" t="str">
        <f t="shared" si="147"/>
        <v>NORMAL</v>
      </c>
    </row>
    <row r="2363" spans="1:22" x14ac:dyDescent="0.35">
      <c r="A2363" t="s">
        <v>4291</v>
      </c>
      <c r="B2363" t="s">
        <v>1707</v>
      </c>
      <c r="C2363">
        <v>427.83</v>
      </c>
      <c r="D2363" s="1">
        <v>45056.710312499999</v>
      </c>
      <c r="E2363" s="2">
        <f t="shared" si="144"/>
        <v>0.71031249999941792</v>
      </c>
      <c r="F2363" s="3">
        <f t="shared" si="145"/>
        <v>45056</v>
      </c>
      <c r="G2363" t="s">
        <v>17</v>
      </c>
      <c r="H2363" t="s">
        <v>425</v>
      </c>
      <c r="I2363" t="s">
        <v>2568</v>
      </c>
      <c r="J2363" t="s">
        <v>1669</v>
      </c>
      <c r="K2363" t="s">
        <v>386</v>
      </c>
      <c r="L2363" t="s">
        <v>22</v>
      </c>
      <c r="M2363">
        <v>47</v>
      </c>
      <c r="N2363" t="s">
        <v>77</v>
      </c>
      <c r="O2363">
        <v>29</v>
      </c>
      <c r="P2363">
        <v>1</v>
      </c>
      <c r="Q2363">
        <v>3293.06</v>
      </c>
      <c r="R2363" s="4">
        <v>45600</v>
      </c>
      <c r="S2363" s="6">
        <v>0.34015046296296297</v>
      </c>
      <c r="T2363">
        <f t="shared" si="146"/>
        <v>17</v>
      </c>
      <c r="U2363" t="str" cm="1">
        <f t="array" ref="U2363">_xlfn.IFS(M2363&lt;=34,"YOUNG",M2363&lt;=54,"MIDDLE AGE",M2363&gt;=55,"OLD")</f>
        <v>MIDDLE AGE</v>
      </c>
      <c r="V2363" t="str">
        <f t="shared" si="147"/>
        <v>NORMAL</v>
      </c>
    </row>
    <row r="2364" spans="1:22" x14ac:dyDescent="0.35">
      <c r="A2364" t="s">
        <v>4292</v>
      </c>
      <c r="B2364" t="s">
        <v>3702</v>
      </c>
      <c r="C2364">
        <v>416.62</v>
      </c>
      <c r="D2364" s="1">
        <v>44991.727071759262</v>
      </c>
      <c r="E2364" s="2">
        <f t="shared" si="144"/>
        <v>0.72707175926188938</v>
      </c>
      <c r="F2364" s="3">
        <f t="shared" si="145"/>
        <v>44991</v>
      </c>
      <c r="G2364" t="s">
        <v>46</v>
      </c>
      <c r="H2364" t="s">
        <v>197</v>
      </c>
      <c r="I2364" t="s">
        <v>4230</v>
      </c>
      <c r="J2364" t="s">
        <v>3210</v>
      </c>
      <c r="K2364" t="s">
        <v>50</v>
      </c>
      <c r="L2364" t="s">
        <v>36</v>
      </c>
      <c r="M2364">
        <v>26</v>
      </c>
      <c r="N2364" t="s">
        <v>37</v>
      </c>
      <c r="O2364">
        <v>67</v>
      </c>
      <c r="P2364">
        <v>1</v>
      </c>
      <c r="Q2364">
        <v>9700.9</v>
      </c>
      <c r="R2364" s="4">
        <v>45600</v>
      </c>
      <c r="S2364" s="6">
        <v>0.3412384259259259</v>
      </c>
      <c r="T2364">
        <f t="shared" si="146"/>
        <v>17</v>
      </c>
      <c r="U2364" t="str" cm="1">
        <f t="array" ref="U2364">_xlfn.IFS(M2364&lt;=34,"YOUNG",M2364&lt;=54,"MIDDLE AGE",M2364&gt;=55,"OLD")</f>
        <v>YOUNG</v>
      </c>
      <c r="V2364" t="str">
        <f t="shared" si="147"/>
        <v>NORMAL</v>
      </c>
    </row>
    <row r="2365" spans="1:22" x14ac:dyDescent="0.35">
      <c r="A2365" t="s">
        <v>4293</v>
      </c>
      <c r="B2365" t="s">
        <v>1357</v>
      </c>
      <c r="C2365">
        <v>21.9</v>
      </c>
      <c r="D2365" s="1">
        <v>45026.711435185185</v>
      </c>
      <c r="E2365" s="2">
        <f t="shared" si="144"/>
        <v>0.71143518518510973</v>
      </c>
      <c r="F2365" s="3">
        <f t="shared" si="145"/>
        <v>45026</v>
      </c>
      <c r="G2365" t="s">
        <v>17</v>
      </c>
      <c r="H2365" t="s">
        <v>425</v>
      </c>
      <c r="I2365" t="s">
        <v>1680</v>
      </c>
      <c r="J2365" t="s">
        <v>2416</v>
      </c>
      <c r="K2365" t="s">
        <v>820</v>
      </c>
      <c r="L2365" t="s">
        <v>22</v>
      </c>
      <c r="M2365">
        <v>28</v>
      </c>
      <c r="N2365" t="s">
        <v>37</v>
      </c>
      <c r="O2365">
        <v>30</v>
      </c>
      <c r="P2365">
        <v>1</v>
      </c>
      <c r="Q2365">
        <v>1052.27</v>
      </c>
      <c r="R2365" s="4">
        <v>45600</v>
      </c>
      <c r="S2365" s="6">
        <v>0.34114583333333331</v>
      </c>
      <c r="T2365">
        <f t="shared" si="146"/>
        <v>17</v>
      </c>
      <c r="U2365" t="str" cm="1">
        <f t="array" ref="U2365">_xlfn.IFS(M2365&lt;=34,"YOUNG",M2365&lt;=54,"MIDDLE AGE",M2365&gt;=55,"OLD")</f>
        <v>YOUNG</v>
      </c>
      <c r="V2365" t="str">
        <f t="shared" si="147"/>
        <v>NORMAL</v>
      </c>
    </row>
    <row r="2366" spans="1:22" x14ac:dyDescent="0.35">
      <c r="A2366" t="s">
        <v>4294</v>
      </c>
      <c r="B2366" t="s">
        <v>1114</v>
      </c>
      <c r="C2366">
        <v>717.74</v>
      </c>
      <c r="D2366" s="1">
        <v>45268.702407407407</v>
      </c>
      <c r="E2366" s="2">
        <f t="shared" si="144"/>
        <v>0.70240740740700858</v>
      </c>
      <c r="F2366" s="3">
        <f t="shared" si="145"/>
        <v>45268</v>
      </c>
      <c r="G2366" t="s">
        <v>46</v>
      </c>
      <c r="H2366" t="s">
        <v>285</v>
      </c>
      <c r="I2366" t="s">
        <v>796</v>
      </c>
      <c r="J2366" t="s">
        <v>735</v>
      </c>
      <c r="K2366" t="s">
        <v>68</v>
      </c>
      <c r="L2366" t="s">
        <v>36</v>
      </c>
      <c r="M2366">
        <v>42</v>
      </c>
      <c r="N2366" t="s">
        <v>77</v>
      </c>
      <c r="O2366">
        <v>168</v>
      </c>
      <c r="P2366">
        <v>1</v>
      </c>
      <c r="Q2366">
        <v>8375.16</v>
      </c>
      <c r="R2366" s="4">
        <v>45600</v>
      </c>
      <c r="S2366" s="6">
        <v>0.34077546296296296</v>
      </c>
      <c r="T2366">
        <f t="shared" si="146"/>
        <v>16</v>
      </c>
      <c r="U2366" t="str" cm="1">
        <f t="array" ref="U2366">_xlfn.IFS(M2366&lt;=34,"YOUNG",M2366&lt;=54,"MIDDLE AGE",M2366&gt;=55,"OLD")</f>
        <v>MIDDLE AGE</v>
      </c>
      <c r="V2366" t="str">
        <f t="shared" si="147"/>
        <v>NORMAL</v>
      </c>
    </row>
    <row r="2367" spans="1:22" x14ac:dyDescent="0.35">
      <c r="A2367" t="s">
        <v>4295</v>
      </c>
      <c r="B2367" t="s">
        <v>3855</v>
      </c>
      <c r="C2367">
        <v>393.68</v>
      </c>
      <c r="D2367" s="1">
        <v>45187.695081018515</v>
      </c>
      <c r="E2367" s="2">
        <f t="shared" si="144"/>
        <v>0.69508101851533866</v>
      </c>
      <c r="F2367" s="3">
        <f t="shared" si="145"/>
        <v>45187</v>
      </c>
      <c r="G2367" t="s">
        <v>17</v>
      </c>
      <c r="H2367" t="s">
        <v>18</v>
      </c>
      <c r="I2367" t="s">
        <v>1749</v>
      </c>
      <c r="J2367" t="s">
        <v>3347</v>
      </c>
      <c r="K2367" t="s">
        <v>343</v>
      </c>
      <c r="L2367" t="s">
        <v>22</v>
      </c>
      <c r="M2367">
        <v>55</v>
      </c>
      <c r="N2367" t="s">
        <v>23</v>
      </c>
      <c r="O2367">
        <v>141</v>
      </c>
      <c r="P2367">
        <v>1</v>
      </c>
      <c r="Q2367">
        <v>10135.879999999999</v>
      </c>
      <c r="R2367" s="4">
        <v>45600</v>
      </c>
      <c r="S2367" s="6">
        <v>0.33819444444444446</v>
      </c>
      <c r="T2367">
        <f t="shared" si="146"/>
        <v>16</v>
      </c>
      <c r="U2367" t="str" cm="1">
        <f t="array" ref="U2367">_xlfn.IFS(M2367&lt;=34,"YOUNG",M2367&lt;=54,"MIDDLE AGE",M2367&gt;=55,"OLD")</f>
        <v>OLD</v>
      </c>
      <c r="V2367" t="str">
        <f t="shared" si="147"/>
        <v>NORMAL</v>
      </c>
    </row>
    <row r="2368" spans="1:22" x14ac:dyDescent="0.35">
      <c r="A2368" t="s">
        <v>4296</v>
      </c>
      <c r="B2368" t="s">
        <v>484</v>
      </c>
      <c r="C2368">
        <v>281.91000000000003</v>
      </c>
      <c r="D2368" s="1">
        <v>44938.715312499997</v>
      </c>
      <c r="E2368" s="2">
        <f t="shared" si="144"/>
        <v>0.71531249999679858</v>
      </c>
      <c r="F2368" s="3">
        <f t="shared" si="145"/>
        <v>44938</v>
      </c>
      <c r="G2368" t="s">
        <v>17</v>
      </c>
      <c r="H2368" t="s">
        <v>114</v>
      </c>
      <c r="I2368" t="s">
        <v>1297</v>
      </c>
      <c r="J2368" t="s">
        <v>75</v>
      </c>
      <c r="K2368" t="s">
        <v>853</v>
      </c>
      <c r="L2368" t="s">
        <v>69</v>
      </c>
      <c r="M2368">
        <v>25</v>
      </c>
      <c r="N2368" t="s">
        <v>37</v>
      </c>
      <c r="O2368">
        <v>269</v>
      </c>
      <c r="P2368">
        <v>1</v>
      </c>
      <c r="Q2368">
        <v>225.53</v>
      </c>
      <c r="R2368" s="4">
        <v>45600</v>
      </c>
      <c r="S2368" s="6">
        <v>0.33847222222222223</v>
      </c>
      <c r="T2368">
        <f t="shared" si="146"/>
        <v>17</v>
      </c>
      <c r="U2368" t="str" cm="1">
        <f t="array" ref="U2368">_xlfn.IFS(M2368&lt;=34,"YOUNG",M2368&lt;=54,"MIDDLE AGE",M2368&gt;=55,"OLD")</f>
        <v>YOUNG</v>
      </c>
      <c r="V2368" t="str">
        <f t="shared" si="147"/>
        <v>NORMAL</v>
      </c>
    </row>
    <row r="2369" spans="1:22" x14ac:dyDescent="0.35">
      <c r="A2369" t="s">
        <v>4297</v>
      </c>
      <c r="B2369" t="s">
        <v>1992</v>
      </c>
      <c r="C2369">
        <v>239.85</v>
      </c>
      <c r="D2369" s="1">
        <v>44952.679074074076</v>
      </c>
      <c r="E2369" s="2">
        <f t="shared" si="144"/>
        <v>0.67907407407619758</v>
      </c>
      <c r="F2369" s="3">
        <f t="shared" si="145"/>
        <v>44952</v>
      </c>
      <c r="G2369" t="s">
        <v>17</v>
      </c>
      <c r="H2369" t="s">
        <v>255</v>
      </c>
      <c r="I2369" t="s">
        <v>746</v>
      </c>
      <c r="J2369" t="s">
        <v>662</v>
      </c>
      <c r="K2369" t="s">
        <v>478</v>
      </c>
      <c r="L2369" t="s">
        <v>22</v>
      </c>
      <c r="M2369">
        <v>70</v>
      </c>
      <c r="N2369" t="s">
        <v>70</v>
      </c>
      <c r="O2369">
        <v>50</v>
      </c>
      <c r="P2369">
        <v>1</v>
      </c>
      <c r="Q2369">
        <v>1477.63</v>
      </c>
      <c r="R2369" s="4">
        <v>45600</v>
      </c>
      <c r="S2369" s="6">
        <v>0.33878472222222222</v>
      </c>
      <c r="T2369">
        <f t="shared" si="146"/>
        <v>16</v>
      </c>
      <c r="U2369" t="str" cm="1">
        <f t="array" ref="U2369">_xlfn.IFS(M2369&lt;=34,"YOUNG",M2369&lt;=54,"MIDDLE AGE",M2369&gt;=55,"OLD")</f>
        <v>OLD</v>
      </c>
      <c r="V2369" t="str">
        <f t="shared" si="147"/>
        <v>NORMAL</v>
      </c>
    </row>
    <row r="2370" spans="1:22" x14ac:dyDescent="0.35">
      <c r="A2370" t="s">
        <v>4298</v>
      </c>
      <c r="B2370" t="s">
        <v>222</v>
      </c>
      <c r="C2370">
        <v>237.84</v>
      </c>
      <c r="D2370" s="1">
        <v>45191.736377314817</v>
      </c>
      <c r="E2370" s="2">
        <f t="shared" ref="E2370:E2433" si="148">D2370-INT(D2370)</f>
        <v>0.73637731481721858</v>
      </c>
      <c r="F2370" s="3">
        <f t="shared" ref="F2370:F2433" si="149">INT(D2370)</f>
        <v>45191</v>
      </c>
      <c r="G2370" t="s">
        <v>17</v>
      </c>
      <c r="H2370" t="s">
        <v>80</v>
      </c>
      <c r="I2370" t="s">
        <v>207</v>
      </c>
      <c r="J2370" t="s">
        <v>486</v>
      </c>
      <c r="K2370" t="s">
        <v>478</v>
      </c>
      <c r="L2370" t="s">
        <v>69</v>
      </c>
      <c r="M2370">
        <v>26</v>
      </c>
      <c r="N2370" t="s">
        <v>37</v>
      </c>
      <c r="O2370">
        <v>16</v>
      </c>
      <c r="P2370">
        <v>1</v>
      </c>
      <c r="Q2370">
        <v>8932.39</v>
      </c>
      <c r="R2370" s="4">
        <v>45600</v>
      </c>
      <c r="S2370" s="6">
        <v>0.33991898148148147</v>
      </c>
      <c r="T2370">
        <f t="shared" si="146"/>
        <v>17</v>
      </c>
      <c r="U2370" t="str" cm="1">
        <f t="array" ref="U2370">_xlfn.IFS(M2370&lt;=34,"YOUNG",M2370&lt;=54,"MIDDLE AGE",M2370&gt;=55,"OLD")</f>
        <v>YOUNG</v>
      </c>
      <c r="V2370" t="str">
        <f t="shared" si="147"/>
        <v>NORMAL</v>
      </c>
    </row>
    <row r="2371" spans="1:22" x14ac:dyDescent="0.35">
      <c r="A2371" t="s">
        <v>4299</v>
      </c>
      <c r="B2371" t="s">
        <v>1501</v>
      </c>
      <c r="C2371">
        <v>459.29</v>
      </c>
      <c r="D2371" s="1">
        <v>44952.754861111112</v>
      </c>
      <c r="E2371" s="2">
        <f t="shared" si="148"/>
        <v>0.75486111111240461</v>
      </c>
      <c r="F2371" s="3">
        <f t="shared" si="149"/>
        <v>44952</v>
      </c>
      <c r="G2371" t="s">
        <v>46</v>
      </c>
      <c r="H2371" t="s">
        <v>291</v>
      </c>
      <c r="I2371" t="s">
        <v>2794</v>
      </c>
      <c r="J2371" t="s">
        <v>4133</v>
      </c>
      <c r="K2371" t="s">
        <v>1810</v>
      </c>
      <c r="L2371" t="s">
        <v>36</v>
      </c>
      <c r="M2371">
        <v>64</v>
      </c>
      <c r="N2371" t="s">
        <v>70</v>
      </c>
      <c r="O2371">
        <v>109</v>
      </c>
      <c r="P2371">
        <v>1</v>
      </c>
      <c r="Q2371">
        <v>1006.12</v>
      </c>
      <c r="R2371" s="4">
        <v>45600</v>
      </c>
      <c r="S2371" s="6">
        <v>0.34106481481481482</v>
      </c>
      <c r="T2371">
        <f t="shared" ref="T2371:T2434" si="150">HOUR(E2371)</f>
        <v>18</v>
      </c>
      <c r="U2371" t="str" cm="1">
        <f t="array" ref="U2371">_xlfn.IFS(M2371&lt;=34,"YOUNG",M2371&lt;=54,"MIDDLE AGE",M2371&gt;=55,"OLD")</f>
        <v>OLD</v>
      </c>
      <c r="V2371" t="str">
        <f t="shared" ref="V2371:V2434" si="151">IF(P2371&gt;1,"HIGH","NORMAL")</f>
        <v>NORMAL</v>
      </c>
    </row>
    <row r="2372" spans="1:22" x14ac:dyDescent="0.35">
      <c r="A2372" t="s">
        <v>4300</v>
      </c>
      <c r="B2372" t="s">
        <v>1799</v>
      </c>
      <c r="C2372">
        <v>196.49</v>
      </c>
      <c r="D2372" s="1">
        <v>45282.730543981481</v>
      </c>
      <c r="E2372" s="2">
        <f t="shared" si="148"/>
        <v>0.73054398148087785</v>
      </c>
      <c r="F2372" s="3">
        <f t="shared" si="149"/>
        <v>45282</v>
      </c>
      <c r="G2372" t="s">
        <v>17</v>
      </c>
      <c r="H2372" t="s">
        <v>53</v>
      </c>
      <c r="I2372" t="s">
        <v>4189</v>
      </c>
      <c r="J2372" t="s">
        <v>293</v>
      </c>
      <c r="K2372" t="s">
        <v>1810</v>
      </c>
      <c r="L2372" t="s">
        <v>69</v>
      </c>
      <c r="M2372">
        <v>41</v>
      </c>
      <c r="N2372" t="s">
        <v>77</v>
      </c>
      <c r="O2372">
        <v>65</v>
      </c>
      <c r="P2372">
        <v>1</v>
      </c>
      <c r="Q2372">
        <v>7516.56</v>
      </c>
      <c r="R2372" s="4">
        <v>45600</v>
      </c>
      <c r="S2372" s="6">
        <v>0.33993055555555557</v>
      </c>
      <c r="T2372">
        <f t="shared" si="150"/>
        <v>17</v>
      </c>
      <c r="U2372" t="str" cm="1">
        <f t="array" ref="U2372">_xlfn.IFS(M2372&lt;=34,"YOUNG",M2372&lt;=54,"MIDDLE AGE",M2372&gt;=55,"OLD")</f>
        <v>MIDDLE AGE</v>
      </c>
      <c r="V2372" t="str">
        <f t="shared" si="151"/>
        <v>NORMAL</v>
      </c>
    </row>
    <row r="2373" spans="1:22" x14ac:dyDescent="0.35">
      <c r="A2373" t="s">
        <v>4301</v>
      </c>
      <c r="B2373" t="s">
        <v>1796</v>
      </c>
      <c r="C2373">
        <v>21.23</v>
      </c>
      <c r="D2373" s="1">
        <v>45180.691145833334</v>
      </c>
      <c r="E2373" s="2">
        <f t="shared" si="148"/>
        <v>0.69114583333430346</v>
      </c>
      <c r="F2373" s="3">
        <f t="shared" si="149"/>
        <v>45180</v>
      </c>
      <c r="G2373" t="s">
        <v>17</v>
      </c>
      <c r="H2373" t="s">
        <v>301</v>
      </c>
      <c r="I2373" t="s">
        <v>2911</v>
      </c>
      <c r="J2373" t="s">
        <v>2091</v>
      </c>
      <c r="K2373" t="s">
        <v>209</v>
      </c>
      <c r="L2373" t="s">
        <v>22</v>
      </c>
      <c r="M2373">
        <v>23</v>
      </c>
      <c r="N2373" t="s">
        <v>37</v>
      </c>
      <c r="O2373">
        <v>103</v>
      </c>
      <c r="P2373">
        <v>4</v>
      </c>
      <c r="Q2373">
        <v>319.18</v>
      </c>
      <c r="R2373" s="4">
        <v>45600</v>
      </c>
      <c r="S2373" s="6">
        <v>0.3402662037037037</v>
      </c>
      <c r="T2373">
        <f t="shared" si="150"/>
        <v>16</v>
      </c>
      <c r="U2373" t="str" cm="1">
        <f t="array" ref="U2373">_xlfn.IFS(M2373&lt;=34,"YOUNG",M2373&lt;=54,"MIDDLE AGE",M2373&gt;=55,"OLD")</f>
        <v>YOUNG</v>
      </c>
      <c r="V2373" t="str">
        <f t="shared" si="151"/>
        <v>HIGH</v>
      </c>
    </row>
    <row r="2374" spans="1:22" x14ac:dyDescent="0.35">
      <c r="A2374" t="s">
        <v>4302</v>
      </c>
      <c r="B2374" t="s">
        <v>1009</v>
      </c>
      <c r="C2374">
        <v>95.23</v>
      </c>
      <c r="D2374" s="1">
        <v>45215.782835648148</v>
      </c>
      <c r="E2374" s="2">
        <f t="shared" si="148"/>
        <v>0.78283564814773854</v>
      </c>
      <c r="F2374" s="3">
        <f t="shared" si="149"/>
        <v>45215</v>
      </c>
      <c r="G2374" t="s">
        <v>17</v>
      </c>
      <c r="H2374" t="s">
        <v>114</v>
      </c>
      <c r="I2374" t="s">
        <v>1441</v>
      </c>
      <c r="J2374" t="s">
        <v>1898</v>
      </c>
      <c r="K2374" t="s">
        <v>543</v>
      </c>
      <c r="L2374" t="s">
        <v>36</v>
      </c>
      <c r="M2374">
        <v>20</v>
      </c>
      <c r="N2374" t="s">
        <v>37</v>
      </c>
      <c r="O2374">
        <v>60</v>
      </c>
      <c r="P2374">
        <v>3</v>
      </c>
      <c r="Q2374">
        <v>966.88</v>
      </c>
      <c r="R2374" s="4">
        <v>45600</v>
      </c>
      <c r="S2374" s="6">
        <v>0.34141203703703704</v>
      </c>
      <c r="T2374">
        <f t="shared" si="150"/>
        <v>18</v>
      </c>
      <c r="U2374" t="str" cm="1">
        <f t="array" ref="U2374">_xlfn.IFS(M2374&lt;=34,"YOUNG",M2374&lt;=54,"MIDDLE AGE",M2374&gt;=55,"OLD")</f>
        <v>YOUNG</v>
      </c>
      <c r="V2374" t="str">
        <f t="shared" si="151"/>
        <v>HIGH</v>
      </c>
    </row>
    <row r="2375" spans="1:22" x14ac:dyDescent="0.35">
      <c r="A2375" t="s">
        <v>4303</v>
      </c>
      <c r="B2375" t="s">
        <v>905</v>
      </c>
      <c r="C2375">
        <v>344.87</v>
      </c>
      <c r="D2375" s="1">
        <v>45166.749675925923</v>
      </c>
      <c r="E2375" s="2">
        <f t="shared" si="148"/>
        <v>0.74967592592292931</v>
      </c>
      <c r="F2375" s="3">
        <f t="shared" si="149"/>
        <v>45166</v>
      </c>
      <c r="G2375" t="s">
        <v>17</v>
      </c>
      <c r="H2375" t="s">
        <v>26</v>
      </c>
      <c r="I2375" t="s">
        <v>2359</v>
      </c>
      <c r="J2375" t="s">
        <v>287</v>
      </c>
      <c r="K2375" t="s">
        <v>277</v>
      </c>
      <c r="L2375" t="s">
        <v>69</v>
      </c>
      <c r="M2375">
        <v>58</v>
      </c>
      <c r="N2375" t="s">
        <v>70</v>
      </c>
      <c r="O2375">
        <v>25</v>
      </c>
      <c r="P2375">
        <v>1</v>
      </c>
      <c r="Q2375">
        <v>7447.44</v>
      </c>
      <c r="R2375" s="4">
        <v>45600</v>
      </c>
      <c r="S2375" s="6">
        <v>0.34121527777777777</v>
      </c>
      <c r="T2375">
        <f t="shared" si="150"/>
        <v>17</v>
      </c>
      <c r="U2375" t="str" cm="1">
        <f t="array" ref="U2375">_xlfn.IFS(M2375&lt;=34,"YOUNG",M2375&lt;=54,"MIDDLE AGE",M2375&gt;=55,"OLD")</f>
        <v>OLD</v>
      </c>
      <c r="V2375" t="str">
        <f t="shared" si="151"/>
        <v>NORMAL</v>
      </c>
    </row>
    <row r="2376" spans="1:22" x14ac:dyDescent="0.35">
      <c r="A2376" t="s">
        <v>4304</v>
      </c>
      <c r="B2376" t="s">
        <v>3561</v>
      </c>
      <c r="C2376">
        <v>129.62</v>
      </c>
      <c r="D2376" s="1">
        <v>45113.699305555558</v>
      </c>
      <c r="E2376" s="2">
        <f t="shared" si="148"/>
        <v>0.6993055555576575</v>
      </c>
      <c r="F2376" s="3">
        <f t="shared" si="149"/>
        <v>45113</v>
      </c>
      <c r="G2376" t="s">
        <v>46</v>
      </c>
      <c r="H2376" t="s">
        <v>223</v>
      </c>
      <c r="I2376" t="s">
        <v>2958</v>
      </c>
      <c r="J2376" t="s">
        <v>3227</v>
      </c>
      <c r="K2376" t="s">
        <v>272</v>
      </c>
      <c r="L2376" t="s">
        <v>22</v>
      </c>
      <c r="M2376">
        <v>23</v>
      </c>
      <c r="N2376" t="s">
        <v>37</v>
      </c>
      <c r="O2376">
        <v>124</v>
      </c>
      <c r="P2376">
        <v>1</v>
      </c>
      <c r="Q2376">
        <v>620.28</v>
      </c>
      <c r="R2376" s="4">
        <v>45600</v>
      </c>
      <c r="S2376" s="6">
        <v>0.33809027777777778</v>
      </c>
      <c r="T2376">
        <f t="shared" si="150"/>
        <v>16</v>
      </c>
      <c r="U2376" t="str" cm="1">
        <f t="array" ref="U2376">_xlfn.IFS(M2376&lt;=34,"YOUNG",M2376&lt;=54,"MIDDLE AGE",M2376&gt;=55,"OLD")</f>
        <v>YOUNG</v>
      </c>
      <c r="V2376" t="str">
        <f t="shared" si="151"/>
        <v>NORMAL</v>
      </c>
    </row>
    <row r="2377" spans="1:22" x14ac:dyDescent="0.35">
      <c r="A2377" t="s">
        <v>4305</v>
      </c>
      <c r="B2377" t="s">
        <v>625</v>
      </c>
      <c r="C2377">
        <v>16.53</v>
      </c>
      <c r="D2377" s="1">
        <v>45131.713506944441</v>
      </c>
      <c r="E2377" s="2">
        <f t="shared" si="148"/>
        <v>0.71350694444117835</v>
      </c>
      <c r="F2377" s="3">
        <f t="shared" si="149"/>
        <v>45131</v>
      </c>
      <c r="G2377" t="s">
        <v>17</v>
      </c>
      <c r="H2377" t="s">
        <v>26</v>
      </c>
      <c r="I2377" t="s">
        <v>522</v>
      </c>
      <c r="J2377" t="s">
        <v>1046</v>
      </c>
      <c r="K2377" t="s">
        <v>111</v>
      </c>
      <c r="L2377" t="s">
        <v>22</v>
      </c>
      <c r="M2377">
        <v>21</v>
      </c>
      <c r="N2377" t="s">
        <v>37</v>
      </c>
      <c r="O2377">
        <v>220</v>
      </c>
      <c r="P2377">
        <v>1</v>
      </c>
      <c r="Q2377">
        <v>707.95</v>
      </c>
      <c r="R2377" s="4">
        <v>45600</v>
      </c>
      <c r="S2377" s="6">
        <v>0.33922453703703703</v>
      </c>
      <c r="T2377">
        <f t="shared" si="150"/>
        <v>17</v>
      </c>
      <c r="U2377" t="str" cm="1">
        <f t="array" ref="U2377">_xlfn.IFS(M2377&lt;=34,"YOUNG",M2377&lt;=54,"MIDDLE AGE",M2377&gt;=55,"OLD")</f>
        <v>YOUNG</v>
      </c>
      <c r="V2377" t="str">
        <f t="shared" si="151"/>
        <v>NORMAL</v>
      </c>
    </row>
    <row r="2378" spans="1:22" x14ac:dyDescent="0.35">
      <c r="A2378" t="s">
        <v>4306</v>
      </c>
      <c r="B2378" t="s">
        <v>2264</v>
      </c>
      <c r="C2378">
        <v>277.02</v>
      </c>
      <c r="D2378" s="1">
        <v>45243.678333333337</v>
      </c>
      <c r="E2378" s="2">
        <f t="shared" si="148"/>
        <v>0.67833333333692281</v>
      </c>
      <c r="F2378" s="3">
        <f t="shared" si="149"/>
        <v>45243</v>
      </c>
      <c r="G2378" t="s">
        <v>46</v>
      </c>
      <c r="H2378" t="s">
        <v>114</v>
      </c>
      <c r="I2378" t="s">
        <v>413</v>
      </c>
      <c r="J2378" t="s">
        <v>3248</v>
      </c>
      <c r="K2378" t="s">
        <v>564</v>
      </c>
      <c r="L2378" t="s">
        <v>22</v>
      </c>
      <c r="M2378">
        <v>46</v>
      </c>
      <c r="N2378" t="s">
        <v>23</v>
      </c>
      <c r="O2378">
        <v>227</v>
      </c>
      <c r="P2378">
        <v>1</v>
      </c>
      <c r="Q2378">
        <v>8586.3799999999992</v>
      </c>
      <c r="R2378" s="4">
        <v>45600</v>
      </c>
      <c r="S2378" s="6">
        <v>0.34023148148148147</v>
      </c>
      <c r="T2378">
        <f t="shared" si="150"/>
        <v>16</v>
      </c>
      <c r="U2378" t="str" cm="1">
        <f t="array" ref="U2378">_xlfn.IFS(M2378&lt;=34,"YOUNG",M2378&lt;=54,"MIDDLE AGE",M2378&gt;=55,"OLD")</f>
        <v>MIDDLE AGE</v>
      </c>
      <c r="V2378" t="str">
        <f t="shared" si="151"/>
        <v>NORMAL</v>
      </c>
    </row>
    <row r="2379" spans="1:22" x14ac:dyDescent="0.35">
      <c r="A2379" t="s">
        <v>4307</v>
      </c>
      <c r="B2379" t="s">
        <v>611</v>
      </c>
      <c r="C2379">
        <v>13.02</v>
      </c>
      <c r="D2379" s="1">
        <v>45091.683425925927</v>
      </c>
      <c r="E2379" s="2">
        <f t="shared" si="148"/>
        <v>0.68342592592671281</v>
      </c>
      <c r="F2379" s="3">
        <f t="shared" si="149"/>
        <v>45091</v>
      </c>
      <c r="G2379" t="s">
        <v>17</v>
      </c>
      <c r="H2379" t="s">
        <v>249</v>
      </c>
      <c r="I2379" t="s">
        <v>1402</v>
      </c>
      <c r="J2379" t="s">
        <v>662</v>
      </c>
      <c r="K2379" t="s">
        <v>240</v>
      </c>
      <c r="L2379" t="s">
        <v>69</v>
      </c>
      <c r="M2379">
        <v>51</v>
      </c>
      <c r="N2379" t="s">
        <v>23</v>
      </c>
      <c r="O2379">
        <v>42</v>
      </c>
      <c r="P2379">
        <v>1</v>
      </c>
      <c r="Q2379">
        <v>6076.45</v>
      </c>
      <c r="R2379" s="4">
        <v>45600</v>
      </c>
      <c r="S2379" s="6">
        <v>0.3414699074074074</v>
      </c>
      <c r="T2379">
        <f t="shared" si="150"/>
        <v>16</v>
      </c>
      <c r="U2379" t="str" cm="1">
        <f t="array" ref="U2379">_xlfn.IFS(M2379&lt;=34,"YOUNG",M2379&lt;=54,"MIDDLE AGE",M2379&gt;=55,"OLD")</f>
        <v>MIDDLE AGE</v>
      </c>
      <c r="V2379" t="str">
        <f t="shared" si="151"/>
        <v>NORMAL</v>
      </c>
    </row>
    <row r="2380" spans="1:22" x14ac:dyDescent="0.35">
      <c r="A2380" t="s">
        <v>4308</v>
      </c>
      <c r="B2380" t="s">
        <v>85</v>
      </c>
      <c r="C2380">
        <v>199.02</v>
      </c>
      <c r="D2380" s="1">
        <v>44956.733958333331</v>
      </c>
      <c r="E2380" s="2">
        <f t="shared" si="148"/>
        <v>0.73395833333051996</v>
      </c>
      <c r="F2380" s="3">
        <f t="shared" si="149"/>
        <v>44956</v>
      </c>
      <c r="G2380" t="s">
        <v>17</v>
      </c>
      <c r="H2380" t="s">
        <v>92</v>
      </c>
      <c r="I2380" t="s">
        <v>1824</v>
      </c>
      <c r="J2380" t="s">
        <v>575</v>
      </c>
      <c r="K2380" t="s">
        <v>427</v>
      </c>
      <c r="L2380" t="s">
        <v>22</v>
      </c>
      <c r="M2380">
        <v>22</v>
      </c>
      <c r="N2380" t="s">
        <v>37</v>
      </c>
      <c r="O2380">
        <v>185</v>
      </c>
      <c r="P2380">
        <v>1</v>
      </c>
      <c r="Q2380">
        <v>793.63</v>
      </c>
      <c r="R2380" s="4">
        <v>45600</v>
      </c>
      <c r="S2380" s="6">
        <v>0.33914351851851854</v>
      </c>
      <c r="T2380">
        <f t="shared" si="150"/>
        <v>17</v>
      </c>
      <c r="U2380" t="str" cm="1">
        <f t="array" ref="U2380">_xlfn.IFS(M2380&lt;=34,"YOUNG",M2380&lt;=54,"MIDDLE AGE",M2380&gt;=55,"OLD")</f>
        <v>YOUNG</v>
      </c>
      <c r="V2380" t="str">
        <f t="shared" si="151"/>
        <v>NORMAL</v>
      </c>
    </row>
    <row r="2381" spans="1:22" x14ac:dyDescent="0.35">
      <c r="A2381" t="s">
        <v>4309</v>
      </c>
      <c r="B2381" t="s">
        <v>1520</v>
      </c>
      <c r="C2381">
        <v>684.5</v>
      </c>
      <c r="D2381" s="1">
        <v>45138.786273148151</v>
      </c>
      <c r="E2381" s="2">
        <f t="shared" si="148"/>
        <v>0.78627314815093996</v>
      </c>
      <c r="F2381" s="3">
        <f t="shared" si="149"/>
        <v>45138</v>
      </c>
      <c r="G2381" t="s">
        <v>17</v>
      </c>
      <c r="H2381" t="s">
        <v>157</v>
      </c>
      <c r="I2381" t="s">
        <v>1931</v>
      </c>
      <c r="J2381" t="s">
        <v>1589</v>
      </c>
      <c r="K2381" t="s">
        <v>76</v>
      </c>
      <c r="L2381" t="s">
        <v>69</v>
      </c>
      <c r="M2381">
        <v>29</v>
      </c>
      <c r="N2381" t="s">
        <v>23</v>
      </c>
      <c r="O2381">
        <v>76</v>
      </c>
      <c r="P2381">
        <v>1</v>
      </c>
      <c r="Q2381">
        <v>6258.63</v>
      </c>
      <c r="R2381" s="4">
        <v>45600</v>
      </c>
      <c r="S2381" s="6">
        <v>0.34043981481481483</v>
      </c>
      <c r="T2381">
        <f t="shared" si="150"/>
        <v>18</v>
      </c>
      <c r="U2381" t="str" cm="1">
        <f t="array" ref="U2381">_xlfn.IFS(M2381&lt;=34,"YOUNG",M2381&lt;=54,"MIDDLE AGE",M2381&gt;=55,"OLD")</f>
        <v>YOUNG</v>
      </c>
      <c r="V2381" t="str">
        <f t="shared" si="151"/>
        <v>NORMAL</v>
      </c>
    </row>
    <row r="2382" spans="1:22" x14ac:dyDescent="0.35">
      <c r="A2382" t="s">
        <v>4310</v>
      </c>
      <c r="B2382" t="s">
        <v>442</v>
      </c>
      <c r="C2382">
        <v>1173.74</v>
      </c>
      <c r="D2382" s="1">
        <v>45194.697824074072</v>
      </c>
      <c r="E2382" s="2">
        <f t="shared" si="148"/>
        <v>0.697824074071832</v>
      </c>
      <c r="F2382" s="3">
        <f t="shared" si="149"/>
        <v>45194</v>
      </c>
      <c r="G2382" t="s">
        <v>46</v>
      </c>
      <c r="H2382" t="s">
        <v>301</v>
      </c>
      <c r="I2382" t="s">
        <v>3011</v>
      </c>
      <c r="J2382" t="s">
        <v>2523</v>
      </c>
      <c r="K2382" t="s">
        <v>572</v>
      </c>
      <c r="L2382" t="s">
        <v>36</v>
      </c>
      <c r="M2382">
        <v>61</v>
      </c>
      <c r="N2382" t="s">
        <v>23</v>
      </c>
      <c r="O2382">
        <v>61</v>
      </c>
      <c r="P2382">
        <v>1</v>
      </c>
      <c r="Q2382">
        <v>10456.24</v>
      </c>
      <c r="R2382" s="4">
        <v>45600</v>
      </c>
      <c r="S2382" s="6">
        <v>0.33855324074074072</v>
      </c>
      <c r="T2382">
        <f t="shared" si="150"/>
        <v>16</v>
      </c>
      <c r="U2382" t="str" cm="1">
        <f t="array" ref="U2382">_xlfn.IFS(M2382&lt;=34,"YOUNG",M2382&lt;=54,"MIDDLE AGE",M2382&gt;=55,"OLD")</f>
        <v>OLD</v>
      </c>
      <c r="V2382" t="str">
        <f t="shared" si="151"/>
        <v>NORMAL</v>
      </c>
    </row>
    <row r="2383" spans="1:22" x14ac:dyDescent="0.35">
      <c r="A2383" t="s">
        <v>4311</v>
      </c>
      <c r="B2383" t="s">
        <v>872</v>
      </c>
      <c r="C2383">
        <v>45.92</v>
      </c>
      <c r="D2383" s="1">
        <v>45096.726099537038</v>
      </c>
      <c r="E2383" s="2">
        <f t="shared" si="148"/>
        <v>0.72609953703795327</v>
      </c>
      <c r="F2383" s="3">
        <f t="shared" si="149"/>
        <v>45096</v>
      </c>
      <c r="G2383" t="s">
        <v>17</v>
      </c>
      <c r="H2383" t="s">
        <v>80</v>
      </c>
      <c r="I2383" t="s">
        <v>485</v>
      </c>
      <c r="J2383" t="s">
        <v>136</v>
      </c>
      <c r="K2383" t="s">
        <v>343</v>
      </c>
      <c r="L2383" t="s">
        <v>22</v>
      </c>
      <c r="M2383">
        <v>26</v>
      </c>
      <c r="N2383" t="s">
        <v>37</v>
      </c>
      <c r="O2383">
        <v>23</v>
      </c>
      <c r="P2383">
        <v>1</v>
      </c>
      <c r="Q2383">
        <v>544.55999999999995</v>
      </c>
      <c r="R2383" s="4">
        <v>45600</v>
      </c>
      <c r="S2383" s="6">
        <v>0.33787037037037038</v>
      </c>
      <c r="T2383">
        <f t="shared" si="150"/>
        <v>17</v>
      </c>
      <c r="U2383" t="str" cm="1">
        <f t="array" ref="U2383">_xlfn.IFS(M2383&lt;=34,"YOUNG",M2383&lt;=54,"MIDDLE AGE",M2383&gt;=55,"OLD")</f>
        <v>YOUNG</v>
      </c>
      <c r="V2383" t="str">
        <f t="shared" si="151"/>
        <v>NORMAL</v>
      </c>
    </row>
    <row r="2384" spans="1:22" x14ac:dyDescent="0.35">
      <c r="A2384" t="s">
        <v>4312</v>
      </c>
      <c r="B2384" t="s">
        <v>1167</v>
      </c>
      <c r="C2384">
        <v>761.73</v>
      </c>
      <c r="D2384" s="1">
        <v>45180.7187962963</v>
      </c>
      <c r="E2384" s="2">
        <f t="shared" si="148"/>
        <v>0.71879629629984265</v>
      </c>
      <c r="F2384" s="3">
        <f t="shared" si="149"/>
        <v>45180</v>
      </c>
      <c r="G2384" t="s">
        <v>17</v>
      </c>
      <c r="H2384" t="s">
        <v>125</v>
      </c>
      <c r="I2384" t="s">
        <v>1005</v>
      </c>
      <c r="J2384" t="s">
        <v>1163</v>
      </c>
      <c r="K2384" t="s">
        <v>326</v>
      </c>
      <c r="L2384" t="s">
        <v>22</v>
      </c>
      <c r="M2384">
        <v>19</v>
      </c>
      <c r="N2384" t="s">
        <v>37</v>
      </c>
      <c r="O2384">
        <v>27</v>
      </c>
      <c r="P2384">
        <v>1</v>
      </c>
      <c r="Q2384">
        <v>151.28</v>
      </c>
      <c r="R2384" s="4">
        <v>45600</v>
      </c>
      <c r="S2384" s="6">
        <v>0.33984953703703702</v>
      </c>
      <c r="T2384">
        <f t="shared" si="150"/>
        <v>17</v>
      </c>
      <c r="U2384" t="str" cm="1">
        <f t="array" ref="U2384">_xlfn.IFS(M2384&lt;=34,"YOUNG",M2384&lt;=54,"MIDDLE AGE",M2384&gt;=55,"OLD")</f>
        <v>YOUNG</v>
      </c>
      <c r="V2384" t="str">
        <f t="shared" si="151"/>
        <v>NORMAL</v>
      </c>
    </row>
    <row r="2385" spans="1:22" x14ac:dyDescent="0.35">
      <c r="A2385" t="s">
        <v>4313</v>
      </c>
      <c r="B2385" t="s">
        <v>2262</v>
      </c>
      <c r="C2385">
        <v>331.38</v>
      </c>
      <c r="D2385" s="1">
        <v>45076.717800925922</v>
      </c>
      <c r="E2385" s="2">
        <f t="shared" si="148"/>
        <v>0.71780092592234723</v>
      </c>
      <c r="F2385" s="3">
        <f t="shared" si="149"/>
        <v>45076</v>
      </c>
      <c r="G2385" t="s">
        <v>17</v>
      </c>
      <c r="H2385" t="s">
        <v>172</v>
      </c>
      <c r="I2385" t="s">
        <v>204</v>
      </c>
      <c r="J2385" t="s">
        <v>2327</v>
      </c>
      <c r="K2385" t="s">
        <v>267</v>
      </c>
      <c r="L2385" t="s">
        <v>22</v>
      </c>
      <c r="M2385">
        <v>42</v>
      </c>
      <c r="N2385" t="s">
        <v>77</v>
      </c>
      <c r="O2385">
        <v>122</v>
      </c>
      <c r="P2385">
        <v>1</v>
      </c>
      <c r="Q2385">
        <v>844.55</v>
      </c>
      <c r="R2385" s="4">
        <v>45600</v>
      </c>
      <c r="S2385" s="6">
        <v>0.33932870370370372</v>
      </c>
      <c r="T2385">
        <f t="shared" si="150"/>
        <v>17</v>
      </c>
      <c r="U2385" t="str" cm="1">
        <f t="array" ref="U2385">_xlfn.IFS(M2385&lt;=34,"YOUNG",M2385&lt;=54,"MIDDLE AGE",M2385&gt;=55,"OLD")</f>
        <v>MIDDLE AGE</v>
      </c>
      <c r="V2385" t="str">
        <f t="shared" si="151"/>
        <v>NORMAL</v>
      </c>
    </row>
    <row r="2386" spans="1:22" x14ac:dyDescent="0.35">
      <c r="A2386" t="s">
        <v>4314</v>
      </c>
      <c r="B2386" t="s">
        <v>2208</v>
      </c>
      <c r="C2386">
        <v>602.79999999999995</v>
      </c>
      <c r="D2386" s="1">
        <v>45005.725868055553</v>
      </c>
      <c r="E2386" s="2">
        <f t="shared" si="148"/>
        <v>0.72586805555329192</v>
      </c>
      <c r="F2386" s="3">
        <f t="shared" si="149"/>
        <v>45005</v>
      </c>
      <c r="G2386" t="s">
        <v>17</v>
      </c>
      <c r="H2386" t="s">
        <v>197</v>
      </c>
      <c r="I2386" t="s">
        <v>3318</v>
      </c>
      <c r="J2386" t="s">
        <v>841</v>
      </c>
      <c r="K2386" t="s">
        <v>362</v>
      </c>
      <c r="L2386" t="s">
        <v>69</v>
      </c>
      <c r="M2386">
        <v>60</v>
      </c>
      <c r="N2386" t="s">
        <v>70</v>
      </c>
      <c r="O2386">
        <v>173</v>
      </c>
      <c r="P2386">
        <v>1</v>
      </c>
      <c r="Q2386">
        <v>7417.69</v>
      </c>
      <c r="R2386" s="4">
        <v>45600</v>
      </c>
      <c r="S2386" s="6">
        <v>0.3409375</v>
      </c>
      <c r="T2386">
        <f t="shared" si="150"/>
        <v>17</v>
      </c>
      <c r="U2386" t="str" cm="1">
        <f t="array" ref="U2386">_xlfn.IFS(M2386&lt;=34,"YOUNG",M2386&lt;=54,"MIDDLE AGE",M2386&gt;=55,"OLD")</f>
        <v>OLD</v>
      </c>
      <c r="V2386" t="str">
        <f t="shared" si="151"/>
        <v>NORMAL</v>
      </c>
    </row>
    <row r="2387" spans="1:22" x14ac:dyDescent="0.35">
      <c r="A2387" t="s">
        <v>4315</v>
      </c>
      <c r="B2387" t="s">
        <v>509</v>
      </c>
      <c r="C2387">
        <v>64.12</v>
      </c>
      <c r="D2387" s="1">
        <v>45148.717303240737</v>
      </c>
      <c r="E2387" s="2">
        <f t="shared" si="148"/>
        <v>0.7173032407372375</v>
      </c>
      <c r="F2387" s="3">
        <f t="shared" si="149"/>
        <v>45148</v>
      </c>
      <c r="G2387" t="s">
        <v>46</v>
      </c>
      <c r="H2387" t="s">
        <v>65</v>
      </c>
      <c r="I2387" t="s">
        <v>315</v>
      </c>
      <c r="J2387" t="s">
        <v>983</v>
      </c>
      <c r="K2387" t="s">
        <v>348</v>
      </c>
      <c r="L2387" t="s">
        <v>69</v>
      </c>
      <c r="M2387">
        <v>57</v>
      </c>
      <c r="N2387" t="s">
        <v>23</v>
      </c>
      <c r="O2387">
        <v>222</v>
      </c>
      <c r="P2387">
        <v>1</v>
      </c>
      <c r="Q2387">
        <v>1029.0899999999999</v>
      </c>
      <c r="R2387" s="4">
        <v>45600</v>
      </c>
      <c r="S2387" s="6">
        <v>0.3400347222222222</v>
      </c>
      <c r="T2387">
        <f t="shared" si="150"/>
        <v>17</v>
      </c>
      <c r="U2387" t="str" cm="1">
        <f t="array" ref="U2387">_xlfn.IFS(M2387&lt;=34,"YOUNG",M2387&lt;=54,"MIDDLE AGE",M2387&gt;=55,"OLD")</f>
        <v>OLD</v>
      </c>
      <c r="V2387" t="str">
        <f t="shared" si="151"/>
        <v>NORMAL</v>
      </c>
    </row>
    <row r="2388" spans="1:22" x14ac:dyDescent="0.35">
      <c r="A2388" t="s">
        <v>4316</v>
      </c>
      <c r="B2388" t="s">
        <v>1673</v>
      </c>
      <c r="C2388">
        <v>57.38</v>
      </c>
      <c r="D2388" s="1">
        <v>44970.769143518519</v>
      </c>
      <c r="E2388" s="2">
        <f t="shared" si="148"/>
        <v>0.76914351851883112</v>
      </c>
      <c r="F2388" s="3">
        <f t="shared" si="149"/>
        <v>44970</v>
      </c>
      <c r="G2388" t="s">
        <v>17</v>
      </c>
      <c r="H2388" t="s">
        <v>291</v>
      </c>
      <c r="I2388" t="s">
        <v>2969</v>
      </c>
      <c r="J2388" t="s">
        <v>1295</v>
      </c>
      <c r="K2388" t="s">
        <v>619</v>
      </c>
      <c r="L2388" t="s">
        <v>36</v>
      </c>
      <c r="M2388">
        <v>28</v>
      </c>
      <c r="N2388" t="s">
        <v>37</v>
      </c>
      <c r="O2388">
        <v>86</v>
      </c>
      <c r="P2388">
        <v>1</v>
      </c>
      <c r="Q2388">
        <v>899.52</v>
      </c>
      <c r="R2388" s="4">
        <v>45600</v>
      </c>
      <c r="S2388" s="6">
        <v>0.33924768518518517</v>
      </c>
      <c r="T2388">
        <f t="shared" si="150"/>
        <v>18</v>
      </c>
      <c r="U2388" t="str" cm="1">
        <f t="array" ref="U2388">_xlfn.IFS(M2388&lt;=34,"YOUNG",M2388&lt;=54,"MIDDLE AGE",M2388&gt;=55,"OLD")</f>
        <v>YOUNG</v>
      </c>
      <c r="V2388" t="str">
        <f t="shared" si="151"/>
        <v>NORMAL</v>
      </c>
    </row>
    <row r="2389" spans="1:22" x14ac:dyDescent="0.35">
      <c r="A2389" t="s">
        <v>4317</v>
      </c>
      <c r="B2389" t="s">
        <v>1197</v>
      </c>
      <c r="C2389">
        <v>94.64</v>
      </c>
      <c r="D2389" s="1">
        <v>45061.771469907406</v>
      </c>
      <c r="E2389" s="2">
        <f t="shared" si="148"/>
        <v>0.77146990740584442</v>
      </c>
      <c r="F2389" s="3">
        <f t="shared" si="149"/>
        <v>45061</v>
      </c>
      <c r="G2389" t="s">
        <v>46</v>
      </c>
      <c r="H2389" t="s">
        <v>203</v>
      </c>
      <c r="I2389" t="s">
        <v>4318</v>
      </c>
      <c r="J2389" t="s">
        <v>696</v>
      </c>
      <c r="K2389" t="s">
        <v>308</v>
      </c>
      <c r="L2389" t="s">
        <v>22</v>
      </c>
      <c r="M2389">
        <v>28</v>
      </c>
      <c r="N2389" t="s">
        <v>37</v>
      </c>
      <c r="O2389">
        <v>144</v>
      </c>
      <c r="P2389">
        <v>1</v>
      </c>
      <c r="Q2389">
        <v>586.76</v>
      </c>
      <c r="R2389" s="4">
        <v>45600</v>
      </c>
      <c r="S2389" s="6">
        <v>0.33946759259259257</v>
      </c>
      <c r="T2389">
        <f t="shared" si="150"/>
        <v>18</v>
      </c>
      <c r="U2389" t="str" cm="1">
        <f t="array" ref="U2389">_xlfn.IFS(M2389&lt;=34,"YOUNG",M2389&lt;=54,"MIDDLE AGE",M2389&gt;=55,"OLD")</f>
        <v>YOUNG</v>
      </c>
      <c r="V2389" t="str">
        <f t="shared" si="151"/>
        <v>NORMAL</v>
      </c>
    </row>
    <row r="2390" spans="1:22" x14ac:dyDescent="0.35">
      <c r="A2390" t="s">
        <v>4319</v>
      </c>
      <c r="B2390" t="s">
        <v>1770</v>
      </c>
      <c r="C2390">
        <v>155.56</v>
      </c>
      <c r="D2390" s="1">
        <v>45040.6721412037</v>
      </c>
      <c r="E2390" s="2">
        <f t="shared" si="148"/>
        <v>0.67214120370044839</v>
      </c>
      <c r="F2390" s="3">
        <f t="shared" si="149"/>
        <v>45040</v>
      </c>
      <c r="G2390" t="s">
        <v>46</v>
      </c>
      <c r="H2390" t="s">
        <v>119</v>
      </c>
      <c r="I2390" t="s">
        <v>2479</v>
      </c>
      <c r="J2390" t="s">
        <v>121</v>
      </c>
      <c r="K2390" t="s">
        <v>240</v>
      </c>
      <c r="L2390" t="s">
        <v>69</v>
      </c>
      <c r="M2390">
        <v>19</v>
      </c>
      <c r="N2390" t="s">
        <v>37</v>
      </c>
      <c r="O2390">
        <v>64</v>
      </c>
      <c r="P2390">
        <v>1</v>
      </c>
      <c r="Q2390">
        <v>129.79</v>
      </c>
      <c r="R2390" s="4">
        <v>45600</v>
      </c>
      <c r="S2390" s="6">
        <v>0.33872685185185186</v>
      </c>
      <c r="T2390">
        <f t="shared" si="150"/>
        <v>16</v>
      </c>
      <c r="U2390" t="str" cm="1">
        <f t="array" ref="U2390">_xlfn.IFS(M2390&lt;=34,"YOUNG",M2390&lt;=54,"MIDDLE AGE",M2390&gt;=55,"OLD")</f>
        <v>YOUNG</v>
      </c>
      <c r="V2390" t="str">
        <f t="shared" si="151"/>
        <v>NORMAL</v>
      </c>
    </row>
    <row r="2391" spans="1:22" x14ac:dyDescent="0.35">
      <c r="A2391" t="s">
        <v>4320</v>
      </c>
      <c r="B2391" t="s">
        <v>2978</v>
      </c>
      <c r="C2391">
        <v>301.39</v>
      </c>
      <c r="D2391" s="1">
        <v>45111.681388888886</v>
      </c>
      <c r="E2391" s="2">
        <f t="shared" si="148"/>
        <v>0.68138888888643123</v>
      </c>
      <c r="F2391" s="3">
        <f t="shared" si="149"/>
        <v>45111</v>
      </c>
      <c r="G2391" t="s">
        <v>46</v>
      </c>
      <c r="H2391" t="s">
        <v>114</v>
      </c>
      <c r="I2391" t="s">
        <v>416</v>
      </c>
      <c r="J2391" t="s">
        <v>1064</v>
      </c>
      <c r="K2391" t="s">
        <v>1345</v>
      </c>
      <c r="L2391" t="s">
        <v>36</v>
      </c>
      <c r="M2391">
        <v>47</v>
      </c>
      <c r="N2391" t="s">
        <v>23</v>
      </c>
      <c r="O2391">
        <v>104</v>
      </c>
      <c r="P2391">
        <v>1</v>
      </c>
      <c r="Q2391">
        <v>10548.58</v>
      </c>
      <c r="R2391" s="4">
        <v>45600</v>
      </c>
      <c r="S2391" s="6">
        <v>0.3384490740740741</v>
      </c>
      <c r="T2391">
        <f t="shared" si="150"/>
        <v>16</v>
      </c>
      <c r="U2391" t="str" cm="1">
        <f t="array" ref="U2391">_xlfn.IFS(M2391&lt;=34,"YOUNG",M2391&lt;=54,"MIDDLE AGE",M2391&gt;=55,"OLD")</f>
        <v>MIDDLE AGE</v>
      </c>
      <c r="V2391" t="str">
        <f t="shared" si="151"/>
        <v>NORMAL</v>
      </c>
    </row>
    <row r="2392" spans="1:22" x14ac:dyDescent="0.35">
      <c r="A2392" t="s">
        <v>4321</v>
      </c>
      <c r="B2392" t="s">
        <v>935</v>
      </c>
      <c r="C2392">
        <v>136.31</v>
      </c>
      <c r="D2392" s="1">
        <v>45229.69321759259</v>
      </c>
      <c r="E2392" s="2">
        <f t="shared" si="148"/>
        <v>0.69321759259037208</v>
      </c>
      <c r="F2392" s="3">
        <f t="shared" si="149"/>
        <v>45229</v>
      </c>
      <c r="G2392" t="s">
        <v>17</v>
      </c>
      <c r="H2392" t="s">
        <v>80</v>
      </c>
      <c r="I2392" t="s">
        <v>2008</v>
      </c>
      <c r="J2392" t="s">
        <v>239</v>
      </c>
      <c r="K2392" t="s">
        <v>288</v>
      </c>
      <c r="L2392" t="s">
        <v>36</v>
      </c>
      <c r="M2392">
        <v>74</v>
      </c>
      <c r="N2392" t="s">
        <v>70</v>
      </c>
      <c r="O2392">
        <v>65</v>
      </c>
      <c r="P2392">
        <v>1</v>
      </c>
      <c r="Q2392">
        <v>4384.95</v>
      </c>
      <c r="R2392" s="4">
        <v>45600</v>
      </c>
      <c r="S2392" s="6">
        <v>0.33936342592592594</v>
      </c>
      <c r="T2392">
        <f t="shared" si="150"/>
        <v>16</v>
      </c>
      <c r="U2392" t="str" cm="1">
        <f t="array" ref="U2392">_xlfn.IFS(M2392&lt;=34,"YOUNG",M2392&lt;=54,"MIDDLE AGE",M2392&gt;=55,"OLD")</f>
        <v>OLD</v>
      </c>
      <c r="V2392" t="str">
        <f t="shared" si="151"/>
        <v>NORMAL</v>
      </c>
    </row>
    <row r="2393" spans="1:22" x14ac:dyDescent="0.35">
      <c r="A2393" t="s">
        <v>4322</v>
      </c>
      <c r="B2393" t="s">
        <v>1343</v>
      </c>
      <c r="C2393">
        <v>4.3899999999999997</v>
      </c>
      <c r="D2393" s="1">
        <v>45089.669236111113</v>
      </c>
      <c r="E2393" s="2">
        <f t="shared" si="148"/>
        <v>0.66923611111269565</v>
      </c>
      <c r="F2393" s="3">
        <f t="shared" si="149"/>
        <v>45089</v>
      </c>
      <c r="G2393" t="s">
        <v>17</v>
      </c>
      <c r="H2393" t="s">
        <v>243</v>
      </c>
      <c r="I2393" t="s">
        <v>1815</v>
      </c>
      <c r="J2393" t="s">
        <v>1595</v>
      </c>
      <c r="K2393" t="s">
        <v>820</v>
      </c>
      <c r="L2393" t="s">
        <v>22</v>
      </c>
      <c r="M2393">
        <v>26</v>
      </c>
      <c r="N2393" t="s">
        <v>37</v>
      </c>
      <c r="O2393">
        <v>63</v>
      </c>
      <c r="P2393">
        <v>1</v>
      </c>
      <c r="Q2393">
        <v>1429.61</v>
      </c>
      <c r="R2393" s="4">
        <v>45600</v>
      </c>
      <c r="S2393" s="6">
        <v>0.34152777777777776</v>
      </c>
      <c r="T2393">
        <f t="shared" si="150"/>
        <v>16</v>
      </c>
      <c r="U2393" t="str" cm="1">
        <f t="array" ref="U2393">_xlfn.IFS(M2393&lt;=34,"YOUNG",M2393&lt;=54,"MIDDLE AGE",M2393&gt;=55,"OLD")</f>
        <v>YOUNG</v>
      </c>
      <c r="V2393" t="str">
        <f t="shared" si="151"/>
        <v>NORMAL</v>
      </c>
    </row>
    <row r="2394" spans="1:22" x14ac:dyDescent="0.35">
      <c r="A2394" t="s">
        <v>4323</v>
      </c>
      <c r="B2394" t="s">
        <v>968</v>
      </c>
      <c r="C2394">
        <v>429.25</v>
      </c>
      <c r="D2394" s="1">
        <v>45089.68513888889</v>
      </c>
      <c r="E2394" s="2">
        <f t="shared" si="148"/>
        <v>0.68513888888992369</v>
      </c>
      <c r="F2394" s="3">
        <f t="shared" si="149"/>
        <v>45089</v>
      </c>
      <c r="G2394" t="s">
        <v>17</v>
      </c>
      <c r="H2394" t="s">
        <v>59</v>
      </c>
      <c r="I2394" t="s">
        <v>81</v>
      </c>
      <c r="J2394" t="s">
        <v>1985</v>
      </c>
      <c r="K2394" t="s">
        <v>277</v>
      </c>
      <c r="L2394" t="s">
        <v>36</v>
      </c>
      <c r="M2394">
        <v>29</v>
      </c>
      <c r="N2394" t="s">
        <v>77</v>
      </c>
      <c r="O2394">
        <v>107</v>
      </c>
      <c r="P2394">
        <v>1</v>
      </c>
      <c r="Q2394">
        <v>5019.68</v>
      </c>
      <c r="R2394" s="4">
        <v>45600</v>
      </c>
      <c r="S2394" s="6">
        <v>0.33930555555555558</v>
      </c>
      <c r="T2394">
        <f t="shared" si="150"/>
        <v>16</v>
      </c>
      <c r="U2394" t="str" cm="1">
        <f t="array" ref="U2394">_xlfn.IFS(M2394&lt;=34,"YOUNG",M2394&lt;=54,"MIDDLE AGE",M2394&gt;=55,"OLD")</f>
        <v>YOUNG</v>
      </c>
      <c r="V2394" t="str">
        <f t="shared" si="151"/>
        <v>NORMAL</v>
      </c>
    </row>
    <row r="2395" spans="1:22" x14ac:dyDescent="0.35">
      <c r="A2395" t="s">
        <v>4324</v>
      </c>
      <c r="B2395" t="s">
        <v>641</v>
      </c>
      <c r="C2395">
        <v>138.54</v>
      </c>
      <c r="D2395" s="1">
        <v>44929.747650462959</v>
      </c>
      <c r="E2395" s="2">
        <f t="shared" si="148"/>
        <v>0.74765046295942739</v>
      </c>
      <c r="F2395" s="3">
        <f t="shared" si="149"/>
        <v>44929</v>
      </c>
      <c r="G2395" t="s">
        <v>46</v>
      </c>
      <c r="H2395" t="s">
        <v>119</v>
      </c>
      <c r="I2395" t="s">
        <v>856</v>
      </c>
      <c r="J2395" t="s">
        <v>1556</v>
      </c>
      <c r="K2395" t="s">
        <v>165</v>
      </c>
      <c r="L2395" t="s">
        <v>69</v>
      </c>
      <c r="M2395">
        <v>60</v>
      </c>
      <c r="N2395" t="s">
        <v>77</v>
      </c>
      <c r="O2395">
        <v>93</v>
      </c>
      <c r="P2395">
        <v>1</v>
      </c>
      <c r="Q2395">
        <v>8274.77</v>
      </c>
      <c r="R2395" s="4">
        <v>45600</v>
      </c>
      <c r="S2395" s="6">
        <v>0.33964120370370371</v>
      </c>
      <c r="T2395">
        <f t="shared" si="150"/>
        <v>17</v>
      </c>
      <c r="U2395" t="str" cm="1">
        <f t="array" ref="U2395">_xlfn.IFS(M2395&lt;=34,"YOUNG",M2395&lt;=54,"MIDDLE AGE",M2395&gt;=55,"OLD")</f>
        <v>OLD</v>
      </c>
      <c r="V2395" t="str">
        <f t="shared" si="151"/>
        <v>NORMAL</v>
      </c>
    </row>
    <row r="2396" spans="1:22" x14ac:dyDescent="0.35">
      <c r="A2396" t="s">
        <v>4325</v>
      </c>
      <c r="B2396" t="s">
        <v>1333</v>
      </c>
      <c r="C2396">
        <v>33.03</v>
      </c>
      <c r="D2396" s="1">
        <v>45148.707060185188</v>
      </c>
      <c r="E2396" s="2">
        <f t="shared" si="148"/>
        <v>0.70706018518831115</v>
      </c>
      <c r="F2396" s="3">
        <f t="shared" si="149"/>
        <v>45148</v>
      </c>
      <c r="G2396" t="s">
        <v>17</v>
      </c>
      <c r="H2396" t="s">
        <v>453</v>
      </c>
      <c r="I2396" t="s">
        <v>2604</v>
      </c>
      <c r="J2396" t="s">
        <v>1219</v>
      </c>
      <c r="K2396" t="s">
        <v>62</v>
      </c>
      <c r="L2396" t="s">
        <v>69</v>
      </c>
      <c r="M2396">
        <v>21</v>
      </c>
      <c r="N2396" t="s">
        <v>37</v>
      </c>
      <c r="O2396">
        <v>28</v>
      </c>
      <c r="P2396">
        <v>1</v>
      </c>
      <c r="Q2396">
        <v>935.88</v>
      </c>
      <c r="R2396" s="4">
        <v>45600</v>
      </c>
      <c r="S2396" s="6">
        <v>0.34024305555555556</v>
      </c>
      <c r="T2396">
        <f t="shared" si="150"/>
        <v>16</v>
      </c>
      <c r="U2396" t="str" cm="1">
        <f t="array" ref="U2396">_xlfn.IFS(M2396&lt;=34,"YOUNG",M2396&lt;=54,"MIDDLE AGE",M2396&gt;=55,"OLD")</f>
        <v>YOUNG</v>
      </c>
      <c r="V2396" t="str">
        <f t="shared" si="151"/>
        <v>NORMAL</v>
      </c>
    </row>
    <row r="2397" spans="1:22" x14ac:dyDescent="0.35">
      <c r="A2397" t="s">
        <v>4326</v>
      </c>
      <c r="B2397" t="s">
        <v>2914</v>
      </c>
      <c r="C2397">
        <v>76.39</v>
      </c>
      <c r="D2397" s="1">
        <v>44984.686377314814</v>
      </c>
      <c r="E2397" s="2">
        <f t="shared" si="148"/>
        <v>0.68637731481430819</v>
      </c>
      <c r="F2397" s="3">
        <f t="shared" si="149"/>
        <v>44984</v>
      </c>
      <c r="G2397" t="s">
        <v>17</v>
      </c>
      <c r="H2397" t="s">
        <v>285</v>
      </c>
      <c r="I2397" t="s">
        <v>3490</v>
      </c>
      <c r="J2397" t="s">
        <v>1742</v>
      </c>
      <c r="K2397" t="s">
        <v>262</v>
      </c>
      <c r="L2397" t="s">
        <v>36</v>
      </c>
      <c r="M2397">
        <v>30</v>
      </c>
      <c r="N2397" t="s">
        <v>23</v>
      </c>
      <c r="O2397">
        <v>80</v>
      </c>
      <c r="P2397">
        <v>1</v>
      </c>
      <c r="Q2397">
        <v>11584.32</v>
      </c>
      <c r="R2397" s="4">
        <v>45600</v>
      </c>
      <c r="S2397" s="6">
        <v>0.34096064814814814</v>
      </c>
      <c r="T2397">
        <f t="shared" si="150"/>
        <v>16</v>
      </c>
      <c r="U2397" t="str" cm="1">
        <f t="array" ref="U2397">_xlfn.IFS(M2397&lt;=34,"YOUNG",M2397&lt;=54,"MIDDLE AGE",M2397&gt;=55,"OLD")</f>
        <v>YOUNG</v>
      </c>
      <c r="V2397" t="str">
        <f t="shared" si="151"/>
        <v>NORMAL</v>
      </c>
    </row>
    <row r="2398" spans="1:22" x14ac:dyDescent="0.35">
      <c r="A2398" t="s">
        <v>4327</v>
      </c>
      <c r="B2398" t="s">
        <v>162</v>
      </c>
      <c r="C2398">
        <v>25.32</v>
      </c>
      <c r="D2398" s="1">
        <v>44992.742511574077</v>
      </c>
      <c r="E2398" s="2">
        <f t="shared" si="148"/>
        <v>0.74251157407707069</v>
      </c>
      <c r="F2398" s="3">
        <f t="shared" si="149"/>
        <v>44992</v>
      </c>
      <c r="G2398" t="s">
        <v>17</v>
      </c>
      <c r="H2398" t="s">
        <v>53</v>
      </c>
      <c r="I2398" t="s">
        <v>1622</v>
      </c>
      <c r="J2398" t="s">
        <v>347</v>
      </c>
      <c r="K2398" t="s">
        <v>277</v>
      </c>
      <c r="L2398" t="s">
        <v>22</v>
      </c>
      <c r="M2398">
        <v>19</v>
      </c>
      <c r="N2398" t="s">
        <v>37</v>
      </c>
      <c r="O2398">
        <v>25</v>
      </c>
      <c r="P2398">
        <v>1</v>
      </c>
      <c r="Q2398">
        <v>1642.34</v>
      </c>
      <c r="R2398" s="4">
        <v>45600</v>
      </c>
      <c r="S2398" s="6">
        <v>0.33991898148148147</v>
      </c>
      <c r="T2398">
        <f t="shared" si="150"/>
        <v>17</v>
      </c>
      <c r="U2398" t="str" cm="1">
        <f t="array" ref="U2398">_xlfn.IFS(M2398&lt;=34,"YOUNG",M2398&lt;=54,"MIDDLE AGE",M2398&gt;=55,"OLD")</f>
        <v>YOUNG</v>
      </c>
      <c r="V2398" t="str">
        <f t="shared" si="151"/>
        <v>NORMAL</v>
      </c>
    </row>
    <row r="2399" spans="1:22" x14ac:dyDescent="0.35">
      <c r="A2399" t="s">
        <v>4328</v>
      </c>
      <c r="B2399" t="s">
        <v>4329</v>
      </c>
      <c r="C2399">
        <v>330.91</v>
      </c>
      <c r="D2399" s="1">
        <v>44991.725925925923</v>
      </c>
      <c r="E2399" s="2">
        <f t="shared" si="148"/>
        <v>0.72592592592263827</v>
      </c>
      <c r="F2399" s="3">
        <f t="shared" si="149"/>
        <v>44991</v>
      </c>
      <c r="G2399" t="s">
        <v>17</v>
      </c>
      <c r="H2399" t="s">
        <v>291</v>
      </c>
      <c r="I2399" t="s">
        <v>2333</v>
      </c>
      <c r="J2399" t="s">
        <v>2353</v>
      </c>
      <c r="K2399" t="s">
        <v>576</v>
      </c>
      <c r="L2399" t="s">
        <v>22</v>
      </c>
      <c r="M2399">
        <v>36</v>
      </c>
      <c r="N2399" t="s">
        <v>77</v>
      </c>
      <c r="O2399">
        <v>28</v>
      </c>
      <c r="P2399">
        <v>1</v>
      </c>
      <c r="Q2399">
        <v>6481.35</v>
      </c>
      <c r="R2399" s="4">
        <v>45600</v>
      </c>
      <c r="S2399" s="6">
        <v>0.34108796296296295</v>
      </c>
      <c r="T2399">
        <f t="shared" si="150"/>
        <v>17</v>
      </c>
      <c r="U2399" t="str" cm="1">
        <f t="array" ref="U2399">_xlfn.IFS(M2399&lt;=34,"YOUNG",M2399&lt;=54,"MIDDLE AGE",M2399&gt;=55,"OLD")</f>
        <v>MIDDLE AGE</v>
      </c>
      <c r="V2399" t="str">
        <f t="shared" si="151"/>
        <v>NORMAL</v>
      </c>
    </row>
    <row r="2400" spans="1:22" x14ac:dyDescent="0.35">
      <c r="A2400" t="s">
        <v>4330</v>
      </c>
      <c r="B2400" t="s">
        <v>4329</v>
      </c>
      <c r="C2400">
        <v>153.55000000000001</v>
      </c>
      <c r="D2400" s="1">
        <v>45238.745740740742</v>
      </c>
      <c r="E2400" s="2">
        <f t="shared" si="148"/>
        <v>0.74574074074189411</v>
      </c>
      <c r="F2400" s="3">
        <f t="shared" si="149"/>
        <v>45238</v>
      </c>
      <c r="G2400" t="s">
        <v>17</v>
      </c>
      <c r="H2400" t="s">
        <v>114</v>
      </c>
      <c r="I2400" t="s">
        <v>2272</v>
      </c>
      <c r="J2400" t="s">
        <v>1042</v>
      </c>
      <c r="K2400" t="s">
        <v>514</v>
      </c>
      <c r="L2400" t="s">
        <v>36</v>
      </c>
      <c r="M2400">
        <v>37</v>
      </c>
      <c r="N2400" t="s">
        <v>23</v>
      </c>
      <c r="O2400">
        <v>16</v>
      </c>
      <c r="P2400">
        <v>1</v>
      </c>
      <c r="Q2400">
        <v>5619.91</v>
      </c>
      <c r="R2400" s="4">
        <v>45600</v>
      </c>
      <c r="S2400" s="6">
        <v>0.33863425925925927</v>
      </c>
      <c r="T2400">
        <f t="shared" si="150"/>
        <v>17</v>
      </c>
      <c r="U2400" t="str" cm="1">
        <f t="array" ref="U2400">_xlfn.IFS(M2400&lt;=34,"YOUNG",M2400&lt;=54,"MIDDLE AGE",M2400&gt;=55,"OLD")</f>
        <v>MIDDLE AGE</v>
      </c>
      <c r="V2400" t="str">
        <f t="shared" si="151"/>
        <v>NORMAL</v>
      </c>
    </row>
    <row r="2401" spans="1:22" x14ac:dyDescent="0.35">
      <c r="A2401" t="s">
        <v>4331</v>
      </c>
      <c r="B2401" t="s">
        <v>3866</v>
      </c>
      <c r="C2401">
        <v>217.61</v>
      </c>
      <c r="D2401" s="1">
        <v>44985.732037037036</v>
      </c>
      <c r="E2401" s="2">
        <f t="shared" si="148"/>
        <v>0.73203703703620704</v>
      </c>
      <c r="F2401" s="3">
        <f t="shared" si="149"/>
        <v>44985</v>
      </c>
      <c r="G2401" t="s">
        <v>17</v>
      </c>
      <c r="H2401" t="s">
        <v>296</v>
      </c>
      <c r="I2401" t="s">
        <v>4137</v>
      </c>
      <c r="J2401" t="s">
        <v>2111</v>
      </c>
      <c r="K2401" t="s">
        <v>137</v>
      </c>
      <c r="L2401" t="s">
        <v>36</v>
      </c>
      <c r="M2401">
        <v>27</v>
      </c>
      <c r="N2401" t="s">
        <v>37</v>
      </c>
      <c r="O2401">
        <v>120</v>
      </c>
      <c r="P2401">
        <v>1</v>
      </c>
      <c r="Q2401">
        <v>1661.1</v>
      </c>
      <c r="R2401" s="4">
        <v>45600</v>
      </c>
      <c r="S2401" s="6">
        <v>0.34109953703703705</v>
      </c>
      <c r="T2401">
        <f t="shared" si="150"/>
        <v>17</v>
      </c>
      <c r="U2401" t="str" cm="1">
        <f t="array" ref="U2401">_xlfn.IFS(M2401&lt;=34,"YOUNG",M2401&lt;=54,"MIDDLE AGE",M2401&gt;=55,"OLD")</f>
        <v>YOUNG</v>
      </c>
      <c r="V2401" t="str">
        <f t="shared" si="151"/>
        <v>NORMAL</v>
      </c>
    </row>
    <row r="2402" spans="1:22" x14ac:dyDescent="0.35">
      <c r="A2402" t="s">
        <v>4332</v>
      </c>
      <c r="B2402" t="s">
        <v>884</v>
      </c>
      <c r="C2402">
        <v>131.69</v>
      </c>
      <c r="D2402" s="1">
        <v>45215.682314814818</v>
      </c>
      <c r="E2402" s="2">
        <f t="shared" si="148"/>
        <v>0.68231481481780065</v>
      </c>
      <c r="F2402" s="3">
        <f t="shared" si="149"/>
        <v>45215</v>
      </c>
      <c r="G2402" t="s">
        <v>46</v>
      </c>
      <c r="H2402" t="s">
        <v>114</v>
      </c>
      <c r="I2402" t="s">
        <v>2447</v>
      </c>
      <c r="J2402" t="s">
        <v>811</v>
      </c>
      <c r="K2402" t="s">
        <v>652</v>
      </c>
      <c r="L2402" t="s">
        <v>69</v>
      </c>
      <c r="M2402">
        <v>53</v>
      </c>
      <c r="N2402" t="s">
        <v>77</v>
      </c>
      <c r="O2402">
        <v>59</v>
      </c>
      <c r="P2402">
        <v>1</v>
      </c>
      <c r="Q2402">
        <v>2958.43</v>
      </c>
      <c r="R2402" s="4">
        <v>45600</v>
      </c>
      <c r="S2402" s="6">
        <v>0.33822916666666669</v>
      </c>
      <c r="T2402">
        <f t="shared" si="150"/>
        <v>16</v>
      </c>
      <c r="U2402" t="str" cm="1">
        <f t="array" ref="U2402">_xlfn.IFS(M2402&lt;=34,"YOUNG",M2402&lt;=54,"MIDDLE AGE",M2402&gt;=55,"OLD")</f>
        <v>MIDDLE AGE</v>
      </c>
      <c r="V2402" t="str">
        <f t="shared" si="151"/>
        <v>NORMAL</v>
      </c>
    </row>
    <row r="2403" spans="1:22" x14ac:dyDescent="0.35">
      <c r="A2403" t="s">
        <v>4333</v>
      </c>
      <c r="B2403" t="s">
        <v>1044</v>
      </c>
      <c r="C2403">
        <v>953.17</v>
      </c>
      <c r="D2403" s="1">
        <v>45211.735509259262</v>
      </c>
      <c r="E2403" s="2">
        <f t="shared" si="148"/>
        <v>0.73550925926247146</v>
      </c>
      <c r="F2403" s="3">
        <f t="shared" si="149"/>
        <v>45211</v>
      </c>
      <c r="G2403" t="s">
        <v>17</v>
      </c>
      <c r="H2403" t="s">
        <v>40</v>
      </c>
      <c r="I2403" t="s">
        <v>2276</v>
      </c>
      <c r="J2403" t="s">
        <v>2999</v>
      </c>
      <c r="K2403" t="s">
        <v>1209</v>
      </c>
      <c r="L2403" t="s">
        <v>36</v>
      </c>
      <c r="M2403">
        <v>60</v>
      </c>
      <c r="N2403" t="s">
        <v>70</v>
      </c>
      <c r="O2403">
        <v>84</v>
      </c>
      <c r="P2403">
        <v>1</v>
      </c>
      <c r="Q2403">
        <v>3506.11</v>
      </c>
      <c r="R2403" s="4">
        <v>45600</v>
      </c>
      <c r="S2403" s="6">
        <v>0.33944444444444444</v>
      </c>
      <c r="T2403">
        <f t="shared" si="150"/>
        <v>17</v>
      </c>
      <c r="U2403" t="str" cm="1">
        <f t="array" ref="U2403">_xlfn.IFS(M2403&lt;=34,"YOUNG",M2403&lt;=54,"MIDDLE AGE",M2403&gt;=55,"OLD")</f>
        <v>OLD</v>
      </c>
      <c r="V2403" t="str">
        <f t="shared" si="151"/>
        <v>NORMAL</v>
      </c>
    </row>
    <row r="2404" spans="1:22" x14ac:dyDescent="0.35">
      <c r="A2404" t="s">
        <v>4334</v>
      </c>
      <c r="B2404" t="s">
        <v>872</v>
      </c>
      <c r="C2404">
        <v>68.489999999999995</v>
      </c>
      <c r="D2404" s="1">
        <v>45224.734375</v>
      </c>
      <c r="E2404" s="2">
        <f t="shared" si="148"/>
        <v>0.734375</v>
      </c>
      <c r="F2404" s="3">
        <f t="shared" si="149"/>
        <v>45224</v>
      </c>
      <c r="G2404" t="s">
        <v>17</v>
      </c>
      <c r="H2404" t="s">
        <v>80</v>
      </c>
      <c r="I2404" t="s">
        <v>1754</v>
      </c>
      <c r="J2404" t="s">
        <v>1249</v>
      </c>
      <c r="K2404" t="s">
        <v>267</v>
      </c>
      <c r="L2404" t="s">
        <v>36</v>
      </c>
      <c r="M2404">
        <v>67</v>
      </c>
      <c r="N2404" t="s">
        <v>70</v>
      </c>
      <c r="O2404">
        <v>49</v>
      </c>
      <c r="P2404">
        <v>1</v>
      </c>
      <c r="Q2404">
        <v>6683.31</v>
      </c>
      <c r="R2404" s="4">
        <v>45600</v>
      </c>
      <c r="S2404" s="6">
        <v>0.34086805555555555</v>
      </c>
      <c r="T2404">
        <f t="shared" si="150"/>
        <v>17</v>
      </c>
      <c r="U2404" t="str" cm="1">
        <f t="array" ref="U2404">_xlfn.IFS(M2404&lt;=34,"YOUNG",M2404&lt;=54,"MIDDLE AGE",M2404&gt;=55,"OLD")</f>
        <v>OLD</v>
      </c>
      <c r="V2404" t="str">
        <f t="shared" si="151"/>
        <v>NORMAL</v>
      </c>
    </row>
    <row r="2405" spans="1:22" x14ac:dyDescent="0.35">
      <c r="A2405" t="s">
        <v>4335</v>
      </c>
      <c r="B2405" t="s">
        <v>712</v>
      </c>
      <c r="C2405">
        <v>1493</v>
      </c>
      <c r="D2405" s="1">
        <v>45084.712280092594</v>
      </c>
      <c r="E2405" s="2">
        <f t="shared" si="148"/>
        <v>0.7122800925935735</v>
      </c>
      <c r="F2405" s="3">
        <f t="shared" si="149"/>
        <v>45084</v>
      </c>
      <c r="G2405" t="s">
        <v>17</v>
      </c>
      <c r="H2405" t="s">
        <v>521</v>
      </c>
      <c r="I2405" t="s">
        <v>2566</v>
      </c>
      <c r="J2405" t="s">
        <v>2641</v>
      </c>
      <c r="K2405" t="s">
        <v>1287</v>
      </c>
      <c r="L2405" t="s">
        <v>22</v>
      </c>
      <c r="M2405">
        <v>69</v>
      </c>
      <c r="N2405" t="s">
        <v>70</v>
      </c>
      <c r="O2405">
        <v>151</v>
      </c>
      <c r="P2405">
        <v>1</v>
      </c>
      <c r="Q2405">
        <v>1619.16</v>
      </c>
      <c r="R2405" s="4">
        <v>45600</v>
      </c>
      <c r="S2405" s="6">
        <v>0.33827546296296296</v>
      </c>
      <c r="T2405">
        <f t="shared" si="150"/>
        <v>17</v>
      </c>
      <c r="U2405" t="str" cm="1">
        <f t="array" ref="U2405">_xlfn.IFS(M2405&lt;=34,"YOUNG",M2405&lt;=54,"MIDDLE AGE",M2405&gt;=55,"OLD")</f>
        <v>OLD</v>
      </c>
      <c r="V2405" t="str">
        <f t="shared" si="151"/>
        <v>NORMAL</v>
      </c>
    </row>
    <row r="2406" spans="1:22" x14ac:dyDescent="0.35">
      <c r="A2406" t="s">
        <v>4336</v>
      </c>
      <c r="B2406" t="s">
        <v>85</v>
      </c>
      <c r="C2406">
        <v>470.62</v>
      </c>
      <c r="D2406" s="1">
        <v>44984.744942129626</v>
      </c>
      <c r="E2406" s="2">
        <f t="shared" si="148"/>
        <v>0.74494212962599704</v>
      </c>
      <c r="F2406" s="3">
        <f t="shared" si="149"/>
        <v>44984</v>
      </c>
      <c r="G2406" t="s">
        <v>17</v>
      </c>
      <c r="H2406" t="s">
        <v>255</v>
      </c>
      <c r="I2406" t="s">
        <v>311</v>
      </c>
      <c r="J2406" t="s">
        <v>1430</v>
      </c>
      <c r="K2406" t="s">
        <v>43</v>
      </c>
      <c r="L2406" t="s">
        <v>69</v>
      </c>
      <c r="M2406">
        <v>57</v>
      </c>
      <c r="N2406" t="s">
        <v>23</v>
      </c>
      <c r="O2406">
        <v>127</v>
      </c>
      <c r="P2406">
        <v>1</v>
      </c>
      <c r="Q2406">
        <v>12470.62</v>
      </c>
      <c r="R2406" s="4">
        <v>45600</v>
      </c>
      <c r="S2406" s="6">
        <v>0.3379861111111111</v>
      </c>
      <c r="T2406">
        <f t="shared" si="150"/>
        <v>17</v>
      </c>
      <c r="U2406" t="str" cm="1">
        <f t="array" ref="U2406">_xlfn.IFS(M2406&lt;=34,"YOUNG",M2406&lt;=54,"MIDDLE AGE",M2406&gt;=55,"OLD")</f>
        <v>OLD</v>
      </c>
      <c r="V2406" t="str">
        <f t="shared" si="151"/>
        <v>NORMAL</v>
      </c>
    </row>
    <row r="2407" spans="1:22" x14ac:dyDescent="0.35">
      <c r="A2407" t="s">
        <v>4337</v>
      </c>
      <c r="B2407" t="s">
        <v>1682</v>
      </c>
      <c r="C2407">
        <v>385.35</v>
      </c>
      <c r="D2407" s="1">
        <v>45202.718622685185</v>
      </c>
      <c r="E2407" s="2">
        <f t="shared" si="148"/>
        <v>0.71862268518452765</v>
      </c>
      <c r="F2407" s="3">
        <f t="shared" si="149"/>
        <v>45202</v>
      </c>
      <c r="G2407" t="s">
        <v>17</v>
      </c>
      <c r="H2407" t="s">
        <v>172</v>
      </c>
      <c r="I2407" t="s">
        <v>3094</v>
      </c>
      <c r="J2407" t="s">
        <v>302</v>
      </c>
      <c r="K2407" t="s">
        <v>414</v>
      </c>
      <c r="L2407" t="s">
        <v>69</v>
      </c>
      <c r="M2407">
        <v>38</v>
      </c>
      <c r="N2407" t="s">
        <v>23</v>
      </c>
      <c r="O2407">
        <v>269</v>
      </c>
      <c r="P2407">
        <v>1</v>
      </c>
      <c r="Q2407">
        <v>5184.13</v>
      </c>
      <c r="R2407" s="4">
        <v>45600</v>
      </c>
      <c r="S2407" s="6">
        <v>0.34180555555555553</v>
      </c>
      <c r="T2407">
        <f t="shared" si="150"/>
        <v>17</v>
      </c>
      <c r="U2407" t="str" cm="1">
        <f t="array" ref="U2407">_xlfn.IFS(M2407&lt;=34,"YOUNG",M2407&lt;=54,"MIDDLE AGE",M2407&gt;=55,"OLD")</f>
        <v>MIDDLE AGE</v>
      </c>
      <c r="V2407" t="str">
        <f t="shared" si="151"/>
        <v>NORMAL</v>
      </c>
    </row>
    <row r="2408" spans="1:22" x14ac:dyDescent="0.35">
      <c r="A2408" t="s">
        <v>4338</v>
      </c>
      <c r="B2408" t="s">
        <v>611</v>
      </c>
      <c r="C2408">
        <v>74.72</v>
      </c>
      <c r="D2408" s="1">
        <v>45132.790497685186</v>
      </c>
      <c r="E2408" s="2">
        <f t="shared" si="148"/>
        <v>0.79049768518598285</v>
      </c>
      <c r="F2408" s="3">
        <f t="shared" si="149"/>
        <v>45132</v>
      </c>
      <c r="G2408" t="s">
        <v>17</v>
      </c>
      <c r="H2408" t="s">
        <v>425</v>
      </c>
      <c r="I2408" t="s">
        <v>802</v>
      </c>
      <c r="J2408" t="s">
        <v>615</v>
      </c>
      <c r="K2408" t="s">
        <v>1000</v>
      </c>
      <c r="L2408" t="s">
        <v>36</v>
      </c>
      <c r="M2408">
        <v>26</v>
      </c>
      <c r="N2408" t="s">
        <v>37</v>
      </c>
      <c r="O2408">
        <v>132</v>
      </c>
      <c r="P2408">
        <v>1</v>
      </c>
      <c r="Q2408">
        <v>165.75</v>
      </c>
      <c r="R2408" s="4">
        <v>45600</v>
      </c>
      <c r="S2408" s="6">
        <v>0.34049768518518519</v>
      </c>
      <c r="T2408">
        <f t="shared" si="150"/>
        <v>18</v>
      </c>
      <c r="U2408" t="str" cm="1">
        <f t="array" ref="U2408">_xlfn.IFS(M2408&lt;=34,"YOUNG",M2408&lt;=54,"MIDDLE AGE",M2408&gt;=55,"OLD")</f>
        <v>YOUNG</v>
      </c>
      <c r="V2408" t="str">
        <f t="shared" si="151"/>
        <v>NORMAL</v>
      </c>
    </row>
    <row r="2409" spans="1:22" x14ac:dyDescent="0.35">
      <c r="A2409" t="s">
        <v>4339</v>
      </c>
      <c r="B2409" t="s">
        <v>1060</v>
      </c>
      <c r="C2409">
        <v>352.03</v>
      </c>
      <c r="D2409" s="1">
        <v>45085.700925925928</v>
      </c>
      <c r="E2409" s="2">
        <f t="shared" si="148"/>
        <v>0.70092592592845904</v>
      </c>
      <c r="F2409" s="3">
        <f t="shared" si="149"/>
        <v>45085</v>
      </c>
      <c r="G2409" t="s">
        <v>46</v>
      </c>
      <c r="H2409" t="s">
        <v>425</v>
      </c>
      <c r="I2409" t="s">
        <v>1493</v>
      </c>
      <c r="J2409" t="s">
        <v>1887</v>
      </c>
      <c r="K2409" t="s">
        <v>353</v>
      </c>
      <c r="L2409" t="s">
        <v>36</v>
      </c>
      <c r="M2409">
        <v>27</v>
      </c>
      <c r="N2409" t="s">
        <v>37</v>
      </c>
      <c r="O2409">
        <v>219</v>
      </c>
      <c r="P2409">
        <v>1</v>
      </c>
      <c r="Q2409">
        <v>4846.68</v>
      </c>
      <c r="R2409" s="4">
        <v>45600</v>
      </c>
      <c r="S2409" s="6">
        <v>0.34113425925925928</v>
      </c>
      <c r="T2409">
        <f t="shared" si="150"/>
        <v>16</v>
      </c>
      <c r="U2409" t="str" cm="1">
        <f t="array" ref="U2409">_xlfn.IFS(M2409&lt;=34,"YOUNG",M2409&lt;=54,"MIDDLE AGE",M2409&gt;=55,"OLD")</f>
        <v>YOUNG</v>
      </c>
      <c r="V2409" t="str">
        <f t="shared" si="151"/>
        <v>NORMAL</v>
      </c>
    </row>
    <row r="2410" spans="1:22" x14ac:dyDescent="0.35">
      <c r="A2410" t="s">
        <v>4340</v>
      </c>
      <c r="B2410" t="s">
        <v>801</v>
      </c>
      <c r="C2410">
        <v>275.87</v>
      </c>
      <c r="D2410" s="1">
        <v>45166.769432870373</v>
      </c>
      <c r="E2410" s="2">
        <f t="shared" si="148"/>
        <v>0.76943287037283881</v>
      </c>
      <c r="F2410" s="3">
        <f t="shared" si="149"/>
        <v>45166</v>
      </c>
      <c r="G2410" t="s">
        <v>17</v>
      </c>
      <c r="H2410" t="s">
        <v>59</v>
      </c>
      <c r="I2410" t="s">
        <v>3454</v>
      </c>
      <c r="J2410" t="s">
        <v>718</v>
      </c>
      <c r="K2410" t="s">
        <v>1287</v>
      </c>
      <c r="L2410" t="s">
        <v>22</v>
      </c>
      <c r="M2410">
        <v>25</v>
      </c>
      <c r="N2410" t="s">
        <v>37</v>
      </c>
      <c r="O2410">
        <v>112</v>
      </c>
      <c r="P2410">
        <v>1</v>
      </c>
      <c r="Q2410">
        <v>1697.58</v>
      </c>
      <c r="R2410" s="4">
        <v>45600</v>
      </c>
      <c r="S2410" s="6">
        <v>0.33829861111111109</v>
      </c>
      <c r="T2410">
        <f t="shared" si="150"/>
        <v>18</v>
      </c>
      <c r="U2410" t="str" cm="1">
        <f t="array" ref="U2410">_xlfn.IFS(M2410&lt;=34,"YOUNG",M2410&lt;=54,"MIDDLE AGE",M2410&gt;=55,"OLD")</f>
        <v>YOUNG</v>
      </c>
      <c r="V2410" t="str">
        <f t="shared" si="151"/>
        <v>NORMAL</v>
      </c>
    </row>
    <row r="2411" spans="1:22" x14ac:dyDescent="0.35">
      <c r="A2411" t="s">
        <v>4341</v>
      </c>
      <c r="B2411" t="s">
        <v>215</v>
      </c>
      <c r="C2411">
        <v>90.94</v>
      </c>
      <c r="D2411" s="1">
        <v>45254.746655092589</v>
      </c>
      <c r="E2411" s="2">
        <f t="shared" si="148"/>
        <v>0.74665509258920792</v>
      </c>
      <c r="F2411" s="3">
        <f t="shared" si="149"/>
        <v>45254</v>
      </c>
      <c r="G2411" t="s">
        <v>46</v>
      </c>
      <c r="H2411" t="s">
        <v>521</v>
      </c>
      <c r="I2411" t="s">
        <v>3480</v>
      </c>
      <c r="J2411" t="s">
        <v>1242</v>
      </c>
      <c r="K2411" t="s">
        <v>820</v>
      </c>
      <c r="L2411" t="s">
        <v>22</v>
      </c>
      <c r="M2411">
        <v>63</v>
      </c>
      <c r="N2411" t="s">
        <v>70</v>
      </c>
      <c r="O2411">
        <v>56</v>
      </c>
      <c r="P2411">
        <v>1</v>
      </c>
      <c r="Q2411">
        <v>3896.08</v>
      </c>
      <c r="R2411" s="4">
        <v>45600</v>
      </c>
      <c r="S2411" s="6">
        <v>0.34190972222222221</v>
      </c>
      <c r="T2411">
        <f t="shared" si="150"/>
        <v>17</v>
      </c>
      <c r="U2411" t="str" cm="1">
        <f t="array" ref="U2411">_xlfn.IFS(M2411&lt;=34,"YOUNG",M2411&lt;=54,"MIDDLE AGE",M2411&gt;=55,"OLD")</f>
        <v>OLD</v>
      </c>
      <c r="V2411" t="str">
        <f t="shared" si="151"/>
        <v>NORMAL</v>
      </c>
    </row>
    <row r="2412" spans="1:22" x14ac:dyDescent="0.35">
      <c r="A2412" t="s">
        <v>4342</v>
      </c>
      <c r="B2412" t="s">
        <v>2311</v>
      </c>
      <c r="C2412">
        <v>206.25</v>
      </c>
      <c r="D2412" s="1">
        <v>45202.682511574072</v>
      </c>
      <c r="E2412" s="2">
        <f t="shared" si="148"/>
        <v>0.68251157407212304</v>
      </c>
      <c r="F2412" s="3">
        <f t="shared" si="149"/>
        <v>45202</v>
      </c>
      <c r="G2412" t="s">
        <v>17</v>
      </c>
      <c r="H2412" t="s">
        <v>197</v>
      </c>
      <c r="I2412" t="s">
        <v>1330</v>
      </c>
      <c r="J2412" t="s">
        <v>1868</v>
      </c>
      <c r="K2412" t="s">
        <v>226</v>
      </c>
      <c r="L2412" t="s">
        <v>22</v>
      </c>
      <c r="M2412">
        <v>74</v>
      </c>
      <c r="N2412" t="s">
        <v>70</v>
      </c>
      <c r="O2412">
        <v>56</v>
      </c>
      <c r="P2412">
        <v>1</v>
      </c>
      <c r="Q2412">
        <v>3651.07</v>
      </c>
      <c r="R2412" s="4">
        <v>45600</v>
      </c>
      <c r="S2412" s="6">
        <v>0.33887731481481481</v>
      </c>
      <c r="T2412">
        <f t="shared" si="150"/>
        <v>16</v>
      </c>
      <c r="U2412" t="str" cm="1">
        <f t="array" ref="U2412">_xlfn.IFS(M2412&lt;=34,"YOUNG",M2412&lt;=54,"MIDDLE AGE",M2412&gt;=55,"OLD")</f>
        <v>OLD</v>
      </c>
      <c r="V2412" t="str">
        <f t="shared" si="151"/>
        <v>NORMAL</v>
      </c>
    </row>
    <row r="2413" spans="1:22" x14ac:dyDescent="0.35">
      <c r="A2413" t="s">
        <v>4343</v>
      </c>
      <c r="B2413" t="s">
        <v>1114</v>
      </c>
      <c r="C2413">
        <v>116.76</v>
      </c>
      <c r="D2413" s="1">
        <v>44942.705011574071</v>
      </c>
      <c r="E2413" s="2">
        <f t="shared" si="148"/>
        <v>0.70501157407124992</v>
      </c>
      <c r="F2413" s="3">
        <f t="shared" si="149"/>
        <v>44942</v>
      </c>
      <c r="G2413" t="s">
        <v>17</v>
      </c>
      <c r="H2413" t="s">
        <v>243</v>
      </c>
      <c r="I2413" t="s">
        <v>2433</v>
      </c>
      <c r="J2413" t="s">
        <v>405</v>
      </c>
      <c r="K2413" t="s">
        <v>652</v>
      </c>
      <c r="L2413" t="s">
        <v>22</v>
      </c>
      <c r="M2413">
        <v>51</v>
      </c>
      <c r="N2413" t="s">
        <v>77</v>
      </c>
      <c r="O2413">
        <v>212</v>
      </c>
      <c r="P2413">
        <v>1</v>
      </c>
      <c r="Q2413">
        <v>4480.43</v>
      </c>
      <c r="R2413" s="4">
        <v>45600</v>
      </c>
      <c r="S2413" s="6">
        <v>0.33829861111111109</v>
      </c>
      <c r="T2413">
        <f t="shared" si="150"/>
        <v>16</v>
      </c>
      <c r="U2413" t="str" cm="1">
        <f t="array" ref="U2413">_xlfn.IFS(M2413&lt;=34,"YOUNG",M2413&lt;=54,"MIDDLE AGE",M2413&gt;=55,"OLD")</f>
        <v>MIDDLE AGE</v>
      </c>
      <c r="V2413" t="str">
        <f t="shared" si="151"/>
        <v>NORMAL</v>
      </c>
    </row>
    <row r="2414" spans="1:22" x14ac:dyDescent="0.35">
      <c r="A2414" t="s">
        <v>4344</v>
      </c>
      <c r="B2414" t="s">
        <v>3465</v>
      </c>
      <c r="C2414">
        <v>91.5</v>
      </c>
      <c r="D2414" s="1">
        <v>45012.685208333336</v>
      </c>
      <c r="E2414" s="2">
        <f t="shared" si="148"/>
        <v>0.68520833333604969</v>
      </c>
      <c r="F2414" s="3">
        <f t="shared" si="149"/>
        <v>45012</v>
      </c>
      <c r="G2414" t="s">
        <v>17</v>
      </c>
      <c r="H2414" t="s">
        <v>296</v>
      </c>
      <c r="I2414" t="s">
        <v>1379</v>
      </c>
      <c r="J2414" t="s">
        <v>4345</v>
      </c>
      <c r="K2414" t="s">
        <v>450</v>
      </c>
      <c r="L2414" t="s">
        <v>22</v>
      </c>
      <c r="M2414">
        <v>47</v>
      </c>
      <c r="N2414" t="s">
        <v>23</v>
      </c>
      <c r="O2414">
        <v>77</v>
      </c>
      <c r="P2414">
        <v>1</v>
      </c>
      <c r="Q2414">
        <v>667.66</v>
      </c>
      <c r="R2414" s="4">
        <v>45600</v>
      </c>
      <c r="S2414" s="6">
        <v>0.33884259259259258</v>
      </c>
      <c r="T2414">
        <f t="shared" si="150"/>
        <v>16</v>
      </c>
      <c r="U2414" t="str" cm="1">
        <f t="array" ref="U2414">_xlfn.IFS(M2414&lt;=34,"YOUNG",M2414&lt;=54,"MIDDLE AGE",M2414&gt;=55,"OLD")</f>
        <v>MIDDLE AGE</v>
      </c>
      <c r="V2414" t="str">
        <f t="shared" si="151"/>
        <v>NORMAL</v>
      </c>
    </row>
    <row r="2415" spans="1:22" x14ac:dyDescent="0.35">
      <c r="A2415" t="s">
        <v>4346</v>
      </c>
      <c r="B2415" t="s">
        <v>31</v>
      </c>
      <c r="C2415">
        <v>489.31</v>
      </c>
      <c r="D2415" s="1">
        <v>45019.690393518518</v>
      </c>
      <c r="E2415" s="2">
        <f t="shared" si="148"/>
        <v>0.69039351851824904</v>
      </c>
      <c r="F2415" s="3">
        <f t="shared" si="149"/>
        <v>45019</v>
      </c>
      <c r="G2415" t="s">
        <v>17</v>
      </c>
      <c r="H2415" t="s">
        <v>108</v>
      </c>
      <c r="I2415" t="s">
        <v>1566</v>
      </c>
      <c r="J2415" t="s">
        <v>1351</v>
      </c>
      <c r="K2415" t="s">
        <v>548</v>
      </c>
      <c r="L2415" t="s">
        <v>69</v>
      </c>
      <c r="M2415">
        <v>43</v>
      </c>
      <c r="N2415" t="s">
        <v>77</v>
      </c>
      <c r="O2415">
        <v>36</v>
      </c>
      <c r="P2415">
        <v>1</v>
      </c>
      <c r="Q2415">
        <v>5595.22</v>
      </c>
      <c r="R2415" s="4">
        <v>45600</v>
      </c>
      <c r="S2415" s="6">
        <v>0.34192129629629631</v>
      </c>
      <c r="T2415">
        <f t="shared" si="150"/>
        <v>16</v>
      </c>
      <c r="U2415" t="str" cm="1">
        <f t="array" ref="U2415">_xlfn.IFS(M2415&lt;=34,"YOUNG",M2415&lt;=54,"MIDDLE AGE",M2415&gt;=55,"OLD")</f>
        <v>MIDDLE AGE</v>
      </c>
      <c r="V2415" t="str">
        <f t="shared" si="151"/>
        <v>NORMAL</v>
      </c>
    </row>
    <row r="2416" spans="1:22" x14ac:dyDescent="0.35">
      <c r="A2416" t="s">
        <v>4347</v>
      </c>
      <c r="B2416" t="s">
        <v>3218</v>
      </c>
      <c r="C2416">
        <v>1664.33</v>
      </c>
      <c r="D2416" s="1">
        <v>45194.716192129628</v>
      </c>
      <c r="E2416" s="2">
        <f t="shared" si="148"/>
        <v>0.71619212962832535</v>
      </c>
      <c r="F2416" s="3">
        <f t="shared" si="149"/>
        <v>45194</v>
      </c>
      <c r="G2416" t="s">
        <v>17</v>
      </c>
      <c r="H2416" t="s">
        <v>237</v>
      </c>
      <c r="I2416" t="s">
        <v>1305</v>
      </c>
      <c r="J2416" t="s">
        <v>2738</v>
      </c>
      <c r="K2416" t="s">
        <v>331</v>
      </c>
      <c r="L2416" t="s">
        <v>69</v>
      </c>
      <c r="M2416">
        <v>18</v>
      </c>
      <c r="N2416" t="s">
        <v>37</v>
      </c>
      <c r="O2416">
        <v>65</v>
      </c>
      <c r="P2416">
        <v>1</v>
      </c>
      <c r="Q2416">
        <v>1588.31</v>
      </c>
      <c r="R2416" s="4">
        <v>45600</v>
      </c>
      <c r="S2416" s="6">
        <v>0.33827546296296296</v>
      </c>
      <c r="T2416">
        <f t="shared" si="150"/>
        <v>17</v>
      </c>
      <c r="U2416" t="str" cm="1">
        <f t="array" ref="U2416">_xlfn.IFS(M2416&lt;=34,"YOUNG",M2416&lt;=54,"MIDDLE AGE",M2416&gt;=55,"OLD")</f>
        <v>YOUNG</v>
      </c>
      <c r="V2416" t="str">
        <f t="shared" si="151"/>
        <v>NORMAL</v>
      </c>
    </row>
    <row r="2417" spans="1:22" x14ac:dyDescent="0.35">
      <c r="A2417" t="s">
        <v>4348</v>
      </c>
      <c r="B2417" t="s">
        <v>91</v>
      </c>
      <c r="C2417">
        <v>414.49</v>
      </c>
      <c r="D2417" s="1">
        <v>44970.669131944444</v>
      </c>
      <c r="E2417" s="2">
        <f t="shared" si="148"/>
        <v>0.66913194444350665</v>
      </c>
      <c r="F2417" s="3">
        <f t="shared" si="149"/>
        <v>44970</v>
      </c>
      <c r="G2417" t="s">
        <v>46</v>
      </c>
      <c r="H2417" t="s">
        <v>425</v>
      </c>
      <c r="I2417" t="s">
        <v>324</v>
      </c>
      <c r="J2417" t="s">
        <v>1219</v>
      </c>
      <c r="K2417" t="s">
        <v>267</v>
      </c>
      <c r="L2417" t="s">
        <v>36</v>
      </c>
      <c r="M2417">
        <v>58</v>
      </c>
      <c r="N2417" t="s">
        <v>23</v>
      </c>
      <c r="O2417">
        <v>108</v>
      </c>
      <c r="P2417">
        <v>1</v>
      </c>
      <c r="Q2417">
        <v>12709.58</v>
      </c>
      <c r="R2417" s="4">
        <v>45600</v>
      </c>
      <c r="S2417" s="6">
        <v>0.33967592592592594</v>
      </c>
      <c r="T2417">
        <f t="shared" si="150"/>
        <v>16</v>
      </c>
      <c r="U2417" t="str" cm="1">
        <f t="array" ref="U2417">_xlfn.IFS(M2417&lt;=34,"YOUNG",M2417&lt;=54,"MIDDLE AGE",M2417&gt;=55,"OLD")</f>
        <v>OLD</v>
      </c>
      <c r="V2417" t="str">
        <f t="shared" si="151"/>
        <v>NORMAL</v>
      </c>
    </row>
    <row r="2418" spans="1:22" x14ac:dyDescent="0.35">
      <c r="A2418" t="s">
        <v>4349</v>
      </c>
      <c r="B2418" t="s">
        <v>64</v>
      </c>
      <c r="C2418">
        <v>315.13</v>
      </c>
      <c r="D2418" s="1">
        <v>45265.66983796296</v>
      </c>
      <c r="E2418" s="2">
        <f t="shared" si="148"/>
        <v>0.66983796295971842</v>
      </c>
      <c r="F2418" s="3">
        <f t="shared" si="149"/>
        <v>45265</v>
      </c>
      <c r="G2418" t="s">
        <v>17</v>
      </c>
      <c r="H2418" t="s">
        <v>296</v>
      </c>
      <c r="I2418" t="s">
        <v>4057</v>
      </c>
      <c r="J2418" t="s">
        <v>2319</v>
      </c>
      <c r="K2418" t="s">
        <v>414</v>
      </c>
      <c r="L2418" t="s">
        <v>69</v>
      </c>
      <c r="M2418">
        <v>30</v>
      </c>
      <c r="N2418" t="s">
        <v>77</v>
      </c>
      <c r="O2418">
        <v>143</v>
      </c>
      <c r="P2418">
        <v>1</v>
      </c>
      <c r="Q2418">
        <v>6570.94</v>
      </c>
      <c r="R2418" s="4">
        <v>45600</v>
      </c>
      <c r="S2418" s="6">
        <v>0.3384375</v>
      </c>
      <c r="T2418">
        <f t="shared" si="150"/>
        <v>16</v>
      </c>
      <c r="U2418" t="str" cm="1">
        <f t="array" ref="U2418">_xlfn.IFS(M2418&lt;=34,"YOUNG",M2418&lt;=54,"MIDDLE AGE",M2418&gt;=55,"OLD")</f>
        <v>YOUNG</v>
      </c>
      <c r="V2418" t="str">
        <f t="shared" si="151"/>
        <v>NORMAL</v>
      </c>
    </row>
    <row r="2419" spans="1:22" x14ac:dyDescent="0.35">
      <c r="A2419" t="s">
        <v>4350</v>
      </c>
      <c r="B2419" t="s">
        <v>2172</v>
      </c>
      <c r="C2419">
        <v>28.38</v>
      </c>
      <c r="D2419" s="1">
        <v>45202.693958333337</v>
      </c>
      <c r="E2419" s="2">
        <f t="shared" si="148"/>
        <v>0.69395833333692281</v>
      </c>
      <c r="F2419" s="3">
        <f t="shared" si="149"/>
        <v>45202</v>
      </c>
      <c r="G2419" t="s">
        <v>17</v>
      </c>
      <c r="H2419" t="s">
        <v>255</v>
      </c>
      <c r="I2419" t="s">
        <v>2687</v>
      </c>
      <c r="J2419" t="s">
        <v>1496</v>
      </c>
      <c r="K2419" t="s">
        <v>564</v>
      </c>
      <c r="L2419" t="s">
        <v>69</v>
      </c>
      <c r="M2419">
        <v>45</v>
      </c>
      <c r="N2419" t="s">
        <v>23</v>
      </c>
      <c r="O2419">
        <v>260</v>
      </c>
      <c r="P2419">
        <v>1</v>
      </c>
      <c r="Q2419">
        <v>8892.6200000000008</v>
      </c>
      <c r="R2419" s="4">
        <v>45600</v>
      </c>
      <c r="S2419" s="6">
        <v>0.3401851851851852</v>
      </c>
      <c r="T2419">
        <f t="shared" si="150"/>
        <v>16</v>
      </c>
      <c r="U2419" t="str" cm="1">
        <f t="array" ref="U2419">_xlfn.IFS(M2419&lt;=34,"YOUNG",M2419&lt;=54,"MIDDLE AGE",M2419&gt;=55,"OLD")</f>
        <v>MIDDLE AGE</v>
      </c>
      <c r="V2419" t="str">
        <f t="shared" si="151"/>
        <v>NORMAL</v>
      </c>
    </row>
    <row r="2420" spans="1:22" x14ac:dyDescent="0.35">
      <c r="A2420" t="s">
        <v>4351</v>
      </c>
      <c r="B2420" t="s">
        <v>1193</v>
      </c>
      <c r="C2420">
        <v>456.05</v>
      </c>
      <c r="D2420" s="1">
        <v>45002.710451388892</v>
      </c>
      <c r="E2420" s="2">
        <f t="shared" si="148"/>
        <v>0.71045138889166992</v>
      </c>
      <c r="F2420" s="3">
        <f t="shared" si="149"/>
        <v>45002</v>
      </c>
      <c r="G2420" t="s">
        <v>17</v>
      </c>
      <c r="H2420" t="s">
        <v>73</v>
      </c>
      <c r="I2420" t="s">
        <v>1489</v>
      </c>
      <c r="J2420" t="s">
        <v>1540</v>
      </c>
      <c r="K2420" t="s">
        <v>89</v>
      </c>
      <c r="L2420" t="s">
        <v>69</v>
      </c>
      <c r="M2420">
        <v>68</v>
      </c>
      <c r="N2420" t="s">
        <v>23</v>
      </c>
      <c r="O2420">
        <v>20</v>
      </c>
      <c r="P2420">
        <v>1</v>
      </c>
      <c r="Q2420">
        <v>11729.51</v>
      </c>
      <c r="R2420" s="4">
        <v>45600</v>
      </c>
      <c r="S2420" s="6">
        <v>0.34070601851851851</v>
      </c>
      <c r="T2420">
        <f t="shared" si="150"/>
        <v>17</v>
      </c>
      <c r="U2420" t="str" cm="1">
        <f t="array" ref="U2420">_xlfn.IFS(M2420&lt;=34,"YOUNG",M2420&lt;=54,"MIDDLE AGE",M2420&gt;=55,"OLD")</f>
        <v>OLD</v>
      </c>
      <c r="V2420" t="str">
        <f t="shared" si="151"/>
        <v>NORMAL</v>
      </c>
    </row>
    <row r="2421" spans="1:22" x14ac:dyDescent="0.35">
      <c r="A2421" t="s">
        <v>4352</v>
      </c>
      <c r="B2421" t="s">
        <v>729</v>
      </c>
      <c r="C2421">
        <v>277.22000000000003</v>
      </c>
      <c r="D2421" s="1">
        <v>45155.715567129628</v>
      </c>
      <c r="E2421" s="2">
        <f t="shared" si="148"/>
        <v>0.71556712962774327</v>
      </c>
      <c r="F2421" s="3">
        <f t="shared" si="149"/>
        <v>45155</v>
      </c>
      <c r="G2421" t="s">
        <v>17</v>
      </c>
      <c r="H2421" t="s">
        <v>291</v>
      </c>
      <c r="I2421" t="s">
        <v>877</v>
      </c>
      <c r="J2421" t="s">
        <v>2559</v>
      </c>
      <c r="K2421" t="s">
        <v>76</v>
      </c>
      <c r="L2421" t="s">
        <v>69</v>
      </c>
      <c r="M2421">
        <v>35</v>
      </c>
      <c r="N2421" t="s">
        <v>23</v>
      </c>
      <c r="O2421">
        <v>41</v>
      </c>
      <c r="P2421">
        <v>1</v>
      </c>
      <c r="Q2421">
        <v>12104.51</v>
      </c>
      <c r="R2421" s="4">
        <v>45600</v>
      </c>
      <c r="S2421" s="6">
        <v>0.33850694444444446</v>
      </c>
      <c r="T2421">
        <f t="shared" si="150"/>
        <v>17</v>
      </c>
      <c r="U2421" t="str" cm="1">
        <f t="array" ref="U2421">_xlfn.IFS(M2421&lt;=34,"YOUNG",M2421&lt;=54,"MIDDLE AGE",M2421&gt;=55,"OLD")</f>
        <v>MIDDLE AGE</v>
      </c>
      <c r="V2421" t="str">
        <f t="shared" si="151"/>
        <v>NORMAL</v>
      </c>
    </row>
    <row r="2422" spans="1:22" x14ac:dyDescent="0.35">
      <c r="A2422" t="s">
        <v>4353</v>
      </c>
      <c r="B2422" t="s">
        <v>997</v>
      </c>
      <c r="C2422">
        <v>54.84</v>
      </c>
      <c r="D2422" s="1">
        <v>45054.700358796297</v>
      </c>
      <c r="E2422" s="2">
        <f t="shared" si="148"/>
        <v>0.70035879629722331</v>
      </c>
      <c r="F2422" s="3">
        <f t="shared" si="149"/>
        <v>45054</v>
      </c>
      <c r="G2422" t="s">
        <v>17</v>
      </c>
      <c r="H2422" t="s">
        <v>291</v>
      </c>
      <c r="I2422" t="s">
        <v>1526</v>
      </c>
      <c r="J2422" t="s">
        <v>330</v>
      </c>
      <c r="K2422" t="s">
        <v>43</v>
      </c>
      <c r="L2422" t="s">
        <v>36</v>
      </c>
      <c r="M2422">
        <v>52</v>
      </c>
      <c r="N2422" t="s">
        <v>70</v>
      </c>
      <c r="O2422">
        <v>124</v>
      </c>
      <c r="P2422">
        <v>1</v>
      </c>
      <c r="Q2422">
        <v>3495.51</v>
      </c>
      <c r="R2422" s="4">
        <v>45600</v>
      </c>
      <c r="S2422" s="6">
        <v>0.3414814814814815</v>
      </c>
      <c r="T2422">
        <f t="shared" si="150"/>
        <v>16</v>
      </c>
      <c r="U2422" t="str" cm="1">
        <f t="array" ref="U2422">_xlfn.IFS(M2422&lt;=34,"YOUNG",M2422&lt;=54,"MIDDLE AGE",M2422&gt;=55,"OLD")</f>
        <v>MIDDLE AGE</v>
      </c>
      <c r="V2422" t="str">
        <f t="shared" si="151"/>
        <v>NORMAL</v>
      </c>
    </row>
    <row r="2423" spans="1:22" x14ac:dyDescent="0.35">
      <c r="A2423" t="s">
        <v>4354</v>
      </c>
      <c r="B2423" t="s">
        <v>1760</v>
      </c>
      <c r="C2423">
        <v>29.92</v>
      </c>
      <c r="D2423" s="1">
        <v>45292.684178240743</v>
      </c>
      <c r="E2423" s="2">
        <f t="shared" si="148"/>
        <v>0.68417824074276723</v>
      </c>
      <c r="F2423" s="3">
        <f t="shared" si="149"/>
        <v>45292</v>
      </c>
      <c r="G2423" t="s">
        <v>46</v>
      </c>
      <c r="H2423" t="s">
        <v>114</v>
      </c>
      <c r="I2423" t="s">
        <v>1458</v>
      </c>
      <c r="J2423" t="s">
        <v>2378</v>
      </c>
      <c r="K2423" t="s">
        <v>752</v>
      </c>
      <c r="L2423" t="s">
        <v>36</v>
      </c>
      <c r="M2423">
        <v>68</v>
      </c>
      <c r="N2423" t="s">
        <v>23</v>
      </c>
      <c r="O2423">
        <v>63</v>
      </c>
      <c r="P2423">
        <v>1</v>
      </c>
      <c r="Q2423">
        <v>7855.01</v>
      </c>
      <c r="R2423" s="4">
        <v>45600</v>
      </c>
      <c r="S2423" s="6">
        <v>0.34045138888888887</v>
      </c>
      <c r="T2423">
        <f t="shared" si="150"/>
        <v>16</v>
      </c>
      <c r="U2423" t="str" cm="1">
        <f t="array" ref="U2423">_xlfn.IFS(M2423&lt;=34,"YOUNG",M2423&lt;=54,"MIDDLE AGE",M2423&gt;=55,"OLD")</f>
        <v>OLD</v>
      </c>
      <c r="V2423" t="str">
        <f t="shared" si="151"/>
        <v>NORMAL</v>
      </c>
    </row>
    <row r="2424" spans="1:22" x14ac:dyDescent="0.35">
      <c r="A2424" t="s">
        <v>4355</v>
      </c>
      <c r="B2424" t="s">
        <v>1179</v>
      </c>
      <c r="C2424">
        <v>133.06</v>
      </c>
      <c r="D2424" s="1">
        <v>44960.708784722221</v>
      </c>
      <c r="E2424" s="2">
        <f t="shared" si="148"/>
        <v>0.70878472222102573</v>
      </c>
      <c r="F2424" s="3">
        <f t="shared" si="149"/>
        <v>44960</v>
      </c>
      <c r="G2424" t="s">
        <v>17</v>
      </c>
      <c r="H2424" t="s">
        <v>146</v>
      </c>
      <c r="I2424" t="s">
        <v>435</v>
      </c>
      <c r="J2424" t="s">
        <v>2254</v>
      </c>
      <c r="K2424" t="s">
        <v>831</v>
      </c>
      <c r="L2424" t="s">
        <v>36</v>
      </c>
      <c r="M2424">
        <v>35</v>
      </c>
      <c r="N2424" t="s">
        <v>77</v>
      </c>
      <c r="O2424">
        <v>143</v>
      </c>
      <c r="P2424">
        <v>1</v>
      </c>
      <c r="Q2424">
        <v>8843.44</v>
      </c>
      <c r="R2424" s="4">
        <v>45600</v>
      </c>
      <c r="S2424" s="6">
        <v>0.34019675925925924</v>
      </c>
      <c r="T2424">
        <f t="shared" si="150"/>
        <v>17</v>
      </c>
      <c r="U2424" t="str" cm="1">
        <f t="array" ref="U2424">_xlfn.IFS(M2424&lt;=34,"YOUNG",M2424&lt;=54,"MIDDLE AGE",M2424&gt;=55,"OLD")</f>
        <v>MIDDLE AGE</v>
      </c>
      <c r="V2424" t="str">
        <f t="shared" si="151"/>
        <v>NORMAL</v>
      </c>
    </row>
    <row r="2425" spans="1:22" x14ac:dyDescent="0.35">
      <c r="A2425" t="s">
        <v>4356</v>
      </c>
      <c r="B2425" t="s">
        <v>600</v>
      </c>
      <c r="C2425">
        <v>332.06</v>
      </c>
      <c r="D2425" s="1">
        <v>45098.693680555552</v>
      </c>
      <c r="E2425" s="2">
        <f t="shared" si="148"/>
        <v>0.69368055555241881</v>
      </c>
      <c r="F2425" s="3">
        <f t="shared" si="149"/>
        <v>45098</v>
      </c>
      <c r="G2425" t="s">
        <v>17</v>
      </c>
      <c r="H2425" t="s">
        <v>59</v>
      </c>
      <c r="I2425" t="s">
        <v>2666</v>
      </c>
      <c r="J2425" t="s">
        <v>410</v>
      </c>
      <c r="K2425" t="s">
        <v>572</v>
      </c>
      <c r="L2425" t="s">
        <v>22</v>
      </c>
      <c r="M2425">
        <v>29</v>
      </c>
      <c r="N2425" t="s">
        <v>23</v>
      </c>
      <c r="O2425">
        <v>221</v>
      </c>
      <c r="P2425">
        <v>4</v>
      </c>
      <c r="Q2425">
        <v>11826.52</v>
      </c>
      <c r="R2425" s="4">
        <v>45600</v>
      </c>
      <c r="S2425" s="6">
        <v>0.33776620370370369</v>
      </c>
      <c r="T2425">
        <f t="shared" si="150"/>
        <v>16</v>
      </c>
      <c r="U2425" t="str" cm="1">
        <f t="array" ref="U2425">_xlfn.IFS(M2425&lt;=34,"YOUNG",M2425&lt;=54,"MIDDLE AGE",M2425&gt;=55,"OLD")</f>
        <v>YOUNG</v>
      </c>
      <c r="V2425" t="str">
        <f t="shared" si="151"/>
        <v>HIGH</v>
      </c>
    </row>
    <row r="2426" spans="1:22" x14ac:dyDescent="0.35">
      <c r="A2426" t="s">
        <v>4357</v>
      </c>
      <c r="B2426" t="s">
        <v>1425</v>
      </c>
      <c r="C2426">
        <v>14.34</v>
      </c>
      <c r="D2426" s="1">
        <v>45216.743969907409</v>
      </c>
      <c r="E2426" s="2">
        <f t="shared" si="148"/>
        <v>0.74396990740933688</v>
      </c>
      <c r="F2426" s="3">
        <f t="shared" si="149"/>
        <v>45216</v>
      </c>
      <c r="G2426" t="s">
        <v>46</v>
      </c>
      <c r="H2426" t="s">
        <v>92</v>
      </c>
      <c r="I2426" t="s">
        <v>1618</v>
      </c>
      <c r="J2426" t="s">
        <v>953</v>
      </c>
      <c r="K2426" t="s">
        <v>432</v>
      </c>
      <c r="L2426" t="s">
        <v>36</v>
      </c>
      <c r="M2426">
        <v>67</v>
      </c>
      <c r="N2426" t="s">
        <v>70</v>
      </c>
      <c r="O2426">
        <v>24</v>
      </c>
      <c r="P2426">
        <v>1</v>
      </c>
      <c r="Q2426">
        <v>7932.51</v>
      </c>
      <c r="R2426" s="4">
        <v>45600</v>
      </c>
      <c r="S2426" s="6">
        <v>0.33826388888888886</v>
      </c>
      <c r="T2426">
        <f t="shared" si="150"/>
        <v>17</v>
      </c>
      <c r="U2426" t="str" cm="1">
        <f t="array" ref="U2426">_xlfn.IFS(M2426&lt;=34,"YOUNG",M2426&lt;=54,"MIDDLE AGE",M2426&gt;=55,"OLD")</f>
        <v>OLD</v>
      </c>
      <c r="V2426" t="str">
        <f t="shared" si="151"/>
        <v>NORMAL</v>
      </c>
    </row>
    <row r="2427" spans="1:22" x14ac:dyDescent="0.35">
      <c r="A2427" t="s">
        <v>4358</v>
      </c>
      <c r="B2427" t="s">
        <v>1179</v>
      </c>
      <c r="C2427">
        <v>468.32</v>
      </c>
      <c r="D2427" s="1">
        <v>45085.680891203701</v>
      </c>
      <c r="E2427" s="2">
        <f t="shared" si="148"/>
        <v>0.6808912037013215</v>
      </c>
      <c r="F2427" s="3">
        <f t="shared" si="149"/>
        <v>45085</v>
      </c>
      <c r="G2427" t="s">
        <v>17</v>
      </c>
      <c r="H2427" t="s">
        <v>558</v>
      </c>
      <c r="I2427" t="s">
        <v>3355</v>
      </c>
      <c r="J2427" t="s">
        <v>3141</v>
      </c>
      <c r="K2427" t="s">
        <v>312</v>
      </c>
      <c r="L2427" t="s">
        <v>36</v>
      </c>
      <c r="M2427">
        <v>69</v>
      </c>
      <c r="N2427" t="s">
        <v>70</v>
      </c>
      <c r="O2427">
        <v>152</v>
      </c>
      <c r="P2427">
        <v>1</v>
      </c>
      <c r="Q2427">
        <v>4710.04</v>
      </c>
      <c r="R2427" s="4">
        <v>45600</v>
      </c>
      <c r="S2427" s="6">
        <v>0.33804398148148146</v>
      </c>
      <c r="T2427">
        <f t="shared" si="150"/>
        <v>16</v>
      </c>
      <c r="U2427" t="str" cm="1">
        <f t="array" ref="U2427">_xlfn.IFS(M2427&lt;=34,"YOUNG",M2427&lt;=54,"MIDDLE AGE",M2427&gt;=55,"OLD")</f>
        <v>OLD</v>
      </c>
      <c r="V2427" t="str">
        <f t="shared" si="151"/>
        <v>NORMAL</v>
      </c>
    </row>
    <row r="2428" spans="1:22" x14ac:dyDescent="0.35">
      <c r="A2428" t="s">
        <v>4359</v>
      </c>
      <c r="B2428" t="s">
        <v>1992</v>
      </c>
      <c r="C2428">
        <v>582.16999999999996</v>
      </c>
      <c r="D2428" s="1">
        <v>45267.668599537035</v>
      </c>
      <c r="E2428" s="2">
        <f t="shared" si="148"/>
        <v>0.66859953703533392</v>
      </c>
      <c r="F2428" s="3">
        <f t="shared" si="149"/>
        <v>45267</v>
      </c>
      <c r="G2428" t="s">
        <v>17</v>
      </c>
      <c r="H2428" t="s">
        <v>255</v>
      </c>
      <c r="I2428" t="s">
        <v>98</v>
      </c>
      <c r="J2428" t="s">
        <v>1370</v>
      </c>
      <c r="K2428" t="s">
        <v>482</v>
      </c>
      <c r="L2428" t="s">
        <v>69</v>
      </c>
      <c r="M2428">
        <v>57</v>
      </c>
      <c r="N2428" t="s">
        <v>77</v>
      </c>
      <c r="O2428">
        <v>135</v>
      </c>
      <c r="P2428">
        <v>1</v>
      </c>
      <c r="Q2428">
        <v>7310.83</v>
      </c>
      <c r="R2428" s="4">
        <v>45600</v>
      </c>
      <c r="S2428" s="6">
        <v>0.33894675925925927</v>
      </c>
      <c r="T2428">
        <f t="shared" si="150"/>
        <v>16</v>
      </c>
      <c r="U2428" t="str" cm="1">
        <f t="array" ref="U2428">_xlfn.IFS(M2428&lt;=34,"YOUNG",M2428&lt;=54,"MIDDLE AGE",M2428&gt;=55,"OLD")</f>
        <v>OLD</v>
      </c>
      <c r="V2428" t="str">
        <f t="shared" si="151"/>
        <v>NORMAL</v>
      </c>
    </row>
    <row r="2429" spans="1:22" x14ac:dyDescent="0.35">
      <c r="A2429" t="s">
        <v>4360</v>
      </c>
      <c r="B2429" t="s">
        <v>314</v>
      </c>
      <c r="C2429">
        <v>245.62</v>
      </c>
      <c r="D2429" s="1">
        <v>45275.709699074076</v>
      </c>
      <c r="E2429" s="2">
        <f t="shared" si="148"/>
        <v>0.7096990740756155</v>
      </c>
      <c r="F2429" s="3">
        <f t="shared" si="149"/>
        <v>45275</v>
      </c>
      <c r="G2429" t="s">
        <v>17</v>
      </c>
      <c r="H2429" t="s">
        <v>237</v>
      </c>
      <c r="I2429" t="s">
        <v>1330</v>
      </c>
      <c r="J2429" t="s">
        <v>1503</v>
      </c>
      <c r="K2429" t="s">
        <v>1037</v>
      </c>
      <c r="L2429" t="s">
        <v>69</v>
      </c>
      <c r="M2429">
        <v>23</v>
      </c>
      <c r="N2429" t="s">
        <v>37</v>
      </c>
      <c r="O2429">
        <v>127</v>
      </c>
      <c r="P2429">
        <v>1</v>
      </c>
      <c r="Q2429">
        <v>1879.82</v>
      </c>
      <c r="R2429" s="4">
        <v>45600</v>
      </c>
      <c r="S2429" s="6">
        <v>0.33923611111111113</v>
      </c>
      <c r="T2429">
        <f t="shared" si="150"/>
        <v>17</v>
      </c>
      <c r="U2429" t="str" cm="1">
        <f t="array" ref="U2429">_xlfn.IFS(M2429&lt;=34,"YOUNG",M2429&lt;=54,"MIDDLE AGE",M2429&gt;=55,"OLD")</f>
        <v>YOUNG</v>
      </c>
      <c r="V2429" t="str">
        <f t="shared" si="151"/>
        <v>NORMAL</v>
      </c>
    </row>
    <row r="2430" spans="1:22" x14ac:dyDescent="0.35">
      <c r="A2430" t="s">
        <v>4361</v>
      </c>
      <c r="B2430" t="s">
        <v>447</v>
      </c>
      <c r="C2430">
        <v>981.9</v>
      </c>
      <c r="D2430" s="1">
        <v>45258.67900462963</v>
      </c>
      <c r="E2430" s="2">
        <f t="shared" si="148"/>
        <v>0.67900462963007158</v>
      </c>
      <c r="F2430" s="3">
        <f t="shared" si="149"/>
        <v>45258</v>
      </c>
      <c r="G2430" t="s">
        <v>46</v>
      </c>
      <c r="H2430" t="s">
        <v>197</v>
      </c>
      <c r="I2430" t="s">
        <v>1334</v>
      </c>
      <c r="J2430" t="s">
        <v>2140</v>
      </c>
      <c r="K2430" t="s">
        <v>175</v>
      </c>
      <c r="L2430" t="s">
        <v>36</v>
      </c>
      <c r="M2430">
        <v>43</v>
      </c>
      <c r="N2430" t="s">
        <v>23</v>
      </c>
      <c r="O2430">
        <v>112</v>
      </c>
      <c r="P2430">
        <v>1</v>
      </c>
      <c r="Q2430">
        <v>9018.33</v>
      </c>
      <c r="R2430" s="4">
        <v>45600</v>
      </c>
      <c r="S2430" s="6">
        <v>0.33811342592592591</v>
      </c>
      <c r="T2430">
        <f t="shared" si="150"/>
        <v>16</v>
      </c>
      <c r="U2430" t="str" cm="1">
        <f t="array" ref="U2430">_xlfn.IFS(M2430&lt;=34,"YOUNG",M2430&lt;=54,"MIDDLE AGE",M2430&gt;=55,"OLD")</f>
        <v>MIDDLE AGE</v>
      </c>
      <c r="V2430" t="str">
        <f t="shared" si="151"/>
        <v>NORMAL</v>
      </c>
    </row>
    <row r="2431" spans="1:22" x14ac:dyDescent="0.35">
      <c r="A2431" t="s">
        <v>4362</v>
      </c>
      <c r="B2431" t="s">
        <v>412</v>
      </c>
      <c r="C2431">
        <v>83.6</v>
      </c>
      <c r="D2431" s="1">
        <v>45289.770405092589</v>
      </c>
      <c r="E2431" s="2">
        <f t="shared" si="148"/>
        <v>0.77040509258949896</v>
      </c>
      <c r="F2431" s="3">
        <f t="shared" si="149"/>
        <v>45289</v>
      </c>
      <c r="G2431" t="s">
        <v>17</v>
      </c>
      <c r="H2431" t="s">
        <v>223</v>
      </c>
      <c r="I2431" t="s">
        <v>633</v>
      </c>
      <c r="J2431" t="s">
        <v>591</v>
      </c>
      <c r="K2431" t="s">
        <v>277</v>
      </c>
      <c r="L2431" t="s">
        <v>22</v>
      </c>
      <c r="M2431">
        <v>47</v>
      </c>
      <c r="N2431" t="s">
        <v>23</v>
      </c>
      <c r="O2431">
        <v>192</v>
      </c>
      <c r="P2431">
        <v>1</v>
      </c>
      <c r="Q2431">
        <v>13899.24</v>
      </c>
      <c r="R2431" s="4">
        <v>45600</v>
      </c>
      <c r="S2431" s="6">
        <v>0.33980324074074075</v>
      </c>
      <c r="T2431">
        <f t="shared" si="150"/>
        <v>18</v>
      </c>
      <c r="U2431" t="str" cm="1">
        <f t="array" ref="U2431">_xlfn.IFS(M2431&lt;=34,"YOUNG",M2431&lt;=54,"MIDDLE AGE",M2431&gt;=55,"OLD")</f>
        <v>MIDDLE AGE</v>
      </c>
      <c r="V2431" t="str">
        <f t="shared" si="151"/>
        <v>NORMAL</v>
      </c>
    </row>
    <row r="2432" spans="1:22" x14ac:dyDescent="0.35">
      <c r="A2432" t="s">
        <v>4363</v>
      </c>
      <c r="B2432" t="s">
        <v>2779</v>
      </c>
      <c r="C2432">
        <v>331.22</v>
      </c>
      <c r="D2432" s="1">
        <v>45071.685613425929</v>
      </c>
      <c r="E2432" s="2">
        <f t="shared" si="148"/>
        <v>0.68561342592875008</v>
      </c>
      <c r="F2432" s="3">
        <f t="shared" si="149"/>
        <v>45071</v>
      </c>
      <c r="G2432" t="s">
        <v>46</v>
      </c>
      <c r="H2432" t="s">
        <v>53</v>
      </c>
      <c r="I2432" t="s">
        <v>1550</v>
      </c>
      <c r="J2432" t="s">
        <v>571</v>
      </c>
      <c r="K2432" t="s">
        <v>76</v>
      </c>
      <c r="L2432" t="s">
        <v>69</v>
      </c>
      <c r="M2432">
        <v>61</v>
      </c>
      <c r="N2432" t="s">
        <v>23</v>
      </c>
      <c r="O2432">
        <v>161</v>
      </c>
      <c r="P2432">
        <v>1</v>
      </c>
      <c r="Q2432">
        <v>12613.25</v>
      </c>
      <c r="R2432" s="4">
        <v>45600</v>
      </c>
      <c r="S2432" s="6">
        <v>0.34190972222222221</v>
      </c>
      <c r="T2432">
        <f t="shared" si="150"/>
        <v>16</v>
      </c>
      <c r="U2432" t="str" cm="1">
        <f t="array" ref="U2432">_xlfn.IFS(M2432&lt;=34,"YOUNG",M2432&lt;=54,"MIDDLE AGE",M2432&gt;=55,"OLD")</f>
        <v>OLD</v>
      </c>
      <c r="V2432" t="str">
        <f t="shared" si="151"/>
        <v>NORMAL</v>
      </c>
    </row>
    <row r="2433" spans="1:22" x14ac:dyDescent="0.35">
      <c r="A2433" t="s">
        <v>4364</v>
      </c>
      <c r="B2433" t="s">
        <v>452</v>
      </c>
      <c r="C2433">
        <v>57.49</v>
      </c>
      <c r="D2433" s="1">
        <v>45246.756655092591</v>
      </c>
      <c r="E2433" s="2">
        <f t="shared" si="148"/>
        <v>0.75665509259124519</v>
      </c>
      <c r="F2433" s="3">
        <f t="shared" si="149"/>
        <v>45246</v>
      </c>
      <c r="G2433" t="s">
        <v>46</v>
      </c>
      <c r="H2433" t="s">
        <v>73</v>
      </c>
      <c r="I2433" t="s">
        <v>1737</v>
      </c>
      <c r="J2433" t="s">
        <v>1018</v>
      </c>
      <c r="K2433" t="s">
        <v>240</v>
      </c>
      <c r="L2433" t="s">
        <v>36</v>
      </c>
      <c r="M2433">
        <v>24</v>
      </c>
      <c r="N2433" t="s">
        <v>37</v>
      </c>
      <c r="O2433">
        <v>177</v>
      </c>
      <c r="P2433">
        <v>1</v>
      </c>
      <c r="Q2433">
        <v>765.15</v>
      </c>
      <c r="R2433" s="4">
        <v>45600</v>
      </c>
      <c r="S2433" s="6">
        <v>0.34136574074074072</v>
      </c>
      <c r="T2433">
        <f t="shared" si="150"/>
        <v>18</v>
      </c>
      <c r="U2433" t="str" cm="1">
        <f t="array" ref="U2433">_xlfn.IFS(M2433&lt;=34,"YOUNG",M2433&lt;=54,"MIDDLE AGE",M2433&gt;=55,"OLD")</f>
        <v>YOUNG</v>
      </c>
      <c r="V2433" t="str">
        <f t="shared" si="151"/>
        <v>NORMAL</v>
      </c>
    </row>
    <row r="2434" spans="1:22" x14ac:dyDescent="0.35">
      <c r="A2434" t="s">
        <v>4365</v>
      </c>
      <c r="B2434" t="s">
        <v>1200</v>
      </c>
      <c r="C2434">
        <v>85.58</v>
      </c>
      <c r="D2434" s="1">
        <v>45253.720821759256</v>
      </c>
      <c r="E2434" s="2">
        <f t="shared" ref="E2434:E2497" si="152">D2434-INT(D2434)</f>
        <v>0.72082175925606862</v>
      </c>
      <c r="F2434" s="3">
        <f t="shared" ref="F2434:F2497" si="153">INT(D2434)</f>
        <v>45253</v>
      </c>
      <c r="G2434" t="s">
        <v>17</v>
      </c>
      <c r="H2434" t="s">
        <v>157</v>
      </c>
      <c r="I2434" t="s">
        <v>2809</v>
      </c>
      <c r="J2434" t="s">
        <v>1249</v>
      </c>
      <c r="K2434" t="s">
        <v>175</v>
      </c>
      <c r="L2434" t="s">
        <v>22</v>
      </c>
      <c r="M2434">
        <v>55</v>
      </c>
      <c r="N2434" t="s">
        <v>77</v>
      </c>
      <c r="O2434">
        <v>60</v>
      </c>
      <c r="P2434">
        <v>1</v>
      </c>
      <c r="Q2434">
        <v>7794.84</v>
      </c>
      <c r="R2434" s="4">
        <v>45600</v>
      </c>
      <c r="S2434" s="6">
        <v>0.33876157407407409</v>
      </c>
      <c r="T2434">
        <f t="shared" si="150"/>
        <v>17</v>
      </c>
      <c r="U2434" t="str" cm="1">
        <f t="array" ref="U2434">_xlfn.IFS(M2434&lt;=34,"YOUNG",M2434&lt;=54,"MIDDLE AGE",M2434&gt;=55,"OLD")</f>
        <v>OLD</v>
      </c>
      <c r="V2434" t="str">
        <f t="shared" si="151"/>
        <v>NORMAL</v>
      </c>
    </row>
    <row r="2435" spans="1:22" x14ac:dyDescent="0.35">
      <c r="A2435" t="s">
        <v>4366</v>
      </c>
      <c r="B2435" t="s">
        <v>1927</v>
      </c>
      <c r="C2435">
        <v>157.56</v>
      </c>
      <c r="D2435" s="1">
        <v>45027.713043981479</v>
      </c>
      <c r="E2435" s="2">
        <f t="shared" si="152"/>
        <v>0.71304398147913162</v>
      </c>
      <c r="F2435" s="3">
        <f t="shared" si="153"/>
        <v>45027</v>
      </c>
      <c r="G2435" t="s">
        <v>17</v>
      </c>
      <c r="H2435" t="s">
        <v>65</v>
      </c>
      <c r="I2435" t="s">
        <v>2737</v>
      </c>
      <c r="J2435" t="s">
        <v>3054</v>
      </c>
      <c r="K2435" t="s">
        <v>682</v>
      </c>
      <c r="L2435" t="s">
        <v>69</v>
      </c>
      <c r="M2435">
        <v>43</v>
      </c>
      <c r="N2435" t="s">
        <v>23</v>
      </c>
      <c r="O2435">
        <v>159</v>
      </c>
      <c r="P2435">
        <v>1</v>
      </c>
      <c r="Q2435">
        <v>7541.16</v>
      </c>
      <c r="R2435" s="4">
        <v>45600</v>
      </c>
      <c r="S2435" s="6">
        <v>0.33871527777777777</v>
      </c>
      <c r="T2435">
        <f t="shared" ref="T2435:T2498" si="154">HOUR(E2435)</f>
        <v>17</v>
      </c>
      <c r="U2435" t="str" cm="1">
        <f t="array" ref="U2435">_xlfn.IFS(M2435&lt;=34,"YOUNG",M2435&lt;=54,"MIDDLE AGE",M2435&gt;=55,"OLD")</f>
        <v>MIDDLE AGE</v>
      </c>
      <c r="V2435" t="str">
        <f t="shared" ref="V2435:V2498" si="155">IF(P2435&gt;1,"HIGH","NORMAL")</f>
        <v>NORMAL</v>
      </c>
    </row>
    <row r="2436" spans="1:22" x14ac:dyDescent="0.35">
      <c r="A2436" t="s">
        <v>4367</v>
      </c>
      <c r="B2436" t="s">
        <v>1074</v>
      </c>
      <c r="C2436">
        <v>230.3</v>
      </c>
      <c r="D2436" s="1">
        <v>44981.70652777778</v>
      </c>
      <c r="E2436" s="2">
        <f t="shared" si="152"/>
        <v>0.70652777778013842</v>
      </c>
      <c r="F2436" s="3">
        <f t="shared" si="153"/>
        <v>44981</v>
      </c>
      <c r="G2436" t="s">
        <v>17</v>
      </c>
      <c r="H2436" t="s">
        <v>521</v>
      </c>
      <c r="I2436" t="s">
        <v>947</v>
      </c>
      <c r="J2436" t="s">
        <v>4368</v>
      </c>
      <c r="K2436" t="s">
        <v>418</v>
      </c>
      <c r="L2436" t="s">
        <v>36</v>
      </c>
      <c r="M2436">
        <v>46</v>
      </c>
      <c r="N2436" t="s">
        <v>77</v>
      </c>
      <c r="O2436">
        <v>24</v>
      </c>
      <c r="P2436">
        <v>1</v>
      </c>
      <c r="Q2436">
        <v>8356.8799999999992</v>
      </c>
      <c r="R2436" s="4">
        <v>45600</v>
      </c>
      <c r="S2436" s="6">
        <v>0.33913194444444444</v>
      </c>
      <c r="T2436">
        <f t="shared" si="154"/>
        <v>16</v>
      </c>
      <c r="U2436" t="str" cm="1">
        <f t="array" ref="U2436">_xlfn.IFS(M2436&lt;=34,"YOUNG",M2436&lt;=54,"MIDDLE AGE",M2436&gt;=55,"OLD")</f>
        <v>MIDDLE AGE</v>
      </c>
      <c r="V2436" t="str">
        <f t="shared" si="155"/>
        <v>NORMAL</v>
      </c>
    </row>
    <row r="2437" spans="1:22" x14ac:dyDescent="0.35">
      <c r="A2437" t="s">
        <v>4369</v>
      </c>
      <c r="B2437" t="s">
        <v>1125</v>
      </c>
      <c r="C2437">
        <v>305.92</v>
      </c>
      <c r="D2437" s="1">
        <v>45266.69604166667</v>
      </c>
      <c r="E2437" s="2">
        <f t="shared" si="152"/>
        <v>0.69604166666977108</v>
      </c>
      <c r="F2437" s="3">
        <f t="shared" si="153"/>
        <v>45266</v>
      </c>
      <c r="G2437" t="s">
        <v>17</v>
      </c>
      <c r="H2437" t="s">
        <v>506</v>
      </c>
      <c r="I2437" t="s">
        <v>373</v>
      </c>
      <c r="J2437" t="s">
        <v>2416</v>
      </c>
      <c r="K2437" t="s">
        <v>100</v>
      </c>
      <c r="L2437" t="s">
        <v>22</v>
      </c>
      <c r="M2437">
        <v>72</v>
      </c>
      <c r="N2437" t="s">
        <v>70</v>
      </c>
      <c r="O2437">
        <v>88</v>
      </c>
      <c r="P2437">
        <v>1</v>
      </c>
      <c r="Q2437">
        <v>1445.47</v>
      </c>
      <c r="R2437" s="4">
        <v>45600</v>
      </c>
      <c r="S2437" s="6">
        <v>0.33921296296296294</v>
      </c>
      <c r="T2437">
        <f t="shared" si="154"/>
        <v>16</v>
      </c>
      <c r="U2437" t="str" cm="1">
        <f t="array" ref="U2437">_xlfn.IFS(M2437&lt;=34,"YOUNG",M2437&lt;=54,"MIDDLE AGE",M2437&gt;=55,"OLD")</f>
        <v>OLD</v>
      </c>
      <c r="V2437" t="str">
        <f t="shared" si="155"/>
        <v>NORMAL</v>
      </c>
    </row>
    <row r="2438" spans="1:22" x14ac:dyDescent="0.35">
      <c r="A2438" t="s">
        <v>4370</v>
      </c>
      <c r="B2438" t="s">
        <v>2172</v>
      </c>
      <c r="C2438">
        <v>942.7</v>
      </c>
      <c r="D2438" s="1">
        <v>45236.683854166666</v>
      </c>
      <c r="E2438" s="2">
        <f t="shared" si="152"/>
        <v>0.68385416666569654</v>
      </c>
      <c r="F2438" s="3">
        <f t="shared" si="153"/>
        <v>45236</v>
      </c>
      <c r="G2438" t="s">
        <v>17</v>
      </c>
      <c r="H2438" t="s">
        <v>388</v>
      </c>
      <c r="I2438" t="s">
        <v>2006</v>
      </c>
      <c r="J2438" t="s">
        <v>320</v>
      </c>
      <c r="K2438" t="s">
        <v>122</v>
      </c>
      <c r="L2438" t="s">
        <v>36</v>
      </c>
      <c r="M2438">
        <v>35</v>
      </c>
      <c r="N2438" t="s">
        <v>77</v>
      </c>
      <c r="O2438">
        <v>29</v>
      </c>
      <c r="P2438">
        <v>1</v>
      </c>
      <c r="Q2438">
        <v>5141.32</v>
      </c>
      <c r="R2438" s="4">
        <v>45600</v>
      </c>
      <c r="S2438" s="6">
        <v>0.34108796296296295</v>
      </c>
      <c r="T2438">
        <f t="shared" si="154"/>
        <v>16</v>
      </c>
      <c r="U2438" t="str" cm="1">
        <f t="array" ref="U2438">_xlfn.IFS(M2438&lt;=34,"YOUNG",M2438&lt;=54,"MIDDLE AGE",M2438&gt;=55,"OLD")</f>
        <v>MIDDLE AGE</v>
      </c>
      <c r="V2438" t="str">
        <f t="shared" si="155"/>
        <v>NORMAL</v>
      </c>
    </row>
    <row r="2439" spans="1:22" x14ac:dyDescent="0.35">
      <c r="A2439" t="s">
        <v>4371</v>
      </c>
      <c r="B2439" t="s">
        <v>771</v>
      </c>
      <c r="C2439">
        <v>116.33</v>
      </c>
      <c r="D2439" s="1">
        <v>44974.692430555559</v>
      </c>
      <c r="E2439" s="2">
        <f t="shared" si="152"/>
        <v>0.69243055555853061</v>
      </c>
      <c r="F2439" s="3">
        <f t="shared" si="153"/>
        <v>44974</v>
      </c>
      <c r="G2439" t="s">
        <v>17</v>
      </c>
      <c r="H2439" t="s">
        <v>558</v>
      </c>
      <c r="I2439" t="s">
        <v>1323</v>
      </c>
      <c r="J2439" t="s">
        <v>257</v>
      </c>
      <c r="K2439" t="s">
        <v>277</v>
      </c>
      <c r="L2439" t="s">
        <v>69</v>
      </c>
      <c r="M2439">
        <v>27</v>
      </c>
      <c r="N2439" t="s">
        <v>37</v>
      </c>
      <c r="O2439">
        <v>144</v>
      </c>
      <c r="P2439">
        <v>1</v>
      </c>
      <c r="Q2439">
        <v>1696.15</v>
      </c>
      <c r="R2439" s="4">
        <v>45600</v>
      </c>
      <c r="S2439" s="6">
        <v>0.33937499999999998</v>
      </c>
      <c r="T2439">
        <f t="shared" si="154"/>
        <v>16</v>
      </c>
      <c r="U2439" t="str" cm="1">
        <f t="array" ref="U2439">_xlfn.IFS(M2439&lt;=34,"YOUNG",M2439&lt;=54,"MIDDLE AGE",M2439&gt;=55,"OLD")</f>
        <v>YOUNG</v>
      </c>
      <c r="V2439" t="str">
        <f t="shared" si="155"/>
        <v>NORMAL</v>
      </c>
    </row>
    <row r="2440" spans="1:22" x14ac:dyDescent="0.35">
      <c r="A2440" t="s">
        <v>4372</v>
      </c>
      <c r="B2440" t="s">
        <v>2097</v>
      </c>
      <c r="C2440">
        <v>537.71</v>
      </c>
      <c r="D2440" s="1">
        <v>45020.671574074076</v>
      </c>
      <c r="E2440" s="2">
        <f t="shared" si="152"/>
        <v>0.67157407407648861</v>
      </c>
      <c r="F2440" s="3">
        <f t="shared" si="153"/>
        <v>45020</v>
      </c>
      <c r="G2440" t="s">
        <v>46</v>
      </c>
      <c r="H2440" t="s">
        <v>32</v>
      </c>
      <c r="I2440" t="s">
        <v>400</v>
      </c>
      <c r="J2440" t="s">
        <v>1119</v>
      </c>
      <c r="K2440" t="s">
        <v>303</v>
      </c>
      <c r="L2440" t="s">
        <v>36</v>
      </c>
      <c r="M2440">
        <v>19</v>
      </c>
      <c r="N2440" t="s">
        <v>37</v>
      </c>
      <c r="O2440">
        <v>175</v>
      </c>
      <c r="P2440">
        <v>1</v>
      </c>
      <c r="Q2440">
        <v>1806.08</v>
      </c>
      <c r="R2440" s="4">
        <v>45600</v>
      </c>
      <c r="S2440" s="6">
        <v>0.3384490740740741</v>
      </c>
      <c r="T2440">
        <f t="shared" si="154"/>
        <v>16</v>
      </c>
      <c r="U2440" t="str" cm="1">
        <f t="array" ref="U2440">_xlfn.IFS(M2440&lt;=34,"YOUNG",M2440&lt;=54,"MIDDLE AGE",M2440&gt;=55,"OLD")</f>
        <v>YOUNG</v>
      </c>
      <c r="V2440" t="str">
        <f t="shared" si="155"/>
        <v>NORMAL</v>
      </c>
    </row>
    <row r="2441" spans="1:22" x14ac:dyDescent="0.35">
      <c r="A2441" t="s">
        <v>4373</v>
      </c>
      <c r="B2441" t="s">
        <v>274</v>
      </c>
      <c r="C2441">
        <v>538.16999999999996</v>
      </c>
      <c r="D2441" s="1">
        <v>45195.727280092593</v>
      </c>
      <c r="E2441" s="2">
        <f t="shared" si="152"/>
        <v>0.72728009259299142</v>
      </c>
      <c r="F2441" s="3">
        <f t="shared" si="153"/>
        <v>45195</v>
      </c>
      <c r="G2441" t="s">
        <v>46</v>
      </c>
      <c r="H2441" t="s">
        <v>453</v>
      </c>
      <c r="I2441" t="s">
        <v>1588</v>
      </c>
      <c r="J2441" t="s">
        <v>142</v>
      </c>
      <c r="K2441" t="s">
        <v>288</v>
      </c>
      <c r="L2441" t="s">
        <v>69</v>
      </c>
      <c r="M2441">
        <v>27</v>
      </c>
      <c r="N2441" t="s">
        <v>77</v>
      </c>
      <c r="O2441">
        <v>252</v>
      </c>
      <c r="P2441">
        <v>1</v>
      </c>
      <c r="Q2441">
        <v>5908.04</v>
      </c>
      <c r="R2441" s="4">
        <v>45600</v>
      </c>
      <c r="S2441" s="6">
        <v>0.34056712962962965</v>
      </c>
      <c r="T2441">
        <f t="shared" si="154"/>
        <v>17</v>
      </c>
      <c r="U2441" t="str" cm="1">
        <f t="array" ref="U2441">_xlfn.IFS(M2441&lt;=34,"YOUNG",M2441&lt;=54,"MIDDLE AGE",M2441&gt;=55,"OLD")</f>
        <v>YOUNG</v>
      </c>
      <c r="V2441" t="str">
        <f t="shared" si="155"/>
        <v>NORMAL</v>
      </c>
    </row>
    <row r="2442" spans="1:22" x14ac:dyDescent="0.35">
      <c r="A2442" t="s">
        <v>4374</v>
      </c>
      <c r="B2442" t="s">
        <v>1569</v>
      </c>
      <c r="C2442">
        <v>219.44</v>
      </c>
      <c r="D2442" s="1">
        <v>45127.759108796294</v>
      </c>
      <c r="E2442" s="2">
        <f t="shared" si="152"/>
        <v>0.75910879629373085</v>
      </c>
      <c r="F2442" s="3">
        <f t="shared" si="153"/>
        <v>45127</v>
      </c>
      <c r="G2442" t="s">
        <v>17</v>
      </c>
      <c r="H2442" t="s">
        <v>453</v>
      </c>
      <c r="I2442" t="s">
        <v>260</v>
      </c>
      <c r="J2442" t="s">
        <v>251</v>
      </c>
      <c r="K2442" t="s">
        <v>362</v>
      </c>
      <c r="L2442" t="s">
        <v>36</v>
      </c>
      <c r="M2442">
        <v>42</v>
      </c>
      <c r="N2442" t="s">
        <v>77</v>
      </c>
      <c r="O2442">
        <v>23</v>
      </c>
      <c r="P2442">
        <v>1</v>
      </c>
      <c r="Q2442">
        <v>4207.2700000000004</v>
      </c>
      <c r="R2442" s="4">
        <v>45600</v>
      </c>
      <c r="S2442" s="6">
        <v>0.34002314814814816</v>
      </c>
      <c r="T2442">
        <f t="shared" si="154"/>
        <v>18</v>
      </c>
      <c r="U2442" t="str" cm="1">
        <f t="array" ref="U2442">_xlfn.IFS(M2442&lt;=34,"YOUNG",M2442&lt;=54,"MIDDLE AGE",M2442&gt;=55,"OLD")</f>
        <v>MIDDLE AGE</v>
      </c>
      <c r="V2442" t="str">
        <f t="shared" si="155"/>
        <v>NORMAL</v>
      </c>
    </row>
    <row r="2443" spans="1:22" x14ac:dyDescent="0.35">
      <c r="A2443" t="s">
        <v>4375</v>
      </c>
      <c r="B2443" t="s">
        <v>935</v>
      </c>
      <c r="C2443">
        <v>61.62</v>
      </c>
      <c r="D2443" s="1">
        <v>45208.667650462965</v>
      </c>
      <c r="E2443" s="2">
        <f t="shared" si="152"/>
        <v>0.66765046296495711</v>
      </c>
      <c r="F2443" s="3">
        <f t="shared" si="153"/>
        <v>45208</v>
      </c>
      <c r="G2443" t="s">
        <v>17</v>
      </c>
      <c r="H2443" t="s">
        <v>172</v>
      </c>
      <c r="I2443" t="s">
        <v>2020</v>
      </c>
      <c r="J2443" t="s">
        <v>132</v>
      </c>
      <c r="K2443" t="s">
        <v>386</v>
      </c>
      <c r="L2443" t="s">
        <v>36</v>
      </c>
      <c r="M2443">
        <v>57</v>
      </c>
      <c r="N2443" t="s">
        <v>23</v>
      </c>
      <c r="O2443">
        <v>19</v>
      </c>
      <c r="P2443">
        <v>1</v>
      </c>
      <c r="Q2443">
        <v>8365.3700000000008</v>
      </c>
      <c r="R2443" s="4">
        <v>45600</v>
      </c>
      <c r="S2443" s="6">
        <v>0.34168981481481481</v>
      </c>
      <c r="T2443">
        <f t="shared" si="154"/>
        <v>16</v>
      </c>
      <c r="U2443" t="str" cm="1">
        <f t="array" ref="U2443">_xlfn.IFS(M2443&lt;=34,"YOUNG",M2443&lt;=54,"MIDDLE AGE",M2443&gt;=55,"OLD")</f>
        <v>OLD</v>
      </c>
      <c r="V2443" t="str">
        <f t="shared" si="155"/>
        <v>NORMAL</v>
      </c>
    </row>
    <row r="2444" spans="1:22" x14ac:dyDescent="0.35">
      <c r="A2444" t="s">
        <v>4376</v>
      </c>
      <c r="B2444" t="s">
        <v>2978</v>
      </c>
      <c r="C2444">
        <v>58.77</v>
      </c>
      <c r="D2444" s="1">
        <v>45120.691400462965</v>
      </c>
      <c r="E2444" s="2">
        <f t="shared" si="152"/>
        <v>0.69140046296524815</v>
      </c>
      <c r="F2444" s="3">
        <f t="shared" si="153"/>
        <v>45120</v>
      </c>
      <c r="G2444" t="s">
        <v>17</v>
      </c>
      <c r="H2444" t="s">
        <v>92</v>
      </c>
      <c r="I2444" t="s">
        <v>2969</v>
      </c>
      <c r="J2444" t="s">
        <v>1387</v>
      </c>
      <c r="K2444" t="s">
        <v>308</v>
      </c>
      <c r="L2444" t="s">
        <v>36</v>
      </c>
      <c r="M2444">
        <v>27</v>
      </c>
      <c r="N2444" t="s">
        <v>77</v>
      </c>
      <c r="O2444">
        <v>191</v>
      </c>
      <c r="P2444">
        <v>1</v>
      </c>
      <c r="Q2444">
        <v>7261.7</v>
      </c>
      <c r="R2444" s="4">
        <v>45600</v>
      </c>
      <c r="S2444" s="6">
        <v>0.33795138888888887</v>
      </c>
      <c r="T2444">
        <f t="shared" si="154"/>
        <v>16</v>
      </c>
      <c r="U2444" t="str" cm="1">
        <f t="array" ref="U2444">_xlfn.IFS(M2444&lt;=34,"YOUNG",M2444&lt;=54,"MIDDLE AGE",M2444&gt;=55,"OLD")</f>
        <v>YOUNG</v>
      </c>
      <c r="V2444" t="str">
        <f t="shared" si="155"/>
        <v>NORMAL</v>
      </c>
    </row>
    <row r="2445" spans="1:22" x14ac:dyDescent="0.35">
      <c r="A2445" t="s">
        <v>4377</v>
      </c>
      <c r="B2445" t="s">
        <v>1794</v>
      </c>
      <c r="C2445">
        <v>538.13</v>
      </c>
      <c r="D2445" s="1">
        <v>45176.739189814813</v>
      </c>
      <c r="E2445" s="2">
        <f t="shared" si="152"/>
        <v>0.73918981481256196</v>
      </c>
      <c r="F2445" s="3">
        <f t="shared" si="153"/>
        <v>45176</v>
      </c>
      <c r="G2445" t="s">
        <v>17</v>
      </c>
      <c r="H2445" t="s">
        <v>249</v>
      </c>
      <c r="I2445" t="s">
        <v>1145</v>
      </c>
      <c r="J2445" t="s">
        <v>82</v>
      </c>
      <c r="K2445" t="s">
        <v>414</v>
      </c>
      <c r="L2445" t="s">
        <v>22</v>
      </c>
      <c r="M2445">
        <v>62</v>
      </c>
      <c r="N2445" t="s">
        <v>70</v>
      </c>
      <c r="O2445">
        <v>165</v>
      </c>
      <c r="P2445">
        <v>1</v>
      </c>
      <c r="Q2445">
        <v>5008.59</v>
      </c>
      <c r="R2445" s="4">
        <v>45600</v>
      </c>
      <c r="S2445" s="6">
        <v>0.34181712962962962</v>
      </c>
      <c r="T2445">
        <f t="shared" si="154"/>
        <v>17</v>
      </c>
      <c r="U2445" t="str" cm="1">
        <f t="array" ref="U2445">_xlfn.IFS(M2445&lt;=34,"YOUNG",M2445&lt;=54,"MIDDLE AGE",M2445&gt;=55,"OLD")</f>
        <v>OLD</v>
      </c>
      <c r="V2445" t="str">
        <f t="shared" si="155"/>
        <v>NORMAL</v>
      </c>
    </row>
    <row r="2446" spans="1:22" x14ac:dyDescent="0.35">
      <c r="A2446" t="s">
        <v>4378</v>
      </c>
      <c r="B2446" t="s">
        <v>1361</v>
      </c>
      <c r="C2446">
        <v>177.05</v>
      </c>
      <c r="D2446" s="1">
        <v>45167.68240740741</v>
      </c>
      <c r="E2446" s="2">
        <f t="shared" si="152"/>
        <v>0.68240740741021</v>
      </c>
      <c r="F2446" s="3">
        <f t="shared" si="153"/>
        <v>45167</v>
      </c>
      <c r="G2446" t="s">
        <v>17</v>
      </c>
      <c r="H2446" t="s">
        <v>243</v>
      </c>
      <c r="I2446" t="s">
        <v>1466</v>
      </c>
      <c r="J2446" t="s">
        <v>2727</v>
      </c>
      <c r="K2446" t="s">
        <v>406</v>
      </c>
      <c r="L2446" t="s">
        <v>69</v>
      </c>
      <c r="M2446">
        <v>24</v>
      </c>
      <c r="N2446" t="s">
        <v>37</v>
      </c>
      <c r="O2446">
        <v>235</v>
      </c>
      <c r="P2446">
        <v>1</v>
      </c>
      <c r="Q2446">
        <v>4287.82</v>
      </c>
      <c r="R2446" s="4">
        <v>45600</v>
      </c>
      <c r="S2446" s="6">
        <v>0.33813657407407405</v>
      </c>
      <c r="T2446">
        <f t="shared" si="154"/>
        <v>16</v>
      </c>
      <c r="U2446" t="str" cm="1">
        <f t="array" ref="U2446">_xlfn.IFS(M2446&lt;=34,"YOUNG",M2446&lt;=54,"MIDDLE AGE",M2446&gt;=55,"OLD")</f>
        <v>YOUNG</v>
      </c>
      <c r="V2446" t="str">
        <f t="shared" si="155"/>
        <v>NORMAL</v>
      </c>
    </row>
    <row r="2447" spans="1:22" x14ac:dyDescent="0.35">
      <c r="A2447" t="s">
        <v>4379</v>
      </c>
      <c r="B2447" t="s">
        <v>274</v>
      </c>
      <c r="C2447">
        <v>403.01</v>
      </c>
      <c r="D2447" s="1">
        <v>45173.73096064815</v>
      </c>
      <c r="E2447" s="2">
        <f t="shared" si="152"/>
        <v>0.73096064815035788</v>
      </c>
      <c r="F2447" s="3">
        <f t="shared" si="153"/>
        <v>45173</v>
      </c>
      <c r="G2447" t="s">
        <v>17</v>
      </c>
      <c r="H2447" t="s">
        <v>453</v>
      </c>
      <c r="I2447" t="s">
        <v>1788</v>
      </c>
      <c r="J2447" t="s">
        <v>799</v>
      </c>
      <c r="K2447" t="s">
        <v>175</v>
      </c>
      <c r="L2447" t="s">
        <v>36</v>
      </c>
      <c r="M2447">
        <v>63</v>
      </c>
      <c r="N2447" t="s">
        <v>23</v>
      </c>
      <c r="O2447">
        <v>286</v>
      </c>
      <c r="P2447">
        <v>3</v>
      </c>
      <c r="Q2447">
        <v>10513.52</v>
      </c>
      <c r="R2447" s="4">
        <v>45600</v>
      </c>
      <c r="S2447" s="6">
        <v>0.3399537037037037</v>
      </c>
      <c r="T2447">
        <f t="shared" si="154"/>
        <v>17</v>
      </c>
      <c r="U2447" t="str" cm="1">
        <f t="array" ref="U2447">_xlfn.IFS(M2447&lt;=34,"YOUNG",M2447&lt;=54,"MIDDLE AGE",M2447&gt;=55,"OLD")</f>
        <v>OLD</v>
      </c>
      <c r="V2447" t="str">
        <f t="shared" si="155"/>
        <v>HIGH</v>
      </c>
    </row>
    <row r="2448" spans="1:22" x14ac:dyDescent="0.35">
      <c r="A2448" t="s">
        <v>4380</v>
      </c>
      <c r="B2448" t="s">
        <v>145</v>
      </c>
      <c r="C2448">
        <v>719.76</v>
      </c>
      <c r="D2448" s="1">
        <v>45015.743321759262</v>
      </c>
      <c r="E2448" s="2">
        <f t="shared" si="152"/>
        <v>0.74332175926247146</v>
      </c>
      <c r="F2448" s="3">
        <f t="shared" si="153"/>
        <v>45015</v>
      </c>
      <c r="G2448" t="s">
        <v>17</v>
      </c>
      <c r="H2448" t="s">
        <v>212</v>
      </c>
      <c r="I2448" t="s">
        <v>351</v>
      </c>
      <c r="J2448" t="s">
        <v>976</v>
      </c>
      <c r="K2448" t="s">
        <v>858</v>
      </c>
      <c r="L2448" t="s">
        <v>69</v>
      </c>
      <c r="M2448">
        <v>19</v>
      </c>
      <c r="N2448" t="s">
        <v>37</v>
      </c>
      <c r="O2448">
        <v>190</v>
      </c>
      <c r="P2448">
        <v>1</v>
      </c>
      <c r="Q2448">
        <v>690.52</v>
      </c>
      <c r="R2448" s="4">
        <v>45600</v>
      </c>
      <c r="S2448" s="6">
        <v>0.34126157407407409</v>
      </c>
      <c r="T2448">
        <f t="shared" si="154"/>
        <v>17</v>
      </c>
      <c r="U2448" t="str" cm="1">
        <f t="array" ref="U2448">_xlfn.IFS(M2448&lt;=34,"YOUNG",M2448&lt;=54,"MIDDLE AGE",M2448&gt;=55,"OLD")</f>
        <v>YOUNG</v>
      </c>
      <c r="V2448" t="str">
        <f t="shared" si="155"/>
        <v>NORMAL</v>
      </c>
    </row>
    <row r="2449" spans="1:22" x14ac:dyDescent="0.35">
      <c r="A2449" t="s">
        <v>4381</v>
      </c>
      <c r="B2449" t="s">
        <v>438</v>
      </c>
      <c r="C2449">
        <v>163.22</v>
      </c>
      <c r="D2449" s="1">
        <v>45022.754305555558</v>
      </c>
      <c r="E2449" s="2">
        <f t="shared" si="152"/>
        <v>0.75430555555794854</v>
      </c>
      <c r="F2449" s="3">
        <f t="shared" si="153"/>
        <v>45022</v>
      </c>
      <c r="G2449" t="s">
        <v>17</v>
      </c>
      <c r="H2449" t="s">
        <v>172</v>
      </c>
      <c r="I2449" t="s">
        <v>2811</v>
      </c>
      <c r="J2449" t="s">
        <v>330</v>
      </c>
      <c r="K2449" t="s">
        <v>175</v>
      </c>
      <c r="L2449" t="s">
        <v>36</v>
      </c>
      <c r="M2449">
        <v>26</v>
      </c>
      <c r="N2449" t="s">
        <v>37</v>
      </c>
      <c r="O2449">
        <v>217</v>
      </c>
      <c r="P2449">
        <v>1</v>
      </c>
      <c r="Q2449">
        <v>1788.27</v>
      </c>
      <c r="R2449" s="4">
        <v>45600</v>
      </c>
      <c r="S2449" s="6">
        <v>0.33884259259259258</v>
      </c>
      <c r="T2449">
        <f t="shared" si="154"/>
        <v>18</v>
      </c>
      <c r="U2449" t="str" cm="1">
        <f t="array" ref="U2449">_xlfn.IFS(M2449&lt;=34,"YOUNG",M2449&lt;=54,"MIDDLE AGE",M2449&gt;=55,"OLD")</f>
        <v>YOUNG</v>
      </c>
      <c r="V2449" t="str">
        <f t="shared" si="155"/>
        <v>NORMAL</v>
      </c>
    </row>
    <row r="2450" spans="1:22" x14ac:dyDescent="0.35">
      <c r="A2450" t="s">
        <v>4382</v>
      </c>
      <c r="B2450" t="s">
        <v>367</v>
      </c>
      <c r="C2450">
        <v>242.85</v>
      </c>
      <c r="D2450" s="1">
        <v>45222.680312500001</v>
      </c>
      <c r="E2450" s="2">
        <f t="shared" si="152"/>
        <v>0.68031250000058208</v>
      </c>
      <c r="F2450" s="3">
        <f t="shared" si="153"/>
        <v>45222</v>
      </c>
      <c r="G2450" t="s">
        <v>17</v>
      </c>
      <c r="H2450" t="s">
        <v>237</v>
      </c>
      <c r="I2450" t="s">
        <v>2084</v>
      </c>
      <c r="J2450" t="s">
        <v>287</v>
      </c>
      <c r="K2450" t="s">
        <v>308</v>
      </c>
      <c r="L2450" t="s">
        <v>36</v>
      </c>
      <c r="M2450">
        <v>42</v>
      </c>
      <c r="N2450" t="s">
        <v>77</v>
      </c>
      <c r="O2450">
        <v>93</v>
      </c>
      <c r="P2450">
        <v>1</v>
      </c>
      <c r="Q2450">
        <v>4672.8</v>
      </c>
      <c r="R2450" s="4">
        <v>45600</v>
      </c>
      <c r="S2450" s="6">
        <v>0.34053240740740742</v>
      </c>
      <c r="T2450">
        <f t="shared" si="154"/>
        <v>16</v>
      </c>
      <c r="U2450" t="str" cm="1">
        <f t="array" ref="U2450">_xlfn.IFS(M2450&lt;=34,"YOUNG",M2450&lt;=54,"MIDDLE AGE",M2450&gt;=55,"OLD")</f>
        <v>MIDDLE AGE</v>
      </c>
      <c r="V2450" t="str">
        <f t="shared" si="155"/>
        <v>NORMAL</v>
      </c>
    </row>
    <row r="2451" spans="1:22" x14ac:dyDescent="0.35">
      <c r="A2451" t="s">
        <v>4383</v>
      </c>
      <c r="B2451" t="s">
        <v>2949</v>
      </c>
      <c r="C2451">
        <v>291.22000000000003</v>
      </c>
      <c r="D2451" s="1">
        <v>45233.698206018518</v>
      </c>
      <c r="E2451" s="2">
        <f t="shared" si="152"/>
        <v>0.69820601851824904</v>
      </c>
      <c r="F2451" s="3">
        <f t="shared" si="153"/>
        <v>45233</v>
      </c>
      <c r="G2451" t="s">
        <v>46</v>
      </c>
      <c r="H2451" t="s">
        <v>197</v>
      </c>
      <c r="I2451" t="s">
        <v>4121</v>
      </c>
      <c r="J2451" t="s">
        <v>531</v>
      </c>
      <c r="K2451" t="s">
        <v>312</v>
      </c>
      <c r="L2451" t="s">
        <v>36</v>
      </c>
      <c r="M2451">
        <v>41</v>
      </c>
      <c r="N2451" t="s">
        <v>77</v>
      </c>
      <c r="O2451">
        <v>100</v>
      </c>
      <c r="P2451">
        <v>1</v>
      </c>
      <c r="Q2451">
        <v>3677.63</v>
      </c>
      <c r="R2451" s="4">
        <v>45600</v>
      </c>
      <c r="S2451" s="6">
        <v>0.34</v>
      </c>
      <c r="T2451">
        <f t="shared" si="154"/>
        <v>16</v>
      </c>
      <c r="U2451" t="str" cm="1">
        <f t="array" ref="U2451">_xlfn.IFS(M2451&lt;=34,"YOUNG",M2451&lt;=54,"MIDDLE AGE",M2451&gt;=55,"OLD")</f>
        <v>MIDDLE AGE</v>
      </c>
      <c r="V2451" t="str">
        <f t="shared" si="155"/>
        <v>NORMAL</v>
      </c>
    </row>
    <row r="2452" spans="1:22" x14ac:dyDescent="0.35">
      <c r="A2452" t="s">
        <v>4384</v>
      </c>
      <c r="B2452" t="s">
        <v>350</v>
      </c>
      <c r="C2452">
        <v>56.52</v>
      </c>
      <c r="D2452" s="1">
        <v>45264.672905092593</v>
      </c>
      <c r="E2452" s="2">
        <f t="shared" si="152"/>
        <v>0.67290509259328246</v>
      </c>
      <c r="F2452" s="3">
        <f t="shared" si="153"/>
        <v>45264</v>
      </c>
      <c r="G2452" t="s">
        <v>17</v>
      </c>
      <c r="H2452" t="s">
        <v>296</v>
      </c>
      <c r="I2452" t="s">
        <v>1198</v>
      </c>
      <c r="J2452" t="s">
        <v>2588</v>
      </c>
      <c r="K2452" t="s">
        <v>543</v>
      </c>
      <c r="L2452" t="s">
        <v>22</v>
      </c>
      <c r="M2452">
        <v>42</v>
      </c>
      <c r="N2452" t="s">
        <v>77</v>
      </c>
      <c r="O2452">
        <v>152</v>
      </c>
      <c r="P2452">
        <v>1</v>
      </c>
      <c r="Q2452">
        <v>6911.2</v>
      </c>
      <c r="R2452" s="4">
        <v>45600</v>
      </c>
      <c r="S2452" s="6">
        <v>0.33946759259259257</v>
      </c>
      <c r="T2452">
        <f t="shared" si="154"/>
        <v>16</v>
      </c>
      <c r="U2452" t="str" cm="1">
        <f t="array" ref="U2452">_xlfn.IFS(M2452&lt;=34,"YOUNG",M2452&lt;=54,"MIDDLE AGE",M2452&gt;=55,"OLD")</f>
        <v>MIDDLE AGE</v>
      </c>
      <c r="V2452" t="str">
        <f t="shared" si="155"/>
        <v>NORMAL</v>
      </c>
    </row>
    <row r="2453" spans="1:22" x14ac:dyDescent="0.35">
      <c r="A2453" t="s">
        <v>4385</v>
      </c>
      <c r="B2453" t="s">
        <v>85</v>
      </c>
      <c r="C2453">
        <v>195.8</v>
      </c>
      <c r="D2453" s="1">
        <v>44985.734583333331</v>
      </c>
      <c r="E2453" s="2">
        <f t="shared" si="152"/>
        <v>0.73458333333110204</v>
      </c>
      <c r="F2453" s="3">
        <f t="shared" si="153"/>
        <v>44985</v>
      </c>
      <c r="G2453" t="s">
        <v>17</v>
      </c>
      <c r="H2453" t="s">
        <v>40</v>
      </c>
      <c r="I2453" t="s">
        <v>1207</v>
      </c>
      <c r="J2453" t="s">
        <v>1064</v>
      </c>
      <c r="K2453" t="s">
        <v>29</v>
      </c>
      <c r="L2453" t="s">
        <v>36</v>
      </c>
      <c r="M2453">
        <v>39</v>
      </c>
      <c r="N2453" t="s">
        <v>23</v>
      </c>
      <c r="O2453">
        <v>186</v>
      </c>
      <c r="P2453">
        <v>1</v>
      </c>
      <c r="Q2453">
        <v>12027.68</v>
      </c>
      <c r="R2453" s="4">
        <v>45600</v>
      </c>
      <c r="S2453" s="6">
        <v>0.33818287037037037</v>
      </c>
      <c r="T2453">
        <f t="shared" si="154"/>
        <v>17</v>
      </c>
      <c r="U2453" t="str" cm="1">
        <f t="array" ref="U2453">_xlfn.IFS(M2453&lt;=34,"YOUNG",M2453&lt;=54,"MIDDLE AGE",M2453&gt;=55,"OLD")</f>
        <v>MIDDLE AGE</v>
      </c>
      <c r="V2453" t="str">
        <f t="shared" si="155"/>
        <v>NORMAL</v>
      </c>
    </row>
    <row r="2454" spans="1:22" x14ac:dyDescent="0.35">
      <c r="A2454" t="s">
        <v>4386</v>
      </c>
      <c r="B2454" t="s">
        <v>130</v>
      </c>
      <c r="C2454">
        <v>66.760000000000005</v>
      </c>
      <c r="D2454" s="1">
        <v>45040.770439814813</v>
      </c>
      <c r="E2454" s="2">
        <f t="shared" si="152"/>
        <v>0.77043981481256196</v>
      </c>
      <c r="F2454" s="3">
        <f t="shared" si="153"/>
        <v>45040</v>
      </c>
      <c r="G2454" t="s">
        <v>46</v>
      </c>
      <c r="H2454" t="s">
        <v>119</v>
      </c>
      <c r="I2454" t="s">
        <v>1522</v>
      </c>
      <c r="J2454" t="s">
        <v>2620</v>
      </c>
      <c r="K2454" t="s">
        <v>432</v>
      </c>
      <c r="L2454" t="s">
        <v>69</v>
      </c>
      <c r="M2454">
        <v>36</v>
      </c>
      <c r="N2454" t="s">
        <v>23</v>
      </c>
      <c r="O2454">
        <v>44</v>
      </c>
      <c r="P2454">
        <v>1</v>
      </c>
      <c r="Q2454">
        <v>184.72</v>
      </c>
      <c r="R2454" s="4">
        <v>45600</v>
      </c>
      <c r="S2454" s="6">
        <v>0.3409490740740741</v>
      </c>
      <c r="T2454">
        <f t="shared" si="154"/>
        <v>18</v>
      </c>
      <c r="U2454" t="str" cm="1">
        <f t="array" ref="U2454">_xlfn.IFS(M2454&lt;=34,"YOUNG",M2454&lt;=54,"MIDDLE AGE",M2454&gt;=55,"OLD")</f>
        <v>MIDDLE AGE</v>
      </c>
      <c r="V2454" t="str">
        <f t="shared" si="155"/>
        <v>NORMAL</v>
      </c>
    </row>
    <row r="2455" spans="1:22" x14ac:dyDescent="0.35">
      <c r="A2455" t="s">
        <v>4387</v>
      </c>
      <c r="B2455" t="s">
        <v>2464</v>
      </c>
      <c r="C2455">
        <v>190.9</v>
      </c>
      <c r="D2455" s="1">
        <v>45208.678553240738</v>
      </c>
      <c r="E2455" s="2">
        <f t="shared" si="152"/>
        <v>0.67855324073752854</v>
      </c>
      <c r="F2455" s="3">
        <f t="shared" si="153"/>
        <v>45208</v>
      </c>
      <c r="G2455" t="s">
        <v>17</v>
      </c>
      <c r="H2455" t="s">
        <v>392</v>
      </c>
      <c r="I2455" t="s">
        <v>3940</v>
      </c>
      <c r="J2455" t="s">
        <v>837</v>
      </c>
      <c r="K2455" t="s">
        <v>43</v>
      </c>
      <c r="L2455" t="s">
        <v>36</v>
      </c>
      <c r="M2455">
        <v>28</v>
      </c>
      <c r="N2455" t="s">
        <v>37</v>
      </c>
      <c r="O2455">
        <v>40</v>
      </c>
      <c r="P2455">
        <v>1</v>
      </c>
      <c r="Q2455">
        <v>101.25</v>
      </c>
      <c r="R2455" s="4">
        <v>45600</v>
      </c>
      <c r="S2455" s="6">
        <v>0.34059027777777778</v>
      </c>
      <c r="T2455">
        <f t="shared" si="154"/>
        <v>16</v>
      </c>
      <c r="U2455" t="str" cm="1">
        <f t="array" ref="U2455">_xlfn.IFS(M2455&lt;=34,"YOUNG",M2455&lt;=54,"MIDDLE AGE",M2455&gt;=55,"OLD")</f>
        <v>YOUNG</v>
      </c>
      <c r="V2455" t="str">
        <f t="shared" si="155"/>
        <v>NORMAL</v>
      </c>
    </row>
    <row r="2456" spans="1:22" x14ac:dyDescent="0.35">
      <c r="A2456" t="s">
        <v>4388</v>
      </c>
      <c r="B2456" t="s">
        <v>516</v>
      </c>
      <c r="C2456">
        <v>106.99</v>
      </c>
      <c r="D2456" s="1">
        <v>45254.708645833336</v>
      </c>
      <c r="E2456" s="2">
        <f t="shared" si="152"/>
        <v>0.70864583333604969</v>
      </c>
      <c r="F2456" s="3">
        <f t="shared" si="153"/>
        <v>45254</v>
      </c>
      <c r="G2456" t="s">
        <v>17</v>
      </c>
      <c r="H2456" t="s">
        <v>296</v>
      </c>
      <c r="I2456" t="s">
        <v>1355</v>
      </c>
      <c r="J2456" t="s">
        <v>2523</v>
      </c>
      <c r="K2456" t="s">
        <v>303</v>
      </c>
      <c r="L2456" t="s">
        <v>69</v>
      </c>
      <c r="M2456">
        <v>38</v>
      </c>
      <c r="N2456" t="s">
        <v>77</v>
      </c>
      <c r="O2456">
        <v>152</v>
      </c>
      <c r="P2456">
        <v>1</v>
      </c>
      <c r="Q2456">
        <v>5771.4</v>
      </c>
      <c r="R2456" s="4">
        <v>45600</v>
      </c>
      <c r="S2456" s="6">
        <v>0.34077546296296296</v>
      </c>
      <c r="T2456">
        <f t="shared" si="154"/>
        <v>17</v>
      </c>
      <c r="U2456" t="str" cm="1">
        <f t="array" ref="U2456">_xlfn.IFS(M2456&lt;=34,"YOUNG",M2456&lt;=54,"MIDDLE AGE",M2456&gt;=55,"OLD")</f>
        <v>MIDDLE AGE</v>
      </c>
      <c r="V2456" t="str">
        <f t="shared" si="155"/>
        <v>NORMAL</v>
      </c>
    </row>
    <row r="2457" spans="1:22" x14ac:dyDescent="0.35">
      <c r="A2457" t="s">
        <v>4389</v>
      </c>
      <c r="B2457" t="s">
        <v>1739</v>
      </c>
      <c r="C2457">
        <v>655.81</v>
      </c>
      <c r="D2457" s="1">
        <v>45051.703287037039</v>
      </c>
      <c r="E2457" s="2">
        <f t="shared" si="152"/>
        <v>0.70328703703853535</v>
      </c>
      <c r="F2457" s="3">
        <f t="shared" si="153"/>
        <v>45051</v>
      </c>
      <c r="G2457" t="s">
        <v>17</v>
      </c>
      <c r="H2457" t="s">
        <v>296</v>
      </c>
      <c r="I2457" t="s">
        <v>1138</v>
      </c>
      <c r="J2457" t="s">
        <v>2981</v>
      </c>
      <c r="K2457" t="s">
        <v>252</v>
      </c>
      <c r="L2457" t="s">
        <v>22</v>
      </c>
      <c r="M2457">
        <v>55</v>
      </c>
      <c r="N2457" t="s">
        <v>70</v>
      </c>
      <c r="O2457">
        <v>164</v>
      </c>
      <c r="P2457">
        <v>2</v>
      </c>
      <c r="Q2457">
        <v>4539.99</v>
      </c>
      <c r="R2457" s="4">
        <v>45600</v>
      </c>
      <c r="S2457" s="6">
        <v>0.34175925925925926</v>
      </c>
      <c r="T2457">
        <f t="shared" si="154"/>
        <v>16</v>
      </c>
      <c r="U2457" t="str" cm="1">
        <f t="array" ref="U2457">_xlfn.IFS(M2457&lt;=34,"YOUNG",M2457&lt;=54,"MIDDLE AGE",M2457&gt;=55,"OLD")</f>
        <v>OLD</v>
      </c>
      <c r="V2457" t="str">
        <f t="shared" si="155"/>
        <v>HIGH</v>
      </c>
    </row>
    <row r="2458" spans="1:22" x14ac:dyDescent="0.35">
      <c r="A2458" t="s">
        <v>4390</v>
      </c>
      <c r="B2458" t="s">
        <v>1974</v>
      </c>
      <c r="C2458">
        <v>107.1</v>
      </c>
      <c r="D2458" s="1">
        <v>45093.695289351854</v>
      </c>
      <c r="E2458" s="2">
        <f t="shared" si="152"/>
        <v>0.69528935185371665</v>
      </c>
      <c r="F2458" s="3">
        <f t="shared" si="153"/>
        <v>45093</v>
      </c>
      <c r="G2458" t="s">
        <v>46</v>
      </c>
      <c r="H2458" t="s">
        <v>243</v>
      </c>
      <c r="I2458" t="s">
        <v>457</v>
      </c>
      <c r="J2458" t="s">
        <v>673</v>
      </c>
      <c r="K2458" t="s">
        <v>29</v>
      </c>
      <c r="L2458" t="s">
        <v>36</v>
      </c>
      <c r="M2458">
        <v>25</v>
      </c>
      <c r="N2458" t="s">
        <v>37</v>
      </c>
      <c r="O2458">
        <v>175</v>
      </c>
      <c r="P2458">
        <v>1</v>
      </c>
      <c r="Q2458">
        <v>193.8</v>
      </c>
      <c r="R2458" s="4">
        <v>45600</v>
      </c>
      <c r="S2458" s="6">
        <v>0.34135416666666668</v>
      </c>
      <c r="T2458">
        <f t="shared" si="154"/>
        <v>16</v>
      </c>
      <c r="U2458" t="str" cm="1">
        <f t="array" ref="U2458">_xlfn.IFS(M2458&lt;=34,"YOUNG",M2458&lt;=54,"MIDDLE AGE",M2458&gt;=55,"OLD")</f>
        <v>YOUNG</v>
      </c>
      <c r="V2458" t="str">
        <f t="shared" si="155"/>
        <v>NORMAL</v>
      </c>
    </row>
    <row r="2459" spans="1:22" x14ac:dyDescent="0.35">
      <c r="A2459" t="s">
        <v>4391</v>
      </c>
      <c r="B2459" t="s">
        <v>3154</v>
      </c>
      <c r="C2459">
        <v>79.92</v>
      </c>
      <c r="D2459" s="1">
        <v>44963.730682870373</v>
      </c>
      <c r="E2459" s="2">
        <f t="shared" si="152"/>
        <v>0.73068287037312984</v>
      </c>
      <c r="F2459" s="3">
        <f t="shared" si="153"/>
        <v>44963</v>
      </c>
      <c r="G2459" t="s">
        <v>17</v>
      </c>
      <c r="H2459" t="s">
        <v>172</v>
      </c>
      <c r="I2459" t="s">
        <v>2811</v>
      </c>
      <c r="J2459" t="s">
        <v>2553</v>
      </c>
      <c r="K2459" t="s">
        <v>362</v>
      </c>
      <c r="L2459" t="s">
        <v>22</v>
      </c>
      <c r="M2459">
        <v>44</v>
      </c>
      <c r="N2459" t="s">
        <v>77</v>
      </c>
      <c r="O2459">
        <v>274</v>
      </c>
      <c r="P2459">
        <v>2</v>
      </c>
      <c r="Q2459">
        <v>9138.76</v>
      </c>
      <c r="R2459" s="4">
        <v>45600</v>
      </c>
      <c r="S2459" s="6">
        <v>0.33974537037037039</v>
      </c>
      <c r="T2459">
        <f t="shared" si="154"/>
        <v>17</v>
      </c>
      <c r="U2459" t="str" cm="1">
        <f t="array" ref="U2459">_xlfn.IFS(M2459&lt;=34,"YOUNG",M2459&lt;=54,"MIDDLE AGE",M2459&gt;=55,"OLD")</f>
        <v>MIDDLE AGE</v>
      </c>
      <c r="V2459" t="str">
        <f t="shared" si="155"/>
        <v>HIGH</v>
      </c>
    </row>
    <row r="2460" spans="1:22" x14ac:dyDescent="0.35">
      <c r="A2460" t="s">
        <v>4392</v>
      </c>
      <c r="B2460" t="s">
        <v>1915</v>
      </c>
      <c r="C2460">
        <v>430.83</v>
      </c>
      <c r="D2460" s="1">
        <v>45152.673159722224</v>
      </c>
      <c r="E2460" s="2">
        <f t="shared" si="152"/>
        <v>0.67315972222422715</v>
      </c>
      <c r="F2460" s="3">
        <f t="shared" si="153"/>
        <v>45152</v>
      </c>
      <c r="G2460" t="s">
        <v>17</v>
      </c>
      <c r="H2460" t="s">
        <v>140</v>
      </c>
      <c r="I2460" t="s">
        <v>1645</v>
      </c>
      <c r="J2460" t="s">
        <v>1751</v>
      </c>
      <c r="K2460" t="s">
        <v>1281</v>
      </c>
      <c r="L2460" t="s">
        <v>69</v>
      </c>
      <c r="M2460">
        <v>18</v>
      </c>
      <c r="N2460" t="s">
        <v>37</v>
      </c>
      <c r="O2460">
        <v>292</v>
      </c>
      <c r="P2460">
        <v>1</v>
      </c>
      <c r="Q2460">
        <v>941.49</v>
      </c>
      <c r="R2460" s="4">
        <v>45600</v>
      </c>
      <c r="S2460" s="6">
        <v>0.33876157407407409</v>
      </c>
      <c r="T2460">
        <f t="shared" si="154"/>
        <v>16</v>
      </c>
      <c r="U2460" t="str" cm="1">
        <f t="array" ref="U2460">_xlfn.IFS(M2460&lt;=34,"YOUNG",M2460&lt;=54,"MIDDLE AGE",M2460&gt;=55,"OLD")</f>
        <v>YOUNG</v>
      </c>
      <c r="V2460" t="str">
        <f t="shared" si="155"/>
        <v>NORMAL</v>
      </c>
    </row>
    <row r="2461" spans="1:22" x14ac:dyDescent="0.35">
      <c r="A2461" t="s">
        <v>4393</v>
      </c>
      <c r="B2461" t="s">
        <v>2877</v>
      </c>
      <c r="C2461">
        <v>235.34</v>
      </c>
      <c r="D2461" s="1">
        <v>45215.676354166666</v>
      </c>
      <c r="E2461" s="2">
        <f t="shared" si="152"/>
        <v>0.67635416666598758</v>
      </c>
      <c r="F2461" s="3">
        <f t="shared" si="153"/>
        <v>45215</v>
      </c>
      <c r="G2461" t="s">
        <v>17</v>
      </c>
      <c r="H2461" t="s">
        <v>453</v>
      </c>
      <c r="I2461" t="s">
        <v>833</v>
      </c>
      <c r="J2461" t="s">
        <v>335</v>
      </c>
      <c r="K2461" t="s">
        <v>674</v>
      </c>
      <c r="L2461" t="s">
        <v>69</v>
      </c>
      <c r="M2461">
        <v>26</v>
      </c>
      <c r="N2461" t="s">
        <v>37</v>
      </c>
      <c r="O2461">
        <v>68</v>
      </c>
      <c r="P2461">
        <v>1</v>
      </c>
      <c r="Q2461">
        <v>566.83000000000004</v>
      </c>
      <c r="R2461" s="4">
        <v>45600</v>
      </c>
      <c r="S2461" s="6">
        <v>0.34167824074074077</v>
      </c>
      <c r="T2461">
        <f t="shared" si="154"/>
        <v>16</v>
      </c>
      <c r="U2461" t="str" cm="1">
        <f t="array" ref="U2461">_xlfn.IFS(M2461&lt;=34,"YOUNG",M2461&lt;=54,"MIDDLE AGE",M2461&gt;=55,"OLD")</f>
        <v>YOUNG</v>
      </c>
      <c r="V2461" t="str">
        <f t="shared" si="155"/>
        <v>NORMAL</v>
      </c>
    </row>
    <row r="2462" spans="1:22" x14ac:dyDescent="0.35">
      <c r="A2462" t="s">
        <v>4394</v>
      </c>
      <c r="B2462" t="s">
        <v>962</v>
      </c>
      <c r="C2462">
        <v>86.35</v>
      </c>
      <c r="D2462" s="1">
        <v>45173.720601851855</v>
      </c>
      <c r="E2462" s="2">
        <f t="shared" si="152"/>
        <v>0.72060185185546288</v>
      </c>
      <c r="F2462" s="3">
        <f t="shared" si="153"/>
        <v>45173</v>
      </c>
      <c r="G2462" t="s">
        <v>46</v>
      </c>
      <c r="H2462" t="s">
        <v>65</v>
      </c>
      <c r="I2462" t="s">
        <v>1269</v>
      </c>
      <c r="J2462" t="s">
        <v>518</v>
      </c>
      <c r="K2462" t="s">
        <v>607</v>
      </c>
      <c r="L2462" t="s">
        <v>69</v>
      </c>
      <c r="M2462">
        <v>52</v>
      </c>
      <c r="N2462" t="s">
        <v>70</v>
      </c>
      <c r="O2462">
        <v>24</v>
      </c>
      <c r="P2462">
        <v>1</v>
      </c>
      <c r="Q2462">
        <v>1550.48</v>
      </c>
      <c r="R2462" s="4">
        <v>45600</v>
      </c>
      <c r="S2462" s="6">
        <v>0.34039351851851851</v>
      </c>
      <c r="T2462">
        <f t="shared" si="154"/>
        <v>17</v>
      </c>
      <c r="U2462" t="str" cm="1">
        <f t="array" ref="U2462">_xlfn.IFS(M2462&lt;=34,"YOUNG",M2462&lt;=54,"MIDDLE AGE",M2462&gt;=55,"OLD")</f>
        <v>MIDDLE AGE</v>
      </c>
      <c r="V2462" t="str">
        <f t="shared" si="155"/>
        <v>NORMAL</v>
      </c>
    </row>
    <row r="2463" spans="1:22" x14ac:dyDescent="0.35">
      <c r="A2463" t="s">
        <v>4395</v>
      </c>
      <c r="B2463" t="s">
        <v>617</v>
      </c>
      <c r="C2463">
        <v>337.99</v>
      </c>
      <c r="D2463" s="1">
        <v>44987.695798611108</v>
      </c>
      <c r="E2463" s="2">
        <f t="shared" si="152"/>
        <v>0.69579861110833008</v>
      </c>
      <c r="F2463" s="3">
        <f t="shared" si="153"/>
        <v>44987</v>
      </c>
      <c r="G2463" t="s">
        <v>17</v>
      </c>
      <c r="H2463" t="s">
        <v>521</v>
      </c>
      <c r="I2463" t="s">
        <v>1989</v>
      </c>
      <c r="J2463" t="s">
        <v>271</v>
      </c>
      <c r="K2463" t="s">
        <v>853</v>
      </c>
      <c r="L2463" t="s">
        <v>22</v>
      </c>
      <c r="M2463">
        <v>70</v>
      </c>
      <c r="N2463" t="s">
        <v>23</v>
      </c>
      <c r="O2463">
        <v>115</v>
      </c>
      <c r="P2463">
        <v>1</v>
      </c>
      <c r="Q2463">
        <v>9038.6299999999992</v>
      </c>
      <c r="R2463" s="4">
        <v>45600</v>
      </c>
      <c r="S2463" s="6">
        <v>0.33791666666666664</v>
      </c>
      <c r="T2463">
        <f t="shared" si="154"/>
        <v>16</v>
      </c>
      <c r="U2463" t="str" cm="1">
        <f t="array" ref="U2463">_xlfn.IFS(M2463&lt;=34,"YOUNG",M2463&lt;=54,"MIDDLE AGE",M2463&gt;=55,"OLD")</f>
        <v>OLD</v>
      </c>
      <c r="V2463" t="str">
        <f t="shared" si="155"/>
        <v>NORMAL</v>
      </c>
    </row>
    <row r="2464" spans="1:22" x14ac:dyDescent="0.35">
      <c r="A2464" t="s">
        <v>4396</v>
      </c>
      <c r="B2464" t="s">
        <v>412</v>
      </c>
      <c r="C2464">
        <v>577.13</v>
      </c>
      <c r="D2464" s="1">
        <v>45196.70140046296</v>
      </c>
      <c r="E2464" s="2">
        <f t="shared" si="152"/>
        <v>0.70140046296000946</v>
      </c>
      <c r="F2464" s="3">
        <f t="shared" si="153"/>
        <v>45196</v>
      </c>
      <c r="G2464" t="s">
        <v>46</v>
      </c>
      <c r="H2464" t="s">
        <v>223</v>
      </c>
      <c r="I2464" t="s">
        <v>2272</v>
      </c>
      <c r="J2464" t="s">
        <v>849</v>
      </c>
      <c r="K2464" t="s">
        <v>149</v>
      </c>
      <c r="L2464" t="s">
        <v>69</v>
      </c>
      <c r="M2464">
        <v>40</v>
      </c>
      <c r="N2464" t="s">
        <v>77</v>
      </c>
      <c r="O2464">
        <v>66</v>
      </c>
      <c r="P2464">
        <v>1</v>
      </c>
      <c r="Q2464">
        <v>6640.51</v>
      </c>
      <c r="R2464" s="4">
        <v>45600</v>
      </c>
      <c r="S2464" s="6">
        <v>0.33937499999999998</v>
      </c>
      <c r="T2464">
        <f t="shared" si="154"/>
        <v>16</v>
      </c>
      <c r="U2464" t="str" cm="1">
        <f t="array" ref="U2464">_xlfn.IFS(M2464&lt;=34,"YOUNG",M2464&lt;=54,"MIDDLE AGE",M2464&gt;=55,"OLD")</f>
        <v>MIDDLE AGE</v>
      </c>
      <c r="V2464" t="str">
        <f t="shared" si="155"/>
        <v>NORMAL</v>
      </c>
    </row>
    <row r="2465" spans="1:22" x14ac:dyDescent="0.35">
      <c r="A2465" t="s">
        <v>4397</v>
      </c>
      <c r="B2465" t="s">
        <v>1905</v>
      </c>
      <c r="C2465">
        <v>213.33</v>
      </c>
      <c r="D2465" s="1">
        <v>45166.695798611108</v>
      </c>
      <c r="E2465" s="2">
        <f t="shared" si="152"/>
        <v>0.69579861110833008</v>
      </c>
      <c r="F2465" s="3">
        <f t="shared" si="153"/>
        <v>45166</v>
      </c>
      <c r="G2465" t="s">
        <v>17</v>
      </c>
      <c r="H2465" t="s">
        <v>296</v>
      </c>
      <c r="I2465" t="s">
        <v>2445</v>
      </c>
      <c r="J2465" t="s">
        <v>3111</v>
      </c>
      <c r="K2465" t="s">
        <v>769</v>
      </c>
      <c r="L2465" t="s">
        <v>22</v>
      </c>
      <c r="M2465">
        <v>52</v>
      </c>
      <c r="N2465" t="s">
        <v>70</v>
      </c>
      <c r="O2465">
        <v>161</v>
      </c>
      <c r="P2465">
        <v>1</v>
      </c>
      <c r="Q2465">
        <v>5400.44</v>
      </c>
      <c r="R2465" s="4">
        <v>45600</v>
      </c>
      <c r="S2465" s="6">
        <v>0.34184027777777776</v>
      </c>
      <c r="T2465">
        <f t="shared" si="154"/>
        <v>16</v>
      </c>
      <c r="U2465" t="str" cm="1">
        <f t="array" ref="U2465">_xlfn.IFS(M2465&lt;=34,"YOUNG",M2465&lt;=54,"MIDDLE AGE",M2465&gt;=55,"OLD")</f>
        <v>MIDDLE AGE</v>
      </c>
      <c r="V2465" t="str">
        <f t="shared" si="155"/>
        <v>NORMAL</v>
      </c>
    </row>
    <row r="2466" spans="1:22" x14ac:dyDescent="0.35">
      <c r="A2466" t="s">
        <v>4398</v>
      </c>
      <c r="B2466" t="s">
        <v>687</v>
      </c>
      <c r="C2466">
        <v>54.52</v>
      </c>
      <c r="D2466" s="1">
        <v>44987.730775462966</v>
      </c>
      <c r="E2466" s="2">
        <f t="shared" si="152"/>
        <v>0.73077546296553919</v>
      </c>
      <c r="F2466" s="3">
        <f t="shared" si="153"/>
        <v>44987</v>
      </c>
      <c r="G2466" t="s">
        <v>17</v>
      </c>
      <c r="H2466" t="s">
        <v>65</v>
      </c>
      <c r="I2466" t="s">
        <v>877</v>
      </c>
      <c r="J2466" t="s">
        <v>2630</v>
      </c>
      <c r="K2466" t="s">
        <v>478</v>
      </c>
      <c r="L2466" t="s">
        <v>69</v>
      </c>
      <c r="M2466">
        <v>32</v>
      </c>
      <c r="N2466" t="s">
        <v>23</v>
      </c>
      <c r="O2466">
        <v>164</v>
      </c>
      <c r="P2466">
        <v>1</v>
      </c>
      <c r="Q2466">
        <v>6980.98</v>
      </c>
      <c r="R2466" s="4">
        <v>45600</v>
      </c>
      <c r="S2466" s="6">
        <v>0.3396527777777778</v>
      </c>
      <c r="T2466">
        <f t="shared" si="154"/>
        <v>17</v>
      </c>
      <c r="U2466" t="str" cm="1">
        <f t="array" ref="U2466">_xlfn.IFS(M2466&lt;=34,"YOUNG",M2466&lt;=54,"MIDDLE AGE",M2466&gt;=55,"OLD")</f>
        <v>YOUNG</v>
      </c>
      <c r="V2466" t="str">
        <f t="shared" si="155"/>
        <v>NORMAL</v>
      </c>
    </row>
    <row r="2467" spans="1:22" x14ac:dyDescent="0.35">
      <c r="A2467" t="s">
        <v>4399</v>
      </c>
      <c r="B2467" t="s">
        <v>1905</v>
      </c>
      <c r="C2467">
        <v>100.13</v>
      </c>
      <c r="D2467" s="1">
        <v>45271.6950462963</v>
      </c>
      <c r="E2467" s="2">
        <f t="shared" si="152"/>
        <v>0.69504629629955161</v>
      </c>
      <c r="F2467" s="3">
        <f t="shared" si="153"/>
        <v>45271</v>
      </c>
      <c r="G2467" t="s">
        <v>17</v>
      </c>
      <c r="H2467" t="s">
        <v>114</v>
      </c>
      <c r="I2467" t="s">
        <v>1680</v>
      </c>
      <c r="J2467" t="s">
        <v>3364</v>
      </c>
      <c r="K2467" t="s">
        <v>1524</v>
      </c>
      <c r="L2467" t="s">
        <v>69</v>
      </c>
      <c r="M2467">
        <v>57</v>
      </c>
      <c r="N2467" t="s">
        <v>23</v>
      </c>
      <c r="O2467">
        <v>168</v>
      </c>
      <c r="P2467">
        <v>1</v>
      </c>
      <c r="Q2467">
        <v>5209.16</v>
      </c>
      <c r="R2467" s="4">
        <v>45600</v>
      </c>
      <c r="S2467" s="6">
        <v>0.34106481481481482</v>
      </c>
      <c r="T2467">
        <f t="shared" si="154"/>
        <v>16</v>
      </c>
      <c r="U2467" t="str" cm="1">
        <f t="array" ref="U2467">_xlfn.IFS(M2467&lt;=34,"YOUNG",M2467&lt;=54,"MIDDLE AGE",M2467&gt;=55,"OLD")</f>
        <v>OLD</v>
      </c>
      <c r="V2467" t="str">
        <f t="shared" si="155"/>
        <v>NORMAL</v>
      </c>
    </row>
    <row r="2468" spans="1:22" x14ac:dyDescent="0.35">
      <c r="A2468" t="s">
        <v>4400</v>
      </c>
      <c r="B2468" t="s">
        <v>1422</v>
      </c>
      <c r="C2468">
        <v>883.92</v>
      </c>
      <c r="D2468" s="1">
        <v>45233.672222222223</v>
      </c>
      <c r="E2468" s="2">
        <f t="shared" si="152"/>
        <v>0.67222222222335404</v>
      </c>
      <c r="F2468" s="3">
        <f t="shared" si="153"/>
        <v>45233</v>
      </c>
      <c r="G2468" t="s">
        <v>46</v>
      </c>
      <c r="H2468" t="s">
        <v>255</v>
      </c>
      <c r="I2468" t="s">
        <v>1967</v>
      </c>
      <c r="J2468" t="s">
        <v>55</v>
      </c>
      <c r="K2468" t="s">
        <v>598</v>
      </c>
      <c r="L2468" t="s">
        <v>36</v>
      </c>
      <c r="M2468">
        <v>53</v>
      </c>
      <c r="N2468" t="s">
        <v>70</v>
      </c>
      <c r="O2468">
        <v>129</v>
      </c>
      <c r="P2468">
        <v>1</v>
      </c>
      <c r="Q2468">
        <v>2342.64</v>
      </c>
      <c r="R2468" s="4">
        <v>45600</v>
      </c>
      <c r="S2468" s="6">
        <v>0.34106481481481482</v>
      </c>
      <c r="T2468">
        <f t="shared" si="154"/>
        <v>16</v>
      </c>
      <c r="U2468" t="str" cm="1">
        <f t="array" ref="U2468">_xlfn.IFS(M2468&lt;=34,"YOUNG",M2468&lt;=54,"MIDDLE AGE",M2468&gt;=55,"OLD")</f>
        <v>MIDDLE AGE</v>
      </c>
      <c r="V2468" t="str">
        <f t="shared" si="155"/>
        <v>NORMAL</v>
      </c>
    </row>
    <row r="2469" spans="1:22" x14ac:dyDescent="0.35">
      <c r="A2469" t="s">
        <v>4401</v>
      </c>
      <c r="B2469" t="s">
        <v>2372</v>
      </c>
      <c r="C2469">
        <v>69.8</v>
      </c>
      <c r="D2469" s="1">
        <v>45048.667407407411</v>
      </c>
      <c r="E2469" s="2">
        <f t="shared" si="152"/>
        <v>0.66740740741079208</v>
      </c>
      <c r="F2469" s="3">
        <f t="shared" si="153"/>
        <v>45048</v>
      </c>
      <c r="G2469" t="s">
        <v>46</v>
      </c>
      <c r="H2469" t="s">
        <v>203</v>
      </c>
      <c r="I2469" t="s">
        <v>3128</v>
      </c>
      <c r="J2469" t="s">
        <v>352</v>
      </c>
      <c r="K2469" t="s">
        <v>432</v>
      </c>
      <c r="L2469" t="s">
        <v>69</v>
      </c>
      <c r="M2469">
        <v>27</v>
      </c>
      <c r="N2469" t="s">
        <v>37</v>
      </c>
      <c r="O2469">
        <v>138</v>
      </c>
      <c r="P2469">
        <v>1</v>
      </c>
      <c r="Q2469">
        <v>136.77000000000001</v>
      </c>
      <c r="R2469" s="4">
        <v>45600</v>
      </c>
      <c r="S2469" s="6">
        <v>0.33959490740740739</v>
      </c>
      <c r="T2469">
        <f t="shared" si="154"/>
        <v>16</v>
      </c>
      <c r="U2469" t="str" cm="1">
        <f t="array" ref="U2469">_xlfn.IFS(M2469&lt;=34,"YOUNG",M2469&lt;=54,"MIDDLE AGE",M2469&gt;=55,"OLD")</f>
        <v>YOUNG</v>
      </c>
      <c r="V2469" t="str">
        <f t="shared" si="155"/>
        <v>NORMAL</v>
      </c>
    </row>
    <row r="2470" spans="1:22" x14ac:dyDescent="0.35">
      <c r="A2470" t="s">
        <v>4402</v>
      </c>
      <c r="B2470" t="s">
        <v>604</v>
      </c>
      <c r="C2470">
        <v>768.94</v>
      </c>
      <c r="D2470" s="1">
        <v>45210.733518518522</v>
      </c>
      <c r="E2470" s="2">
        <f t="shared" si="152"/>
        <v>0.73351851852203254</v>
      </c>
      <c r="F2470" s="3">
        <f t="shared" si="153"/>
        <v>45210</v>
      </c>
      <c r="G2470" t="s">
        <v>17</v>
      </c>
      <c r="H2470" t="s">
        <v>65</v>
      </c>
      <c r="I2470" t="s">
        <v>738</v>
      </c>
      <c r="J2470" t="s">
        <v>1291</v>
      </c>
      <c r="K2470" t="s">
        <v>267</v>
      </c>
      <c r="L2470" t="s">
        <v>69</v>
      </c>
      <c r="M2470">
        <v>64</v>
      </c>
      <c r="N2470" t="s">
        <v>70</v>
      </c>
      <c r="O2470">
        <v>53</v>
      </c>
      <c r="P2470">
        <v>1</v>
      </c>
      <c r="Q2470">
        <v>6860.18</v>
      </c>
      <c r="R2470" s="4">
        <v>45600</v>
      </c>
      <c r="S2470" s="6">
        <v>0.33862268518518518</v>
      </c>
      <c r="T2470">
        <f t="shared" si="154"/>
        <v>17</v>
      </c>
      <c r="U2470" t="str" cm="1">
        <f t="array" ref="U2470">_xlfn.IFS(M2470&lt;=34,"YOUNG",M2470&lt;=54,"MIDDLE AGE",M2470&gt;=55,"OLD")</f>
        <v>OLD</v>
      </c>
      <c r="V2470" t="str">
        <f t="shared" si="155"/>
        <v>NORMAL</v>
      </c>
    </row>
    <row r="2471" spans="1:22" x14ac:dyDescent="0.35">
      <c r="A2471" t="s">
        <v>4403</v>
      </c>
      <c r="B2471" t="s">
        <v>1631</v>
      </c>
      <c r="C2471">
        <v>179.62</v>
      </c>
      <c r="D2471" s="1">
        <v>45245.66710648148</v>
      </c>
      <c r="E2471" s="2">
        <f t="shared" si="152"/>
        <v>0.66710648148000473</v>
      </c>
      <c r="F2471" s="3">
        <f t="shared" si="153"/>
        <v>45245</v>
      </c>
      <c r="G2471" t="s">
        <v>17</v>
      </c>
      <c r="H2471" t="s">
        <v>255</v>
      </c>
      <c r="I2471" t="s">
        <v>1314</v>
      </c>
      <c r="J2471" t="s">
        <v>783</v>
      </c>
      <c r="K2471" t="s">
        <v>984</v>
      </c>
      <c r="L2471" t="s">
        <v>36</v>
      </c>
      <c r="M2471">
        <v>24</v>
      </c>
      <c r="N2471" t="s">
        <v>37</v>
      </c>
      <c r="O2471">
        <v>119</v>
      </c>
      <c r="P2471">
        <v>1</v>
      </c>
      <c r="Q2471">
        <v>409.26</v>
      </c>
      <c r="R2471" s="4">
        <v>45600</v>
      </c>
      <c r="S2471" s="6">
        <v>0.34145833333333331</v>
      </c>
      <c r="T2471">
        <f t="shared" si="154"/>
        <v>16</v>
      </c>
      <c r="U2471" t="str" cm="1">
        <f t="array" ref="U2471">_xlfn.IFS(M2471&lt;=34,"YOUNG",M2471&lt;=54,"MIDDLE AGE",M2471&gt;=55,"OLD")</f>
        <v>YOUNG</v>
      </c>
      <c r="V2471" t="str">
        <f t="shared" si="155"/>
        <v>NORMAL</v>
      </c>
    </row>
    <row r="2472" spans="1:22" x14ac:dyDescent="0.35">
      <c r="A2472" t="s">
        <v>4404</v>
      </c>
      <c r="B2472" t="s">
        <v>16</v>
      </c>
      <c r="C2472">
        <v>425.91</v>
      </c>
      <c r="D2472" s="1">
        <v>45009.69059027778</v>
      </c>
      <c r="E2472" s="2">
        <f t="shared" si="152"/>
        <v>0.69059027777984738</v>
      </c>
      <c r="F2472" s="3">
        <f t="shared" si="153"/>
        <v>45009</v>
      </c>
      <c r="G2472" t="s">
        <v>17</v>
      </c>
      <c r="H2472" t="s">
        <v>392</v>
      </c>
      <c r="I2472" t="s">
        <v>2918</v>
      </c>
      <c r="J2472" t="s">
        <v>793</v>
      </c>
      <c r="K2472" t="s">
        <v>858</v>
      </c>
      <c r="L2472" t="s">
        <v>22</v>
      </c>
      <c r="M2472">
        <v>23</v>
      </c>
      <c r="N2472" t="s">
        <v>37</v>
      </c>
      <c r="O2472">
        <v>47</v>
      </c>
      <c r="P2472">
        <v>1</v>
      </c>
      <c r="Q2472">
        <v>383.58</v>
      </c>
      <c r="R2472" s="4">
        <v>45600</v>
      </c>
      <c r="S2472" s="6">
        <v>0.33835648148148151</v>
      </c>
      <c r="T2472">
        <f t="shared" si="154"/>
        <v>16</v>
      </c>
      <c r="U2472" t="str" cm="1">
        <f t="array" ref="U2472">_xlfn.IFS(M2472&lt;=34,"YOUNG",M2472&lt;=54,"MIDDLE AGE",M2472&gt;=55,"OLD")</f>
        <v>YOUNG</v>
      </c>
      <c r="V2472" t="str">
        <f t="shared" si="155"/>
        <v>NORMAL</v>
      </c>
    </row>
    <row r="2473" spans="1:22" x14ac:dyDescent="0.35">
      <c r="A2473" t="s">
        <v>4405</v>
      </c>
      <c r="B2473" t="s">
        <v>429</v>
      </c>
      <c r="C2473">
        <v>263.33999999999997</v>
      </c>
      <c r="D2473" s="1">
        <v>44993.738668981481</v>
      </c>
      <c r="E2473" s="2">
        <f t="shared" si="152"/>
        <v>0.73866898148116888</v>
      </c>
      <c r="F2473" s="3">
        <f t="shared" si="153"/>
        <v>44993</v>
      </c>
      <c r="G2473" t="s">
        <v>17</v>
      </c>
      <c r="H2473" t="s">
        <v>114</v>
      </c>
      <c r="I2473" t="s">
        <v>3385</v>
      </c>
      <c r="J2473" t="s">
        <v>3456</v>
      </c>
      <c r="K2473" t="s">
        <v>820</v>
      </c>
      <c r="L2473" t="s">
        <v>22</v>
      </c>
      <c r="M2473">
        <v>64</v>
      </c>
      <c r="N2473" t="s">
        <v>70</v>
      </c>
      <c r="O2473">
        <v>55</v>
      </c>
      <c r="P2473">
        <v>1</v>
      </c>
      <c r="Q2473">
        <v>2411.02</v>
      </c>
      <c r="R2473" s="4">
        <v>45600</v>
      </c>
      <c r="S2473" s="6">
        <v>0.34115740740740741</v>
      </c>
      <c r="T2473">
        <f t="shared" si="154"/>
        <v>17</v>
      </c>
      <c r="U2473" t="str" cm="1">
        <f t="array" ref="U2473">_xlfn.IFS(M2473&lt;=34,"YOUNG",M2473&lt;=54,"MIDDLE AGE",M2473&gt;=55,"OLD")</f>
        <v>OLD</v>
      </c>
      <c r="V2473" t="str">
        <f t="shared" si="155"/>
        <v>NORMAL</v>
      </c>
    </row>
    <row r="2474" spans="1:22" x14ac:dyDescent="0.35">
      <c r="A2474" t="s">
        <v>4406</v>
      </c>
      <c r="B2474" t="s">
        <v>716</v>
      </c>
      <c r="C2474">
        <v>113.03</v>
      </c>
      <c r="D2474" s="1">
        <v>45000.745243055557</v>
      </c>
      <c r="E2474" s="2">
        <f t="shared" si="152"/>
        <v>0.74524305555678438</v>
      </c>
      <c r="F2474" s="3">
        <f t="shared" si="153"/>
        <v>45000</v>
      </c>
      <c r="G2474" t="s">
        <v>46</v>
      </c>
      <c r="H2474" t="s">
        <v>255</v>
      </c>
      <c r="I2474" t="s">
        <v>3045</v>
      </c>
      <c r="J2474" t="s">
        <v>2575</v>
      </c>
      <c r="K2474" t="s">
        <v>353</v>
      </c>
      <c r="L2474" t="s">
        <v>36</v>
      </c>
      <c r="M2474">
        <v>36</v>
      </c>
      <c r="N2474" t="s">
        <v>23</v>
      </c>
      <c r="O2474">
        <v>12</v>
      </c>
      <c r="P2474">
        <v>1</v>
      </c>
      <c r="Q2474">
        <v>6756.13</v>
      </c>
      <c r="R2474" s="4">
        <v>45600</v>
      </c>
      <c r="S2474" s="6">
        <v>0.33944444444444444</v>
      </c>
      <c r="T2474">
        <f t="shared" si="154"/>
        <v>17</v>
      </c>
      <c r="U2474" t="str" cm="1">
        <f t="array" ref="U2474">_xlfn.IFS(M2474&lt;=34,"YOUNG",M2474&lt;=54,"MIDDLE AGE",M2474&gt;=55,"OLD")</f>
        <v>MIDDLE AGE</v>
      </c>
      <c r="V2474" t="str">
        <f t="shared" si="155"/>
        <v>NORMAL</v>
      </c>
    </row>
    <row r="2475" spans="1:22" x14ac:dyDescent="0.35">
      <c r="A2475" t="s">
        <v>4407</v>
      </c>
      <c r="B2475" t="s">
        <v>1561</v>
      </c>
      <c r="C2475">
        <v>11.02</v>
      </c>
      <c r="D2475" s="1">
        <v>45138.742627314816</v>
      </c>
      <c r="E2475" s="2">
        <f t="shared" si="152"/>
        <v>0.74262731481576338</v>
      </c>
      <c r="F2475" s="3">
        <f t="shared" si="153"/>
        <v>45138</v>
      </c>
      <c r="G2475" t="s">
        <v>17</v>
      </c>
      <c r="H2475" t="s">
        <v>119</v>
      </c>
      <c r="I2475" t="s">
        <v>743</v>
      </c>
      <c r="J2475" t="s">
        <v>261</v>
      </c>
      <c r="K2475" t="s">
        <v>272</v>
      </c>
      <c r="L2475" t="s">
        <v>36</v>
      </c>
      <c r="M2475">
        <v>42</v>
      </c>
      <c r="N2475" t="s">
        <v>23</v>
      </c>
      <c r="O2475">
        <v>42</v>
      </c>
      <c r="P2475">
        <v>1</v>
      </c>
      <c r="Q2475">
        <v>7879.66</v>
      </c>
      <c r="R2475" s="4">
        <v>45600</v>
      </c>
      <c r="S2475" s="6">
        <v>0.3384490740740741</v>
      </c>
      <c r="T2475">
        <f t="shared" si="154"/>
        <v>17</v>
      </c>
      <c r="U2475" t="str" cm="1">
        <f t="array" ref="U2475">_xlfn.IFS(M2475&lt;=34,"YOUNG",M2475&lt;=54,"MIDDLE AGE",M2475&gt;=55,"OLD")</f>
        <v>MIDDLE AGE</v>
      </c>
      <c r="V2475" t="str">
        <f t="shared" si="155"/>
        <v>NORMAL</v>
      </c>
    </row>
    <row r="2476" spans="1:22" x14ac:dyDescent="0.35">
      <c r="A2476" t="s">
        <v>4408</v>
      </c>
      <c r="B2476" t="s">
        <v>2376</v>
      </c>
      <c r="C2476">
        <v>865.17</v>
      </c>
      <c r="D2476" s="1">
        <v>45267.717546296299</v>
      </c>
      <c r="E2476" s="2">
        <f t="shared" si="152"/>
        <v>0.7175462962986785</v>
      </c>
      <c r="F2476" s="3">
        <f t="shared" si="153"/>
        <v>45267</v>
      </c>
      <c r="G2476" t="s">
        <v>17</v>
      </c>
      <c r="H2476" t="s">
        <v>26</v>
      </c>
      <c r="I2476" t="s">
        <v>3203</v>
      </c>
      <c r="J2476" t="s">
        <v>615</v>
      </c>
      <c r="K2476" t="s">
        <v>35</v>
      </c>
      <c r="L2476" t="s">
        <v>69</v>
      </c>
      <c r="M2476">
        <v>24</v>
      </c>
      <c r="N2476" t="s">
        <v>37</v>
      </c>
      <c r="O2476">
        <v>161</v>
      </c>
      <c r="P2476">
        <v>1</v>
      </c>
      <c r="Q2476">
        <v>9297.5</v>
      </c>
      <c r="R2476" s="4">
        <v>45600</v>
      </c>
      <c r="S2476" s="6">
        <v>0.34042824074074074</v>
      </c>
      <c r="T2476">
        <f t="shared" si="154"/>
        <v>17</v>
      </c>
      <c r="U2476" t="str" cm="1">
        <f t="array" ref="U2476">_xlfn.IFS(M2476&lt;=34,"YOUNG",M2476&lt;=54,"MIDDLE AGE",M2476&gt;=55,"OLD")</f>
        <v>YOUNG</v>
      </c>
      <c r="V2476" t="str">
        <f t="shared" si="155"/>
        <v>NORMAL</v>
      </c>
    </row>
    <row r="2477" spans="1:22" x14ac:dyDescent="0.35">
      <c r="A2477" t="s">
        <v>4409</v>
      </c>
      <c r="B2477" t="s">
        <v>1984</v>
      </c>
      <c r="C2477">
        <v>152</v>
      </c>
      <c r="D2477" s="1">
        <v>45278.757916666669</v>
      </c>
      <c r="E2477" s="2">
        <f t="shared" si="152"/>
        <v>0.757916666669189</v>
      </c>
      <c r="F2477" s="3">
        <f t="shared" si="153"/>
        <v>45278</v>
      </c>
      <c r="G2477" t="s">
        <v>17</v>
      </c>
      <c r="H2477" t="s">
        <v>86</v>
      </c>
      <c r="I2477" t="s">
        <v>1222</v>
      </c>
      <c r="J2477" t="s">
        <v>2868</v>
      </c>
      <c r="K2477" t="s">
        <v>406</v>
      </c>
      <c r="L2477" t="s">
        <v>22</v>
      </c>
      <c r="M2477">
        <v>51</v>
      </c>
      <c r="N2477" t="s">
        <v>77</v>
      </c>
      <c r="O2477">
        <v>63</v>
      </c>
      <c r="P2477">
        <v>1</v>
      </c>
      <c r="Q2477">
        <v>7531.43</v>
      </c>
      <c r="R2477" s="4">
        <v>45600</v>
      </c>
      <c r="S2477" s="6">
        <v>0.33848379629629627</v>
      </c>
      <c r="T2477">
        <f t="shared" si="154"/>
        <v>18</v>
      </c>
      <c r="U2477" t="str" cm="1">
        <f t="array" ref="U2477">_xlfn.IFS(M2477&lt;=34,"YOUNG",M2477&lt;=54,"MIDDLE AGE",M2477&gt;=55,"OLD")</f>
        <v>MIDDLE AGE</v>
      </c>
      <c r="V2477" t="str">
        <f t="shared" si="155"/>
        <v>NORMAL</v>
      </c>
    </row>
    <row r="2478" spans="1:22" x14ac:dyDescent="0.35">
      <c r="A2478" t="s">
        <v>4410</v>
      </c>
      <c r="B2478" t="s">
        <v>1984</v>
      </c>
      <c r="C2478">
        <v>270.39</v>
      </c>
      <c r="D2478" s="1">
        <v>45089.729780092595</v>
      </c>
      <c r="E2478" s="2">
        <f t="shared" si="152"/>
        <v>0.72978009259531973</v>
      </c>
      <c r="F2478" s="3">
        <f t="shared" si="153"/>
        <v>45089</v>
      </c>
      <c r="G2478" t="s">
        <v>17</v>
      </c>
      <c r="H2478" t="s">
        <v>392</v>
      </c>
      <c r="I2478" t="s">
        <v>939</v>
      </c>
      <c r="J2478" t="s">
        <v>518</v>
      </c>
      <c r="K2478" t="s">
        <v>598</v>
      </c>
      <c r="L2478" t="s">
        <v>22</v>
      </c>
      <c r="M2478">
        <v>25</v>
      </c>
      <c r="N2478" t="s">
        <v>37</v>
      </c>
      <c r="O2478">
        <v>104</v>
      </c>
      <c r="P2478">
        <v>1</v>
      </c>
      <c r="Q2478">
        <v>899.15</v>
      </c>
      <c r="R2478" s="4">
        <v>45600</v>
      </c>
      <c r="S2478" s="6">
        <v>0.33864583333333331</v>
      </c>
      <c r="T2478">
        <f t="shared" si="154"/>
        <v>17</v>
      </c>
      <c r="U2478" t="str" cm="1">
        <f t="array" ref="U2478">_xlfn.IFS(M2478&lt;=34,"YOUNG",M2478&lt;=54,"MIDDLE AGE",M2478&gt;=55,"OLD")</f>
        <v>YOUNG</v>
      </c>
      <c r="V2478" t="str">
        <f t="shared" si="155"/>
        <v>NORMAL</v>
      </c>
    </row>
    <row r="2479" spans="1:22" x14ac:dyDescent="0.35">
      <c r="A2479" t="s">
        <v>4411</v>
      </c>
      <c r="B2479" t="s">
        <v>3136</v>
      </c>
      <c r="C2479">
        <v>246.41</v>
      </c>
      <c r="D2479" s="1">
        <v>45072.715740740743</v>
      </c>
      <c r="E2479" s="2">
        <f t="shared" si="152"/>
        <v>0.71574074074305827</v>
      </c>
      <c r="F2479" s="3">
        <f t="shared" si="153"/>
        <v>45072</v>
      </c>
      <c r="G2479" t="s">
        <v>17</v>
      </c>
      <c r="H2479" t="s">
        <v>73</v>
      </c>
      <c r="I2479" t="s">
        <v>1584</v>
      </c>
      <c r="J2479" t="s">
        <v>1551</v>
      </c>
      <c r="K2479" t="s">
        <v>358</v>
      </c>
      <c r="L2479" t="s">
        <v>22</v>
      </c>
      <c r="M2479">
        <v>54</v>
      </c>
      <c r="N2479" t="s">
        <v>70</v>
      </c>
      <c r="O2479">
        <v>23</v>
      </c>
      <c r="P2479">
        <v>1</v>
      </c>
      <c r="Q2479">
        <v>1431.6</v>
      </c>
      <c r="R2479" s="4">
        <v>45600</v>
      </c>
      <c r="S2479" s="6">
        <v>0.34180555555555553</v>
      </c>
      <c r="T2479">
        <f t="shared" si="154"/>
        <v>17</v>
      </c>
      <c r="U2479" t="str" cm="1">
        <f t="array" ref="U2479">_xlfn.IFS(M2479&lt;=34,"YOUNG",M2479&lt;=54,"MIDDLE AGE",M2479&gt;=55,"OLD")</f>
        <v>MIDDLE AGE</v>
      </c>
      <c r="V2479" t="str">
        <f t="shared" si="155"/>
        <v>NORMAL</v>
      </c>
    </row>
    <row r="2480" spans="1:22" x14ac:dyDescent="0.35">
      <c r="A2480" t="s">
        <v>4412</v>
      </c>
      <c r="B2480" t="s">
        <v>2003</v>
      </c>
      <c r="C2480">
        <v>336.84</v>
      </c>
      <c r="D2480" s="1">
        <v>44992.72552083333</v>
      </c>
      <c r="E2480" s="2">
        <f t="shared" si="152"/>
        <v>0.72552083332993789</v>
      </c>
      <c r="F2480" s="3">
        <f t="shared" si="153"/>
        <v>44992</v>
      </c>
      <c r="G2480" t="s">
        <v>17</v>
      </c>
      <c r="H2480" t="s">
        <v>453</v>
      </c>
      <c r="I2480" t="s">
        <v>1897</v>
      </c>
      <c r="J2480" t="s">
        <v>3210</v>
      </c>
      <c r="K2480" t="s">
        <v>89</v>
      </c>
      <c r="L2480" t="s">
        <v>22</v>
      </c>
      <c r="M2480">
        <v>22</v>
      </c>
      <c r="N2480" t="s">
        <v>37</v>
      </c>
      <c r="O2480">
        <v>100</v>
      </c>
      <c r="P2480">
        <v>1</v>
      </c>
      <c r="Q2480">
        <v>4500.26</v>
      </c>
      <c r="R2480" s="4">
        <v>45600</v>
      </c>
      <c r="S2480" s="6">
        <v>0.34025462962962966</v>
      </c>
      <c r="T2480">
        <f t="shared" si="154"/>
        <v>17</v>
      </c>
      <c r="U2480" t="str" cm="1">
        <f t="array" ref="U2480">_xlfn.IFS(M2480&lt;=34,"YOUNG",M2480&lt;=54,"MIDDLE AGE",M2480&gt;=55,"OLD")</f>
        <v>YOUNG</v>
      </c>
      <c r="V2480" t="str">
        <f t="shared" si="155"/>
        <v>NORMAL</v>
      </c>
    </row>
    <row r="2481" spans="1:22" x14ac:dyDescent="0.35">
      <c r="A2481" t="s">
        <v>4413</v>
      </c>
      <c r="B2481" t="s">
        <v>716</v>
      </c>
      <c r="C2481">
        <v>261.45</v>
      </c>
      <c r="D2481" s="1">
        <v>45226.709791666668</v>
      </c>
      <c r="E2481" s="2">
        <f t="shared" si="152"/>
        <v>0.70979166666802485</v>
      </c>
      <c r="F2481" s="3">
        <f t="shared" si="153"/>
        <v>45226</v>
      </c>
      <c r="G2481" t="s">
        <v>46</v>
      </c>
      <c r="H2481" t="s">
        <v>53</v>
      </c>
      <c r="I2481" t="s">
        <v>2333</v>
      </c>
      <c r="J2481" t="s">
        <v>2673</v>
      </c>
      <c r="K2481" t="s">
        <v>358</v>
      </c>
      <c r="L2481" t="s">
        <v>36</v>
      </c>
      <c r="M2481">
        <v>50</v>
      </c>
      <c r="N2481" t="s">
        <v>77</v>
      </c>
      <c r="O2481">
        <v>96</v>
      </c>
      <c r="P2481">
        <v>1</v>
      </c>
      <c r="Q2481">
        <v>6735.74</v>
      </c>
      <c r="R2481" s="4">
        <v>45600</v>
      </c>
      <c r="S2481" s="6">
        <v>0.33971064814814816</v>
      </c>
      <c r="T2481">
        <f t="shared" si="154"/>
        <v>17</v>
      </c>
      <c r="U2481" t="str" cm="1">
        <f t="array" ref="U2481">_xlfn.IFS(M2481&lt;=34,"YOUNG",M2481&lt;=54,"MIDDLE AGE",M2481&gt;=55,"OLD")</f>
        <v>MIDDLE AGE</v>
      </c>
      <c r="V2481" t="str">
        <f t="shared" si="155"/>
        <v>NORMAL</v>
      </c>
    </row>
    <row r="2482" spans="1:22" x14ac:dyDescent="0.35">
      <c r="A2482" t="s">
        <v>4414</v>
      </c>
      <c r="B2482" t="s">
        <v>39</v>
      </c>
      <c r="C2482">
        <v>99.98</v>
      </c>
      <c r="D2482" s="1">
        <v>45015.702835648146</v>
      </c>
      <c r="E2482" s="2">
        <f t="shared" si="152"/>
        <v>0.70283564814599231</v>
      </c>
      <c r="F2482" s="3">
        <f t="shared" si="153"/>
        <v>45015</v>
      </c>
      <c r="G2482" t="s">
        <v>46</v>
      </c>
      <c r="H2482" t="s">
        <v>453</v>
      </c>
      <c r="I2482" t="s">
        <v>2068</v>
      </c>
      <c r="J2482" t="s">
        <v>4257</v>
      </c>
      <c r="K2482" t="s">
        <v>482</v>
      </c>
      <c r="L2482" t="s">
        <v>36</v>
      </c>
      <c r="M2482">
        <v>73</v>
      </c>
      <c r="N2482" t="s">
        <v>70</v>
      </c>
      <c r="O2482">
        <v>152</v>
      </c>
      <c r="P2482">
        <v>1</v>
      </c>
      <c r="Q2482">
        <v>3037.97</v>
      </c>
      <c r="R2482" s="4">
        <v>45600</v>
      </c>
      <c r="S2482" s="6">
        <v>0.33887731481481481</v>
      </c>
      <c r="T2482">
        <f t="shared" si="154"/>
        <v>16</v>
      </c>
      <c r="U2482" t="str" cm="1">
        <f t="array" ref="U2482">_xlfn.IFS(M2482&lt;=34,"YOUNG",M2482&lt;=54,"MIDDLE AGE",M2482&gt;=55,"OLD")</f>
        <v>OLD</v>
      </c>
      <c r="V2482" t="str">
        <f t="shared" si="155"/>
        <v>NORMAL</v>
      </c>
    </row>
    <row r="2483" spans="1:22" x14ac:dyDescent="0.35">
      <c r="A2483" t="s">
        <v>4415</v>
      </c>
      <c r="B2483" t="s">
        <v>118</v>
      </c>
      <c r="C2483">
        <v>400.69</v>
      </c>
      <c r="D2483" s="1">
        <v>45019.680543981478</v>
      </c>
      <c r="E2483" s="2">
        <f t="shared" si="152"/>
        <v>0.68054398147796746</v>
      </c>
      <c r="F2483" s="3">
        <f t="shared" si="153"/>
        <v>45019</v>
      </c>
      <c r="G2483" t="s">
        <v>17</v>
      </c>
      <c r="H2483" t="s">
        <v>146</v>
      </c>
      <c r="I2483" t="s">
        <v>3902</v>
      </c>
      <c r="J2483" t="s">
        <v>1202</v>
      </c>
      <c r="K2483" t="s">
        <v>386</v>
      </c>
      <c r="L2483" t="s">
        <v>36</v>
      </c>
      <c r="M2483">
        <v>32</v>
      </c>
      <c r="N2483" t="s">
        <v>77</v>
      </c>
      <c r="O2483">
        <v>26</v>
      </c>
      <c r="P2483">
        <v>1</v>
      </c>
      <c r="Q2483">
        <v>9040.33</v>
      </c>
      <c r="R2483" s="4">
        <v>45600</v>
      </c>
      <c r="S2483" s="6">
        <v>0.33885416666666668</v>
      </c>
      <c r="T2483">
        <f t="shared" si="154"/>
        <v>16</v>
      </c>
      <c r="U2483" t="str" cm="1">
        <f t="array" ref="U2483">_xlfn.IFS(M2483&lt;=34,"YOUNG",M2483&lt;=54,"MIDDLE AGE",M2483&gt;=55,"OLD")</f>
        <v>YOUNG</v>
      </c>
      <c r="V2483" t="str">
        <f t="shared" si="155"/>
        <v>NORMAL</v>
      </c>
    </row>
    <row r="2484" spans="1:22" x14ac:dyDescent="0.35">
      <c r="A2484" t="s">
        <v>4416</v>
      </c>
      <c r="B2484" t="s">
        <v>2889</v>
      </c>
      <c r="C2484">
        <v>411.47</v>
      </c>
      <c r="D2484" s="1">
        <v>45285.684513888889</v>
      </c>
      <c r="E2484" s="2">
        <f t="shared" si="152"/>
        <v>0.68451388888934162</v>
      </c>
      <c r="F2484" s="3">
        <f t="shared" si="153"/>
        <v>45285</v>
      </c>
      <c r="G2484" t="s">
        <v>17</v>
      </c>
      <c r="H2484" t="s">
        <v>157</v>
      </c>
      <c r="I2484" t="s">
        <v>1461</v>
      </c>
      <c r="J2484" t="s">
        <v>190</v>
      </c>
      <c r="K2484" t="s">
        <v>1014</v>
      </c>
      <c r="L2484" t="s">
        <v>22</v>
      </c>
      <c r="M2484">
        <v>26</v>
      </c>
      <c r="N2484" t="s">
        <v>37</v>
      </c>
      <c r="O2484">
        <v>120</v>
      </c>
      <c r="P2484">
        <v>1</v>
      </c>
      <c r="Q2484">
        <v>796.63</v>
      </c>
      <c r="R2484" s="4">
        <v>45600</v>
      </c>
      <c r="S2484" s="6">
        <v>0.34109953703703705</v>
      </c>
      <c r="T2484">
        <f t="shared" si="154"/>
        <v>16</v>
      </c>
      <c r="U2484" t="str" cm="1">
        <f t="array" ref="U2484">_xlfn.IFS(M2484&lt;=34,"YOUNG",M2484&lt;=54,"MIDDLE AGE",M2484&gt;=55,"OLD")</f>
        <v>YOUNG</v>
      </c>
      <c r="V2484" t="str">
        <f t="shared" si="155"/>
        <v>NORMAL</v>
      </c>
    </row>
    <row r="2485" spans="1:22" x14ac:dyDescent="0.35">
      <c r="A2485" t="s">
        <v>4417</v>
      </c>
      <c r="B2485" t="s">
        <v>2467</v>
      </c>
      <c r="C2485">
        <v>204.63</v>
      </c>
      <c r="D2485" s="1">
        <v>45098.741851851853</v>
      </c>
      <c r="E2485" s="2">
        <f t="shared" si="152"/>
        <v>0.74185185185342561</v>
      </c>
      <c r="F2485" s="3">
        <f t="shared" si="153"/>
        <v>45098</v>
      </c>
      <c r="G2485" t="s">
        <v>17</v>
      </c>
      <c r="H2485" t="s">
        <v>146</v>
      </c>
      <c r="I2485" t="s">
        <v>3595</v>
      </c>
      <c r="J2485" t="s">
        <v>1505</v>
      </c>
      <c r="K2485" t="s">
        <v>277</v>
      </c>
      <c r="L2485" t="s">
        <v>36</v>
      </c>
      <c r="M2485">
        <v>52</v>
      </c>
      <c r="N2485" t="s">
        <v>77</v>
      </c>
      <c r="O2485">
        <v>92</v>
      </c>
      <c r="P2485">
        <v>1</v>
      </c>
      <c r="Q2485">
        <v>9199.52</v>
      </c>
      <c r="R2485" s="4">
        <v>45600</v>
      </c>
      <c r="S2485" s="6">
        <v>0.34020833333333333</v>
      </c>
      <c r="T2485">
        <f t="shared" si="154"/>
        <v>17</v>
      </c>
      <c r="U2485" t="str" cm="1">
        <f t="array" ref="U2485">_xlfn.IFS(M2485&lt;=34,"YOUNG",M2485&lt;=54,"MIDDLE AGE",M2485&gt;=55,"OLD")</f>
        <v>MIDDLE AGE</v>
      </c>
      <c r="V2485" t="str">
        <f t="shared" si="155"/>
        <v>NORMAL</v>
      </c>
    </row>
    <row r="2486" spans="1:22" x14ac:dyDescent="0.35">
      <c r="A2486" t="s">
        <v>4418</v>
      </c>
      <c r="B2486" t="s">
        <v>3354</v>
      </c>
      <c r="C2486">
        <v>421.56</v>
      </c>
      <c r="D2486" s="1">
        <v>45125.747858796298</v>
      </c>
      <c r="E2486" s="2">
        <f t="shared" si="152"/>
        <v>0.74785879629780538</v>
      </c>
      <c r="F2486" s="3">
        <f t="shared" si="153"/>
        <v>45125</v>
      </c>
      <c r="G2486" t="s">
        <v>17</v>
      </c>
      <c r="H2486" t="s">
        <v>223</v>
      </c>
      <c r="I2486" t="s">
        <v>1089</v>
      </c>
      <c r="J2486" t="s">
        <v>1208</v>
      </c>
      <c r="K2486" t="s">
        <v>478</v>
      </c>
      <c r="L2486" t="s">
        <v>36</v>
      </c>
      <c r="M2486">
        <v>53</v>
      </c>
      <c r="N2486" t="s">
        <v>77</v>
      </c>
      <c r="O2486">
        <v>144</v>
      </c>
      <c r="P2486">
        <v>1</v>
      </c>
      <c r="Q2486">
        <v>8037.87</v>
      </c>
      <c r="R2486" s="4">
        <v>45600</v>
      </c>
      <c r="S2486" s="6">
        <v>0.3409490740740741</v>
      </c>
      <c r="T2486">
        <f t="shared" si="154"/>
        <v>17</v>
      </c>
      <c r="U2486" t="str" cm="1">
        <f t="array" ref="U2486">_xlfn.IFS(M2486&lt;=34,"YOUNG",M2486&lt;=54,"MIDDLE AGE",M2486&gt;=55,"OLD")</f>
        <v>MIDDLE AGE</v>
      </c>
      <c r="V2486" t="str">
        <f t="shared" si="155"/>
        <v>NORMAL</v>
      </c>
    </row>
    <row r="2487" spans="1:22" x14ac:dyDescent="0.35">
      <c r="A2487" t="s">
        <v>4419</v>
      </c>
      <c r="B2487" t="s">
        <v>1889</v>
      </c>
      <c r="C2487">
        <v>193.38</v>
      </c>
      <c r="D2487" s="1">
        <v>45127.670266203706</v>
      </c>
      <c r="E2487" s="2">
        <f t="shared" si="152"/>
        <v>0.67026620370597811</v>
      </c>
      <c r="F2487" s="3">
        <f t="shared" si="153"/>
        <v>45127</v>
      </c>
      <c r="G2487" t="s">
        <v>17</v>
      </c>
      <c r="H2487" t="s">
        <v>92</v>
      </c>
      <c r="I2487" t="s">
        <v>1893</v>
      </c>
      <c r="J2487" t="s">
        <v>933</v>
      </c>
      <c r="K2487" t="s">
        <v>853</v>
      </c>
      <c r="L2487" t="s">
        <v>22</v>
      </c>
      <c r="M2487">
        <v>18</v>
      </c>
      <c r="N2487" t="s">
        <v>37</v>
      </c>
      <c r="O2487">
        <v>285</v>
      </c>
      <c r="P2487">
        <v>1</v>
      </c>
      <c r="Q2487">
        <v>1081.79</v>
      </c>
      <c r="R2487" s="4">
        <v>45600</v>
      </c>
      <c r="S2487" s="6">
        <v>0.34092592592592591</v>
      </c>
      <c r="T2487">
        <f t="shared" si="154"/>
        <v>16</v>
      </c>
      <c r="U2487" t="str" cm="1">
        <f t="array" ref="U2487">_xlfn.IFS(M2487&lt;=34,"YOUNG",M2487&lt;=54,"MIDDLE AGE",M2487&gt;=55,"OLD")</f>
        <v>YOUNG</v>
      </c>
      <c r="V2487" t="str">
        <f t="shared" si="155"/>
        <v>NORMAL</v>
      </c>
    </row>
    <row r="2488" spans="1:22" x14ac:dyDescent="0.35">
      <c r="A2488" t="s">
        <v>4420</v>
      </c>
      <c r="B2488" t="s">
        <v>222</v>
      </c>
      <c r="C2488">
        <v>377.04</v>
      </c>
      <c r="D2488" s="1">
        <v>45001.702824074076</v>
      </c>
      <c r="E2488" s="2">
        <f t="shared" si="152"/>
        <v>0.70282407407648861</v>
      </c>
      <c r="F2488" s="3">
        <f t="shared" si="153"/>
        <v>45001</v>
      </c>
      <c r="G2488" t="s">
        <v>17</v>
      </c>
      <c r="H2488" t="s">
        <v>265</v>
      </c>
      <c r="I2488" t="s">
        <v>193</v>
      </c>
      <c r="J2488" t="s">
        <v>4157</v>
      </c>
      <c r="K2488" t="s">
        <v>56</v>
      </c>
      <c r="L2488" t="s">
        <v>22</v>
      </c>
      <c r="M2488">
        <v>34</v>
      </c>
      <c r="N2488" t="s">
        <v>77</v>
      </c>
      <c r="O2488">
        <v>64</v>
      </c>
      <c r="P2488">
        <v>1</v>
      </c>
      <c r="Q2488">
        <v>3812.87</v>
      </c>
      <c r="R2488" s="4">
        <v>45600</v>
      </c>
      <c r="S2488" s="6">
        <v>0.34020833333333333</v>
      </c>
      <c r="T2488">
        <f t="shared" si="154"/>
        <v>16</v>
      </c>
      <c r="U2488" t="str" cm="1">
        <f t="array" ref="U2488">_xlfn.IFS(M2488&lt;=34,"YOUNG",M2488&lt;=54,"MIDDLE AGE",M2488&gt;=55,"OLD")</f>
        <v>YOUNG</v>
      </c>
      <c r="V2488" t="str">
        <f t="shared" si="155"/>
        <v>NORMAL</v>
      </c>
    </row>
    <row r="2489" spans="1:22" x14ac:dyDescent="0.35">
      <c r="A2489" t="s">
        <v>4421</v>
      </c>
      <c r="B2489" t="s">
        <v>1765</v>
      </c>
      <c r="C2489">
        <v>54.1</v>
      </c>
      <c r="D2489" s="1">
        <v>45065.741446759261</v>
      </c>
      <c r="E2489" s="2">
        <f t="shared" si="152"/>
        <v>0.74144675926072523</v>
      </c>
      <c r="F2489" s="3">
        <f t="shared" si="153"/>
        <v>45065</v>
      </c>
      <c r="G2489" t="s">
        <v>46</v>
      </c>
      <c r="H2489" t="s">
        <v>388</v>
      </c>
      <c r="I2489" t="s">
        <v>1573</v>
      </c>
      <c r="J2489" t="s">
        <v>3538</v>
      </c>
      <c r="K2489" t="s">
        <v>674</v>
      </c>
      <c r="L2489" t="s">
        <v>69</v>
      </c>
      <c r="M2489">
        <v>28</v>
      </c>
      <c r="N2489" t="s">
        <v>77</v>
      </c>
      <c r="O2489">
        <v>17</v>
      </c>
      <c r="P2489">
        <v>1</v>
      </c>
      <c r="Q2489">
        <v>940.91</v>
      </c>
      <c r="R2489" s="4">
        <v>45600</v>
      </c>
      <c r="S2489" s="6">
        <v>0.33818287037037037</v>
      </c>
      <c r="T2489">
        <f t="shared" si="154"/>
        <v>17</v>
      </c>
      <c r="U2489" t="str" cm="1">
        <f t="array" ref="U2489">_xlfn.IFS(M2489&lt;=34,"YOUNG",M2489&lt;=54,"MIDDLE AGE",M2489&gt;=55,"OLD")</f>
        <v>YOUNG</v>
      </c>
      <c r="V2489" t="str">
        <f t="shared" si="155"/>
        <v>NORMAL</v>
      </c>
    </row>
    <row r="2490" spans="1:22" x14ac:dyDescent="0.35">
      <c r="A2490" t="s">
        <v>4422</v>
      </c>
      <c r="B2490" t="s">
        <v>589</v>
      </c>
      <c r="C2490">
        <v>18.100000000000001</v>
      </c>
      <c r="D2490" s="1">
        <v>45030.689733796295</v>
      </c>
      <c r="E2490" s="2">
        <f t="shared" si="152"/>
        <v>0.68973379629460396</v>
      </c>
      <c r="F2490" s="3">
        <f t="shared" si="153"/>
        <v>45030</v>
      </c>
      <c r="G2490" t="s">
        <v>17</v>
      </c>
      <c r="H2490" t="s">
        <v>108</v>
      </c>
      <c r="I2490" t="s">
        <v>1928</v>
      </c>
      <c r="J2490" t="s">
        <v>828</v>
      </c>
      <c r="K2490" t="s">
        <v>68</v>
      </c>
      <c r="L2490" t="s">
        <v>22</v>
      </c>
      <c r="M2490">
        <v>57</v>
      </c>
      <c r="N2490" t="s">
        <v>70</v>
      </c>
      <c r="O2490">
        <v>66</v>
      </c>
      <c r="P2490">
        <v>1</v>
      </c>
      <c r="Q2490">
        <v>6474.34</v>
      </c>
      <c r="R2490" s="4">
        <v>45600</v>
      </c>
      <c r="S2490" s="6">
        <v>0.33797453703703706</v>
      </c>
      <c r="T2490">
        <f t="shared" si="154"/>
        <v>16</v>
      </c>
      <c r="U2490" t="str" cm="1">
        <f t="array" ref="U2490">_xlfn.IFS(M2490&lt;=34,"YOUNG",M2490&lt;=54,"MIDDLE AGE",M2490&gt;=55,"OLD")</f>
        <v>OLD</v>
      </c>
      <c r="V2490" t="str">
        <f t="shared" si="155"/>
        <v>NORMAL</v>
      </c>
    </row>
    <row r="2491" spans="1:22" x14ac:dyDescent="0.35">
      <c r="A2491" t="s">
        <v>4423</v>
      </c>
      <c r="B2491" t="s">
        <v>1425</v>
      </c>
      <c r="C2491">
        <v>408.62</v>
      </c>
      <c r="D2491" s="1">
        <v>45068.737361111111</v>
      </c>
      <c r="E2491" s="2">
        <f t="shared" si="152"/>
        <v>0.73736111111065838</v>
      </c>
      <c r="F2491" s="3">
        <f t="shared" si="153"/>
        <v>45068</v>
      </c>
      <c r="G2491" t="s">
        <v>46</v>
      </c>
      <c r="H2491" t="s">
        <v>157</v>
      </c>
      <c r="I2491" t="s">
        <v>377</v>
      </c>
      <c r="J2491" t="s">
        <v>2775</v>
      </c>
      <c r="K2491" t="s">
        <v>1037</v>
      </c>
      <c r="L2491" t="s">
        <v>36</v>
      </c>
      <c r="M2491">
        <v>48</v>
      </c>
      <c r="N2491" t="s">
        <v>77</v>
      </c>
      <c r="O2491">
        <v>159</v>
      </c>
      <c r="P2491">
        <v>1</v>
      </c>
      <c r="Q2491">
        <v>2498.48</v>
      </c>
      <c r="R2491" s="4">
        <v>45600</v>
      </c>
      <c r="S2491" s="6">
        <v>0.33828703703703705</v>
      </c>
      <c r="T2491">
        <f t="shared" si="154"/>
        <v>17</v>
      </c>
      <c r="U2491" t="str" cm="1">
        <f t="array" ref="U2491">_xlfn.IFS(M2491&lt;=34,"YOUNG",M2491&lt;=54,"MIDDLE AGE",M2491&gt;=55,"OLD")</f>
        <v>MIDDLE AGE</v>
      </c>
      <c r="V2491" t="str">
        <f t="shared" si="155"/>
        <v>NORMAL</v>
      </c>
    </row>
    <row r="2492" spans="1:22" x14ac:dyDescent="0.35">
      <c r="A2492" t="s">
        <v>4424</v>
      </c>
      <c r="B2492" t="s">
        <v>396</v>
      </c>
      <c r="C2492">
        <v>162.1</v>
      </c>
      <c r="D2492" s="1">
        <v>45264.676469907405</v>
      </c>
      <c r="E2492" s="2">
        <f t="shared" si="152"/>
        <v>0.67646990740468027</v>
      </c>
      <c r="F2492" s="3">
        <f t="shared" si="153"/>
        <v>45264</v>
      </c>
      <c r="G2492" t="s">
        <v>17</v>
      </c>
      <c r="H2492" t="s">
        <v>197</v>
      </c>
      <c r="I2492" t="s">
        <v>1251</v>
      </c>
      <c r="J2492" t="s">
        <v>2523</v>
      </c>
      <c r="K2492" t="s">
        <v>762</v>
      </c>
      <c r="L2492" t="s">
        <v>69</v>
      </c>
      <c r="M2492">
        <v>64</v>
      </c>
      <c r="N2492" t="s">
        <v>23</v>
      </c>
      <c r="O2492">
        <v>221</v>
      </c>
      <c r="P2492">
        <v>1</v>
      </c>
      <c r="Q2492">
        <v>9578.74</v>
      </c>
      <c r="R2492" s="4">
        <v>45600</v>
      </c>
      <c r="S2492" s="6">
        <v>0.34137731481481481</v>
      </c>
      <c r="T2492">
        <f t="shared" si="154"/>
        <v>16</v>
      </c>
      <c r="U2492" t="str" cm="1">
        <f t="array" ref="U2492">_xlfn.IFS(M2492&lt;=34,"YOUNG",M2492&lt;=54,"MIDDLE AGE",M2492&gt;=55,"OLD")</f>
        <v>OLD</v>
      </c>
      <c r="V2492" t="str">
        <f t="shared" si="155"/>
        <v>NORMAL</v>
      </c>
    </row>
    <row r="2493" spans="1:22" x14ac:dyDescent="0.35">
      <c r="A2493" t="s">
        <v>4425</v>
      </c>
      <c r="B2493" t="s">
        <v>1289</v>
      </c>
      <c r="C2493">
        <v>165.31</v>
      </c>
      <c r="D2493" s="1">
        <v>45019.670486111114</v>
      </c>
      <c r="E2493" s="2">
        <f t="shared" si="152"/>
        <v>0.67048611111385981</v>
      </c>
      <c r="F2493" s="3">
        <f t="shared" si="153"/>
        <v>45019</v>
      </c>
      <c r="G2493" t="s">
        <v>17</v>
      </c>
      <c r="H2493" t="s">
        <v>388</v>
      </c>
      <c r="I2493" t="s">
        <v>1871</v>
      </c>
      <c r="J2493" t="s">
        <v>1366</v>
      </c>
      <c r="K2493" t="s">
        <v>128</v>
      </c>
      <c r="L2493" t="s">
        <v>22</v>
      </c>
      <c r="M2493">
        <v>49</v>
      </c>
      <c r="N2493" t="s">
        <v>23</v>
      </c>
      <c r="O2493">
        <v>28</v>
      </c>
      <c r="P2493">
        <v>1</v>
      </c>
      <c r="Q2493">
        <v>7346.66</v>
      </c>
      <c r="R2493" s="4">
        <v>45600</v>
      </c>
      <c r="S2493" s="6">
        <v>0.34041666666666665</v>
      </c>
      <c r="T2493">
        <f t="shared" si="154"/>
        <v>16</v>
      </c>
      <c r="U2493" t="str" cm="1">
        <f t="array" ref="U2493">_xlfn.IFS(M2493&lt;=34,"YOUNG",M2493&lt;=54,"MIDDLE AGE",M2493&gt;=55,"OLD")</f>
        <v>MIDDLE AGE</v>
      </c>
      <c r="V2493" t="str">
        <f t="shared" si="155"/>
        <v>NORMAL</v>
      </c>
    </row>
    <row r="2494" spans="1:22" x14ac:dyDescent="0.35">
      <c r="A2494" t="s">
        <v>4426</v>
      </c>
      <c r="B2494" t="s">
        <v>177</v>
      </c>
      <c r="C2494">
        <v>267.48</v>
      </c>
      <c r="D2494" s="1">
        <v>44956.712337962963</v>
      </c>
      <c r="E2494" s="2">
        <f t="shared" si="152"/>
        <v>0.71233796296291985</v>
      </c>
      <c r="F2494" s="3">
        <f t="shared" si="153"/>
        <v>44956</v>
      </c>
      <c r="G2494" t="s">
        <v>17</v>
      </c>
      <c r="H2494" t="s">
        <v>86</v>
      </c>
      <c r="I2494" t="s">
        <v>2215</v>
      </c>
      <c r="J2494" t="s">
        <v>841</v>
      </c>
      <c r="K2494" t="s">
        <v>43</v>
      </c>
      <c r="L2494" t="s">
        <v>22</v>
      </c>
      <c r="M2494">
        <v>21</v>
      </c>
      <c r="N2494" t="s">
        <v>37</v>
      </c>
      <c r="O2494">
        <v>159</v>
      </c>
      <c r="P2494">
        <v>2</v>
      </c>
      <c r="Q2494">
        <v>811.86</v>
      </c>
      <c r="R2494" s="4">
        <v>45600</v>
      </c>
      <c r="S2494" s="6">
        <v>0.3399537037037037</v>
      </c>
      <c r="T2494">
        <f t="shared" si="154"/>
        <v>17</v>
      </c>
      <c r="U2494" t="str" cm="1">
        <f t="array" ref="U2494">_xlfn.IFS(M2494&lt;=34,"YOUNG",M2494&lt;=54,"MIDDLE AGE",M2494&gt;=55,"OLD")</f>
        <v>YOUNG</v>
      </c>
      <c r="V2494" t="str">
        <f t="shared" si="155"/>
        <v>HIGH</v>
      </c>
    </row>
    <row r="2495" spans="1:22" x14ac:dyDescent="0.35">
      <c r="A2495" t="s">
        <v>4427</v>
      </c>
      <c r="B2495" t="s">
        <v>687</v>
      </c>
      <c r="C2495">
        <v>856.9</v>
      </c>
      <c r="D2495" s="1">
        <v>45002.674016203702</v>
      </c>
      <c r="E2495" s="2">
        <f t="shared" si="152"/>
        <v>0.67401620370219462</v>
      </c>
      <c r="F2495" s="3">
        <f t="shared" si="153"/>
        <v>45002</v>
      </c>
      <c r="G2495" t="s">
        <v>17</v>
      </c>
      <c r="H2495" t="s">
        <v>203</v>
      </c>
      <c r="I2495" t="s">
        <v>562</v>
      </c>
      <c r="J2495" t="s">
        <v>2038</v>
      </c>
      <c r="K2495" t="s">
        <v>769</v>
      </c>
      <c r="L2495" t="s">
        <v>69</v>
      </c>
      <c r="M2495">
        <v>36</v>
      </c>
      <c r="N2495" t="s">
        <v>77</v>
      </c>
      <c r="O2495">
        <v>150</v>
      </c>
      <c r="P2495">
        <v>1</v>
      </c>
      <c r="Q2495">
        <v>8579.69</v>
      </c>
      <c r="R2495" s="4">
        <v>45600</v>
      </c>
      <c r="S2495" s="6">
        <v>0.3401851851851852</v>
      </c>
      <c r="T2495">
        <f t="shared" si="154"/>
        <v>16</v>
      </c>
      <c r="U2495" t="str" cm="1">
        <f t="array" ref="U2495">_xlfn.IFS(M2495&lt;=34,"YOUNG",M2495&lt;=54,"MIDDLE AGE",M2495&gt;=55,"OLD")</f>
        <v>MIDDLE AGE</v>
      </c>
      <c r="V2495" t="str">
        <f t="shared" si="155"/>
        <v>NORMAL</v>
      </c>
    </row>
    <row r="2496" spans="1:22" x14ac:dyDescent="0.35">
      <c r="A2496" t="s">
        <v>4428</v>
      </c>
      <c r="B2496" t="s">
        <v>1368</v>
      </c>
      <c r="C2496">
        <v>433.9</v>
      </c>
      <c r="D2496" s="1">
        <v>44995.735393518517</v>
      </c>
      <c r="E2496" s="2">
        <f t="shared" si="152"/>
        <v>0.73539351851650281</v>
      </c>
      <c r="F2496" s="3">
        <f t="shared" si="153"/>
        <v>44995</v>
      </c>
      <c r="G2496" t="s">
        <v>17</v>
      </c>
      <c r="H2496" t="s">
        <v>86</v>
      </c>
      <c r="I2496" t="s">
        <v>393</v>
      </c>
      <c r="J2496" t="s">
        <v>1249</v>
      </c>
      <c r="K2496" t="s">
        <v>759</v>
      </c>
      <c r="L2496" t="s">
        <v>36</v>
      </c>
      <c r="M2496">
        <v>65</v>
      </c>
      <c r="N2496" t="s">
        <v>23</v>
      </c>
      <c r="O2496">
        <v>37</v>
      </c>
      <c r="P2496">
        <v>1</v>
      </c>
      <c r="Q2496">
        <v>9013.1</v>
      </c>
      <c r="R2496" s="4">
        <v>45600</v>
      </c>
      <c r="S2496" s="6">
        <v>0.33870370370370373</v>
      </c>
      <c r="T2496">
        <f t="shared" si="154"/>
        <v>17</v>
      </c>
      <c r="U2496" t="str" cm="1">
        <f t="array" ref="U2496">_xlfn.IFS(M2496&lt;=34,"YOUNG",M2496&lt;=54,"MIDDLE AGE",M2496&gt;=55,"OLD")</f>
        <v>OLD</v>
      </c>
      <c r="V2496" t="str">
        <f t="shared" si="155"/>
        <v>NORMAL</v>
      </c>
    </row>
    <row r="2497" spans="1:22" x14ac:dyDescent="0.35">
      <c r="A2497" t="s">
        <v>4429</v>
      </c>
      <c r="B2497" t="s">
        <v>742</v>
      </c>
      <c r="C2497">
        <v>271.22000000000003</v>
      </c>
      <c r="D2497" s="1">
        <v>45019.6721412037</v>
      </c>
      <c r="E2497" s="2">
        <f t="shared" si="152"/>
        <v>0.67214120370044839</v>
      </c>
      <c r="F2497" s="3">
        <f t="shared" si="153"/>
        <v>45019</v>
      </c>
      <c r="G2497" t="s">
        <v>46</v>
      </c>
      <c r="H2497" t="s">
        <v>108</v>
      </c>
      <c r="I2497" t="s">
        <v>626</v>
      </c>
      <c r="J2497" t="s">
        <v>1341</v>
      </c>
      <c r="K2497" t="s">
        <v>682</v>
      </c>
      <c r="L2497" t="s">
        <v>22</v>
      </c>
      <c r="M2497">
        <v>45</v>
      </c>
      <c r="N2497" t="s">
        <v>23</v>
      </c>
      <c r="O2497">
        <v>87</v>
      </c>
      <c r="P2497">
        <v>1</v>
      </c>
      <c r="Q2497">
        <v>6863.02</v>
      </c>
      <c r="R2497" s="4">
        <v>45600</v>
      </c>
      <c r="S2497" s="6">
        <v>0.33810185185185188</v>
      </c>
      <c r="T2497">
        <f t="shared" si="154"/>
        <v>16</v>
      </c>
      <c r="U2497" t="str" cm="1">
        <f t="array" ref="U2497">_xlfn.IFS(M2497&lt;=34,"YOUNG",M2497&lt;=54,"MIDDLE AGE",M2497&gt;=55,"OLD")</f>
        <v>MIDDLE AGE</v>
      </c>
      <c r="V2497" t="str">
        <f t="shared" si="155"/>
        <v>NORMAL</v>
      </c>
    </row>
    <row r="2498" spans="1:22" x14ac:dyDescent="0.35">
      <c r="A2498" t="s">
        <v>4430</v>
      </c>
      <c r="B2498" t="s">
        <v>2097</v>
      </c>
      <c r="C2498">
        <v>307.68</v>
      </c>
      <c r="D2498" s="1">
        <v>44944.723229166666</v>
      </c>
      <c r="E2498" s="2">
        <f t="shared" ref="E2498:E2513" si="156">D2498-INT(D2498)</f>
        <v>0.72322916666598758</v>
      </c>
      <c r="F2498" s="3">
        <f t="shared" ref="F2498:F2513" si="157">INT(D2498)</f>
        <v>44944</v>
      </c>
      <c r="G2498" t="s">
        <v>46</v>
      </c>
      <c r="H2498" t="s">
        <v>73</v>
      </c>
      <c r="I2498" t="s">
        <v>1479</v>
      </c>
      <c r="J2498" t="s">
        <v>2974</v>
      </c>
      <c r="K2498" t="s">
        <v>1524</v>
      </c>
      <c r="L2498" t="s">
        <v>36</v>
      </c>
      <c r="M2498">
        <v>75</v>
      </c>
      <c r="N2498" t="s">
        <v>70</v>
      </c>
      <c r="O2498">
        <v>162</v>
      </c>
      <c r="P2498">
        <v>1</v>
      </c>
      <c r="Q2498">
        <v>2052.84</v>
      </c>
      <c r="R2498" s="4">
        <v>45600</v>
      </c>
      <c r="S2498" s="6">
        <v>0.3417013888888889</v>
      </c>
      <c r="T2498">
        <f t="shared" si="154"/>
        <v>17</v>
      </c>
      <c r="U2498" t="str" cm="1">
        <f t="array" ref="U2498">_xlfn.IFS(M2498&lt;=34,"YOUNG",M2498&lt;=54,"MIDDLE AGE",M2498&gt;=55,"OLD")</f>
        <v>OLD</v>
      </c>
      <c r="V2498" t="str">
        <f t="shared" si="155"/>
        <v>NORMAL</v>
      </c>
    </row>
    <row r="2499" spans="1:22" x14ac:dyDescent="0.35">
      <c r="A2499" t="s">
        <v>4431</v>
      </c>
      <c r="B2499" t="s">
        <v>1814</v>
      </c>
      <c r="C2499">
        <v>348.17</v>
      </c>
      <c r="D2499" s="1">
        <v>45056.747581018521</v>
      </c>
      <c r="E2499" s="2">
        <f t="shared" si="156"/>
        <v>0.74758101852057735</v>
      </c>
      <c r="F2499" s="3">
        <f t="shared" si="157"/>
        <v>45056</v>
      </c>
      <c r="G2499" t="s">
        <v>17</v>
      </c>
      <c r="H2499" t="s">
        <v>506</v>
      </c>
      <c r="I2499" t="s">
        <v>2068</v>
      </c>
      <c r="J2499" t="s">
        <v>3352</v>
      </c>
      <c r="K2499" t="s">
        <v>831</v>
      </c>
      <c r="L2499" t="s">
        <v>22</v>
      </c>
      <c r="M2499">
        <v>21</v>
      </c>
      <c r="N2499" t="s">
        <v>37</v>
      </c>
      <c r="O2499">
        <v>181</v>
      </c>
      <c r="P2499">
        <v>1</v>
      </c>
      <c r="Q2499">
        <v>1887.84</v>
      </c>
      <c r="R2499" s="4">
        <v>45600</v>
      </c>
      <c r="S2499" s="6">
        <v>0.34104166666666669</v>
      </c>
      <c r="T2499">
        <f t="shared" ref="T2499:T2513" si="158">HOUR(E2499)</f>
        <v>17</v>
      </c>
      <c r="U2499" t="str" cm="1">
        <f t="array" ref="U2499">_xlfn.IFS(M2499&lt;=34,"YOUNG",M2499&lt;=54,"MIDDLE AGE",M2499&gt;=55,"OLD")</f>
        <v>YOUNG</v>
      </c>
      <c r="V2499" t="str">
        <f t="shared" ref="V2499:V2513" si="159">IF(P2499&gt;1,"HIGH","NORMAL")</f>
        <v>NORMAL</v>
      </c>
    </row>
    <row r="2500" spans="1:22" x14ac:dyDescent="0.35">
      <c r="A2500" t="s">
        <v>4432</v>
      </c>
      <c r="B2500" t="s">
        <v>1569</v>
      </c>
      <c r="C2500">
        <v>43.1</v>
      </c>
      <c r="D2500" s="1">
        <v>45203.767870370371</v>
      </c>
      <c r="E2500" s="2">
        <f t="shared" si="156"/>
        <v>0.76787037037138361</v>
      </c>
      <c r="F2500" s="3">
        <f t="shared" si="157"/>
        <v>45203</v>
      </c>
      <c r="G2500" t="s">
        <v>17</v>
      </c>
      <c r="H2500" t="s">
        <v>114</v>
      </c>
      <c r="I2500" t="s">
        <v>3298</v>
      </c>
      <c r="J2500" t="s">
        <v>4112</v>
      </c>
      <c r="K2500" t="s">
        <v>186</v>
      </c>
      <c r="L2500" t="s">
        <v>69</v>
      </c>
      <c r="M2500">
        <v>25</v>
      </c>
      <c r="N2500" t="s">
        <v>37</v>
      </c>
      <c r="O2500">
        <v>102</v>
      </c>
      <c r="P2500">
        <v>1</v>
      </c>
      <c r="Q2500">
        <v>6944.9</v>
      </c>
      <c r="R2500" s="4">
        <v>45600</v>
      </c>
      <c r="S2500" s="6">
        <v>0.33847222222222223</v>
      </c>
      <c r="T2500">
        <f t="shared" si="158"/>
        <v>18</v>
      </c>
      <c r="U2500" t="str" cm="1">
        <f t="array" ref="U2500">_xlfn.IFS(M2500&lt;=34,"YOUNG",M2500&lt;=54,"MIDDLE AGE",M2500&gt;=55,"OLD")</f>
        <v>YOUNG</v>
      </c>
      <c r="V2500" t="str">
        <f t="shared" si="159"/>
        <v>NORMAL</v>
      </c>
    </row>
    <row r="2501" spans="1:22" x14ac:dyDescent="0.35">
      <c r="A2501" t="s">
        <v>4433</v>
      </c>
      <c r="B2501" t="s">
        <v>2707</v>
      </c>
      <c r="C2501">
        <v>557.78</v>
      </c>
      <c r="D2501" s="1">
        <v>45076.704907407409</v>
      </c>
      <c r="E2501" s="2">
        <f t="shared" si="156"/>
        <v>0.70490740740933688</v>
      </c>
      <c r="F2501" s="3">
        <f t="shared" si="157"/>
        <v>45076</v>
      </c>
      <c r="G2501" t="s">
        <v>46</v>
      </c>
      <c r="H2501" t="s">
        <v>425</v>
      </c>
      <c r="I2501" t="s">
        <v>2687</v>
      </c>
      <c r="J2501" t="s">
        <v>2381</v>
      </c>
      <c r="K2501" t="s">
        <v>831</v>
      </c>
      <c r="L2501" t="s">
        <v>69</v>
      </c>
      <c r="M2501">
        <v>26</v>
      </c>
      <c r="N2501" t="s">
        <v>37</v>
      </c>
      <c r="O2501">
        <v>102</v>
      </c>
      <c r="P2501">
        <v>1</v>
      </c>
      <c r="Q2501">
        <v>1289.48</v>
      </c>
      <c r="R2501" s="4">
        <v>45600</v>
      </c>
      <c r="S2501" s="6">
        <v>0.34112268518518518</v>
      </c>
      <c r="T2501">
        <f t="shared" si="158"/>
        <v>16</v>
      </c>
      <c r="U2501" t="str" cm="1">
        <f t="array" ref="U2501">_xlfn.IFS(M2501&lt;=34,"YOUNG",M2501&lt;=54,"MIDDLE AGE",M2501&gt;=55,"OLD")</f>
        <v>YOUNG</v>
      </c>
      <c r="V2501" t="str">
        <f t="shared" si="159"/>
        <v>NORMAL</v>
      </c>
    </row>
    <row r="2502" spans="1:22" x14ac:dyDescent="0.35">
      <c r="A2502" t="s">
        <v>4434</v>
      </c>
      <c r="B2502" t="s">
        <v>1301</v>
      </c>
      <c r="C2502">
        <v>325.60000000000002</v>
      </c>
      <c r="D2502" s="1">
        <v>45195.677499999998</v>
      </c>
      <c r="E2502" s="2">
        <f t="shared" si="156"/>
        <v>0.67749999999796273</v>
      </c>
      <c r="F2502" s="3">
        <f t="shared" si="157"/>
        <v>45195</v>
      </c>
      <c r="G2502" t="s">
        <v>17</v>
      </c>
      <c r="H2502" t="s">
        <v>323</v>
      </c>
      <c r="I2502" t="s">
        <v>1935</v>
      </c>
      <c r="J2502" t="s">
        <v>2054</v>
      </c>
      <c r="K2502" t="s">
        <v>607</v>
      </c>
      <c r="L2502" t="s">
        <v>22</v>
      </c>
      <c r="M2502">
        <v>69</v>
      </c>
      <c r="N2502" t="s">
        <v>23</v>
      </c>
      <c r="O2502">
        <v>88</v>
      </c>
      <c r="P2502">
        <v>1</v>
      </c>
      <c r="Q2502">
        <v>13777.1</v>
      </c>
      <c r="R2502" s="4">
        <v>45600</v>
      </c>
      <c r="S2502" s="6">
        <v>0.34084490740740742</v>
      </c>
      <c r="T2502">
        <f t="shared" si="158"/>
        <v>16</v>
      </c>
      <c r="U2502" t="str" cm="1">
        <f t="array" ref="U2502">_xlfn.IFS(M2502&lt;=34,"YOUNG",M2502&lt;=54,"MIDDLE AGE",M2502&gt;=55,"OLD")</f>
        <v>OLD</v>
      </c>
      <c r="V2502" t="str">
        <f t="shared" si="159"/>
        <v>NORMAL</v>
      </c>
    </row>
    <row r="2503" spans="1:22" x14ac:dyDescent="0.35">
      <c r="A2503" t="s">
        <v>4435</v>
      </c>
      <c r="B2503" t="s">
        <v>1821</v>
      </c>
      <c r="C2503">
        <v>235.83</v>
      </c>
      <c r="D2503" s="1">
        <v>45170.685300925928</v>
      </c>
      <c r="E2503" s="2">
        <f t="shared" si="156"/>
        <v>0.68530092592845904</v>
      </c>
      <c r="F2503" s="3">
        <f t="shared" si="157"/>
        <v>45170</v>
      </c>
      <c r="G2503" t="s">
        <v>46</v>
      </c>
      <c r="H2503" t="s">
        <v>92</v>
      </c>
      <c r="I2503" t="s">
        <v>2758</v>
      </c>
      <c r="J2503" t="s">
        <v>1868</v>
      </c>
      <c r="K2503" t="s">
        <v>445</v>
      </c>
      <c r="L2503" t="s">
        <v>36</v>
      </c>
      <c r="M2503">
        <v>53</v>
      </c>
      <c r="N2503" t="s">
        <v>77</v>
      </c>
      <c r="O2503">
        <v>169</v>
      </c>
      <c r="P2503">
        <v>1</v>
      </c>
      <c r="Q2503">
        <v>4120.75</v>
      </c>
      <c r="R2503" s="4">
        <v>45600</v>
      </c>
      <c r="S2503" s="6">
        <v>0.3395023148148148</v>
      </c>
      <c r="T2503">
        <f t="shared" si="158"/>
        <v>16</v>
      </c>
      <c r="U2503" t="str" cm="1">
        <f t="array" ref="U2503">_xlfn.IFS(M2503&lt;=34,"YOUNG",M2503&lt;=54,"MIDDLE AGE",M2503&gt;=55,"OLD")</f>
        <v>MIDDLE AGE</v>
      </c>
      <c r="V2503" t="str">
        <f t="shared" si="159"/>
        <v>NORMAL</v>
      </c>
    </row>
    <row r="2504" spans="1:22" x14ac:dyDescent="0.35">
      <c r="A2504" t="s">
        <v>4436</v>
      </c>
      <c r="B2504" t="s">
        <v>64</v>
      </c>
      <c r="C2504">
        <v>603.54</v>
      </c>
      <c r="D2504" s="1">
        <v>45037.682384259257</v>
      </c>
      <c r="E2504" s="2">
        <f t="shared" si="156"/>
        <v>0.68238425925665069</v>
      </c>
      <c r="F2504" s="3">
        <f t="shared" si="157"/>
        <v>45037</v>
      </c>
      <c r="G2504" t="s">
        <v>17</v>
      </c>
      <c r="H2504" t="s">
        <v>86</v>
      </c>
      <c r="I2504" t="s">
        <v>502</v>
      </c>
      <c r="J2504" t="s">
        <v>1315</v>
      </c>
      <c r="K2504" t="s">
        <v>175</v>
      </c>
      <c r="L2504" t="s">
        <v>36</v>
      </c>
      <c r="M2504">
        <v>44</v>
      </c>
      <c r="N2504" t="s">
        <v>23</v>
      </c>
      <c r="O2504">
        <v>26</v>
      </c>
      <c r="P2504">
        <v>1</v>
      </c>
      <c r="Q2504">
        <v>10517.47</v>
      </c>
      <c r="R2504" s="4">
        <v>45600</v>
      </c>
      <c r="S2504" s="6">
        <v>0.33898148148148149</v>
      </c>
      <c r="T2504">
        <f t="shared" si="158"/>
        <v>16</v>
      </c>
      <c r="U2504" t="str" cm="1">
        <f t="array" ref="U2504">_xlfn.IFS(M2504&lt;=34,"YOUNG",M2504&lt;=54,"MIDDLE AGE",M2504&gt;=55,"OLD")</f>
        <v>MIDDLE AGE</v>
      </c>
      <c r="V2504" t="str">
        <f t="shared" si="159"/>
        <v>NORMAL</v>
      </c>
    </row>
    <row r="2505" spans="1:22" x14ac:dyDescent="0.35">
      <c r="A2505" t="s">
        <v>4437</v>
      </c>
      <c r="B2505" t="s">
        <v>333</v>
      </c>
      <c r="C2505">
        <v>270.25</v>
      </c>
      <c r="D2505" s="1">
        <v>45236.706030092595</v>
      </c>
      <c r="E2505" s="2">
        <f t="shared" si="156"/>
        <v>0.70603009259502869</v>
      </c>
      <c r="F2505" s="3">
        <f t="shared" si="157"/>
        <v>45236</v>
      </c>
      <c r="G2505" t="s">
        <v>17</v>
      </c>
      <c r="H2505" t="s">
        <v>255</v>
      </c>
      <c r="I2505" t="s">
        <v>1245</v>
      </c>
      <c r="J2505" t="s">
        <v>1370</v>
      </c>
      <c r="K2505" t="s">
        <v>149</v>
      </c>
      <c r="L2505" t="s">
        <v>22</v>
      </c>
      <c r="M2505">
        <v>31</v>
      </c>
      <c r="N2505" t="s">
        <v>77</v>
      </c>
      <c r="O2505">
        <v>42</v>
      </c>
      <c r="P2505">
        <v>1</v>
      </c>
      <c r="Q2505">
        <v>5414.97</v>
      </c>
      <c r="R2505" s="4">
        <v>45600</v>
      </c>
      <c r="S2505" s="6">
        <v>0.34083333333333332</v>
      </c>
      <c r="T2505">
        <f t="shared" si="158"/>
        <v>16</v>
      </c>
      <c r="U2505" t="str" cm="1">
        <f t="array" ref="U2505">_xlfn.IFS(M2505&lt;=34,"YOUNG",M2505&lt;=54,"MIDDLE AGE",M2505&gt;=55,"OLD")</f>
        <v>YOUNG</v>
      </c>
      <c r="V2505" t="str">
        <f t="shared" si="159"/>
        <v>NORMAL</v>
      </c>
    </row>
    <row r="2506" spans="1:22" x14ac:dyDescent="0.35">
      <c r="A2506" t="s">
        <v>4438</v>
      </c>
      <c r="B2506" t="s">
        <v>839</v>
      </c>
      <c r="C2506">
        <v>123.38</v>
      </c>
      <c r="D2506" s="1">
        <v>45292.723564814813</v>
      </c>
      <c r="E2506" s="2">
        <f t="shared" si="156"/>
        <v>0.72356481481256196</v>
      </c>
      <c r="F2506" s="3">
        <f t="shared" si="157"/>
        <v>45292</v>
      </c>
      <c r="G2506" t="s">
        <v>17</v>
      </c>
      <c r="H2506" t="s">
        <v>285</v>
      </c>
      <c r="I2506" t="s">
        <v>2611</v>
      </c>
      <c r="J2506" t="s">
        <v>673</v>
      </c>
      <c r="K2506" t="s">
        <v>474</v>
      </c>
      <c r="L2506" t="s">
        <v>36</v>
      </c>
      <c r="M2506">
        <v>59</v>
      </c>
      <c r="N2506" t="s">
        <v>23</v>
      </c>
      <c r="O2506">
        <v>40</v>
      </c>
      <c r="P2506">
        <v>1</v>
      </c>
      <c r="Q2506">
        <v>13542.41</v>
      </c>
      <c r="R2506" s="4">
        <v>45600</v>
      </c>
      <c r="S2506" s="6">
        <v>0.34089120370370368</v>
      </c>
      <c r="T2506">
        <f t="shared" si="158"/>
        <v>17</v>
      </c>
      <c r="U2506" t="str" cm="1">
        <f t="array" ref="U2506">_xlfn.IFS(M2506&lt;=34,"YOUNG",M2506&lt;=54,"MIDDLE AGE",M2506&gt;=55,"OLD")</f>
        <v>OLD</v>
      </c>
      <c r="V2506" t="str">
        <f t="shared" si="159"/>
        <v>NORMAL</v>
      </c>
    </row>
    <row r="2507" spans="1:22" x14ac:dyDescent="0.35">
      <c r="A2507" t="s">
        <v>4439</v>
      </c>
      <c r="B2507" t="s">
        <v>2525</v>
      </c>
      <c r="C2507">
        <v>577.12</v>
      </c>
      <c r="D2507" s="1">
        <v>44953.734803240739</v>
      </c>
      <c r="E2507" s="2">
        <f t="shared" si="156"/>
        <v>0.73480324073898373</v>
      </c>
      <c r="F2507" s="3">
        <f t="shared" si="157"/>
        <v>44953</v>
      </c>
      <c r="G2507" t="s">
        <v>17</v>
      </c>
      <c r="H2507" t="s">
        <v>301</v>
      </c>
      <c r="I2507" t="s">
        <v>1461</v>
      </c>
      <c r="J2507" t="s">
        <v>2494</v>
      </c>
      <c r="K2507" t="s">
        <v>326</v>
      </c>
      <c r="L2507" t="s">
        <v>22</v>
      </c>
      <c r="M2507">
        <v>39</v>
      </c>
      <c r="N2507" t="s">
        <v>77</v>
      </c>
      <c r="O2507">
        <v>69</v>
      </c>
      <c r="P2507">
        <v>1</v>
      </c>
      <c r="Q2507">
        <v>5265.88</v>
      </c>
      <c r="R2507" s="4">
        <v>45600</v>
      </c>
      <c r="S2507" s="6">
        <v>0.34085648148148145</v>
      </c>
      <c r="T2507">
        <f t="shared" si="158"/>
        <v>17</v>
      </c>
      <c r="U2507" t="str" cm="1">
        <f t="array" ref="U2507">_xlfn.IFS(M2507&lt;=34,"YOUNG",M2507&lt;=54,"MIDDLE AGE",M2507&gt;=55,"OLD")</f>
        <v>MIDDLE AGE</v>
      </c>
      <c r="V2507" t="str">
        <f t="shared" si="159"/>
        <v>NORMAL</v>
      </c>
    </row>
    <row r="2508" spans="1:22" x14ac:dyDescent="0.35">
      <c r="A2508" t="s">
        <v>4440</v>
      </c>
      <c r="B2508" t="s">
        <v>817</v>
      </c>
      <c r="C2508">
        <v>92.24</v>
      </c>
      <c r="D2508" s="1">
        <v>45029.739965277775</v>
      </c>
      <c r="E2508" s="2">
        <f t="shared" si="156"/>
        <v>0.73996527777489973</v>
      </c>
      <c r="F2508" s="3">
        <f t="shared" si="157"/>
        <v>45029</v>
      </c>
      <c r="G2508" t="s">
        <v>17</v>
      </c>
      <c r="H2508" t="s">
        <v>243</v>
      </c>
      <c r="I2508" t="s">
        <v>902</v>
      </c>
      <c r="J2508" t="s">
        <v>2627</v>
      </c>
      <c r="K2508" t="s">
        <v>592</v>
      </c>
      <c r="L2508" t="s">
        <v>69</v>
      </c>
      <c r="M2508">
        <v>60</v>
      </c>
      <c r="N2508" t="s">
        <v>77</v>
      </c>
      <c r="O2508">
        <v>93</v>
      </c>
      <c r="P2508">
        <v>1</v>
      </c>
      <c r="Q2508">
        <v>6937.48</v>
      </c>
      <c r="R2508" s="4">
        <v>45600</v>
      </c>
      <c r="S2508" s="6">
        <v>0.3396527777777778</v>
      </c>
      <c r="T2508">
        <f t="shared" si="158"/>
        <v>17</v>
      </c>
      <c r="U2508" t="str" cm="1">
        <f t="array" ref="U2508">_xlfn.IFS(M2508&lt;=34,"YOUNG",M2508&lt;=54,"MIDDLE AGE",M2508&gt;=55,"OLD")</f>
        <v>OLD</v>
      </c>
      <c r="V2508" t="str">
        <f t="shared" si="159"/>
        <v>NORMAL</v>
      </c>
    </row>
    <row r="2509" spans="1:22" x14ac:dyDescent="0.35">
      <c r="A2509" t="s">
        <v>4441</v>
      </c>
      <c r="B2509" t="s">
        <v>2133</v>
      </c>
      <c r="C2509">
        <v>856.21</v>
      </c>
      <c r="D2509" s="1">
        <v>45042.714999999997</v>
      </c>
      <c r="E2509" s="2">
        <f t="shared" si="156"/>
        <v>0.71499999999650754</v>
      </c>
      <c r="F2509" s="3">
        <f t="shared" si="157"/>
        <v>45042</v>
      </c>
      <c r="G2509" t="s">
        <v>46</v>
      </c>
      <c r="H2509" t="s">
        <v>521</v>
      </c>
      <c r="I2509" t="s">
        <v>3106</v>
      </c>
      <c r="J2509" t="s">
        <v>4442</v>
      </c>
      <c r="K2509" t="s">
        <v>831</v>
      </c>
      <c r="L2509" t="s">
        <v>69</v>
      </c>
      <c r="M2509">
        <v>33</v>
      </c>
      <c r="N2509" t="s">
        <v>23</v>
      </c>
      <c r="O2509">
        <v>109</v>
      </c>
      <c r="P2509">
        <v>1</v>
      </c>
      <c r="Q2509">
        <v>12690.79</v>
      </c>
      <c r="R2509" s="4">
        <v>45600</v>
      </c>
      <c r="S2509" s="6">
        <v>0.34130787037037036</v>
      </c>
      <c r="T2509">
        <f t="shared" si="158"/>
        <v>17</v>
      </c>
      <c r="U2509" t="str" cm="1">
        <f t="array" ref="U2509">_xlfn.IFS(M2509&lt;=34,"YOUNG",M2509&lt;=54,"MIDDLE AGE",M2509&gt;=55,"OLD")</f>
        <v>YOUNG</v>
      </c>
      <c r="V2509" t="str">
        <f t="shared" si="159"/>
        <v>NORMAL</v>
      </c>
    </row>
    <row r="2510" spans="1:22" x14ac:dyDescent="0.35">
      <c r="A2510" t="s">
        <v>4443</v>
      </c>
      <c r="B2510" t="s">
        <v>1368</v>
      </c>
      <c r="C2510">
        <v>251.54</v>
      </c>
      <c r="D2510" s="1">
        <v>45007.733888888892</v>
      </c>
      <c r="E2510" s="2">
        <f t="shared" si="156"/>
        <v>0.73388888889166992</v>
      </c>
      <c r="F2510" s="3">
        <f t="shared" si="157"/>
        <v>45007</v>
      </c>
      <c r="G2510" t="s">
        <v>17</v>
      </c>
      <c r="H2510" t="s">
        <v>255</v>
      </c>
      <c r="I2510" t="s">
        <v>385</v>
      </c>
      <c r="J2510" t="s">
        <v>2167</v>
      </c>
      <c r="K2510" t="s">
        <v>175</v>
      </c>
      <c r="L2510" t="s">
        <v>69</v>
      </c>
      <c r="M2510">
        <v>48</v>
      </c>
      <c r="N2510" t="s">
        <v>23</v>
      </c>
      <c r="O2510">
        <v>177</v>
      </c>
      <c r="P2510">
        <v>1</v>
      </c>
      <c r="Q2510">
        <v>254.75</v>
      </c>
      <c r="R2510" s="4">
        <v>45600</v>
      </c>
      <c r="S2510" s="6">
        <v>0.34145833333333331</v>
      </c>
      <c r="T2510">
        <f t="shared" si="158"/>
        <v>17</v>
      </c>
      <c r="U2510" t="str" cm="1">
        <f t="array" ref="U2510">_xlfn.IFS(M2510&lt;=34,"YOUNG",M2510&lt;=54,"MIDDLE AGE",M2510&gt;=55,"OLD")</f>
        <v>MIDDLE AGE</v>
      </c>
      <c r="V2510" t="str">
        <f t="shared" si="159"/>
        <v>NORMAL</v>
      </c>
    </row>
    <row r="2511" spans="1:22" x14ac:dyDescent="0.35">
      <c r="A2511" t="s">
        <v>4444</v>
      </c>
      <c r="B2511" t="s">
        <v>151</v>
      </c>
      <c r="C2511">
        <v>28.63</v>
      </c>
      <c r="D2511" s="1">
        <v>45159.714467592596</v>
      </c>
      <c r="E2511" s="2">
        <f t="shared" si="156"/>
        <v>0.71446759259561077</v>
      </c>
      <c r="F2511" s="3">
        <f t="shared" si="157"/>
        <v>45159</v>
      </c>
      <c r="G2511" t="s">
        <v>17</v>
      </c>
      <c r="H2511" t="s">
        <v>18</v>
      </c>
      <c r="I2511" t="s">
        <v>1328</v>
      </c>
      <c r="J2511" t="s">
        <v>2775</v>
      </c>
      <c r="K2511" t="s">
        <v>343</v>
      </c>
      <c r="L2511" t="s">
        <v>69</v>
      </c>
      <c r="M2511">
        <v>56</v>
      </c>
      <c r="N2511" t="s">
        <v>70</v>
      </c>
      <c r="O2511">
        <v>146</v>
      </c>
      <c r="P2511">
        <v>1</v>
      </c>
      <c r="Q2511">
        <v>3382.91</v>
      </c>
      <c r="R2511" s="4">
        <v>45600</v>
      </c>
      <c r="S2511" s="6">
        <v>0.33934027777777775</v>
      </c>
      <c r="T2511">
        <f t="shared" si="158"/>
        <v>17</v>
      </c>
      <c r="U2511" t="str" cm="1">
        <f t="array" ref="U2511">_xlfn.IFS(M2511&lt;=34,"YOUNG",M2511&lt;=54,"MIDDLE AGE",M2511&gt;=55,"OLD")</f>
        <v>OLD</v>
      </c>
      <c r="V2511" t="str">
        <f t="shared" si="159"/>
        <v>NORMAL</v>
      </c>
    </row>
    <row r="2512" spans="1:22" x14ac:dyDescent="0.35">
      <c r="A2512" t="s">
        <v>4445</v>
      </c>
      <c r="B2512" t="s">
        <v>3215</v>
      </c>
      <c r="C2512">
        <v>185.97</v>
      </c>
      <c r="D2512" s="1">
        <v>44981.683865740742</v>
      </c>
      <c r="E2512" s="2">
        <f t="shared" si="156"/>
        <v>0.68386574074247619</v>
      </c>
      <c r="F2512" s="3">
        <f t="shared" si="157"/>
        <v>44981</v>
      </c>
      <c r="G2512" t="s">
        <v>17</v>
      </c>
      <c r="H2512" t="s">
        <v>114</v>
      </c>
      <c r="I2512" t="s">
        <v>2646</v>
      </c>
      <c r="J2512" t="s">
        <v>894</v>
      </c>
      <c r="K2512" t="s">
        <v>576</v>
      </c>
      <c r="L2512" t="s">
        <v>36</v>
      </c>
      <c r="M2512">
        <v>23</v>
      </c>
      <c r="N2512" t="s">
        <v>37</v>
      </c>
      <c r="O2512">
        <v>19</v>
      </c>
      <c r="P2512">
        <v>1</v>
      </c>
      <c r="Q2512">
        <v>1776.91</v>
      </c>
      <c r="R2512" s="4">
        <v>45600</v>
      </c>
      <c r="S2512" s="6">
        <v>0.34192129629629631</v>
      </c>
      <c r="T2512">
        <f t="shared" si="158"/>
        <v>16</v>
      </c>
      <c r="U2512" t="str" cm="1">
        <f t="array" ref="U2512">_xlfn.IFS(M2512&lt;=34,"YOUNG",M2512&lt;=54,"MIDDLE AGE",M2512&gt;=55,"OLD")</f>
        <v>YOUNG</v>
      </c>
      <c r="V2512" t="str">
        <f t="shared" si="159"/>
        <v>NORMAL</v>
      </c>
    </row>
    <row r="2513" spans="1:22" x14ac:dyDescent="0.35">
      <c r="A2513" t="s">
        <v>4446</v>
      </c>
      <c r="B2513" t="s">
        <v>1106</v>
      </c>
      <c r="C2513">
        <v>243.08</v>
      </c>
      <c r="D2513" s="1">
        <v>44971.681516203702</v>
      </c>
      <c r="E2513" s="2">
        <f t="shared" si="156"/>
        <v>0.68151620370190358</v>
      </c>
      <c r="F2513" s="3">
        <f t="shared" si="157"/>
        <v>44971</v>
      </c>
      <c r="G2513" t="s">
        <v>46</v>
      </c>
      <c r="H2513" t="s">
        <v>392</v>
      </c>
      <c r="I2513" t="s">
        <v>846</v>
      </c>
      <c r="J2513" t="s">
        <v>1523</v>
      </c>
      <c r="K2513" t="s">
        <v>576</v>
      </c>
      <c r="L2513" t="s">
        <v>36</v>
      </c>
      <c r="M2513">
        <v>24</v>
      </c>
      <c r="N2513" t="s">
        <v>37</v>
      </c>
      <c r="O2513">
        <v>93</v>
      </c>
      <c r="P2513">
        <v>1</v>
      </c>
      <c r="Q2513">
        <v>131.25</v>
      </c>
      <c r="R2513" s="4">
        <v>45600</v>
      </c>
      <c r="S2513" s="6">
        <v>0.33876157407407409</v>
      </c>
      <c r="T2513">
        <f t="shared" si="158"/>
        <v>16</v>
      </c>
      <c r="U2513" t="str" cm="1">
        <f t="array" ref="U2513">_xlfn.IFS(M2513&lt;=34,"YOUNG",M2513&lt;=54,"MIDDLE AGE",M2513&gt;=55,"OLD")</f>
        <v>YOUNG</v>
      </c>
      <c r="V2513" t="str">
        <f t="shared" si="159"/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15EC-613E-499A-8E14-BEE9D499A357}">
  <dimension ref="A1:V2513"/>
  <sheetViews>
    <sheetView tabSelected="1" topLeftCell="R1" workbookViewId="0">
      <selection activeCell="V1" sqref="V1"/>
    </sheetView>
  </sheetViews>
  <sheetFormatPr defaultRowHeight="14.5" x14ac:dyDescent="0.35"/>
  <cols>
    <col min="1" max="1" width="14.453125" style="7" customWidth="1"/>
    <col min="2" max="2" width="11.54296875" style="7" customWidth="1"/>
    <col min="3" max="3" width="19.1796875" style="5" customWidth="1"/>
    <col min="4" max="4" width="17.08984375" style="2" customWidth="1"/>
    <col min="5" max="5" width="16.90625" style="4" customWidth="1"/>
    <col min="6" max="6" width="16.54296875" style="7" customWidth="1"/>
    <col min="7" max="7" width="14.54296875" style="7" bestFit="1" customWidth="1"/>
    <col min="8" max="8" width="10.36328125" style="7" customWidth="1"/>
    <col min="9" max="9" width="14.54296875" style="7" bestFit="1" customWidth="1"/>
    <col min="10" max="10" width="12.54296875" style="7" customWidth="1"/>
    <col min="11" max="11" width="9.90625" style="7" customWidth="1"/>
    <col min="12" max="12" width="14" style="8" customWidth="1"/>
    <col min="13" max="13" width="20.7265625" style="7" customWidth="1"/>
    <col min="14" max="14" width="19.90625" style="8" customWidth="1"/>
    <col min="15" max="15" width="14.90625" style="8" customWidth="1"/>
    <col min="16" max="16" width="16.453125" style="5" customWidth="1"/>
    <col min="17" max="17" width="24.08984375" style="4" customWidth="1"/>
    <col min="18" max="18" width="24.26953125" style="9" customWidth="1"/>
    <col min="19" max="19" width="17" style="8" customWidth="1"/>
    <col min="20" max="20" width="11.26953125" style="7" customWidth="1"/>
    <col min="21" max="21" width="16.453125" style="7" customWidth="1"/>
  </cols>
  <sheetData>
    <row r="1" spans="1:22" x14ac:dyDescent="0.35">
      <c r="A1" s="7" t="s">
        <v>0</v>
      </c>
      <c r="B1" s="7" t="s">
        <v>1</v>
      </c>
      <c r="C1" s="5" t="s">
        <v>2</v>
      </c>
      <c r="D1" s="2" t="s">
        <v>4447</v>
      </c>
      <c r="E1" s="4" t="s">
        <v>4448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7" t="s">
        <v>11</v>
      </c>
      <c r="N1" s="8" t="s">
        <v>12</v>
      </c>
      <c r="O1" s="8" t="s">
        <v>13</v>
      </c>
      <c r="P1" s="5" t="s">
        <v>14</v>
      </c>
      <c r="Q1" s="4" t="s">
        <v>4449</v>
      </c>
      <c r="R1" s="9" t="s">
        <v>4450</v>
      </c>
      <c r="S1" s="8" t="s">
        <v>4451</v>
      </c>
      <c r="T1" s="7" t="s">
        <v>4452</v>
      </c>
      <c r="U1" s="7" t="s">
        <v>4453</v>
      </c>
      <c r="V1" t="s">
        <v>4459</v>
      </c>
    </row>
    <row r="2" spans="1:22" x14ac:dyDescent="0.35">
      <c r="A2" s="7" t="s">
        <v>15</v>
      </c>
      <c r="B2" s="7" t="s">
        <v>16</v>
      </c>
      <c r="C2" s="5">
        <v>14.09</v>
      </c>
      <c r="D2" s="2">
        <v>0.68696759259182727</v>
      </c>
      <c r="E2" s="4">
        <v>45027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8">
        <v>70</v>
      </c>
      <c r="M2" s="7" t="s">
        <v>23</v>
      </c>
      <c r="N2" s="8">
        <v>81</v>
      </c>
      <c r="O2" s="8">
        <v>1</v>
      </c>
      <c r="P2" s="5">
        <v>5112.21</v>
      </c>
      <c r="Q2" s="4">
        <v>45600</v>
      </c>
      <c r="R2" s="9">
        <v>0.33898148148148149</v>
      </c>
      <c r="S2" s="8">
        <v>16</v>
      </c>
      <c r="T2" s="7" t="s">
        <v>4454</v>
      </c>
      <c r="U2" s="7" t="s">
        <v>4455</v>
      </c>
      <c r="V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" spans="1:22" x14ac:dyDescent="0.35">
      <c r="A3" s="7" t="s">
        <v>24</v>
      </c>
      <c r="B3" s="7" t="s">
        <v>25</v>
      </c>
      <c r="C3" s="5">
        <v>376.24</v>
      </c>
      <c r="D3" s="2">
        <v>0.69744212963269092</v>
      </c>
      <c r="E3" s="4">
        <v>45104</v>
      </c>
      <c r="F3" s="7" t="s">
        <v>17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22</v>
      </c>
      <c r="L3" s="8">
        <v>68</v>
      </c>
      <c r="M3" s="7" t="s">
        <v>23</v>
      </c>
      <c r="N3" s="8">
        <v>141</v>
      </c>
      <c r="O3" s="8">
        <v>1</v>
      </c>
      <c r="P3" s="5">
        <v>13758.91</v>
      </c>
      <c r="Q3" s="4">
        <v>45600</v>
      </c>
      <c r="R3" s="9">
        <v>0.33998842592592593</v>
      </c>
      <c r="S3" s="8">
        <v>16</v>
      </c>
      <c r="T3" s="7" t="s">
        <v>4454</v>
      </c>
      <c r="U3" s="7" t="s">
        <v>4455</v>
      </c>
      <c r="V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" spans="1:22" x14ac:dyDescent="0.35">
      <c r="A4" s="7" t="s">
        <v>30</v>
      </c>
      <c r="B4" s="7" t="s">
        <v>31</v>
      </c>
      <c r="C4" s="5">
        <v>126.29</v>
      </c>
      <c r="D4" s="2">
        <v>0.76120370370335877</v>
      </c>
      <c r="E4" s="4">
        <v>45117</v>
      </c>
      <c r="F4" s="7" t="s">
        <v>17</v>
      </c>
      <c r="G4" s="7" t="s">
        <v>32</v>
      </c>
      <c r="H4" s="7" t="s">
        <v>33</v>
      </c>
      <c r="I4" s="7" t="s">
        <v>34</v>
      </c>
      <c r="J4" s="7" t="s">
        <v>35</v>
      </c>
      <c r="K4" s="7" t="s">
        <v>36</v>
      </c>
      <c r="L4" s="8">
        <v>19</v>
      </c>
      <c r="M4" s="7" t="s">
        <v>37</v>
      </c>
      <c r="N4" s="8">
        <v>56</v>
      </c>
      <c r="O4" s="8">
        <v>1</v>
      </c>
      <c r="P4" s="5">
        <v>1122.3499999999999</v>
      </c>
      <c r="Q4" s="4">
        <v>45600</v>
      </c>
      <c r="R4" s="9">
        <v>0.33824074074074073</v>
      </c>
      <c r="S4" s="8">
        <v>18</v>
      </c>
      <c r="T4" s="7" t="s">
        <v>4456</v>
      </c>
      <c r="U4" s="7" t="s">
        <v>4455</v>
      </c>
      <c r="V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" spans="1:22" x14ac:dyDescent="0.35">
      <c r="A5" s="7" t="s">
        <v>38</v>
      </c>
      <c r="B5" s="7" t="s">
        <v>39</v>
      </c>
      <c r="C5" s="5">
        <v>184.5</v>
      </c>
      <c r="D5" s="2">
        <v>0.68901620370161254</v>
      </c>
      <c r="E5" s="4">
        <v>45051</v>
      </c>
      <c r="F5" s="7" t="s">
        <v>17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36</v>
      </c>
      <c r="L5" s="8">
        <v>26</v>
      </c>
      <c r="M5" s="7" t="s">
        <v>37</v>
      </c>
      <c r="N5" s="8">
        <v>25</v>
      </c>
      <c r="O5" s="8">
        <v>1</v>
      </c>
      <c r="P5" s="5">
        <v>8569.06</v>
      </c>
      <c r="Q5" s="4">
        <v>45600</v>
      </c>
      <c r="R5" s="9">
        <v>0.3396527777777778</v>
      </c>
      <c r="S5" s="8">
        <v>16</v>
      </c>
      <c r="T5" s="7" t="s">
        <v>4456</v>
      </c>
      <c r="U5" s="7" t="s">
        <v>4455</v>
      </c>
      <c r="V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" spans="1:22" x14ac:dyDescent="0.35">
      <c r="A6" s="7" t="s">
        <v>44</v>
      </c>
      <c r="B6" s="7" t="s">
        <v>45</v>
      </c>
      <c r="C6" s="5">
        <v>13.45</v>
      </c>
      <c r="D6" s="2">
        <v>0.74402777777868323</v>
      </c>
      <c r="E6" s="4">
        <v>45215</v>
      </c>
      <c r="F6" s="7" t="s">
        <v>46</v>
      </c>
      <c r="G6" s="7" t="s">
        <v>47</v>
      </c>
      <c r="H6" s="7" t="s">
        <v>48</v>
      </c>
      <c r="I6" s="7" t="s">
        <v>49</v>
      </c>
      <c r="J6" s="7" t="s">
        <v>50</v>
      </c>
      <c r="K6" s="7" t="s">
        <v>36</v>
      </c>
      <c r="L6" s="8">
        <v>26</v>
      </c>
      <c r="M6" s="7" t="s">
        <v>37</v>
      </c>
      <c r="N6" s="8">
        <v>198</v>
      </c>
      <c r="O6" s="8">
        <v>1</v>
      </c>
      <c r="P6" s="5">
        <v>7429.4</v>
      </c>
      <c r="Q6" s="4">
        <v>45600</v>
      </c>
      <c r="R6" s="9">
        <v>0.33795138888888887</v>
      </c>
      <c r="S6" s="8">
        <v>17</v>
      </c>
      <c r="T6" s="7" t="s">
        <v>4456</v>
      </c>
      <c r="U6" s="7" t="s">
        <v>4455</v>
      </c>
      <c r="V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" spans="1:22" x14ac:dyDescent="0.35">
      <c r="A7" s="7" t="s">
        <v>51</v>
      </c>
      <c r="B7" s="7" t="s">
        <v>52</v>
      </c>
      <c r="C7" s="5">
        <v>92.15</v>
      </c>
      <c r="D7" s="2">
        <v>0.71876157407677965</v>
      </c>
      <c r="E7" s="4">
        <v>45019</v>
      </c>
      <c r="F7" s="7" t="s">
        <v>17</v>
      </c>
      <c r="G7" s="7" t="s">
        <v>53</v>
      </c>
      <c r="H7" s="7" t="s">
        <v>54</v>
      </c>
      <c r="I7" s="7" t="s">
        <v>55</v>
      </c>
      <c r="J7" s="7" t="s">
        <v>56</v>
      </c>
      <c r="K7" s="7" t="s">
        <v>22</v>
      </c>
      <c r="L7" s="8">
        <v>18</v>
      </c>
      <c r="M7" s="7" t="s">
        <v>37</v>
      </c>
      <c r="N7" s="8">
        <v>172</v>
      </c>
      <c r="O7" s="8">
        <v>1</v>
      </c>
      <c r="P7" s="5">
        <v>781.68</v>
      </c>
      <c r="Q7" s="4">
        <v>45600</v>
      </c>
      <c r="R7" s="9">
        <v>0.33791666666666664</v>
      </c>
      <c r="S7" s="8">
        <v>17</v>
      </c>
      <c r="T7" s="7" t="s">
        <v>4456</v>
      </c>
      <c r="U7" s="7" t="s">
        <v>4455</v>
      </c>
      <c r="V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" spans="1:22" x14ac:dyDescent="0.35">
      <c r="A8" s="7" t="s">
        <v>57</v>
      </c>
      <c r="B8" s="7" t="s">
        <v>58</v>
      </c>
      <c r="C8" s="5">
        <v>7.08</v>
      </c>
      <c r="D8" s="2">
        <v>0.69222222222015262</v>
      </c>
      <c r="E8" s="4">
        <v>44972</v>
      </c>
      <c r="F8" s="7" t="s">
        <v>46</v>
      </c>
      <c r="G8" s="7" t="s">
        <v>59</v>
      </c>
      <c r="H8" s="7" t="s">
        <v>60</v>
      </c>
      <c r="I8" s="7" t="s">
        <v>61</v>
      </c>
      <c r="J8" s="7" t="s">
        <v>62</v>
      </c>
      <c r="K8" s="7" t="s">
        <v>22</v>
      </c>
      <c r="L8" s="8">
        <v>37</v>
      </c>
      <c r="M8" s="7" t="s">
        <v>23</v>
      </c>
      <c r="N8" s="8">
        <v>139</v>
      </c>
      <c r="O8" s="8">
        <v>1</v>
      </c>
      <c r="P8" s="5">
        <v>13316.71</v>
      </c>
      <c r="Q8" s="4">
        <v>45600</v>
      </c>
      <c r="R8" s="9">
        <v>0.34038194444444442</v>
      </c>
      <c r="S8" s="8">
        <v>16</v>
      </c>
      <c r="T8" s="7" t="s">
        <v>4457</v>
      </c>
      <c r="U8" s="7" t="s">
        <v>4455</v>
      </c>
      <c r="V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" spans="1:22" x14ac:dyDescent="0.35">
      <c r="A9" s="7" t="s">
        <v>63</v>
      </c>
      <c r="B9" s="7" t="s">
        <v>64</v>
      </c>
      <c r="C9" s="5">
        <v>171.42</v>
      </c>
      <c r="D9" s="2">
        <v>0.74165509259182727</v>
      </c>
      <c r="E9" s="4">
        <v>45054</v>
      </c>
      <c r="F9" s="7" t="s">
        <v>46</v>
      </c>
      <c r="G9" s="7" t="s">
        <v>65</v>
      </c>
      <c r="H9" s="7" t="s">
        <v>66</v>
      </c>
      <c r="I9" s="7" t="s">
        <v>67</v>
      </c>
      <c r="J9" s="7" t="s">
        <v>68</v>
      </c>
      <c r="K9" s="7" t="s">
        <v>69</v>
      </c>
      <c r="L9" s="8">
        <v>67</v>
      </c>
      <c r="M9" s="7" t="s">
        <v>70</v>
      </c>
      <c r="N9" s="8">
        <v>291</v>
      </c>
      <c r="O9" s="8">
        <v>1</v>
      </c>
      <c r="P9" s="5">
        <v>2796.24</v>
      </c>
      <c r="Q9" s="4">
        <v>45600</v>
      </c>
      <c r="R9" s="9">
        <v>0.34091435185185187</v>
      </c>
      <c r="S9" s="8">
        <v>17</v>
      </c>
      <c r="T9" s="7" t="s">
        <v>4454</v>
      </c>
      <c r="U9" s="7" t="s">
        <v>4455</v>
      </c>
      <c r="V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" spans="1:22" x14ac:dyDescent="0.35">
      <c r="A10" s="7" t="s">
        <v>71</v>
      </c>
      <c r="B10" s="7" t="s">
        <v>72</v>
      </c>
      <c r="C10" s="5">
        <v>106.23</v>
      </c>
      <c r="D10" s="2">
        <v>0.70817129629722331</v>
      </c>
      <c r="E10" s="4">
        <v>45006</v>
      </c>
      <c r="F10" s="7" t="s">
        <v>46</v>
      </c>
      <c r="G10" s="7" t="s">
        <v>73</v>
      </c>
      <c r="H10" s="7" t="s">
        <v>74</v>
      </c>
      <c r="I10" s="7" t="s">
        <v>75</v>
      </c>
      <c r="J10" s="7" t="s">
        <v>76</v>
      </c>
      <c r="K10" s="7" t="s">
        <v>69</v>
      </c>
      <c r="L10" s="8">
        <v>51</v>
      </c>
      <c r="M10" s="7" t="s">
        <v>77</v>
      </c>
      <c r="N10" s="8">
        <v>86</v>
      </c>
      <c r="O10" s="8">
        <v>1</v>
      </c>
      <c r="P10" s="5">
        <v>9095.14</v>
      </c>
      <c r="Q10" s="4">
        <v>45600</v>
      </c>
      <c r="R10" s="9">
        <v>0.34113425925925928</v>
      </c>
      <c r="S10" s="8">
        <v>16</v>
      </c>
      <c r="T10" s="7" t="s">
        <v>4457</v>
      </c>
      <c r="U10" s="7" t="s">
        <v>4455</v>
      </c>
      <c r="V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" spans="1:22" x14ac:dyDescent="0.35">
      <c r="A11" s="7" t="s">
        <v>78</v>
      </c>
      <c r="B11" s="7" t="s">
        <v>79</v>
      </c>
      <c r="C11" s="5">
        <v>815.96</v>
      </c>
      <c r="D11" s="2">
        <v>0.67149305555358296</v>
      </c>
      <c r="E11" s="4">
        <v>45016</v>
      </c>
      <c r="F11" s="7" t="s">
        <v>17</v>
      </c>
      <c r="G11" s="7" t="s">
        <v>80</v>
      </c>
      <c r="H11" s="7" t="s">
        <v>81</v>
      </c>
      <c r="I11" s="7" t="s">
        <v>82</v>
      </c>
      <c r="J11" s="7" t="s">
        <v>83</v>
      </c>
      <c r="K11" s="7" t="s">
        <v>22</v>
      </c>
      <c r="L11" s="8">
        <v>55</v>
      </c>
      <c r="M11" s="7" t="s">
        <v>23</v>
      </c>
      <c r="N11" s="8">
        <v>120</v>
      </c>
      <c r="O11" s="8">
        <v>1</v>
      </c>
      <c r="P11" s="5">
        <v>1021.88</v>
      </c>
      <c r="Q11" s="4">
        <v>45600</v>
      </c>
      <c r="R11" s="9">
        <v>0.33787037037037038</v>
      </c>
      <c r="S11" s="8">
        <v>16</v>
      </c>
      <c r="T11" s="7" t="s">
        <v>4454</v>
      </c>
      <c r="U11" s="7" t="s">
        <v>4455</v>
      </c>
      <c r="V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" spans="1:22" x14ac:dyDescent="0.35">
      <c r="A12" s="7" t="s">
        <v>84</v>
      </c>
      <c r="B12" s="7" t="s">
        <v>85</v>
      </c>
      <c r="C12" s="5">
        <v>17.78</v>
      </c>
      <c r="D12" s="2">
        <v>0.69872685184964212</v>
      </c>
      <c r="E12" s="4">
        <v>44999</v>
      </c>
      <c r="F12" s="7" t="s">
        <v>46</v>
      </c>
      <c r="G12" s="7" t="s">
        <v>86</v>
      </c>
      <c r="H12" s="7" t="s">
        <v>87</v>
      </c>
      <c r="I12" s="7" t="s">
        <v>88</v>
      </c>
      <c r="J12" s="7" t="s">
        <v>89</v>
      </c>
      <c r="K12" s="7" t="s">
        <v>36</v>
      </c>
      <c r="L12" s="8">
        <v>52</v>
      </c>
      <c r="M12" s="7" t="s">
        <v>77</v>
      </c>
      <c r="N12" s="8">
        <v>59</v>
      </c>
      <c r="O12" s="8">
        <v>1</v>
      </c>
      <c r="P12" s="5">
        <v>7599.52</v>
      </c>
      <c r="Q12" s="4">
        <v>45600</v>
      </c>
      <c r="R12" s="9">
        <v>0.33802083333333333</v>
      </c>
      <c r="S12" s="8">
        <v>16</v>
      </c>
      <c r="T12" s="7" t="s">
        <v>4457</v>
      </c>
      <c r="U12" s="7" t="s">
        <v>4455</v>
      </c>
      <c r="V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" spans="1:22" x14ac:dyDescent="0.35">
      <c r="A13" s="7" t="s">
        <v>90</v>
      </c>
      <c r="B13" s="7" t="s">
        <v>91</v>
      </c>
      <c r="C13" s="5">
        <v>190.02</v>
      </c>
      <c r="D13" s="2">
        <v>0.72916666666424135</v>
      </c>
      <c r="E13" s="4">
        <v>44963</v>
      </c>
      <c r="F13" s="7" t="s">
        <v>17</v>
      </c>
      <c r="G13" s="7" t="s">
        <v>92</v>
      </c>
      <c r="H13" s="7" t="s">
        <v>93</v>
      </c>
      <c r="I13" s="7" t="s">
        <v>94</v>
      </c>
      <c r="J13" s="7" t="s">
        <v>95</v>
      </c>
      <c r="K13" s="7" t="s">
        <v>36</v>
      </c>
      <c r="L13" s="8">
        <v>21</v>
      </c>
      <c r="M13" s="7" t="s">
        <v>37</v>
      </c>
      <c r="N13" s="8">
        <v>173</v>
      </c>
      <c r="O13" s="8">
        <v>1</v>
      </c>
      <c r="P13" s="5">
        <v>1528.81</v>
      </c>
      <c r="Q13" s="4">
        <v>45600</v>
      </c>
      <c r="R13" s="9">
        <v>0.33833333333333332</v>
      </c>
      <c r="S13" s="8">
        <v>17</v>
      </c>
      <c r="T13" s="7" t="s">
        <v>4456</v>
      </c>
      <c r="U13" s="7" t="s">
        <v>4455</v>
      </c>
      <c r="V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" spans="1:22" x14ac:dyDescent="0.35">
      <c r="A14" s="7" t="s">
        <v>96</v>
      </c>
      <c r="B14" s="7" t="s">
        <v>97</v>
      </c>
      <c r="C14" s="5">
        <v>494.52</v>
      </c>
      <c r="D14" s="2">
        <v>0.72324074074276723</v>
      </c>
      <c r="E14" s="4">
        <v>45084</v>
      </c>
      <c r="F14" s="7" t="s">
        <v>46</v>
      </c>
      <c r="G14" s="7" t="s">
        <v>32</v>
      </c>
      <c r="H14" s="7" t="s">
        <v>98</v>
      </c>
      <c r="I14" s="7" t="s">
        <v>99</v>
      </c>
      <c r="J14" s="7" t="s">
        <v>100</v>
      </c>
      <c r="K14" s="7" t="s">
        <v>69</v>
      </c>
      <c r="L14" s="8">
        <v>24</v>
      </c>
      <c r="M14" s="7" t="s">
        <v>37</v>
      </c>
      <c r="N14" s="8">
        <v>111</v>
      </c>
      <c r="O14" s="8">
        <v>1</v>
      </c>
      <c r="P14" s="5">
        <v>1620.02</v>
      </c>
      <c r="Q14" s="4">
        <v>45600</v>
      </c>
      <c r="R14" s="9">
        <v>0.33932870370370372</v>
      </c>
      <c r="S14" s="8">
        <v>17</v>
      </c>
      <c r="T14" s="7" t="s">
        <v>4456</v>
      </c>
      <c r="U14" s="7" t="s">
        <v>4455</v>
      </c>
      <c r="V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" spans="1:22" x14ac:dyDescent="0.35">
      <c r="A15" s="7" t="s">
        <v>101</v>
      </c>
      <c r="B15" s="7" t="s">
        <v>102</v>
      </c>
      <c r="C15" s="5">
        <v>781.76</v>
      </c>
      <c r="D15" s="2">
        <v>0.69392361111385981</v>
      </c>
      <c r="E15" s="4">
        <v>45250</v>
      </c>
      <c r="F15" s="7" t="s">
        <v>17</v>
      </c>
      <c r="G15" s="7" t="s">
        <v>92</v>
      </c>
      <c r="H15" s="7" t="s">
        <v>103</v>
      </c>
      <c r="I15" s="7" t="s">
        <v>104</v>
      </c>
      <c r="J15" s="7" t="s">
        <v>105</v>
      </c>
      <c r="K15" s="7" t="s">
        <v>22</v>
      </c>
      <c r="L15" s="8">
        <v>26</v>
      </c>
      <c r="M15" s="7" t="s">
        <v>37</v>
      </c>
      <c r="N15" s="8">
        <v>123</v>
      </c>
      <c r="O15" s="8">
        <v>1</v>
      </c>
      <c r="P15" s="5">
        <v>189.69</v>
      </c>
      <c r="Q15" s="4">
        <v>45600</v>
      </c>
      <c r="R15" s="9">
        <v>0.33826388888888886</v>
      </c>
      <c r="S15" s="8">
        <v>16</v>
      </c>
      <c r="T15" s="7" t="s">
        <v>4456</v>
      </c>
      <c r="U15" s="7" t="s">
        <v>4455</v>
      </c>
      <c r="V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" spans="1:22" x14ac:dyDescent="0.35">
      <c r="A16" s="7" t="s">
        <v>106</v>
      </c>
      <c r="B16" s="7" t="s">
        <v>107</v>
      </c>
      <c r="C16" s="5">
        <v>166.99</v>
      </c>
      <c r="D16" s="2">
        <v>0.70413194444699911</v>
      </c>
      <c r="E16" s="4">
        <v>44970</v>
      </c>
      <c r="F16" s="7" t="s">
        <v>17</v>
      </c>
      <c r="G16" s="7" t="s">
        <v>108</v>
      </c>
      <c r="H16" s="7" t="s">
        <v>109</v>
      </c>
      <c r="I16" s="7" t="s">
        <v>110</v>
      </c>
      <c r="J16" s="7" t="s">
        <v>111</v>
      </c>
      <c r="K16" s="7" t="s">
        <v>36</v>
      </c>
      <c r="L16" s="8">
        <v>18</v>
      </c>
      <c r="M16" s="7" t="s">
        <v>37</v>
      </c>
      <c r="N16" s="8">
        <v>134</v>
      </c>
      <c r="O16" s="8">
        <v>1</v>
      </c>
      <c r="P16" s="5">
        <v>299.93</v>
      </c>
      <c r="Q16" s="4">
        <v>45600</v>
      </c>
      <c r="R16" s="9">
        <v>0.34038194444444442</v>
      </c>
      <c r="S16" s="8">
        <v>16</v>
      </c>
      <c r="T16" s="7" t="s">
        <v>4456</v>
      </c>
      <c r="U16" s="7" t="s">
        <v>4455</v>
      </c>
      <c r="V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" spans="1:22" x14ac:dyDescent="0.35">
      <c r="A17" s="7" t="s">
        <v>112</v>
      </c>
      <c r="B17" s="7" t="s">
        <v>113</v>
      </c>
      <c r="C17" s="5">
        <v>465.45</v>
      </c>
      <c r="D17" s="2">
        <v>0.68299768518772908</v>
      </c>
      <c r="E17" s="4">
        <v>45272</v>
      </c>
      <c r="F17" s="7" t="s">
        <v>17</v>
      </c>
      <c r="G17" s="7" t="s">
        <v>114</v>
      </c>
      <c r="H17" s="7" t="s">
        <v>115</v>
      </c>
      <c r="I17" s="7" t="s">
        <v>116</v>
      </c>
      <c r="J17" s="7" t="s">
        <v>105</v>
      </c>
      <c r="K17" s="7" t="s">
        <v>22</v>
      </c>
      <c r="L17" s="8">
        <v>36</v>
      </c>
      <c r="M17" s="7" t="s">
        <v>77</v>
      </c>
      <c r="N17" s="8">
        <v>129</v>
      </c>
      <c r="O17" s="8">
        <v>1</v>
      </c>
      <c r="P17" s="5">
        <v>3465.54</v>
      </c>
      <c r="Q17" s="4">
        <v>45600</v>
      </c>
      <c r="R17" s="9">
        <v>0.34188657407407408</v>
      </c>
      <c r="S17" s="8">
        <v>16</v>
      </c>
      <c r="T17" s="7" t="s">
        <v>4457</v>
      </c>
      <c r="U17" s="7" t="s">
        <v>4455</v>
      </c>
      <c r="V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" spans="1:22" x14ac:dyDescent="0.35">
      <c r="A18" s="7" t="s">
        <v>117</v>
      </c>
      <c r="B18" s="7" t="s">
        <v>118</v>
      </c>
      <c r="C18" s="5">
        <v>555.79999999999995</v>
      </c>
      <c r="D18" s="2">
        <v>0.70334490740788169</v>
      </c>
      <c r="E18" s="4">
        <v>45229</v>
      </c>
      <c r="F18" s="7" t="s">
        <v>46</v>
      </c>
      <c r="G18" s="7" t="s">
        <v>119</v>
      </c>
      <c r="H18" s="7" t="s">
        <v>120</v>
      </c>
      <c r="I18" s="7" t="s">
        <v>121</v>
      </c>
      <c r="J18" s="7" t="s">
        <v>122</v>
      </c>
      <c r="K18" s="7" t="s">
        <v>69</v>
      </c>
      <c r="L18" s="8">
        <v>19</v>
      </c>
      <c r="M18" s="7" t="s">
        <v>37</v>
      </c>
      <c r="N18" s="8">
        <v>158</v>
      </c>
      <c r="O18" s="8">
        <v>1</v>
      </c>
      <c r="P18" s="5">
        <v>1131.26</v>
      </c>
      <c r="Q18" s="4">
        <v>45600</v>
      </c>
      <c r="R18" s="9">
        <v>0.33859953703703705</v>
      </c>
      <c r="S18" s="8">
        <v>16</v>
      </c>
      <c r="T18" s="7" t="s">
        <v>4456</v>
      </c>
      <c r="U18" s="7" t="s">
        <v>4455</v>
      </c>
      <c r="V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" spans="1:22" x14ac:dyDescent="0.35">
      <c r="A19" s="7" t="s">
        <v>123</v>
      </c>
      <c r="B19" s="7" t="s">
        <v>124</v>
      </c>
      <c r="C19" s="5">
        <v>492.93</v>
      </c>
      <c r="D19" s="2">
        <v>0.77238425926043419</v>
      </c>
      <c r="E19" s="4">
        <v>45274</v>
      </c>
      <c r="F19" s="7" t="s">
        <v>17</v>
      </c>
      <c r="G19" s="7" t="s">
        <v>125</v>
      </c>
      <c r="H19" s="7" t="s">
        <v>126</v>
      </c>
      <c r="I19" s="7" t="s">
        <v>127</v>
      </c>
      <c r="J19" s="7" t="s">
        <v>128</v>
      </c>
      <c r="K19" s="7" t="s">
        <v>36</v>
      </c>
      <c r="L19" s="8">
        <v>39</v>
      </c>
      <c r="M19" s="7" t="s">
        <v>77</v>
      </c>
      <c r="N19" s="8">
        <v>234</v>
      </c>
      <c r="O19" s="8">
        <v>1</v>
      </c>
      <c r="P19" s="5">
        <v>5109.97</v>
      </c>
      <c r="Q19" s="4">
        <v>45600</v>
      </c>
      <c r="R19" s="9">
        <v>0.34156249999999999</v>
      </c>
      <c r="S19" s="8">
        <v>18</v>
      </c>
      <c r="T19" s="7" t="s">
        <v>4457</v>
      </c>
      <c r="U19" s="7" t="s">
        <v>4455</v>
      </c>
      <c r="V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" spans="1:22" x14ac:dyDescent="0.35">
      <c r="A20" s="7" t="s">
        <v>129</v>
      </c>
      <c r="B20" s="7" t="s">
        <v>130</v>
      </c>
      <c r="C20" s="5">
        <v>18.68</v>
      </c>
      <c r="D20" s="2">
        <v>0.70613425925694173</v>
      </c>
      <c r="E20" s="4">
        <v>44978</v>
      </c>
      <c r="F20" s="7" t="s">
        <v>46</v>
      </c>
      <c r="G20" s="7" t="s">
        <v>86</v>
      </c>
      <c r="H20" s="7" t="s">
        <v>131</v>
      </c>
      <c r="I20" s="7" t="s">
        <v>132</v>
      </c>
      <c r="J20" s="7" t="s">
        <v>56</v>
      </c>
      <c r="K20" s="7" t="s">
        <v>69</v>
      </c>
      <c r="L20" s="8">
        <v>59</v>
      </c>
      <c r="M20" s="7" t="s">
        <v>70</v>
      </c>
      <c r="N20" s="8">
        <v>106</v>
      </c>
      <c r="O20" s="8">
        <v>1</v>
      </c>
      <c r="P20" s="5">
        <v>7948.37</v>
      </c>
      <c r="Q20" s="4">
        <v>45600</v>
      </c>
      <c r="R20" s="9">
        <v>0.34167824074074077</v>
      </c>
      <c r="S20" s="8">
        <v>16</v>
      </c>
      <c r="T20" s="7" t="s">
        <v>4454</v>
      </c>
      <c r="U20" s="7" t="s">
        <v>4455</v>
      </c>
      <c r="V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" spans="1:22" x14ac:dyDescent="0.35">
      <c r="A21" s="7" t="s">
        <v>133</v>
      </c>
      <c r="B21" s="7" t="s">
        <v>134</v>
      </c>
      <c r="C21" s="5">
        <v>71.48</v>
      </c>
      <c r="D21" s="2">
        <v>0.763078703705105</v>
      </c>
      <c r="E21" s="4">
        <v>45085</v>
      </c>
      <c r="F21" s="7" t="s">
        <v>46</v>
      </c>
      <c r="G21" s="7" t="s">
        <v>125</v>
      </c>
      <c r="H21" s="7" t="s">
        <v>135</v>
      </c>
      <c r="I21" s="7" t="s">
        <v>136</v>
      </c>
      <c r="J21" s="7" t="s">
        <v>137</v>
      </c>
      <c r="K21" s="7" t="s">
        <v>36</v>
      </c>
      <c r="L21" s="8">
        <v>18</v>
      </c>
      <c r="M21" s="7" t="s">
        <v>37</v>
      </c>
      <c r="N21" s="8">
        <v>169</v>
      </c>
      <c r="O21" s="8">
        <v>1</v>
      </c>
      <c r="P21" s="5">
        <v>6568.59</v>
      </c>
      <c r="Q21" s="4">
        <v>45600</v>
      </c>
      <c r="R21" s="9">
        <v>0.33981481481481479</v>
      </c>
      <c r="S21" s="8">
        <v>18</v>
      </c>
      <c r="T21" s="7" t="s">
        <v>4456</v>
      </c>
      <c r="U21" s="7" t="s">
        <v>4455</v>
      </c>
      <c r="V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" spans="1:22" x14ac:dyDescent="0.35">
      <c r="A22" s="7" t="s">
        <v>138</v>
      </c>
      <c r="B22" s="7" t="s">
        <v>139</v>
      </c>
      <c r="C22" s="5">
        <v>59.32</v>
      </c>
      <c r="D22" s="2">
        <v>0.69233796296612127</v>
      </c>
      <c r="E22" s="4">
        <v>44985</v>
      </c>
      <c r="F22" s="7" t="s">
        <v>17</v>
      </c>
      <c r="G22" s="7" t="s">
        <v>140</v>
      </c>
      <c r="H22" s="7" t="s">
        <v>141</v>
      </c>
      <c r="I22" s="7" t="s">
        <v>142</v>
      </c>
      <c r="J22" s="7" t="s">
        <v>143</v>
      </c>
      <c r="K22" s="7" t="s">
        <v>69</v>
      </c>
      <c r="L22" s="8">
        <v>71</v>
      </c>
      <c r="M22" s="7" t="s">
        <v>70</v>
      </c>
      <c r="N22" s="8">
        <v>38</v>
      </c>
      <c r="O22" s="8">
        <v>1</v>
      </c>
      <c r="P22" s="5">
        <v>5750.89</v>
      </c>
      <c r="Q22" s="4">
        <v>45600</v>
      </c>
      <c r="R22" s="9">
        <v>0.33986111111111111</v>
      </c>
      <c r="S22" s="8">
        <v>16</v>
      </c>
      <c r="T22" s="7" t="s">
        <v>4454</v>
      </c>
      <c r="U22" s="7" t="s">
        <v>4455</v>
      </c>
      <c r="V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" spans="1:22" x14ac:dyDescent="0.35">
      <c r="A23" s="7" t="s">
        <v>144</v>
      </c>
      <c r="B23" s="7" t="s">
        <v>145</v>
      </c>
      <c r="C23" s="5">
        <v>85.77</v>
      </c>
      <c r="D23" s="2">
        <v>0.77188657407532446</v>
      </c>
      <c r="E23" s="4">
        <v>45149</v>
      </c>
      <c r="F23" s="7" t="s">
        <v>17</v>
      </c>
      <c r="G23" s="7" t="s">
        <v>146</v>
      </c>
      <c r="H23" s="7" t="s">
        <v>147</v>
      </c>
      <c r="I23" s="7" t="s">
        <v>148</v>
      </c>
      <c r="J23" s="7" t="s">
        <v>149</v>
      </c>
      <c r="K23" s="7" t="s">
        <v>69</v>
      </c>
      <c r="L23" s="8">
        <v>38</v>
      </c>
      <c r="M23" s="7" t="s">
        <v>23</v>
      </c>
      <c r="N23" s="8">
        <v>93</v>
      </c>
      <c r="O23" s="8">
        <v>1</v>
      </c>
      <c r="P23" s="5">
        <v>9146.19</v>
      </c>
      <c r="Q23" s="4">
        <v>45600</v>
      </c>
      <c r="R23" s="9">
        <v>0.33903935185185186</v>
      </c>
      <c r="S23" s="8">
        <v>18</v>
      </c>
      <c r="T23" s="7" t="s">
        <v>4457</v>
      </c>
      <c r="U23" s="7" t="s">
        <v>4455</v>
      </c>
      <c r="V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" spans="1:22" x14ac:dyDescent="0.35">
      <c r="A24" s="7" t="s">
        <v>150</v>
      </c>
      <c r="B24" s="7" t="s">
        <v>151</v>
      </c>
      <c r="C24" s="5">
        <v>52.2</v>
      </c>
      <c r="D24" s="2">
        <v>0.78767361111385981</v>
      </c>
      <c r="E24" s="4">
        <v>45083</v>
      </c>
      <c r="F24" s="7" t="s">
        <v>17</v>
      </c>
      <c r="G24" s="7" t="s">
        <v>47</v>
      </c>
      <c r="H24" s="7" t="s">
        <v>152</v>
      </c>
      <c r="I24" s="7" t="s">
        <v>153</v>
      </c>
      <c r="J24" s="7" t="s">
        <v>154</v>
      </c>
      <c r="K24" s="7" t="s">
        <v>36</v>
      </c>
      <c r="L24" s="8">
        <v>39</v>
      </c>
      <c r="M24" s="7" t="s">
        <v>77</v>
      </c>
      <c r="N24" s="8">
        <v>120</v>
      </c>
      <c r="O24" s="8">
        <v>1</v>
      </c>
      <c r="P24" s="5">
        <v>8974.93</v>
      </c>
      <c r="Q24" s="4">
        <v>45600</v>
      </c>
      <c r="R24" s="9">
        <v>0.3382060185185185</v>
      </c>
      <c r="S24" s="8">
        <v>18</v>
      </c>
      <c r="T24" s="7" t="s">
        <v>4457</v>
      </c>
      <c r="U24" s="7" t="s">
        <v>4455</v>
      </c>
      <c r="V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" spans="1:22" x14ac:dyDescent="0.35">
      <c r="A25" s="7" t="s">
        <v>155</v>
      </c>
      <c r="B25" s="7" t="s">
        <v>156</v>
      </c>
      <c r="C25" s="5">
        <v>345.84</v>
      </c>
      <c r="D25" s="2">
        <v>0.76789351851766696</v>
      </c>
      <c r="E25" s="4">
        <v>45048</v>
      </c>
      <c r="F25" s="7" t="s">
        <v>17</v>
      </c>
      <c r="G25" s="7" t="s">
        <v>157</v>
      </c>
      <c r="H25" s="7" t="s">
        <v>158</v>
      </c>
      <c r="I25" s="7" t="s">
        <v>159</v>
      </c>
      <c r="J25" s="7" t="s">
        <v>160</v>
      </c>
      <c r="K25" s="7" t="s">
        <v>36</v>
      </c>
      <c r="L25" s="8">
        <v>22</v>
      </c>
      <c r="M25" s="7" t="s">
        <v>37</v>
      </c>
      <c r="N25" s="8">
        <v>142</v>
      </c>
      <c r="O25" s="8">
        <v>3</v>
      </c>
      <c r="P25" s="5">
        <v>1402.5</v>
      </c>
      <c r="Q25" s="4">
        <v>45600</v>
      </c>
      <c r="R25" s="9">
        <v>0.33824074074074073</v>
      </c>
      <c r="S25" s="8">
        <v>18</v>
      </c>
      <c r="T25" s="7" t="s">
        <v>4456</v>
      </c>
      <c r="U25" s="7" t="s">
        <v>4458</v>
      </c>
      <c r="V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6" spans="1:22" x14ac:dyDescent="0.35">
      <c r="A26" s="7" t="s">
        <v>161</v>
      </c>
      <c r="B26" s="7" t="s">
        <v>162</v>
      </c>
      <c r="C26" s="5">
        <v>145.54</v>
      </c>
      <c r="D26" s="2">
        <v>0.69717592592496658</v>
      </c>
      <c r="E26" s="4">
        <v>44987</v>
      </c>
      <c r="F26" s="7" t="s">
        <v>17</v>
      </c>
      <c r="G26" s="7" t="s">
        <v>40</v>
      </c>
      <c r="H26" s="7" t="s">
        <v>163</v>
      </c>
      <c r="I26" s="7" t="s">
        <v>164</v>
      </c>
      <c r="J26" s="7" t="s">
        <v>165</v>
      </c>
      <c r="K26" s="7" t="s">
        <v>36</v>
      </c>
      <c r="L26" s="8">
        <v>21</v>
      </c>
      <c r="M26" s="7" t="s">
        <v>37</v>
      </c>
      <c r="N26" s="8">
        <v>96</v>
      </c>
      <c r="O26" s="8">
        <v>1</v>
      </c>
      <c r="P26" s="5">
        <v>1930.96</v>
      </c>
      <c r="Q26" s="4">
        <v>45600</v>
      </c>
      <c r="R26" s="9">
        <v>0.33829861111111109</v>
      </c>
      <c r="S26" s="8">
        <v>16</v>
      </c>
      <c r="T26" s="7" t="s">
        <v>4456</v>
      </c>
      <c r="U26" s="7" t="s">
        <v>4455</v>
      </c>
      <c r="V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7" spans="1:22" x14ac:dyDescent="0.35">
      <c r="A27" s="7" t="s">
        <v>166</v>
      </c>
      <c r="B27" s="7" t="s">
        <v>167</v>
      </c>
      <c r="C27" s="5">
        <v>7.49</v>
      </c>
      <c r="D27" s="2">
        <v>0.74528935184935108</v>
      </c>
      <c r="E27" s="4">
        <v>45219</v>
      </c>
      <c r="F27" s="7" t="s">
        <v>46</v>
      </c>
      <c r="G27" s="7" t="s">
        <v>26</v>
      </c>
      <c r="H27" s="7" t="s">
        <v>120</v>
      </c>
      <c r="I27" s="7" t="s">
        <v>168</v>
      </c>
      <c r="J27" s="7" t="s">
        <v>169</v>
      </c>
      <c r="K27" s="7" t="s">
        <v>36</v>
      </c>
      <c r="L27" s="8">
        <v>65</v>
      </c>
      <c r="M27" s="7" t="s">
        <v>70</v>
      </c>
      <c r="N27" s="8">
        <v>276</v>
      </c>
      <c r="O27" s="8">
        <v>1</v>
      </c>
      <c r="P27" s="5">
        <v>3634.67</v>
      </c>
      <c r="Q27" s="4">
        <v>45600</v>
      </c>
      <c r="R27" s="9">
        <v>0.34009259259259261</v>
      </c>
      <c r="S27" s="8">
        <v>17</v>
      </c>
      <c r="T27" s="7" t="s">
        <v>4454</v>
      </c>
      <c r="U27" s="7" t="s">
        <v>4455</v>
      </c>
      <c r="V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8" spans="1:22" x14ac:dyDescent="0.35">
      <c r="A28" s="7" t="s">
        <v>170</v>
      </c>
      <c r="B28" s="7" t="s">
        <v>171</v>
      </c>
      <c r="C28" s="5">
        <v>246.93</v>
      </c>
      <c r="D28" s="2">
        <v>0.69237268518190831</v>
      </c>
      <c r="E28" s="4">
        <v>45033</v>
      </c>
      <c r="F28" s="7" t="s">
        <v>17</v>
      </c>
      <c r="G28" s="7" t="s">
        <v>172</v>
      </c>
      <c r="H28" s="7" t="s">
        <v>173</v>
      </c>
      <c r="I28" s="7" t="s">
        <v>174</v>
      </c>
      <c r="J28" s="7" t="s">
        <v>175</v>
      </c>
      <c r="K28" s="7" t="s">
        <v>22</v>
      </c>
      <c r="L28" s="8">
        <v>23</v>
      </c>
      <c r="M28" s="7" t="s">
        <v>37</v>
      </c>
      <c r="N28" s="8">
        <v>158</v>
      </c>
      <c r="O28" s="8">
        <v>5</v>
      </c>
      <c r="P28" s="5">
        <v>673.35</v>
      </c>
      <c r="Q28" s="4">
        <v>45600</v>
      </c>
      <c r="R28" s="9">
        <v>0.34141203703703704</v>
      </c>
      <c r="S28" s="8">
        <v>16</v>
      </c>
      <c r="T28" s="7" t="s">
        <v>4456</v>
      </c>
      <c r="U28" s="7" t="s">
        <v>4458</v>
      </c>
      <c r="V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9" spans="1:22" x14ac:dyDescent="0.35">
      <c r="A29" s="7" t="s">
        <v>176</v>
      </c>
      <c r="B29" s="7" t="s">
        <v>177</v>
      </c>
      <c r="C29" s="5">
        <v>40.32</v>
      </c>
      <c r="D29" s="2">
        <v>0.69627314814715646</v>
      </c>
      <c r="E29" s="4">
        <v>45014</v>
      </c>
      <c r="F29" s="7" t="s">
        <v>17</v>
      </c>
      <c r="G29" s="7" t="s">
        <v>178</v>
      </c>
      <c r="H29" s="7" t="s">
        <v>179</v>
      </c>
      <c r="I29" s="7" t="s">
        <v>180</v>
      </c>
      <c r="J29" s="7" t="s">
        <v>181</v>
      </c>
      <c r="K29" s="7" t="s">
        <v>69</v>
      </c>
      <c r="L29" s="8">
        <v>37</v>
      </c>
      <c r="M29" s="7" t="s">
        <v>77</v>
      </c>
      <c r="N29" s="8">
        <v>95</v>
      </c>
      <c r="O29" s="8">
        <v>1</v>
      </c>
      <c r="P29" s="5">
        <v>2686.52</v>
      </c>
      <c r="Q29" s="4">
        <v>45600</v>
      </c>
      <c r="R29" s="9">
        <v>0.34165509259259258</v>
      </c>
      <c r="S29" s="8">
        <v>16</v>
      </c>
      <c r="T29" s="7" t="s">
        <v>4457</v>
      </c>
      <c r="U29" s="7" t="s">
        <v>4455</v>
      </c>
      <c r="V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" spans="1:22" x14ac:dyDescent="0.35">
      <c r="A30" s="7" t="s">
        <v>182</v>
      </c>
      <c r="B30" s="7" t="s">
        <v>183</v>
      </c>
      <c r="C30" s="5">
        <v>127.45</v>
      </c>
      <c r="D30" s="2">
        <v>0.67953703703824431</v>
      </c>
      <c r="E30" s="4">
        <v>44950</v>
      </c>
      <c r="F30" s="7" t="s">
        <v>17</v>
      </c>
      <c r="G30" s="7" t="s">
        <v>146</v>
      </c>
      <c r="H30" s="7" t="s">
        <v>184</v>
      </c>
      <c r="I30" s="7" t="s">
        <v>185</v>
      </c>
      <c r="J30" s="7" t="s">
        <v>186</v>
      </c>
      <c r="K30" s="7" t="s">
        <v>36</v>
      </c>
      <c r="L30" s="8">
        <v>44</v>
      </c>
      <c r="M30" s="7" t="s">
        <v>23</v>
      </c>
      <c r="N30" s="8">
        <v>197</v>
      </c>
      <c r="O30" s="8">
        <v>1</v>
      </c>
      <c r="P30" s="5">
        <v>1772.06</v>
      </c>
      <c r="Q30" s="4">
        <v>45600</v>
      </c>
      <c r="R30" s="9">
        <v>0.34122685185185186</v>
      </c>
      <c r="S30" s="8">
        <v>16</v>
      </c>
      <c r="T30" s="7" t="s">
        <v>4457</v>
      </c>
      <c r="U30" s="7" t="s">
        <v>4455</v>
      </c>
      <c r="V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1" spans="1:22" x14ac:dyDescent="0.35">
      <c r="A31" s="7" t="s">
        <v>187</v>
      </c>
      <c r="B31" s="7" t="s">
        <v>188</v>
      </c>
      <c r="C31" s="5">
        <v>56.17</v>
      </c>
      <c r="D31" s="2">
        <v>0.70534722222510027</v>
      </c>
      <c r="E31" s="4">
        <v>45189</v>
      </c>
      <c r="F31" s="7" t="s">
        <v>17</v>
      </c>
      <c r="G31" s="7" t="s">
        <v>73</v>
      </c>
      <c r="H31" s="7" t="s">
        <v>189</v>
      </c>
      <c r="I31" s="7" t="s">
        <v>190</v>
      </c>
      <c r="J31" s="7" t="s">
        <v>169</v>
      </c>
      <c r="K31" s="7" t="s">
        <v>69</v>
      </c>
      <c r="L31" s="8">
        <v>27</v>
      </c>
      <c r="M31" s="7" t="s">
        <v>37</v>
      </c>
      <c r="N31" s="8">
        <v>283</v>
      </c>
      <c r="O31" s="8">
        <v>1</v>
      </c>
      <c r="P31" s="5">
        <v>1351.69</v>
      </c>
      <c r="Q31" s="4">
        <v>45600</v>
      </c>
      <c r="R31" s="9">
        <v>0.33923611111111113</v>
      </c>
      <c r="S31" s="8">
        <v>16</v>
      </c>
      <c r="T31" s="7" t="s">
        <v>4456</v>
      </c>
      <c r="U31" s="7" t="s">
        <v>4455</v>
      </c>
      <c r="V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2" spans="1:22" x14ac:dyDescent="0.35">
      <c r="A32" s="7" t="s">
        <v>191</v>
      </c>
      <c r="B32" s="7" t="s">
        <v>192</v>
      </c>
      <c r="C32" s="5">
        <v>28.31</v>
      </c>
      <c r="D32" s="2">
        <v>0.74261574073898373</v>
      </c>
      <c r="E32" s="4">
        <v>45124</v>
      </c>
      <c r="F32" s="7" t="s">
        <v>46</v>
      </c>
      <c r="G32" s="7" t="s">
        <v>172</v>
      </c>
      <c r="H32" s="7" t="s">
        <v>193</v>
      </c>
      <c r="I32" s="7" t="s">
        <v>194</v>
      </c>
      <c r="J32" s="7" t="s">
        <v>50</v>
      </c>
      <c r="K32" s="7" t="s">
        <v>36</v>
      </c>
      <c r="L32" s="8">
        <v>59</v>
      </c>
      <c r="M32" s="7" t="s">
        <v>23</v>
      </c>
      <c r="N32" s="8">
        <v>20</v>
      </c>
      <c r="O32" s="8">
        <v>1</v>
      </c>
      <c r="P32" s="5">
        <v>8334.4699999999993</v>
      </c>
      <c r="Q32" s="4">
        <v>45600</v>
      </c>
      <c r="R32" s="9">
        <v>0.33978009259259262</v>
      </c>
      <c r="S32" s="8">
        <v>17</v>
      </c>
      <c r="T32" s="7" t="s">
        <v>4454</v>
      </c>
      <c r="U32" s="7" t="s">
        <v>4455</v>
      </c>
      <c r="V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3" spans="1:22" x14ac:dyDescent="0.35">
      <c r="A33" s="7" t="s">
        <v>195</v>
      </c>
      <c r="B33" s="7" t="s">
        <v>196</v>
      </c>
      <c r="C33" s="5">
        <v>59.12</v>
      </c>
      <c r="D33" s="2">
        <v>0.6836111111115315</v>
      </c>
      <c r="E33" s="4">
        <v>44963</v>
      </c>
      <c r="F33" s="7" t="s">
        <v>17</v>
      </c>
      <c r="G33" s="7" t="s">
        <v>197</v>
      </c>
      <c r="H33" s="7" t="s">
        <v>198</v>
      </c>
      <c r="I33" s="7" t="s">
        <v>199</v>
      </c>
      <c r="J33" s="7" t="s">
        <v>200</v>
      </c>
      <c r="K33" s="7" t="s">
        <v>22</v>
      </c>
      <c r="L33" s="8">
        <v>29</v>
      </c>
      <c r="M33" s="7" t="s">
        <v>23</v>
      </c>
      <c r="N33" s="8">
        <v>257</v>
      </c>
      <c r="O33" s="8">
        <v>1</v>
      </c>
      <c r="P33" s="5">
        <v>9823.64</v>
      </c>
      <c r="Q33" s="4">
        <v>45600</v>
      </c>
      <c r="R33" s="9">
        <v>0.33817129629629628</v>
      </c>
      <c r="S33" s="8">
        <v>16</v>
      </c>
      <c r="T33" s="7" t="s">
        <v>4456</v>
      </c>
      <c r="U33" s="7" t="s">
        <v>4455</v>
      </c>
      <c r="V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4" spans="1:22" x14ac:dyDescent="0.35">
      <c r="A34" s="7" t="s">
        <v>201</v>
      </c>
      <c r="B34" s="7" t="s">
        <v>202</v>
      </c>
      <c r="C34" s="5">
        <v>396.45</v>
      </c>
      <c r="D34" s="2">
        <v>0.68472222222044365</v>
      </c>
      <c r="E34" s="4">
        <v>45194</v>
      </c>
      <c r="F34" s="7" t="s">
        <v>17</v>
      </c>
      <c r="G34" s="7" t="s">
        <v>203</v>
      </c>
      <c r="H34" s="7" t="s">
        <v>204</v>
      </c>
      <c r="I34" s="7" t="s">
        <v>205</v>
      </c>
      <c r="J34" s="7" t="s">
        <v>83</v>
      </c>
      <c r="K34" s="7" t="s">
        <v>22</v>
      </c>
      <c r="L34" s="8">
        <v>49</v>
      </c>
      <c r="M34" s="7" t="s">
        <v>77</v>
      </c>
      <c r="N34" s="8">
        <v>168</v>
      </c>
      <c r="O34" s="8">
        <v>3</v>
      </c>
      <c r="P34" s="5">
        <v>9690.15</v>
      </c>
      <c r="Q34" s="4">
        <v>45600</v>
      </c>
      <c r="R34" s="9">
        <v>0.34112268518518518</v>
      </c>
      <c r="S34" s="8">
        <v>16</v>
      </c>
      <c r="T34" s="7" t="s">
        <v>4457</v>
      </c>
      <c r="U34" s="7" t="s">
        <v>4458</v>
      </c>
      <c r="V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5" spans="1:22" x14ac:dyDescent="0.35">
      <c r="A35" s="7" t="s">
        <v>206</v>
      </c>
      <c r="B35" s="7" t="s">
        <v>124</v>
      </c>
      <c r="C35" s="5">
        <v>877.81</v>
      </c>
      <c r="D35" s="2">
        <v>0.72458333333634073</v>
      </c>
      <c r="E35" s="4">
        <v>44998</v>
      </c>
      <c r="F35" s="7" t="s">
        <v>17</v>
      </c>
      <c r="G35" s="7" t="s">
        <v>140</v>
      </c>
      <c r="H35" s="7" t="s">
        <v>207</v>
      </c>
      <c r="I35" s="7" t="s">
        <v>208</v>
      </c>
      <c r="J35" s="7" t="s">
        <v>209</v>
      </c>
      <c r="K35" s="7" t="s">
        <v>36</v>
      </c>
      <c r="L35" s="8">
        <v>22</v>
      </c>
      <c r="M35" s="7" t="s">
        <v>37</v>
      </c>
      <c r="N35" s="8">
        <v>150</v>
      </c>
      <c r="O35" s="8">
        <v>1</v>
      </c>
      <c r="P35" s="5">
        <v>399</v>
      </c>
      <c r="Q35" s="4">
        <v>45600</v>
      </c>
      <c r="R35" s="9">
        <v>0.33877314814814813</v>
      </c>
      <c r="S35" s="8">
        <v>17</v>
      </c>
      <c r="T35" s="7" t="s">
        <v>4456</v>
      </c>
      <c r="U35" s="7" t="s">
        <v>4455</v>
      </c>
      <c r="V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6" spans="1:22" x14ac:dyDescent="0.35">
      <c r="A36" s="7" t="s">
        <v>210</v>
      </c>
      <c r="B36" s="7" t="s">
        <v>211</v>
      </c>
      <c r="C36" s="5">
        <v>255.26</v>
      </c>
      <c r="D36" s="2">
        <v>0.69640046296262881</v>
      </c>
      <c r="E36" s="4">
        <v>45226</v>
      </c>
      <c r="F36" s="7" t="s">
        <v>46</v>
      </c>
      <c r="G36" s="7" t="s">
        <v>212</v>
      </c>
      <c r="H36" s="7" t="s">
        <v>213</v>
      </c>
      <c r="I36" s="7" t="s">
        <v>67</v>
      </c>
      <c r="J36" s="7" t="s">
        <v>43</v>
      </c>
      <c r="K36" s="7" t="s">
        <v>69</v>
      </c>
      <c r="L36" s="8">
        <v>45</v>
      </c>
      <c r="M36" s="7" t="s">
        <v>23</v>
      </c>
      <c r="N36" s="8">
        <v>50</v>
      </c>
      <c r="O36" s="8">
        <v>1</v>
      </c>
      <c r="P36" s="5">
        <v>14815.87</v>
      </c>
      <c r="Q36" s="4">
        <v>45600</v>
      </c>
      <c r="R36" s="9">
        <v>0.34086805555555555</v>
      </c>
      <c r="S36" s="8">
        <v>16</v>
      </c>
      <c r="T36" s="7" t="s">
        <v>4457</v>
      </c>
      <c r="U36" s="7" t="s">
        <v>4455</v>
      </c>
      <c r="V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" spans="1:22" x14ac:dyDescent="0.35">
      <c r="A37" s="7" t="s">
        <v>214</v>
      </c>
      <c r="B37" s="7" t="s">
        <v>215</v>
      </c>
      <c r="C37" s="5">
        <v>124.76</v>
      </c>
      <c r="D37" s="2">
        <v>0.68953703704028158</v>
      </c>
      <c r="E37" s="4">
        <v>45215</v>
      </c>
      <c r="F37" s="7" t="s">
        <v>17</v>
      </c>
      <c r="G37" s="7" t="s">
        <v>59</v>
      </c>
      <c r="H37" s="7" t="s">
        <v>216</v>
      </c>
      <c r="I37" s="7" t="s">
        <v>217</v>
      </c>
      <c r="J37" s="7" t="s">
        <v>43</v>
      </c>
      <c r="K37" s="7" t="s">
        <v>69</v>
      </c>
      <c r="L37" s="8">
        <v>49</v>
      </c>
      <c r="M37" s="7" t="s">
        <v>77</v>
      </c>
      <c r="N37" s="8">
        <v>45</v>
      </c>
      <c r="O37" s="8">
        <v>1</v>
      </c>
      <c r="P37" s="5">
        <v>5764.72</v>
      </c>
      <c r="Q37" s="4">
        <v>45600</v>
      </c>
      <c r="R37" s="9">
        <v>0.33776620370370369</v>
      </c>
      <c r="S37" s="8">
        <v>16</v>
      </c>
      <c r="T37" s="7" t="s">
        <v>4457</v>
      </c>
      <c r="U37" s="7" t="s">
        <v>4455</v>
      </c>
      <c r="V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8" spans="1:22" x14ac:dyDescent="0.35">
      <c r="A38" s="7" t="s">
        <v>218</v>
      </c>
      <c r="B38" s="7" t="s">
        <v>219</v>
      </c>
      <c r="C38" s="5">
        <v>78.13</v>
      </c>
      <c r="D38" s="2">
        <v>0.70745370370423188</v>
      </c>
      <c r="E38" s="4">
        <v>45251</v>
      </c>
      <c r="F38" s="7" t="s">
        <v>17</v>
      </c>
      <c r="G38" s="7" t="s">
        <v>178</v>
      </c>
      <c r="H38" s="7" t="s">
        <v>220</v>
      </c>
      <c r="I38" s="7" t="s">
        <v>190</v>
      </c>
      <c r="J38" s="7" t="s">
        <v>165</v>
      </c>
      <c r="K38" s="7" t="s">
        <v>69</v>
      </c>
      <c r="L38" s="8">
        <v>26</v>
      </c>
      <c r="M38" s="7" t="s">
        <v>37</v>
      </c>
      <c r="N38" s="8">
        <v>145</v>
      </c>
      <c r="O38" s="8">
        <v>1</v>
      </c>
      <c r="P38" s="5">
        <v>900.61</v>
      </c>
      <c r="Q38" s="4">
        <v>45600</v>
      </c>
      <c r="R38" s="9">
        <v>0.34187499999999998</v>
      </c>
      <c r="S38" s="8">
        <v>16</v>
      </c>
      <c r="T38" s="7" t="s">
        <v>4456</v>
      </c>
      <c r="U38" s="7" t="s">
        <v>4455</v>
      </c>
      <c r="V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9" spans="1:22" x14ac:dyDescent="0.35">
      <c r="A39" s="7" t="s">
        <v>221</v>
      </c>
      <c r="B39" s="7" t="s">
        <v>222</v>
      </c>
      <c r="C39" s="5">
        <v>649.28</v>
      </c>
      <c r="D39" s="2">
        <v>0.74550925925723277</v>
      </c>
      <c r="E39" s="4">
        <v>44987</v>
      </c>
      <c r="F39" s="7" t="s">
        <v>17</v>
      </c>
      <c r="G39" s="7" t="s">
        <v>223</v>
      </c>
      <c r="H39" s="7" t="s">
        <v>224</v>
      </c>
      <c r="I39" s="7" t="s">
        <v>225</v>
      </c>
      <c r="J39" s="7" t="s">
        <v>226</v>
      </c>
      <c r="K39" s="7" t="s">
        <v>22</v>
      </c>
      <c r="L39" s="8">
        <v>75</v>
      </c>
      <c r="M39" s="7" t="s">
        <v>70</v>
      </c>
      <c r="N39" s="8">
        <v>137</v>
      </c>
      <c r="O39" s="8">
        <v>1</v>
      </c>
      <c r="P39" s="5">
        <v>4875.8599999999997</v>
      </c>
      <c r="Q39" s="4">
        <v>45600</v>
      </c>
      <c r="R39" s="9">
        <v>0.34114583333333331</v>
      </c>
      <c r="S39" s="8">
        <v>17</v>
      </c>
      <c r="T39" s="7" t="s">
        <v>4454</v>
      </c>
      <c r="U39" s="7" t="s">
        <v>4455</v>
      </c>
      <c r="V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" spans="1:22" x14ac:dyDescent="0.35">
      <c r="A40" s="7" t="s">
        <v>227</v>
      </c>
      <c r="B40" s="7" t="s">
        <v>228</v>
      </c>
      <c r="C40" s="5">
        <v>795.31</v>
      </c>
      <c r="D40" s="2">
        <v>0.71365740741021</v>
      </c>
      <c r="E40" s="4">
        <v>45211</v>
      </c>
      <c r="F40" s="7" t="s">
        <v>17</v>
      </c>
      <c r="G40" s="7" t="s">
        <v>32</v>
      </c>
      <c r="H40" s="7" t="s">
        <v>229</v>
      </c>
      <c r="I40" s="7" t="s">
        <v>230</v>
      </c>
      <c r="J40" s="7" t="s">
        <v>122</v>
      </c>
      <c r="K40" s="7" t="s">
        <v>22</v>
      </c>
      <c r="L40" s="8">
        <v>66</v>
      </c>
      <c r="M40" s="7" t="s">
        <v>23</v>
      </c>
      <c r="N40" s="8">
        <v>90</v>
      </c>
      <c r="O40" s="8">
        <v>2</v>
      </c>
      <c r="P40" s="5">
        <v>7914.88</v>
      </c>
      <c r="Q40" s="4">
        <v>45600</v>
      </c>
      <c r="R40" s="9">
        <v>0.3411689814814815</v>
      </c>
      <c r="S40" s="8">
        <v>17</v>
      </c>
      <c r="T40" s="7" t="s">
        <v>4454</v>
      </c>
      <c r="U40" s="7" t="s">
        <v>4458</v>
      </c>
      <c r="V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1" spans="1:22" x14ac:dyDescent="0.35">
      <c r="A41" s="7" t="s">
        <v>231</v>
      </c>
      <c r="B41" s="7" t="s">
        <v>232</v>
      </c>
      <c r="C41" s="5">
        <v>335.63</v>
      </c>
      <c r="D41" s="2">
        <v>0.72037037037080154</v>
      </c>
      <c r="E41" s="4">
        <v>44950</v>
      </c>
      <c r="F41" s="7" t="s">
        <v>17</v>
      </c>
      <c r="G41" s="7" t="s">
        <v>53</v>
      </c>
      <c r="H41" s="7" t="s">
        <v>233</v>
      </c>
      <c r="I41" s="7" t="s">
        <v>234</v>
      </c>
      <c r="J41" s="7" t="s">
        <v>143</v>
      </c>
      <c r="K41" s="7" t="s">
        <v>36</v>
      </c>
      <c r="L41" s="8">
        <v>55</v>
      </c>
      <c r="M41" s="7" t="s">
        <v>70</v>
      </c>
      <c r="N41" s="8">
        <v>216</v>
      </c>
      <c r="O41" s="8">
        <v>1</v>
      </c>
      <c r="P41" s="5">
        <v>1019.39</v>
      </c>
      <c r="Q41" s="4">
        <v>45600</v>
      </c>
      <c r="R41" s="9">
        <v>0.33856481481481482</v>
      </c>
      <c r="S41" s="8">
        <v>17</v>
      </c>
      <c r="T41" s="7" t="s">
        <v>4454</v>
      </c>
      <c r="U41" s="7" t="s">
        <v>4455</v>
      </c>
      <c r="V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2" spans="1:22" x14ac:dyDescent="0.35">
      <c r="A42" s="7" t="s">
        <v>235</v>
      </c>
      <c r="B42" s="7" t="s">
        <v>236</v>
      </c>
      <c r="C42" s="5">
        <v>328.47</v>
      </c>
      <c r="D42" s="2">
        <v>0.77766203703504289</v>
      </c>
      <c r="E42" s="4">
        <v>45138</v>
      </c>
      <c r="F42" s="7" t="s">
        <v>17</v>
      </c>
      <c r="G42" s="7" t="s">
        <v>237</v>
      </c>
      <c r="H42" s="7" t="s">
        <v>238</v>
      </c>
      <c r="I42" s="7" t="s">
        <v>239</v>
      </c>
      <c r="J42" s="7" t="s">
        <v>240</v>
      </c>
      <c r="K42" s="7" t="s">
        <v>22</v>
      </c>
      <c r="L42" s="8">
        <v>63</v>
      </c>
      <c r="M42" s="7" t="s">
        <v>70</v>
      </c>
      <c r="N42" s="8">
        <v>119</v>
      </c>
      <c r="O42" s="8">
        <v>1</v>
      </c>
      <c r="P42" s="5">
        <v>4323.66</v>
      </c>
      <c r="Q42" s="4">
        <v>45600</v>
      </c>
      <c r="R42" s="9">
        <v>0.33855324074074072</v>
      </c>
      <c r="S42" s="8">
        <v>18</v>
      </c>
      <c r="T42" s="7" t="s">
        <v>4454</v>
      </c>
      <c r="U42" s="7" t="s">
        <v>4455</v>
      </c>
      <c r="V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3" spans="1:22" x14ac:dyDescent="0.35">
      <c r="A43" s="7" t="s">
        <v>241</v>
      </c>
      <c r="B43" s="7" t="s">
        <v>242</v>
      </c>
      <c r="C43" s="5">
        <v>34.020000000000003</v>
      </c>
      <c r="D43" s="2">
        <v>0.67593749999650754</v>
      </c>
      <c r="E43" s="4">
        <v>44935</v>
      </c>
      <c r="F43" s="7" t="s">
        <v>17</v>
      </c>
      <c r="G43" s="7" t="s">
        <v>243</v>
      </c>
      <c r="H43" s="7" t="s">
        <v>244</v>
      </c>
      <c r="I43" s="7" t="s">
        <v>245</v>
      </c>
      <c r="J43" s="7" t="s">
        <v>246</v>
      </c>
      <c r="K43" s="7" t="s">
        <v>36</v>
      </c>
      <c r="L43" s="8">
        <v>38</v>
      </c>
      <c r="M43" s="7" t="s">
        <v>23</v>
      </c>
      <c r="N43" s="8">
        <v>19</v>
      </c>
      <c r="O43" s="8">
        <v>1</v>
      </c>
      <c r="P43" s="5">
        <v>14214.48</v>
      </c>
      <c r="Q43" s="4">
        <v>45600</v>
      </c>
      <c r="R43" s="9">
        <v>0.34149305555555554</v>
      </c>
      <c r="S43" s="8">
        <v>16</v>
      </c>
      <c r="T43" s="7" t="s">
        <v>4457</v>
      </c>
      <c r="U43" s="7" t="s">
        <v>4455</v>
      </c>
      <c r="V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4" spans="1:22" x14ac:dyDescent="0.35">
      <c r="A44" s="7" t="s">
        <v>247</v>
      </c>
      <c r="B44" s="7" t="s">
        <v>248</v>
      </c>
      <c r="C44" s="5">
        <v>241.42</v>
      </c>
      <c r="D44" s="2">
        <v>0.79008101851650281</v>
      </c>
      <c r="E44" s="4">
        <v>45036</v>
      </c>
      <c r="F44" s="7" t="s">
        <v>46</v>
      </c>
      <c r="G44" s="7" t="s">
        <v>249</v>
      </c>
      <c r="H44" s="7" t="s">
        <v>250</v>
      </c>
      <c r="I44" s="7" t="s">
        <v>251</v>
      </c>
      <c r="J44" s="7" t="s">
        <v>252</v>
      </c>
      <c r="K44" s="7" t="s">
        <v>36</v>
      </c>
      <c r="L44" s="8">
        <v>57</v>
      </c>
      <c r="M44" s="7" t="s">
        <v>23</v>
      </c>
      <c r="N44" s="8">
        <v>116</v>
      </c>
      <c r="O44" s="8">
        <v>1</v>
      </c>
      <c r="P44" s="5">
        <v>13357.02</v>
      </c>
      <c r="Q44" s="4">
        <v>45600</v>
      </c>
      <c r="R44" s="9">
        <v>0.33961805555555558</v>
      </c>
      <c r="S44" s="8">
        <v>18</v>
      </c>
      <c r="T44" s="7" t="s">
        <v>4454</v>
      </c>
      <c r="U44" s="7" t="s">
        <v>4455</v>
      </c>
      <c r="V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5" spans="1:22" x14ac:dyDescent="0.35">
      <c r="A45" s="7" t="s">
        <v>253</v>
      </c>
      <c r="B45" s="7" t="s">
        <v>254</v>
      </c>
      <c r="C45" s="5">
        <v>55.32</v>
      </c>
      <c r="D45" s="2">
        <v>0.66917824074334931</v>
      </c>
      <c r="E45" s="4">
        <v>45028</v>
      </c>
      <c r="F45" s="7" t="s">
        <v>17</v>
      </c>
      <c r="G45" s="7" t="s">
        <v>255</v>
      </c>
      <c r="H45" s="7" t="s">
        <v>256</v>
      </c>
      <c r="I45" s="7" t="s">
        <v>257</v>
      </c>
      <c r="J45" s="7" t="s">
        <v>35</v>
      </c>
      <c r="K45" s="7" t="s">
        <v>22</v>
      </c>
      <c r="L45" s="8">
        <v>19</v>
      </c>
      <c r="M45" s="7" t="s">
        <v>37</v>
      </c>
      <c r="N45" s="8">
        <v>117</v>
      </c>
      <c r="O45" s="8">
        <v>1</v>
      </c>
      <c r="P45" s="5">
        <v>241.79</v>
      </c>
      <c r="Q45" s="4">
        <v>45600</v>
      </c>
      <c r="R45" s="9">
        <v>0.33892361111111113</v>
      </c>
      <c r="S45" s="8">
        <v>16</v>
      </c>
      <c r="T45" s="7" t="s">
        <v>4456</v>
      </c>
      <c r="U45" s="7" t="s">
        <v>4455</v>
      </c>
      <c r="V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6" spans="1:22" x14ac:dyDescent="0.35">
      <c r="A46" s="7" t="s">
        <v>258</v>
      </c>
      <c r="B46" s="7" t="s">
        <v>259</v>
      </c>
      <c r="C46" s="5">
        <v>304.31</v>
      </c>
      <c r="D46" s="2">
        <v>0.70310185185371665</v>
      </c>
      <c r="E46" s="4">
        <v>45133</v>
      </c>
      <c r="F46" s="7" t="s">
        <v>17</v>
      </c>
      <c r="G46" s="7" t="s">
        <v>108</v>
      </c>
      <c r="H46" s="7" t="s">
        <v>260</v>
      </c>
      <c r="I46" s="7" t="s">
        <v>261</v>
      </c>
      <c r="J46" s="7" t="s">
        <v>262</v>
      </c>
      <c r="K46" s="7" t="s">
        <v>69</v>
      </c>
      <c r="L46" s="8">
        <v>27</v>
      </c>
      <c r="M46" s="7" t="s">
        <v>37</v>
      </c>
      <c r="N46" s="8">
        <v>33</v>
      </c>
      <c r="O46" s="8">
        <v>1</v>
      </c>
      <c r="P46" s="5">
        <v>868.61</v>
      </c>
      <c r="Q46" s="4">
        <v>45600</v>
      </c>
      <c r="R46" s="9">
        <v>0.34019675925925924</v>
      </c>
      <c r="S46" s="8">
        <v>16</v>
      </c>
      <c r="T46" s="7" t="s">
        <v>4456</v>
      </c>
      <c r="U46" s="7" t="s">
        <v>4455</v>
      </c>
      <c r="V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7" spans="1:22" x14ac:dyDescent="0.35">
      <c r="A47" s="7" t="s">
        <v>263</v>
      </c>
      <c r="B47" s="7" t="s">
        <v>264</v>
      </c>
      <c r="C47" s="5">
        <v>435.27</v>
      </c>
      <c r="D47" s="2">
        <v>0.74269675926188938</v>
      </c>
      <c r="E47" s="4">
        <v>45203</v>
      </c>
      <c r="F47" s="7" t="s">
        <v>17</v>
      </c>
      <c r="G47" s="7" t="s">
        <v>265</v>
      </c>
      <c r="H47" s="7" t="s">
        <v>189</v>
      </c>
      <c r="I47" s="7" t="s">
        <v>266</v>
      </c>
      <c r="J47" s="7" t="s">
        <v>267</v>
      </c>
      <c r="K47" s="7" t="s">
        <v>69</v>
      </c>
      <c r="L47" s="8">
        <v>74</v>
      </c>
      <c r="M47" s="7" t="s">
        <v>70</v>
      </c>
      <c r="N47" s="8">
        <v>90</v>
      </c>
      <c r="O47" s="8">
        <v>1</v>
      </c>
      <c r="P47" s="5">
        <v>4673.28</v>
      </c>
      <c r="Q47" s="4">
        <v>45600</v>
      </c>
      <c r="R47" s="9">
        <v>0.34111111111111109</v>
      </c>
      <c r="S47" s="8">
        <v>17</v>
      </c>
      <c r="T47" s="7" t="s">
        <v>4454</v>
      </c>
      <c r="U47" s="7" t="s">
        <v>4455</v>
      </c>
      <c r="V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8" spans="1:22" x14ac:dyDescent="0.35">
      <c r="A48" s="7" t="s">
        <v>268</v>
      </c>
      <c r="B48" s="7" t="s">
        <v>269</v>
      </c>
      <c r="C48" s="5">
        <v>164.49</v>
      </c>
      <c r="D48" s="2">
        <v>0.66780092592671281</v>
      </c>
      <c r="E48" s="4">
        <v>45273</v>
      </c>
      <c r="F48" s="7" t="s">
        <v>17</v>
      </c>
      <c r="G48" s="7" t="s">
        <v>197</v>
      </c>
      <c r="H48" s="7" t="s">
        <v>270</v>
      </c>
      <c r="I48" s="7" t="s">
        <v>271</v>
      </c>
      <c r="J48" s="7" t="s">
        <v>272</v>
      </c>
      <c r="K48" s="7" t="s">
        <v>69</v>
      </c>
      <c r="L48" s="8">
        <v>26</v>
      </c>
      <c r="M48" s="7" t="s">
        <v>37</v>
      </c>
      <c r="N48" s="8">
        <v>75</v>
      </c>
      <c r="O48" s="8">
        <v>1</v>
      </c>
      <c r="P48" s="5">
        <v>1509.27</v>
      </c>
      <c r="Q48" s="4">
        <v>45600</v>
      </c>
      <c r="R48" s="9">
        <v>0.34065972222222224</v>
      </c>
      <c r="S48" s="8">
        <v>16</v>
      </c>
      <c r="T48" s="7" t="s">
        <v>4456</v>
      </c>
      <c r="U48" s="7" t="s">
        <v>4455</v>
      </c>
      <c r="V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9" spans="1:22" x14ac:dyDescent="0.35">
      <c r="A49" s="7" t="s">
        <v>273</v>
      </c>
      <c r="B49" s="7" t="s">
        <v>274</v>
      </c>
      <c r="C49" s="5">
        <v>510.24</v>
      </c>
      <c r="D49" s="2">
        <v>0.68726851851533866</v>
      </c>
      <c r="E49" s="4">
        <v>45208</v>
      </c>
      <c r="F49" s="7" t="s">
        <v>17</v>
      </c>
      <c r="G49" s="7" t="s">
        <v>53</v>
      </c>
      <c r="H49" s="7" t="s">
        <v>275</v>
      </c>
      <c r="I49" s="7" t="s">
        <v>276</v>
      </c>
      <c r="J49" s="7" t="s">
        <v>277</v>
      </c>
      <c r="K49" s="7" t="s">
        <v>36</v>
      </c>
      <c r="L49" s="8">
        <v>19</v>
      </c>
      <c r="M49" s="7" t="s">
        <v>37</v>
      </c>
      <c r="N49" s="8">
        <v>105</v>
      </c>
      <c r="O49" s="8">
        <v>1</v>
      </c>
      <c r="P49" s="5">
        <v>781.7</v>
      </c>
      <c r="Q49" s="4">
        <v>45600</v>
      </c>
      <c r="R49" s="9">
        <v>0.34137731481481481</v>
      </c>
      <c r="S49" s="8">
        <v>16</v>
      </c>
      <c r="T49" s="7" t="s">
        <v>4456</v>
      </c>
      <c r="U49" s="7" t="s">
        <v>4455</v>
      </c>
      <c r="V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" spans="1:22" x14ac:dyDescent="0.35">
      <c r="A50" s="7" t="s">
        <v>278</v>
      </c>
      <c r="B50" s="7" t="s">
        <v>279</v>
      </c>
      <c r="C50" s="5">
        <v>626.9</v>
      </c>
      <c r="D50" s="2">
        <v>0.69857638888788642</v>
      </c>
      <c r="E50" s="4">
        <v>45257</v>
      </c>
      <c r="F50" s="7" t="s">
        <v>17</v>
      </c>
      <c r="G50" s="7" t="s">
        <v>114</v>
      </c>
      <c r="H50" s="7" t="s">
        <v>280</v>
      </c>
      <c r="I50" s="7" t="s">
        <v>281</v>
      </c>
      <c r="J50" s="7" t="s">
        <v>282</v>
      </c>
      <c r="K50" s="7" t="s">
        <v>36</v>
      </c>
      <c r="L50" s="8">
        <v>26</v>
      </c>
      <c r="M50" s="7" t="s">
        <v>37</v>
      </c>
      <c r="N50" s="8">
        <v>138</v>
      </c>
      <c r="O50" s="8">
        <v>1</v>
      </c>
      <c r="P50" s="5">
        <v>265.51</v>
      </c>
      <c r="Q50" s="4">
        <v>45600</v>
      </c>
      <c r="R50" s="9">
        <v>0.33847222222222223</v>
      </c>
      <c r="S50" s="8">
        <v>16</v>
      </c>
      <c r="T50" s="7" t="s">
        <v>4456</v>
      </c>
      <c r="U50" s="7" t="s">
        <v>4455</v>
      </c>
      <c r="V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1" spans="1:22" x14ac:dyDescent="0.35">
      <c r="A51" s="7" t="s">
        <v>283</v>
      </c>
      <c r="B51" s="7" t="s">
        <v>284</v>
      </c>
      <c r="C51" s="5">
        <v>22.01</v>
      </c>
      <c r="D51" s="2">
        <v>0.69812500000261934</v>
      </c>
      <c r="E51" s="4">
        <v>45012</v>
      </c>
      <c r="F51" s="7" t="s">
        <v>46</v>
      </c>
      <c r="G51" s="7" t="s">
        <v>285</v>
      </c>
      <c r="H51" s="7" t="s">
        <v>286</v>
      </c>
      <c r="I51" s="7" t="s">
        <v>287</v>
      </c>
      <c r="J51" s="7" t="s">
        <v>288</v>
      </c>
      <c r="K51" s="7" t="s">
        <v>36</v>
      </c>
      <c r="L51" s="8">
        <v>41</v>
      </c>
      <c r="M51" s="7" t="s">
        <v>77</v>
      </c>
      <c r="N51" s="8">
        <v>175</v>
      </c>
      <c r="O51" s="8">
        <v>1</v>
      </c>
      <c r="P51" s="5">
        <v>1335.09</v>
      </c>
      <c r="Q51" s="4">
        <v>45600</v>
      </c>
      <c r="R51" s="9">
        <v>0.33785879629629628</v>
      </c>
      <c r="S51" s="8">
        <v>16</v>
      </c>
      <c r="T51" s="7" t="s">
        <v>4457</v>
      </c>
      <c r="U51" s="7" t="s">
        <v>4455</v>
      </c>
      <c r="V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2" spans="1:22" x14ac:dyDescent="0.35">
      <c r="A52" s="7" t="s">
        <v>289</v>
      </c>
      <c r="B52" s="7" t="s">
        <v>290</v>
      </c>
      <c r="C52" s="5">
        <v>425.34</v>
      </c>
      <c r="D52" s="2">
        <v>0.70809027777431766</v>
      </c>
      <c r="E52" s="4">
        <v>44970</v>
      </c>
      <c r="F52" s="7" t="s">
        <v>46</v>
      </c>
      <c r="G52" s="7" t="s">
        <v>291</v>
      </c>
      <c r="H52" s="7" t="s">
        <v>292</v>
      </c>
      <c r="I52" s="7" t="s">
        <v>293</v>
      </c>
      <c r="J52" s="7" t="s">
        <v>143</v>
      </c>
      <c r="K52" s="7" t="s">
        <v>36</v>
      </c>
      <c r="L52" s="8">
        <v>69</v>
      </c>
      <c r="M52" s="7" t="s">
        <v>70</v>
      </c>
      <c r="N52" s="8">
        <v>121</v>
      </c>
      <c r="O52" s="8">
        <v>1</v>
      </c>
      <c r="P52" s="5">
        <v>3907.54</v>
      </c>
      <c r="Q52" s="4">
        <v>45600</v>
      </c>
      <c r="R52" s="9">
        <v>0.33827546296296296</v>
      </c>
      <c r="S52" s="8">
        <v>16</v>
      </c>
      <c r="T52" s="7" t="s">
        <v>4454</v>
      </c>
      <c r="U52" s="7" t="s">
        <v>4455</v>
      </c>
      <c r="V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3" spans="1:22" x14ac:dyDescent="0.35">
      <c r="A53" s="7" t="s">
        <v>294</v>
      </c>
      <c r="B53" s="7" t="s">
        <v>295</v>
      </c>
      <c r="C53" s="5">
        <v>424.56</v>
      </c>
      <c r="D53" s="2">
        <v>0.74021990740584442</v>
      </c>
      <c r="E53" s="4">
        <v>44978</v>
      </c>
      <c r="F53" s="7" t="s">
        <v>17</v>
      </c>
      <c r="G53" s="7" t="s">
        <v>296</v>
      </c>
      <c r="H53" s="7" t="s">
        <v>297</v>
      </c>
      <c r="I53" s="7" t="s">
        <v>298</v>
      </c>
      <c r="J53" s="7" t="s">
        <v>21</v>
      </c>
      <c r="K53" s="7" t="s">
        <v>36</v>
      </c>
      <c r="L53" s="8">
        <v>51</v>
      </c>
      <c r="M53" s="7" t="s">
        <v>77</v>
      </c>
      <c r="N53" s="8">
        <v>264</v>
      </c>
      <c r="O53" s="8">
        <v>1</v>
      </c>
      <c r="P53" s="5">
        <v>5183.8500000000004</v>
      </c>
      <c r="Q53" s="4">
        <v>45600</v>
      </c>
      <c r="R53" s="9">
        <v>0.33960648148148148</v>
      </c>
      <c r="S53" s="8">
        <v>17</v>
      </c>
      <c r="T53" s="7" t="s">
        <v>4457</v>
      </c>
      <c r="U53" s="7" t="s">
        <v>4455</v>
      </c>
      <c r="V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4" spans="1:22" x14ac:dyDescent="0.35">
      <c r="A54" s="7" t="s">
        <v>299</v>
      </c>
      <c r="B54" s="7" t="s">
        <v>300</v>
      </c>
      <c r="C54" s="5">
        <v>85.43</v>
      </c>
      <c r="D54" s="2">
        <v>0.69831018518743804</v>
      </c>
      <c r="E54" s="4">
        <v>45084</v>
      </c>
      <c r="F54" s="7" t="s">
        <v>17</v>
      </c>
      <c r="G54" s="7" t="s">
        <v>301</v>
      </c>
      <c r="H54" s="7" t="s">
        <v>33</v>
      </c>
      <c r="I54" s="7" t="s">
        <v>302</v>
      </c>
      <c r="J54" s="7" t="s">
        <v>303</v>
      </c>
      <c r="K54" s="7" t="s">
        <v>69</v>
      </c>
      <c r="L54" s="8">
        <v>67</v>
      </c>
      <c r="M54" s="7" t="s">
        <v>23</v>
      </c>
      <c r="N54" s="8">
        <v>145</v>
      </c>
      <c r="O54" s="8">
        <v>1</v>
      </c>
      <c r="P54" s="5">
        <v>14904.9</v>
      </c>
      <c r="Q54" s="4">
        <v>45600</v>
      </c>
      <c r="R54" s="9">
        <v>0.33802083333333333</v>
      </c>
      <c r="S54" s="8">
        <v>16</v>
      </c>
      <c r="T54" s="7" t="s">
        <v>4454</v>
      </c>
      <c r="U54" s="7" t="s">
        <v>4455</v>
      </c>
      <c r="V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5" spans="1:22" x14ac:dyDescent="0.35">
      <c r="A55" s="7" t="s">
        <v>304</v>
      </c>
      <c r="B55" s="7" t="s">
        <v>305</v>
      </c>
      <c r="C55" s="5">
        <v>169.5</v>
      </c>
      <c r="D55" s="2">
        <v>0.70239583333022892</v>
      </c>
      <c r="E55" s="4">
        <v>45176</v>
      </c>
      <c r="F55" s="7" t="s">
        <v>17</v>
      </c>
      <c r="G55" s="7" t="s">
        <v>18</v>
      </c>
      <c r="H55" s="7" t="s">
        <v>306</v>
      </c>
      <c r="I55" s="7" t="s">
        <v>307</v>
      </c>
      <c r="J55" s="7" t="s">
        <v>308</v>
      </c>
      <c r="K55" s="7" t="s">
        <v>69</v>
      </c>
      <c r="L55" s="8">
        <v>28</v>
      </c>
      <c r="M55" s="7" t="s">
        <v>37</v>
      </c>
      <c r="N55" s="8">
        <v>142</v>
      </c>
      <c r="O55" s="8">
        <v>1</v>
      </c>
      <c r="P55" s="5">
        <v>918.88</v>
      </c>
      <c r="Q55" s="4">
        <v>45600</v>
      </c>
      <c r="R55" s="9">
        <v>0.33956018518518516</v>
      </c>
      <c r="S55" s="8">
        <v>16</v>
      </c>
      <c r="T55" s="7" t="s">
        <v>4456</v>
      </c>
      <c r="U55" s="7" t="s">
        <v>4455</v>
      </c>
      <c r="V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6" spans="1:22" x14ac:dyDescent="0.35">
      <c r="A56" s="7" t="s">
        <v>309</v>
      </c>
      <c r="B56" s="7" t="s">
        <v>310</v>
      </c>
      <c r="C56" s="5">
        <v>104.63</v>
      </c>
      <c r="D56" s="2">
        <v>0.74115740740671754</v>
      </c>
      <c r="E56" s="4">
        <v>45014</v>
      </c>
      <c r="F56" s="7" t="s">
        <v>17</v>
      </c>
      <c r="G56" s="7" t="s">
        <v>296</v>
      </c>
      <c r="H56" s="7" t="s">
        <v>311</v>
      </c>
      <c r="I56" s="7" t="s">
        <v>276</v>
      </c>
      <c r="J56" s="7" t="s">
        <v>312</v>
      </c>
      <c r="K56" s="7" t="s">
        <v>22</v>
      </c>
      <c r="L56" s="8">
        <v>62</v>
      </c>
      <c r="M56" s="7" t="s">
        <v>70</v>
      </c>
      <c r="N56" s="8">
        <v>90</v>
      </c>
      <c r="O56" s="8">
        <v>1</v>
      </c>
      <c r="P56" s="5">
        <v>4477.78</v>
      </c>
      <c r="Q56" s="4">
        <v>45600</v>
      </c>
      <c r="R56" s="9">
        <v>0.34076388888888887</v>
      </c>
      <c r="S56" s="8">
        <v>17</v>
      </c>
      <c r="T56" s="7" t="s">
        <v>4454</v>
      </c>
      <c r="U56" s="7" t="s">
        <v>4455</v>
      </c>
      <c r="V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7" spans="1:22" x14ac:dyDescent="0.35">
      <c r="A57" s="7" t="s">
        <v>313</v>
      </c>
      <c r="B57" s="7" t="s">
        <v>314</v>
      </c>
      <c r="C57" s="5">
        <v>316.95</v>
      </c>
      <c r="D57" s="2">
        <v>0.74560185184964212</v>
      </c>
      <c r="E57" s="4">
        <v>45142</v>
      </c>
      <c r="F57" s="7" t="s">
        <v>17</v>
      </c>
      <c r="G57" s="7" t="s">
        <v>32</v>
      </c>
      <c r="H57" s="7" t="s">
        <v>315</v>
      </c>
      <c r="I57" s="7" t="s">
        <v>316</v>
      </c>
      <c r="J57" s="7" t="s">
        <v>29</v>
      </c>
      <c r="K57" s="7" t="s">
        <v>69</v>
      </c>
      <c r="L57" s="8">
        <v>25</v>
      </c>
      <c r="M57" s="7" t="s">
        <v>37</v>
      </c>
      <c r="N57" s="8">
        <v>83</v>
      </c>
      <c r="O57" s="8">
        <v>1</v>
      </c>
      <c r="P57" s="5">
        <v>1324.03</v>
      </c>
      <c r="Q57" s="4">
        <v>45600</v>
      </c>
      <c r="R57" s="9">
        <v>0.33975694444444443</v>
      </c>
      <c r="S57" s="8">
        <v>17</v>
      </c>
      <c r="T57" s="7" t="s">
        <v>4456</v>
      </c>
      <c r="U57" s="7" t="s">
        <v>4455</v>
      </c>
      <c r="V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8" spans="1:22" x14ac:dyDescent="0.35">
      <c r="A58" s="7" t="s">
        <v>317</v>
      </c>
      <c r="B58" s="7" t="s">
        <v>318</v>
      </c>
      <c r="C58" s="5">
        <v>60.54</v>
      </c>
      <c r="D58" s="2">
        <v>0.744872685187147</v>
      </c>
      <c r="E58" s="4">
        <v>45274</v>
      </c>
      <c r="F58" s="7" t="s">
        <v>46</v>
      </c>
      <c r="G58" s="7" t="s">
        <v>125</v>
      </c>
      <c r="H58" s="7" t="s">
        <v>319</v>
      </c>
      <c r="I58" s="7" t="s">
        <v>320</v>
      </c>
      <c r="J58" s="7" t="s">
        <v>312</v>
      </c>
      <c r="K58" s="7" t="s">
        <v>69</v>
      </c>
      <c r="L58" s="8">
        <v>57</v>
      </c>
      <c r="M58" s="7" t="s">
        <v>70</v>
      </c>
      <c r="N58" s="8">
        <v>52</v>
      </c>
      <c r="O58" s="8">
        <v>1</v>
      </c>
      <c r="P58" s="5">
        <v>3534.93</v>
      </c>
      <c r="Q58" s="4">
        <v>45600</v>
      </c>
      <c r="R58" s="9">
        <v>0.34024305555555556</v>
      </c>
      <c r="S58" s="8">
        <v>17</v>
      </c>
      <c r="T58" s="7" t="s">
        <v>4454</v>
      </c>
      <c r="U58" s="7" t="s">
        <v>4455</v>
      </c>
      <c r="V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9" spans="1:22" x14ac:dyDescent="0.35">
      <c r="A59" s="7" t="s">
        <v>321</v>
      </c>
      <c r="B59" s="7" t="s">
        <v>322</v>
      </c>
      <c r="C59" s="5">
        <v>292.56</v>
      </c>
      <c r="D59" s="2">
        <v>0.73450231481547235</v>
      </c>
      <c r="E59" s="4">
        <v>44988</v>
      </c>
      <c r="F59" s="7" t="s">
        <v>46</v>
      </c>
      <c r="G59" s="7" t="s">
        <v>323</v>
      </c>
      <c r="H59" s="7" t="s">
        <v>324</v>
      </c>
      <c r="I59" s="7" t="s">
        <v>325</v>
      </c>
      <c r="J59" s="7" t="s">
        <v>326</v>
      </c>
      <c r="K59" s="7" t="s">
        <v>69</v>
      </c>
      <c r="L59" s="8">
        <v>68</v>
      </c>
      <c r="M59" s="7" t="s">
        <v>70</v>
      </c>
      <c r="N59" s="8">
        <v>61</v>
      </c>
      <c r="O59" s="8">
        <v>1</v>
      </c>
      <c r="P59" s="5">
        <v>4638.37</v>
      </c>
      <c r="Q59" s="4">
        <v>45600</v>
      </c>
      <c r="R59" s="9">
        <v>0.33876157407407409</v>
      </c>
      <c r="S59" s="8">
        <v>17</v>
      </c>
      <c r="T59" s="7" t="s">
        <v>4454</v>
      </c>
      <c r="U59" s="7" t="s">
        <v>4455</v>
      </c>
      <c r="V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0" spans="1:22" x14ac:dyDescent="0.35">
      <c r="A60" s="7" t="s">
        <v>327</v>
      </c>
      <c r="B60" s="7" t="s">
        <v>328</v>
      </c>
      <c r="C60" s="5">
        <v>386.52</v>
      </c>
      <c r="D60" s="2">
        <v>0.67934027777664596</v>
      </c>
      <c r="E60" s="4">
        <v>45086</v>
      </c>
      <c r="F60" s="7" t="s">
        <v>17</v>
      </c>
      <c r="G60" s="7" t="s">
        <v>65</v>
      </c>
      <c r="H60" s="7" t="s">
        <v>329</v>
      </c>
      <c r="I60" s="7" t="s">
        <v>330</v>
      </c>
      <c r="J60" s="7" t="s">
        <v>331</v>
      </c>
      <c r="K60" s="7" t="s">
        <v>69</v>
      </c>
      <c r="L60" s="8">
        <v>48</v>
      </c>
      <c r="M60" s="7" t="s">
        <v>77</v>
      </c>
      <c r="N60" s="8">
        <v>28</v>
      </c>
      <c r="O60" s="8">
        <v>1</v>
      </c>
      <c r="P60" s="5">
        <v>5630.61</v>
      </c>
      <c r="Q60" s="4">
        <v>45600</v>
      </c>
      <c r="R60" s="9">
        <v>0.33829861111111109</v>
      </c>
      <c r="S60" s="8">
        <v>16</v>
      </c>
      <c r="T60" s="7" t="s">
        <v>4457</v>
      </c>
      <c r="U60" s="7" t="s">
        <v>4455</v>
      </c>
      <c r="V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1" spans="1:22" x14ac:dyDescent="0.35">
      <c r="A61" s="7" t="s">
        <v>332</v>
      </c>
      <c r="B61" s="7" t="s">
        <v>333</v>
      </c>
      <c r="C61" s="5">
        <v>112.07</v>
      </c>
      <c r="D61" s="2">
        <v>0.69122685184993315</v>
      </c>
      <c r="E61" s="4">
        <v>45201</v>
      </c>
      <c r="F61" s="7" t="s">
        <v>17</v>
      </c>
      <c r="G61" s="7" t="s">
        <v>291</v>
      </c>
      <c r="H61" s="7" t="s">
        <v>334</v>
      </c>
      <c r="I61" s="7" t="s">
        <v>335</v>
      </c>
      <c r="J61" s="7" t="s">
        <v>331</v>
      </c>
      <c r="K61" s="7" t="s">
        <v>69</v>
      </c>
      <c r="L61" s="8">
        <v>23</v>
      </c>
      <c r="M61" s="7" t="s">
        <v>37</v>
      </c>
      <c r="N61" s="8">
        <v>51</v>
      </c>
      <c r="O61" s="8">
        <v>1</v>
      </c>
      <c r="P61" s="5">
        <v>930.3</v>
      </c>
      <c r="Q61" s="4">
        <v>45600</v>
      </c>
      <c r="R61" s="9">
        <v>0.34140046296296295</v>
      </c>
      <c r="S61" s="8">
        <v>16</v>
      </c>
      <c r="T61" s="7" t="s">
        <v>4456</v>
      </c>
      <c r="U61" s="7" t="s">
        <v>4455</v>
      </c>
      <c r="V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2" spans="1:22" x14ac:dyDescent="0.35">
      <c r="A62" s="7" t="s">
        <v>336</v>
      </c>
      <c r="B62" s="7" t="s">
        <v>337</v>
      </c>
      <c r="C62" s="5">
        <v>568.52</v>
      </c>
      <c r="D62" s="2">
        <v>0.78098379629955161</v>
      </c>
      <c r="E62" s="4">
        <v>45205</v>
      </c>
      <c r="F62" s="7" t="s">
        <v>17</v>
      </c>
      <c r="G62" s="7" t="s">
        <v>65</v>
      </c>
      <c r="H62" s="7" t="s">
        <v>338</v>
      </c>
      <c r="I62" s="7" t="s">
        <v>339</v>
      </c>
      <c r="J62" s="7" t="s">
        <v>209</v>
      </c>
      <c r="K62" s="7" t="s">
        <v>22</v>
      </c>
      <c r="L62" s="8">
        <v>46</v>
      </c>
      <c r="M62" s="7" t="s">
        <v>77</v>
      </c>
      <c r="N62" s="8">
        <v>152</v>
      </c>
      <c r="O62" s="8">
        <v>1</v>
      </c>
      <c r="P62" s="5">
        <v>5499.91</v>
      </c>
      <c r="Q62" s="4">
        <v>45600</v>
      </c>
      <c r="R62" s="9">
        <v>0.33778935185185183</v>
      </c>
      <c r="S62" s="8">
        <v>18</v>
      </c>
      <c r="T62" s="7" t="s">
        <v>4457</v>
      </c>
      <c r="U62" s="7" t="s">
        <v>4455</v>
      </c>
      <c r="V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3" spans="1:22" x14ac:dyDescent="0.35">
      <c r="A63" s="7" t="s">
        <v>340</v>
      </c>
      <c r="B63" s="7" t="s">
        <v>139</v>
      </c>
      <c r="C63" s="5">
        <v>263.99</v>
      </c>
      <c r="D63" s="2">
        <v>0.671875</v>
      </c>
      <c r="E63" s="4">
        <v>45062</v>
      </c>
      <c r="F63" s="7" t="s">
        <v>17</v>
      </c>
      <c r="G63" s="7" t="s">
        <v>323</v>
      </c>
      <c r="H63" s="7" t="s">
        <v>341</v>
      </c>
      <c r="I63" s="7" t="s">
        <v>342</v>
      </c>
      <c r="J63" s="7" t="s">
        <v>343</v>
      </c>
      <c r="K63" s="7" t="s">
        <v>69</v>
      </c>
      <c r="L63" s="8">
        <v>79</v>
      </c>
      <c r="M63" s="7" t="s">
        <v>70</v>
      </c>
      <c r="N63" s="8">
        <v>227</v>
      </c>
      <c r="O63" s="8">
        <v>2</v>
      </c>
      <c r="P63" s="5">
        <v>4175.0200000000004</v>
      </c>
      <c r="Q63" s="4">
        <v>45600</v>
      </c>
      <c r="R63" s="9">
        <v>0.34100694444444446</v>
      </c>
      <c r="S63" s="8">
        <v>16</v>
      </c>
      <c r="T63" s="7" t="s">
        <v>4454</v>
      </c>
      <c r="U63" s="7" t="s">
        <v>4458</v>
      </c>
      <c r="V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4" spans="1:22" x14ac:dyDescent="0.35">
      <c r="A64" s="7" t="s">
        <v>344</v>
      </c>
      <c r="B64" s="7" t="s">
        <v>345</v>
      </c>
      <c r="C64" s="5">
        <v>349.64</v>
      </c>
      <c r="D64" s="2">
        <v>0.70026620370481396</v>
      </c>
      <c r="E64" s="4">
        <v>45237</v>
      </c>
      <c r="F64" s="7" t="s">
        <v>17</v>
      </c>
      <c r="G64" s="7" t="s">
        <v>146</v>
      </c>
      <c r="H64" s="7" t="s">
        <v>346</v>
      </c>
      <c r="I64" s="7" t="s">
        <v>347</v>
      </c>
      <c r="J64" s="7" t="s">
        <v>348</v>
      </c>
      <c r="K64" s="7" t="s">
        <v>36</v>
      </c>
      <c r="L64" s="8">
        <v>48</v>
      </c>
      <c r="M64" s="7" t="s">
        <v>77</v>
      </c>
      <c r="N64" s="8">
        <v>226</v>
      </c>
      <c r="O64" s="8">
        <v>1</v>
      </c>
      <c r="P64" s="5">
        <v>6651.62</v>
      </c>
      <c r="Q64" s="4">
        <v>45600</v>
      </c>
      <c r="R64" s="9">
        <v>0.33899305555555553</v>
      </c>
      <c r="S64" s="8">
        <v>16</v>
      </c>
      <c r="T64" s="7" t="s">
        <v>4457</v>
      </c>
      <c r="U64" s="7" t="s">
        <v>4455</v>
      </c>
      <c r="V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5" spans="1:22" x14ac:dyDescent="0.35">
      <c r="A65" s="7" t="s">
        <v>349</v>
      </c>
      <c r="B65" s="7" t="s">
        <v>350</v>
      </c>
      <c r="C65" s="5">
        <v>601.4</v>
      </c>
      <c r="D65" s="2">
        <v>0.73848379629635019</v>
      </c>
      <c r="E65" s="4">
        <v>45076</v>
      </c>
      <c r="F65" s="7" t="s">
        <v>46</v>
      </c>
      <c r="G65" s="7" t="s">
        <v>243</v>
      </c>
      <c r="H65" s="7" t="s">
        <v>351</v>
      </c>
      <c r="I65" s="7" t="s">
        <v>352</v>
      </c>
      <c r="J65" s="7" t="s">
        <v>353</v>
      </c>
      <c r="K65" s="7" t="s">
        <v>69</v>
      </c>
      <c r="L65" s="8">
        <v>56</v>
      </c>
      <c r="M65" s="7" t="s">
        <v>77</v>
      </c>
      <c r="N65" s="8">
        <v>104</v>
      </c>
      <c r="O65" s="8">
        <v>1</v>
      </c>
      <c r="P65" s="5">
        <v>8458.2900000000009</v>
      </c>
      <c r="Q65" s="4">
        <v>45600</v>
      </c>
      <c r="R65" s="9">
        <v>0.33890046296296295</v>
      </c>
      <c r="S65" s="8">
        <v>17</v>
      </c>
      <c r="T65" s="7" t="s">
        <v>4454</v>
      </c>
      <c r="U65" s="7" t="s">
        <v>4455</v>
      </c>
      <c r="V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6" spans="1:22" x14ac:dyDescent="0.35">
      <c r="A66" s="7" t="s">
        <v>354</v>
      </c>
      <c r="B66" s="7" t="s">
        <v>355</v>
      </c>
      <c r="C66" s="5">
        <v>5.77</v>
      </c>
      <c r="D66" s="2">
        <v>0.66782407407299615</v>
      </c>
      <c r="E66" s="4">
        <v>45232</v>
      </c>
      <c r="F66" s="7" t="s">
        <v>17</v>
      </c>
      <c r="G66" s="7" t="s">
        <v>249</v>
      </c>
      <c r="H66" s="7" t="s">
        <v>356</v>
      </c>
      <c r="I66" s="7" t="s">
        <v>357</v>
      </c>
      <c r="J66" s="7" t="s">
        <v>358</v>
      </c>
      <c r="K66" s="7" t="s">
        <v>36</v>
      </c>
      <c r="L66" s="8">
        <v>50</v>
      </c>
      <c r="M66" s="7" t="s">
        <v>23</v>
      </c>
      <c r="N66" s="8">
        <v>124</v>
      </c>
      <c r="O66" s="8">
        <v>1</v>
      </c>
      <c r="P66" s="5">
        <v>13988.12</v>
      </c>
      <c r="Q66" s="4">
        <v>45600</v>
      </c>
      <c r="R66" s="9">
        <v>0.34134259259259259</v>
      </c>
      <c r="S66" s="8">
        <v>16</v>
      </c>
      <c r="T66" s="7" t="s">
        <v>4457</v>
      </c>
      <c r="U66" s="7" t="s">
        <v>4455</v>
      </c>
      <c r="V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7" spans="1:22" x14ac:dyDescent="0.35">
      <c r="A67" s="7" t="s">
        <v>359</v>
      </c>
      <c r="B67" s="7" t="s">
        <v>130</v>
      </c>
      <c r="C67" s="5">
        <v>201.33</v>
      </c>
      <c r="D67" s="2">
        <v>0.70869212962861639</v>
      </c>
      <c r="E67" s="4">
        <v>45014</v>
      </c>
      <c r="F67" s="7" t="s">
        <v>46</v>
      </c>
      <c r="G67" s="7" t="s">
        <v>80</v>
      </c>
      <c r="H67" s="7" t="s">
        <v>360</v>
      </c>
      <c r="I67" s="7" t="s">
        <v>361</v>
      </c>
      <c r="J67" s="7" t="s">
        <v>362</v>
      </c>
      <c r="K67" s="7" t="s">
        <v>69</v>
      </c>
      <c r="L67" s="8">
        <v>42</v>
      </c>
      <c r="M67" s="7" t="s">
        <v>77</v>
      </c>
      <c r="N67" s="8">
        <v>186</v>
      </c>
      <c r="O67" s="8">
        <v>1</v>
      </c>
      <c r="P67" s="5">
        <v>2585.0700000000002</v>
      </c>
      <c r="Q67" s="4">
        <v>45600</v>
      </c>
      <c r="R67" s="9">
        <v>0.34144675925925927</v>
      </c>
      <c r="S67" s="8">
        <v>17</v>
      </c>
      <c r="T67" s="7" t="s">
        <v>4457</v>
      </c>
      <c r="U67" s="7" t="s">
        <v>4455</v>
      </c>
      <c r="V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8" spans="1:22" x14ac:dyDescent="0.35">
      <c r="A68" s="7" t="s">
        <v>363</v>
      </c>
      <c r="B68" s="7" t="s">
        <v>364</v>
      </c>
      <c r="C68" s="5">
        <v>298.42</v>
      </c>
      <c r="D68" s="2">
        <v>0.67458333333343035</v>
      </c>
      <c r="E68" s="4">
        <v>45041</v>
      </c>
      <c r="F68" s="7" t="s">
        <v>17</v>
      </c>
      <c r="G68" s="7" t="s">
        <v>65</v>
      </c>
      <c r="H68" s="7" t="s">
        <v>365</v>
      </c>
      <c r="I68" s="7" t="s">
        <v>67</v>
      </c>
      <c r="J68" s="7" t="s">
        <v>262</v>
      </c>
      <c r="K68" s="7" t="s">
        <v>69</v>
      </c>
      <c r="L68" s="8">
        <v>56</v>
      </c>
      <c r="M68" s="7" t="s">
        <v>70</v>
      </c>
      <c r="N68" s="8">
        <v>225</v>
      </c>
      <c r="O68" s="8">
        <v>1</v>
      </c>
      <c r="P68" s="5">
        <v>3014.75</v>
      </c>
      <c r="Q68" s="4">
        <v>45600</v>
      </c>
      <c r="R68" s="9">
        <v>0.34041666666666665</v>
      </c>
      <c r="S68" s="8">
        <v>16</v>
      </c>
      <c r="T68" s="7" t="s">
        <v>4454</v>
      </c>
      <c r="U68" s="7" t="s">
        <v>4455</v>
      </c>
      <c r="V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9" spans="1:22" x14ac:dyDescent="0.35">
      <c r="A69" s="7" t="s">
        <v>366</v>
      </c>
      <c r="B69" s="7" t="s">
        <v>367</v>
      </c>
      <c r="C69" s="5">
        <v>521.05999999999995</v>
      </c>
      <c r="D69" s="2">
        <v>0.77832175925868796</v>
      </c>
      <c r="E69" s="4">
        <v>45034</v>
      </c>
      <c r="F69" s="7" t="s">
        <v>17</v>
      </c>
      <c r="G69" s="7" t="s">
        <v>86</v>
      </c>
      <c r="H69" s="7" t="s">
        <v>368</v>
      </c>
      <c r="I69" s="7" t="s">
        <v>369</v>
      </c>
      <c r="J69" s="7" t="s">
        <v>370</v>
      </c>
      <c r="K69" s="7" t="s">
        <v>69</v>
      </c>
      <c r="L69" s="8">
        <v>25</v>
      </c>
      <c r="M69" s="7" t="s">
        <v>37</v>
      </c>
      <c r="N69" s="8">
        <v>128</v>
      </c>
      <c r="O69" s="8">
        <v>1</v>
      </c>
      <c r="P69" s="5">
        <v>1951.42</v>
      </c>
      <c r="Q69" s="4">
        <v>45600</v>
      </c>
      <c r="R69" s="9">
        <v>0.3417824074074074</v>
      </c>
      <c r="S69" s="8">
        <v>18</v>
      </c>
      <c r="T69" s="7" t="s">
        <v>4456</v>
      </c>
      <c r="U69" s="7" t="s">
        <v>4455</v>
      </c>
      <c r="V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0" spans="1:22" x14ac:dyDescent="0.35">
      <c r="A70" s="7" t="s">
        <v>371</v>
      </c>
      <c r="B70" s="7" t="s">
        <v>372</v>
      </c>
      <c r="C70" s="5">
        <v>117.28</v>
      </c>
      <c r="D70" s="2">
        <v>0.69089120370335877</v>
      </c>
      <c r="E70" s="4">
        <v>44966</v>
      </c>
      <c r="F70" s="7" t="s">
        <v>46</v>
      </c>
      <c r="G70" s="7" t="s">
        <v>119</v>
      </c>
      <c r="H70" s="7" t="s">
        <v>373</v>
      </c>
      <c r="I70" s="7" t="s">
        <v>374</v>
      </c>
      <c r="J70" s="7" t="s">
        <v>100</v>
      </c>
      <c r="K70" s="7" t="s">
        <v>36</v>
      </c>
      <c r="L70" s="8">
        <v>60</v>
      </c>
      <c r="M70" s="7" t="s">
        <v>77</v>
      </c>
      <c r="N70" s="8">
        <v>16</v>
      </c>
      <c r="O70" s="8">
        <v>1</v>
      </c>
      <c r="P70" s="5">
        <v>3665.77</v>
      </c>
      <c r="Q70" s="4">
        <v>45600</v>
      </c>
      <c r="R70" s="9">
        <v>0.33832175925925928</v>
      </c>
      <c r="S70" s="8">
        <v>16</v>
      </c>
      <c r="T70" s="7" t="s">
        <v>4454</v>
      </c>
      <c r="U70" s="7" t="s">
        <v>4455</v>
      </c>
      <c r="V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1" spans="1:22" x14ac:dyDescent="0.35">
      <c r="A71" s="7" t="s">
        <v>375</v>
      </c>
      <c r="B71" s="7" t="s">
        <v>376</v>
      </c>
      <c r="C71" s="5">
        <v>189.12</v>
      </c>
      <c r="D71" s="2">
        <v>0.69615740740846377</v>
      </c>
      <c r="E71" s="4">
        <v>45243</v>
      </c>
      <c r="F71" s="7" t="s">
        <v>46</v>
      </c>
      <c r="G71" s="7" t="s">
        <v>65</v>
      </c>
      <c r="H71" s="7" t="s">
        <v>377</v>
      </c>
      <c r="I71" s="7" t="s">
        <v>378</v>
      </c>
      <c r="J71" s="7" t="s">
        <v>143</v>
      </c>
      <c r="K71" s="7" t="s">
        <v>69</v>
      </c>
      <c r="L71" s="8">
        <v>32</v>
      </c>
      <c r="M71" s="7" t="s">
        <v>77</v>
      </c>
      <c r="N71" s="8">
        <v>103</v>
      </c>
      <c r="O71" s="8">
        <v>1</v>
      </c>
      <c r="P71" s="5">
        <v>977.01</v>
      </c>
      <c r="Q71" s="4">
        <v>45600</v>
      </c>
      <c r="R71" s="9">
        <v>0.33937499999999998</v>
      </c>
      <c r="S71" s="8">
        <v>16</v>
      </c>
      <c r="T71" s="7" t="s">
        <v>4456</v>
      </c>
      <c r="U71" s="7" t="s">
        <v>4455</v>
      </c>
      <c r="V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2" spans="1:22" x14ac:dyDescent="0.35">
      <c r="A72" s="7" t="s">
        <v>379</v>
      </c>
      <c r="B72" s="7" t="s">
        <v>380</v>
      </c>
      <c r="C72" s="5">
        <v>133.55000000000001</v>
      </c>
      <c r="D72" s="2">
        <v>0.67500000000291038</v>
      </c>
      <c r="E72" s="4">
        <v>45125</v>
      </c>
      <c r="F72" s="7" t="s">
        <v>17</v>
      </c>
      <c r="G72" s="7" t="s">
        <v>47</v>
      </c>
      <c r="H72" s="7" t="s">
        <v>381</v>
      </c>
      <c r="I72" s="7" t="s">
        <v>382</v>
      </c>
      <c r="J72" s="7" t="s">
        <v>50</v>
      </c>
      <c r="K72" s="7" t="s">
        <v>22</v>
      </c>
      <c r="L72" s="8">
        <v>44</v>
      </c>
      <c r="M72" s="7" t="s">
        <v>77</v>
      </c>
      <c r="N72" s="8">
        <v>220</v>
      </c>
      <c r="O72" s="8">
        <v>1</v>
      </c>
      <c r="P72" s="5">
        <v>3846.28</v>
      </c>
      <c r="Q72" s="4">
        <v>45600</v>
      </c>
      <c r="R72" s="9">
        <v>0.3404861111111111</v>
      </c>
      <c r="S72" s="8">
        <v>16</v>
      </c>
      <c r="T72" s="7" t="s">
        <v>4457</v>
      </c>
      <c r="U72" s="7" t="s">
        <v>4455</v>
      </c>
      <c r="V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3" spans="1:22" x14ac:dyDescent="0.35">
      <c r="A73" s="7" t="s">
        <v>383</v>
      </c>
      <c r="B73" s="7" t="s">
        <v>384</v>
      </c>
      <c r="C73" s="5">
        <v>143.21</v>
      </c>
      <c r="D73" s="2">
        <v>0.70851851852057735</v>
      </c>
      <c r="E73" s="4">
        <v>44939</v>
      </c>
      <c r="F73" s="7" t="s">
        <v>17</v>
      </c>
      <c r="G73" s="7" t="s">
        <v>323</v>
      </c>
      <c r="H73" s="7" t="s">
        <v>385</v>
      </c>
      <c r="I73" s="7" t="s">
        <v>49</v>
      </c>
      <c r="J73" s="7" t="s">
        <v>386</v>
      </c>
      <c r="K73" s="7" t="s">
        <v>36</v>
      </c>
      <c r="L73" s="8">
        <v>35</v>
      </c>
      <c r="M73" s="7" t="s">
        <v>77</v>
      </c>
      <c r="N73" s="8">
        <v>135</v>
      </c>
      <c r="O73" s="8">
        <v>1</v>
      </c>
      <c r="P73" s="5">
        <v>6374.82</v>
      </c>
      <c r="Q73" s="4">
        <v>45600</v>
      </c>
      <c r="R73" s="9">
        <v>0.33988425925925925</v>
      </c>
      <c r="S73" s="8">
        <v>17</v>
      </c>
      <c r="T73" s="7" t="s">
        <v>4457</v>
      </c>
      <c r="U73" s="7" t="s">
        <v>4455</v>
      </c>
      <c r="V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4" spans="1:22" x14ac:dyDescent="0.35">
      <c r="A74" s="7" t="s">
        <v>387</v>
      </c>
      <c r="B74" s="7" t="s">
        <v>269</v>
      </c>
      <c r="C74" s="5">
        <v>24.77</v>
      </c>
      <c r="D74" s="2">
        <v>0.76427083333692281</v>
      </c>
      <c r="E74" s="4">
        <v>45111</v>
      </c>
      <c r="F74" s="7" t="s">
        <v>17</v>
      </c>
      <c r="G74" s="7" t="s">
        <v>388</v>
      </c>
      <c r="H74" s="7" t="s">
        <v>389</v>
      </c>
      <c r="I74" s="7" t="s">
        <v>347</v>
      </c>
      <c r="J74" s="7" t="s">
        <v>272</v>
      </c>
      <c r="K74" s="7" t="s">
        <v>22</v>
      </c>
      <c r="L74" s="8">
        <v>62</v>
      </c>
      <c r="M74" s="7" t="s">
        <v>70</v>
      </c>
      <c r="N74" s="8">
        <v>55</v>
      </c>
      <c r="O74" s="8">
        <v>1</v>
      </c>
      <c r="P74" s="5">
        <v>5866.01</v>
      </c>
      <c r="Q74" s="4">
        <v>45600</v>
      </c>
      <c r="R74" s="9">
        <v>0.34184027777777776</v>
      </c>
      <c r="S74" s="8">
        <v>18</v>
      </c>
      <c r="T74" s="7" t="s">
        <v>4454</v>
      </c>
      <c r="U74" s="7" t="s">
        <v>4455</v>
      </c>
      <c r="V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5" spans="1:22" x14ac:dyDescent="0.35">
      <c r="A75" s="7" t="s">
        <v>390</v>
      </c>
      <c r="B75" s="7" t="s">
        <v>391</v>
      </c>
      <c r="C75" s="5">
        <v>233.92</v>
      </c>
      <c r="D75" s="2">
        <v>0.70449074073985685</v>
      </c>
      <c r="E75" s="4">
        <v>45219</v>
      </c>
      <c r="F75" s="7" t="s">
        <v>46</v>
      </c>
      <c r="G75" s="7" t="s">
        <v>392</v>
      </c>
      <c r="H75" s="7" t="s">
        <v>393</v>
      </c>
      <c r="I75" s="7" t="s">
        <v>394</v>
      </c>
      <c r="J75" s="7" t="s">
        <v>246</v>
      </c>
      <c r="K75" s="7" t="s">
        <v>36</v>
      </c>
      <c r="L75" s="8">
        <v>26</v>
      </c>
      <c r="M75" s="7" t="s">
        <v>37</v>
      </c>
      <c r="N75" s="8">
        <v>280</v>
      </c>
      <c r="O75" s="8">
        <v>1</v>
      </c>
      <c r="P75" s="5">
        <v>6537.62</v>
      </c>
      <c r="Q75" s="4">
        <v>45600</v>
      </c>
      <c r="R75" s="9">
        <v>0.33940972222222221</v>
      </c>
      <c r="S75" s="8">
        <v>16</v>
      </c>
      <c r="T75" s="7" t="s">
        <v>4456</v>
      </c>
      <c r="U75" s="7" t="s">
        <v>4455</v>
      </c>
      <c r="V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6" spans="1:22" x14ac:dyDescent="0.35">
      <c r="A76" s="7" t="s">
        <v>395</v>
      </c>
      <c r="B76" s="7" t="s">
        <v>396</v>
      </c>
      <c r="C76" s="5">
        <v>1212.51</v>
      </c>
      <c r="D76" s="2">
        <v>0.69200231481227092</v>
      </c>
      <c r="E76" s="4">
        <v>45203</v>
      </c>
      <c r="F76" s="7" t="s">
        <v>17</v>
      </c>
      <c r="G76" s="7" t="s">
        <v>65</v>
      </c>
      <c r="H76" s="7" t="s">
        <v>397</v>
      </c>
      <c r="I76" s="7" t="s">
        <v>104</v>
      </c>
      <c r="J76" s="7" t="s">
        <v>308</v>
      </c>
      <c r="K76" s="7" t="s">
        <v>69</v>
      </c>
      <c r="L76" s="8">
        <v>20</v>
      </c>
      <c r="M76" s="7" t="s">
        <v>37</v>
      </c>
      <c r="N76" s="8">
        <v>24</v>
      </c>
      <c r="O76" s="8">
        <v>1</v>
      </c>
      <c r="P76" s="5">
        <v>605.95000000000005</v>
      </c>
      <c r="Q76" s="4">
        <v>45600</v>
      </c>
      <c r="R76" s="9">
        <v>0.33809027777777778</v>
      </c>
      <c r="S76" s="8">
        <v>16</v>
      </c>
      <c r="T76" s="7" t="s">
        <v>4456</v>
      </c>
      <c r="U76" s="7" t="s">
        <v>4455</v>
      </c>
      <c r="V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7" spans="1:22" x14ac:dyDescent="0.35">
      <c r="A77" s="7" t="s">
        <v>398</v>
      </c>
      <c r="B77" s="7" t="s">
        <v>399</v>
      </c>
      <c r="C77" s="5">
        <v>232.12</v>
      </c>
      <c r="D77" s="2">
        <v>0.72989583333401242</v>
      </c>
      <c r="E77" s="4">
        <v>45288</v>
      </c>
      <c r="F77" s="7" t="s">
        <v>17</v>
      </c>
      <c r="G77" s="7" t="s">
        <v>296</v>
      </c>
      <c r="H77" s="7" t="s">
        <v>400</v>
      </c>
      <c r="I77" s="7" t="s">
        <v>401</v>
      </c>
      <c r="J77" s="7" t="s">
        <v>386</v>
      </c>
      <c r="K77" s="7" t="s">
        <v>22</v>
      </c>
      <c r="L77" s="8">
        <v>37</v>
      </c>
      <c r="M77" s="7" t="s">
        <v>77</v>
      </c>
      <c r="N77" s="8">
        <v>51</v>
      </c>
      <c r="O77" s="8">
        <v>1</v>
      </c>
      <c r="P77" s="5">
        <v>6689.87</v>
      </c>
      <c r="Q77" s="4">
        <v>45600</v>
      </c>
      <c r="R77" s="9">
        <v>0.33978009259259262</v>
      </c>
      <c r="S77" s="8">
        <v>17</v>
      </c>
      <c r="T77" s="7" t="s">
        <v>4457</v>
      </c>
      <c r="U77" s="7" t="s">
        <v>4455</v>
      </c>
      <c r="V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8" spans="1:22" x14ac:dyDescent="0.35">
      <c r="A78" s="7" t="s">
        <v>402</v>
      </c>
      <c r="B78" s="7" t="s">
        <v>403</v>
      </c>
      <c r="C78" s="5">
        <v>162.63</v>
      </c>
      <c r="D78" s="2">
        <v>0.74574074074189411</v>
      </c>
      <c r="E78" s="4">
        <v>45089</v>
      </c>
      <c r="F78" s="7" t="s">
        <v>17</v>
      </c>
      <c r="G78" s="7" t="s">
        <v>291</v>
      </c>
      <c r="H78" s="7" t="s">
        <v>404</v>
      </c>
      <c r="I78" s="7" t="s">
        <v>405</v>
      </c>
      <c r="J78" s="7" t="s">
        <v>406</v>
      </c>
      <c r="K78" s="7" t="s">
        <v>36</v>
      </c>
      <c r="L78" s="8">
        <v>22</v>
      </c>
      <c r="M78" s="7" t="s">
        <v>37</v>
      </c>
      <c r="N78" s="8">
        <v>113</v>
      </c>
      <c r="O78" s="8">
        <v>1</v>
      </c>
      <c r="P78" s="5">
        <v>634.16999999999996</v>
      </c>
      <c r="Q78" s="4">
        <v>45600</v>
      </c>
      <c r="R78" s="9">
        <v>0.33914351851851854</v>
      </c>
      <c r="S78" s="8">
        <v>17</v>
      </c>
      <c r="T78" s="7" t="s">
        <v>4456</v>
      </c>
      <c r="U78" s="7" t="s">
        <v>4455</v>
      </c>
      <c r="V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9" spans="1:22" x14ac:dyDescent="0.35">
      <c r="A79" s="7" t="s">
        <v>407</v>
      </c>
      <c r="B79" s="7" t="s">
        <v>408</v>
      </c>
      <c r="C79" s="5">
        <v>91.53</v>
      </c>
      <c r="D79" s="2">
        <v>0.68902777777839219</v>
      </c>
      <c r="E79" s="4">
        <v>44998</v>
      </c>
      <c r="F79" s="7" t="s">
        <v>17</v>
      </c>
      <c r="G79" s="7" t="s">
        <v>178</v>
      </c>
      <c r="H79" s="7" t="s">
        <v>409</v>
      </c>
      <c r="I79" s="7" t="s">
        <v>410</v>
      </c>
      <c r="J79" s="7" t="s">
        <v>312</v>
      </c>
      <c r="K79" s="7" t="s">
        <v>69</v>
      </c>
      <c r="L79" s="8">
        <v>44</v>
      </c>
      <c r="M79" s="7" t="s">
        <v>23</v>
      </c>
      <c r="N79" s="8">
        <v>69</v>
      </c>
      <c r="O79" s="8">
        <v>1</v>
      </c>
      <c r="P79" s="5">
        <v>14676.05</v>
      </c>
      <c r="Q79" s="4">
        <v>45600</v>
      </c>
      <c r="R79" s="9">
        <v>0.34138888888888891</v>
      </c>
      <c r="S79" s="8">
        <v>16</v>
      </c>
      <c r="T79" s="7" t="s">
        <v>4457</v>
      </c>
      <c r="U79" s="7" t="s">
        <v>4455</v>
      </c>
      <c r="V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0" spans="1:22" x14ac:dyDescent="0.35">
      <c r="A80" s="7" t="s">
        <v>411</v>
      </c>
      <c r="B80" s="7" t="s">
        <v>412</v>
      </c>
      <c r="C80" s="5">
        <v>120.29</v>
      </c>
      <c r="D80" s="2">
        <v>0.78225694444699911</v>
      </c>
      <c r="E80" s="4">
        <v>45278</v>
      </c>
      <c r="F80" s="7" t="s">
        <v>17</v>
      </c>
      <c r="G80" s="7" t="s">
        <v>172</v>
      </c>
      <c r="H80" s="7" t="s">
        <v>413</v>
      </c>
      <c r="I80" s="7" t="s">
        <v>20</v>
      </c>
      <c r="J80" s="7" t="s">
        <v>414</v>
      </c>
      <c r="K80" s="7" t="s">
        <v>69</v>
      </c>
      <c r="L80" s="8">
        <v>19</v>
      </c>
      <c r="M80" s="7" t="s">
        <v>37</v>
      </c>
      <c r="N80" s="8">
        <v>77</v>
      </c>
      <c r="O80" s="8">
        <v>1</v>
      </c>
      <c r="P80" s="5">
        <v>1362.39</v>
      </c>
      <c r="Q80" s="4">
        <v>45600</v>
      </c>
      <c r="R80" s="9">
        <v>0.33807870370370369</v>
      </c>
      <c r="S80" s="8">
        <v>18</v>
      </c>
      <c r="T80" s="7" t="s">
        <v>4456</v>
      </c>
      <c r="U80" s="7" t="s">
        <v>4455</v>
      </c>
      <c r="V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1" spans="1:22" x14ac:dyDescent="0.35">
      <c r="A81" s="7" t="s">
        <v>415</v>
      </c>
      <c r="B81" s="7" t="s">
        <v>145</v>
      </c>
      <c r="C81" s="5">
        <v>174.25</v>
      </c>
      <c r="D81" s="2">
        <v>0.7878587962986785</v>
      </c>
      <c r="E81" s="4">
        <v>45124</v>
      </c>
      <c r="F81" s="7" t="s">
        <v>17</v>
      </c>
      <c r="G81" s="7" t="s">
        <v>59</v>
      </c>
      <c r="H81" s="7" t="s">
        <v>416</v>
      </c>
      <c r="I81" s="7" t="s">
        <v>417</v>
      </c>
      <c r="J81" s="7" t="s">
        <v>418</v>
      </c>
      <c r="K81" s="7" t="s">
        <v>36</v>
      </c>
      <c r="L81" s="8">
        <v>50</v>
      </c>
      <c r="M81" s="7" t="s">
        <v>23</v>
      </c>
      <c r="N81" s="8">
        <v>67</v>
      </c>
      <c r="O81" s="8">
        <v>1</v>
      </c>
      <c r="P81" s="5">
        <v>10528.34</v>
      </c>
      <c r="Q81" s="4">
        <v>45600</v>
      </c>
      <c r="R81" s="9">
        <v>0.34061342592592592</v>
      </c>
      <c r="S81" s="8">
        <v>18</v>
      </c>
      <c r="T81" s="7" t="s">
        <v>4457</v>
      </c>
      <c r="U81" s="7" t="s">
        <v>4455</v>
      </c>
      <c r="V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2" spans="1:22" x14ac:dyDescent="0.35">
      <c r="A82" s="7" t="s">
        <v>419</v>
      </c>
      <c r="B82" s="7" t="s">
        <v>420</v>
      </c>
      <c r="C82" s="5">
        <v>183.71</v>
      </c>
      <c r="D82" s="2">
        <v>0.76539351851533866</v>
      </c>
      <c r="E82" s="4">
        <v>45096</v>
      </c>
      <c r="F82" s="7" t="s">
        <v>17</v>
      </c>
      <c r="G82" s="7" t="s">
        <v>114</v>
      </c>
      <c r="H82" s="7" t="s">
        <v>421</v>
      </c>
      <c r="I82" s="7" t="s">
        <v>422</v>
      </c>
      <c r="J82" s="7" t="s">
        <v>226</v>
      </c>
      <c r="K82" s="7" t="s">
        <v>22</v>
      </c>
      <c r="L82" s="8">
        <v>38</v>
      </c>
      <c r="M82" s="7" t="s">
        <v>77</v>
      </c>
      <c r="N82" s="8">
        <v>102</v>
      </c>
      <c r="O82" s="8">
        <v>1</v>
      </c>
      <c r="P82" s="5">
        <v>552.52</v>
      </c>
      <c r="Q82" s="4">
        <v>45600</v>
      </c>
      <c r="R82" s="9">
        <v>0.34017361111111111</v>
      </c>
      <c r="S82" s="8">
        <v>18</v>
      </c>
      <c r="T82" s="7" t="s">
        <v>4457</v>
      </c>
      <c r="U82" s="7" t="s">
        <v>4455</v>
      </c>
      <c r="V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" spans="1:22" x14ac:dyDescent="0.35">
      <c r="A83" s="7" t="s">
        <v>423</v>
      </c>
      <c r="B83" s="7" t="s">
        <v>424</v>
      </c>
      <c r="C83" s="5">
        <v>345.39</v>
      </c>
      <c r="D83" s="2">
        <v>0.71802083333022892</v>
      </c>
      <c r="E83" s="4">
        <v>45222</v>
      </c>
      <c r="F83" s="7" t="s">
        <v>46</v>
      </c>
      <c r="G83" s="7" t="s">
        <v>425</v>
      </c>
      <c r="H83" s="7" t="s">
        <v>426</v>
      </c>
      <c r="I83" s="7" t="s">
        <v>369</v>
      </c>
      <c r="J83" s="7" t="s">
        <v>427</v>
      </c>
      <c r="K83" s="7" t="s">
        <v>36</v>
      </c>
      <c r="L83" s="8">
        <v>58</v>
      </c>
      <c r="M83" s="7" t="s">
        <v>77</v>
      </c>
      <c r="N83" s="8">
        <v>80</v>
      </c>
      <c r="O83" s="8">
        <v>1</v>
      </c>
      <c r="P83" s="5">
        <v>6451.96</v>
      </c>
      <c r="Q83" s="4">
        <v>45600</v>
      </c>
      <c r="R83" s="9">
        <v>0.33907407407407408</v>
      </c>
      <c r="S83" s="8">
        <v>17</v>
      </c>
      <c r="T83" s="7" t="s">
        <v>4454</v>
      </c>
      <c r="U83" s="7" t="s">
        <v>4455</v>
      </c>
      <c r="V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4" spans="1:22" x14ac:dyDescent="0.35">
      <c r="A84" s="7" t="s">
        <v>428</v>
      </c>
      <c r="B84" s="7" t="s">
        <v>429</v>
      </c>
      <c r="C84" s="5">
        <v>922.55</v>
      </c>
      <c r="D84" s="2">
        <v>0.68944444444787223</v>
      </c>
      <c r="E84" s="4">
        <v>44949</v>
      </c>
      <c r="F84" s="7" t="s">
        <v>17</v>
      </c>
      <c r="G84" s="7" t="s">
        <v>73</v>
      </c>
      <c r="H84" s="7" t="s">
        <v>430</v>
      </c>
      <c r="I84" s="7" t="s">
        <v>431</v>
      </c>
      <c r="J84" s="7" t="s">
        <v>432</v>
      </c>
      <c r="K84" s="7" t="s">
        <v>22</v>
      </c>
      <c r="L84" s="8">
        <v>63</v>
      </c>
      <c r="M84" s="7" t="s">
        <v>70</v>
      </c>
      <c r="N84" s="8">
        <v>87</v>
      </c>
      <c r="O84" s="8">
        <v>1</v>
      </c>
      <c r="P84" s="5">
        <v>4715.84</v>
      </c>
      <c r="Q84" s="4">
        <v>45600</v>
      </c>
      <c r="R84" s="9">
        <v>0.34105324074074073</v>
      </c>
      <c r="S84" s="8">
        <v>16</v>
      </c>
      <c r="T84" s="7" t="s">
        <v>4454</v>
      </c>
      <c r="U84" s="7" t="s">
        <v>4455</v>
      </c>
      <c r="V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5" spans="1:22" x14ac:dyDescent="0.35">
      <c r="A85" s="7" t="s">
        <v>433</v>
      </c>
      <c r="B85" s="7" t="s">
        <v>434</v>
      </c>
      <c r="C85" s="5">
        <v>259.91000000000003</v>
      </c>
      <c r="D85" s="2">
        <v>0.69039351851824904</v>
      </c>
      <c r="E85" s="4">
        <v>45236</v>
      </c>
      <c r="F85" s="7" t="s">
        <v>17</v>
      </c>
      <c r="G85" s="7" t="s">
        <v>114</v>
      </c>
      <c r="H85" s="7" t="s">
        <v>435</v>
      </c>
      <c r="I85" s="7" t="s">
        <v>436</v>
      </c>
      <c r="J85" s="7" t="s">
        <v>165</v>
      </c>
      <c r="K85" s="7" t="s">
        <v>36</v>
      </c>
      <c r="L85" s="8">
        <v>49</v>
      </c>
      <c r="M85" s="7" t="s">
        <v>23</v>
      </c>
      <c r="N85" s="8">
        <v>170</v>
      </c>
      <c r="O85" s="8">
        <v>1</v>
      </c>
      <c r="P85" s="5">
        <v>7176.86</v>
      </c>
      <c r="Q85" s="4">
        <v>45600</v>
      </c>
      <c r="R85" s="9">
        <v>0.34002314814814816</v>
      </c>
      <c r="S85" s="8">
        <v>16</v>
      </c>
      <c r="T85" s="7" t="s">
        <v>4457</v>
      </c>
      <c r="U85" s="7" t="s">
        <v>4455</v>
      </c>
      <c r="V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6" spans="1:22" x14ac:dyDescent="0.35">
      <c r="A86" s="7" t="s">
        <v>437</v>
      </c>
      <c r="B86" s="7" t="s">
        <v>438</v>
      </c>
      <c r="C86" s="5">
        <v>154.71</v>
      </c>
      <c r="D86" s="2">
        <v>0.69472222222248092</v>
      </c>
      <c r="E86" s="4">
        <v>45110</v>
      </c>
      <c r="F86" s="7" t="s">
        <v>17</v>
      </c>
      <c r="G86" s="7" t="s">
        <v>18</v>
      </c>
      <c r="H86" s="7" t="s">
        <v>439</v>
      </c>
      <c r="I86" s="7" t="s">
        <v>440</v>
      </c>
      <c r="J86" s="7" t="s">
        <v>95</v>
      </c>
      <c r="K86" s="7" t="s">
        <v>36</v>
      </c>
      <c r="L86" s="8">
        <v>34</v>
      </c>
      <c r="M86" s="7" t="s">
        <v>23</v>
      </c>
      <c r="N86" s="8">
        <v>157</v>
      </c>
      <c r="O86" s="8">
        <v>1</v>
      </c>
      <c r="P86" s="5">
        <v>1523.72</v>
      </c>
      <c r="Q86" s="4">
        <v>45600</v>
      </c>
      <c r="R86" s="9">
        <v>0.34006944444444442</v>
      </c>
      <c r="S86" s="8">
        <v>16</v>
      </c>
      <c r="T86" s="7" t="s">
        <v>4456</v>
      </c>
      <c r="U86" s="7" t="s">
        <v>4455</v>
      </c>
      <c r="V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7" spans="1:22" x14ac:dyDescent="0.35">
      <c r="A87" s="7" t="s">
        <v>441</v>
      </c>
      <c r="B87" s="7" t="s">
        <v>442</v>
      </c>
      <c r="C87" s="5">
        <v>1340.19</v>
      </c>
      <c r="D87" s="2">
        <v>0.72372685185109731</v>
      </c>
      <c r="E87" s="4">
        <v>45198</v>
      </c>
      <c r="F87" s="7" t="s">
        <v>46</v>
      </c>
      <c r="G87" s="7" t="s">
        <v>119</v>
      </c>
      <c r="H87" s="7" t="s">
        <v>443</v>
      </c>
      <c r="I87" s="7" t="s">
        <v>444</v>
      </c>
      <c r="J87" s="7" t="s">
        <v>445</v>
      </c>
      <c r="K87" s="7" t="s">
        <v>36</v>
      </c>
      <c r="L87" s="8">
        <v>54</v>
      </c>
      <c r="M87" s="7" t="s">
        <v>77</v>
      </c>
      <c r="N87" s="8">
        <v>30</v>
      </c>
      <c r="O87" s="8">
        <v>1</v>
      </c>
      <c r="P87" s="5">
        <v>8654.2800000000007</v>
      </c>
      <c r="Q87" s="4">
        <v>45600</v>
      </c>
      <c r="R87" s="9">
        <v>0.33811342592592591</v>
      </c>
      <c r="S87" s="8">
        <v>17</v>
      </c>
      <c r="T87" s="7" t="s">
        <v>4457</v>
      </c>
      <c r="U87" s="7" t="s">
        <v>4455</v>
      </c>
      <c r="V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8" spans="1:22" x14ac:dyDescent="0.35">
      <c r="A88" s="7" t="s">
        <v>446</v>
      </c>
      <c r="B88" s="7" t="s">
        <v>447</v>
      </c>
      <c r="C88" s="5">
        <v>24.56</v>
      </c>
      <c r="D88" s="2">
        <v>0.72748842592409346</v>
      </c>
      <c r="E88" s="4">
        <v>45219</v>
      </c>
      <c r="F88" s="7" t="s">
        <v>17</v>
      </c>
      <c r="G88" s="7" t="s">
        <v>32</v>
      </c>
      <c r="H88" s="7" t="s">
        <v>448</v>
      </c>
      <c r="I88" s="7" t="s">
        <v>449</v>
      </c>
      <c r="J88" s="7" t="s">
        <v>450</v>
      </c>
      <c r="K88" s="7" t="s">
        <v>69</v>
      </c>
      <c r="L88" s="8">
        <v>64</v>
      </c>
      <c r="M88" s="7" t="s">
        <v>23</v>
      </c>
      <c r="N88" s="8">
        <v>69</v>
      </c>
      <c r="O88" s="8">
        <v>1</v>
      </c>
      <c r="P88" s="5">
        <v>9869.93</v>
      </c>
      <c r="Q88" s="4">
        <v>45600</v>
      </c>
      <c r="R88" s="9">
        <v>0.34172453703703703</v>
      </c>
      <c r="S88" s="8">
        <v>17</v>
      </c>
      <c r="T88" s="7" t="s">
        <v>4454</v>
      </c>
      <c r="U88" s="7" t="s">
        <v>4455</v>
      </c>
      <c r="V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9" spans="1:22" x14ac:dyDescent="0.35">
      <c r="A89" s="7" t="s">
        <v>451</v>
      </c>
      <c r="B89" s="7" t="s">
        <v>452</v>
      </c>
      <c r="C89" s="5">
        <v>568.07000000000005</v>
      </c>
      <c r="D89" s="2">
        <v>0.71103009259240935</v>
      </c>
      <c r="E89" s="4">
        <v>45166</v>
      </c>
      <c r="F89" s="7" t="s">
        <v>17</v>
      </c>
      <c r="G89" s="7" t="s">
        <v>453</v>
      </c>
      <c r="H89" s="7" t="s">
        <v>454</v>
      </c>
      <c r="I89" s="7" t="s">
        <v>455</v>
      </c>
      <c r="J89" s="7" t="s">
        <v>56</v>
      </c>
      <c r="K89" s="7" t="s">
        <v>22</v>
      </c>
      <c r="L89" s="8">
        <v>48</v>
      </c>
      <c r="M89" s="7" t="s">
        <v>23</v>
      </c>
      <c r="N89" s="8">
        <v>115</v>
      </c>
      <c r="O89" s="8">
        <v>1</v>
      </c>
      <c r="P89" s="5">
        <v>10556.81</v>
      </c>
      <c r="Q89" s="4">
        <v>45600</v>
      </c>
      <c r="R89" s="9">
        <v>0.33856481481481482</v>
      </c>
      <c r="S89" s="8">
        <v>17</v>
      </c>
      <c r="T89" s="7" t="s">
        <v>4457</v>
      </c>
      <c r="U89" s="7" t="s">
        <v>4455</v>
      </c>
      <c r="V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0" spans="1:22" x14ac:dyDescent="0.35">
      <c r="A90" s="7" t="s">
        <v>456</v>
      </c>
      <c r="B90" s="7" t="s">
        <v>337</v>
      </c>
      <c r="C90" s="5">
        <v>9.61</v>
      </c>
      <c r="D90" s="2">
        <v>0.77603009259473765</v>
      </c>
      <c r="E90" s="4">
        <v>45099</v>
      </c>
      <c r="F90" s="7" t="s">
        <v>46</v>
      </c>
      <c r="G90" s="7" t="s">
        <v>18</v>
      </c>
      <c r="H90" s="7" t="s">
        <v>457</v>
      </c>
      <c r="I90" s="7" t="s">
        <v>458</v>
      </c>
      <c r="J90" s="7" t="s">
        <v>169</v>
      </c>
      <c r="K90" s="7" t="s">
        <v>36</v>
      </c>
      <c r="L90" s="8">
        <v>58</v>
      </c>
      <c r="M90" s="7" t="s">
        <v>23</v>
      </c>
      <c r="N90" s="8">
        <v>179</v>
      </c>
      <c r="O90" s="8">
        <v>1</v>
      </c>
      <c r="P90" s="5">
        <v>12883.91</v>
      </c>
      <c r="Q90" s="4">
        <v>45600</v>
      </c>
      <c r="R90" s="9">
        <v>0.33969907407407407</v>
      </c>
      <c r="S90" s="8">
        <v>18</v>
      </c>
      <c r="T90" s="7" t="s">
        <v>4454</v>
      </c>
      <c r="U90" s="7" t="s">
        <v>4455</v>
      </c>
      <c r="V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1" spans="1:22" x14ac:dyDescent="0.35">
      <c r="A91" s="7" t="s">
        <v>459</v>
      </c>
      <c r="B91" s="7" t="s">
        <v>460</v>
      </c>
      <c r="C91" s="5">
        <v>392.96</v>
      </c>
      <c r="D91" s="2">
        <v>0.68621527777577285</v>
      </c>
      <c r="E91" s="4">
        <v>45250</v>
      </c>
      <c r="F91" s="7" t="s">
        <v>17</v>
      </c>
      <c r="G91" s="7" t="s">
        <v>291</v>
      </c>
      <c r="H91" s="7" t="s">
        <v>461</v>
      </c>
      <c r="I91" s="7" t="s">
        <v>330</v>
      </c>
      <c r="J91" s="7" t="s">
        <v>154</v>
      </c>
      <c r="K91" s="7" t="s">
        <v>36</v>
      </c>
      <c r="L91" s="8">
        <v>24</v>
      </c>
      <c r="M91" s="7" t="s">
        <v>37</v>
      </c>
      <c r="N91" s="8">
        <v>100</v>
      </c>
      <c r="O91" s="8">
        <v>1</v>
      </c>
      <c r="P91" s="5">
        <v>791.65</v>
      </c>
      <c r="Q91" s="4">
        <v>45600</v>
      </c>
      <c r="R91" s="9">
        <v>0.33932870370370372</v>
      </c>
      <c r="S91" s="8">
        <v>16</v>
      </c>
      <c r="T91" s="7" t="s">
        <v>4456</v>
      </c>
      <c r="U91" s="7" t="s">
        <v>4455</v>
      </c>
      <c r="V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" spans="1:22" x14ac:dyDescent="0.35">
      <c r="A92" s="7" t="s">
        <v>462</v>
      </c>
      <c r="B92" s="7" t="s">
        <v>463</v>
      </c>
      <c r="C92" s="5">
        <v>716.93</v>
      </c>
      <c r="D92" s="2">
        <v>0.70107638889021473</v>
      </c>
      <c r="E92" s="4">
        <v>45183</v>
      </c>
      <c r="F92" s="7" t="s">
        <v>46</v>
      </c>
      <c r="G92" s="7" t="s">
        <v>178</v>
      </c>
      <c r="H92" s="7" t="s">
        <v>464</v>
      </c>
      <c r="I92" s="7" t="s">
        <v>465</v>
      </c>
      <c r="J92" s="7" t="s">
        <v>29</v>
      </c>
      <c r="K92" s="7" t="s">
        <v>36</v>
      </c>
      <c r="L92" s="8">
        <v>60</v>
      </c>
      <c r="M92" s="7" t="s">
        <v>70</v>
      </c>
      <c r="N92" s="8">
        <v>34</v>
      </c>
      <c r="O92" s="8">
        <v>1</v>
      </c>
      <c r="P92" s="5">
        <v>4064.02</v>
      </c>
      <c r="Q92" s="4">
        <v>45600</v>
      </c>
      <c r="R92" s="9">
        <v>0.33902777777777776</v>
      </c>
      <c r="S92" s="8">
        <v>16</v>
      </c>
      <c r="T92" s="7" t="s">
        <v>4454</v>
      </c>
      <c r="U92" s="7" t="s">
        <v>4455</v>
      </c>
      <c r="V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3" spans="1:22" x14ac:dyDescent="0.35">
      <c r="A93" s="7" t="s">
        <v>466</v>
      </c>
      <c r="B93" s="7" t="s">
        <v>467</v>
      </c>
      <c r="C93" s="5">
        <v>223.85</v>
      </c>
      <c r="D93" s="2">
        <v>0.69178240740438923</v>
      </c>
      <c r="E93" s="4">
        <v>45201</v>
      </c>
      <c r="F93" s="7" t="s">
        <v>17</v>
      </c>
      <c r="G93" s="7" t="s">
        <v>291</v>
      </c>
      <c r="H93" s="7" t="s">
        <v>468</v>
      </c>
      <c r="I93" s="7" t="s">
        <v>469</v>
      </c>
      <c r="J93" s="7" t="s">
        <v>35</v>
      </c>
      <c r="K93" s="7" t="s">
        <v>22</v>
      </c>
      <c r="L93" s="8">
        <v>53</v>
      </c>
      <c r="M93" s="7" t="s">
        <v>77</v>
      </c>
      <c r="N93" s="8">
        <v>55</v>
      </c>
      <c r="O93" s="8">
        <v>4</v>
      </c>
      <c r="P93" s="5">
        <v>2929.91</v>
      </c>
      <c r="Q93" s="4">
        <v>45600</v>
      </c>
      <c r="R93" s="9">
        <v>0.33890046296296295</v>
      </c>
      <c r="S93" s="8">
        <v>16</v>
      </c>
      <c r="T93" s="7" t="s">
        <v>4457</v>
      </c>
      <c r="U93" s="7" t="s">
        <v>4458</v>
      </c>
      <c r="V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4" spans="1:22" x14ac:dyDescent="0.35">
      <c r="A94" s="7" t="s">
        <v>470</v>
      </c>
      <c r="B94" s="7" t="s">
        <v>471</v>
      </c>
      <c r="C94" s="5">
        <v>230.66</v>
      </c>
      <c r="D94" s="2">
        <v>0.76115740741079208</v>
      </c>
      <c r="E94" s="4">
        <v>45012</v>
      </c>
      <c r="F94" s="7" t="s">
        <v>17</v>
      </c>
      <c r="G94" s="7" t="s">
        <v>26</v>
      </c>
      <c r="H94" s="7" t="s">
        <v>472</v>
      </c>
      <c r="I94" s="7" t="s">
        <v>473</v>
      </c>
      <c r="J94" s="7" t="s">
        <v>474</v>
      </c>
      <c r="K94" s="7" t="s">
        <v>69</v>
      </c>
      <c r="L94" s="8">
        <v>21</v>
      </c>
      <c r="M94" s="7" t="s">
        <v>37</v>
      </c>
      <c r="N94" s="8">
        <v>135</v>
      </c>
      <c r="O94" s="8">
        <v>1</v>
      </c>
      <c r="P94" s="5">
        <v>618.04999999999995</v>
      </c>
      <c r="Q94" s="4">
        <v>45600</v>
      </c>
      <c r="R94" s="9">
        <v>0.34078703703703705</v>
      </c>
      <c r="S94" s="8">
        <v>18</v>
      </c>
      <c r="T94" s="7" t="s">
        <v>4456</v>
      </c>
      <c r="U94" s="7" t="s">
        <v>4455</v>
      </c>
      <c r="V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5" spans="1:22" x14ac:dyDescent="0.35">
      <c r="A95" s="7" t="s">
        <v>475</v>
      </c>
      <c r="B95" s="7" t="s">
        <v>452</v>
      </c>
      <c r="C95" s="5">
        <v>442.12</v>
      </c>
      <c r="D95" s="2">
        <v>0.69239583333546761</v>
      </c>
      <c r="E95" s="4">
        <v>45281</v>
      </c>
      <c r="F95" s="7" t="s">
        <v>17</v>
      </c>
      <c r="G95" s="7" t="s">
        <v>140</v>
      </c>
      <c r="H95" s="7" t="s">
        <v>476</v>
      </c>
      <c r="I95" s="7" t="s">
        <v>477</v>
      </c>
      <c r="J95" s="7" t="s">
        <v>478</v>
      </c>
      <c r="K95" s="7" t="s">
        <v>36</v>
      </c>
      <c r="L95" s="8">
        <v>19</v>
      </c>
      <c r="M95" s="7" t="s">
        <v>37</v>
      </c>
      <c r="N95" s="8">
        <v>260</v>
      </c>
      <c r="O95" s="8">
        <v>1</v>
      </c>
      <c r="P95" s="5">
        <v>1375.8</v>
      </c>
      <c r="Q95" s="4">
        <v>45600</v>
      </c>
      <c r="R95" s="9">
        <v>0.33913194444444444</v>
      </c>
      <c r="S95" s="8">
        <v>16</v>
      </c>
      <c r="T95" s="7" t="s">
        <v>4456</v>
      </c>
      <c r="U95" s="7" t="s">
        <v>4455</v>
      </c>
      <c r="V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" spans="1:22" x14ac:dyDescent="0.35">
      <c r="A96" s="7" t="s">
        <v>479</v>
      </c>
      <c r="B96" s="7" t="s">
        <v>345</v>
      </c>
      <c r="C96" s="5">
        <v>644.16999999999996</v>
      </c>
      <c r="D96" s="2">
        <v>0.67024305555241881</v>
      </c>
      <c r="E96" s="4">
        <v>44987</v>
      </c>
      <c r="F96" s="7" t="s">
        <v>17</v>
      </c>
      <c r="G96" s="7" t="s">
        <v>237</v>
      </c>
      <c r="H96" s="7" t="s">
        <v>480</v>
      </c>
      <c r="I96" s="7" t="s">
        <v>481</v>
      </c>
      <c r="J96" s="7" t="s">
        <v>482</v>
      </c>
      <c r="K96" s="7" t="s">
        <v>22</v>
      </c>
      <c r="L96" s="8">
        <v>29</v>
      </c>
      <c r="M96" s="7" t="s">
        <v>77</v>
      </c>
      <c r="N96" s="8">
        <v>72</v>
      </c>
      <c r="O96" s="8">
        <v>1</v>
      </c>
      <c r="P96" s="5">
        <v>1143.52</v>
      </c>
      <c r="Q96" s="4">
        <v>45600</v>
      </c>
      <c r="R96" s="9">
        <v>0.33893518518518517</v>
      </c>
      <c r="S96" s="8">
        <v>16</v>
      </c>
      <c r="T96" s="7" t="s">
        <v>4456</v>
      </c>
      <c r="U96" s="7" t="s">
        <v>4455</v>
      </c>
      <c r="V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7" spans="1:22" x14ac:dyDescent="0.35">
      <c r="A97" s="7" t="s">
        <v>483</v>
      </c>
      <c r="B97" s="7" t="s">
        <v>484</v>
      </c>
      <c r="C97" s="5">
        <v>508.68</v>
      </c>
      <c r="D97" s="2">
        <v>0.67835648148320615</v>
      </c>
      <c r="E97" s="4">
        <v>45103</v>
      </c>
      <c r="F97" s="7" t="s">
        <v>46</v>
      </c>
      <c r="G97" s="7" t="s">
        <v>32</v>
      </c>
      <c r="H97" s="7" t="s">
        <v>485</v>
      </c>
      <c r="I97" s="7" t="s">
        <v>486</v>
      </c>
      <c r="J97" s="7" t="s">
        <v>122</v>
      </c>
      <c r="K97" s="7" t="s">
        <v>69</v>
      </c>
      <c r="L97" s="8">
        <v>51</v>
      </c>
      <c r="M97" s="7" t="s">
        <v>77</v>
      </c>
      <c r="N97" s="8">
        <v>127</v>
      </c>
      <c r="O97" s="8">
        <v>1</v>
      </c>
      <c r="P97" s="5">
        <v>7708.41</v>
      </c>
      <c r="Q97" s="4">
        <v>45600</v>
      </c>
      <c r="R97" s="9">
        <v>0.3399537037037037</v>
      </c>
      <c r="S97" s="8">
        <v>16</v>
      </c>
      <c r="T97" s="7" t="s">
        <v>4457</v>
      </c>
      <c r="U97" s="7" t="s">
        <v>4455</v>
      </c>
      <c r="V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8" spans="1:22" x14ac:dyDescent="0.35">
      <c r="A98" s="7" t="s">
        <v>487</v>
      </c>
      <c r="B98" s="7" t="s">
        <v>488</v>
      </c>
      <c r="C98" s="5">
        <v>858.63</v>
      </c>
      <c r="D98" s="2">
        <v>0.72734953703911742</v>
      </c>
      <c r="E98" s="4">
        <v>45034</v>
      </c>
      <c r="F98" s="7" t="s">
        <v>46</v>
      </c>
      <c r="G98" s="7" t="s">
        <v>212</v>
      </c>
      <c r="H98" s="7" t="s">
        <v>489</v>
      </c>
      <c r="I98" s="7" t="s">
        <v>490</v>
      </c>
      <c r="J98" s="7" t="s">
        <v>43</v>
      </c>
      <c r="K98" s="7" t="s">
        <v>69</v>
      </c>
      <c r="L98" s="8">
        <v>27</v>
      </c>
      <c r="M98" s="7" t="s">
        <v>37</v>
      </c>
      <c r="N98" s="8">
        <v>185</v>
      </c>
      <c r="O98" s="8">
        <v>1</v>
      </c>
      <c r="P98" s="5">
        <v>1872.96</v>
      </c>
      <c r="Q98" s="4">
        <v>45600</v>
      </c>
      <c r="R98" s="9">
        <v>0.34082175925925928</v>
      </c>
      <c r="S98" s="8">
        <v>17</v>
      </c>
      <c r="T98" s="7" t="s">
        <v>4456</v>
      </c>
      <c r="U98" s="7" t="s">
        <v>4455</v>
      </c>
      <c r="V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9" spans="1:22" x14ac:dyDescent="0.35">
      <c r="A99" s="7" t="s">
        <v>491</v>
      </c>
      <c r="B99" s="7" t="s">
        <v>259</v>
      </c>
      <c r="C99" s="5">
        <v>25.36</v>
      </c>
      <c r="D99" s="2">
        <v>0.71416666666482342</v>
      </c>
      <c r="E99" s="4">
        <v>45124</v>
      </c>
      <c r="F99" s="7" t="s">
        <v>17</v>
      </c>
      <c r="G99" s="7" t="s">
        <v>108</v>
      </c>
      <c r="H99" s="7" t="s">
        <v>492</v>
      </c>
      <c r="I99" s="7" t="s">
        <v>493</v>
      </c>
      <c r="J99" s="7" t="s">
        <v>83</v>
      </c>
      <c r="K99" s="7" t="s">
        <v>22</v>
      </c>
      <c r="L99" s="8">
        <v>57</v>
      </c>
      <c r="M99" s="7" t="s">
        <v>77</v>
      </c>
      <c r="N99" s="8">
        <v>78</v>
      </c>
      <c r="O99" s="8">
        <v>1</v>
      </c>
      <c r="P99" s="5">
        <v>201.04</v>
      </c>
      <c r="Q99" s="4">
        <v>45600</v>
      </c>
      <c r="R99" s="9">
        <v>0.34103009259259259</v>
      </c>
      <c r="S99" s="8">
        <v>17</v>
      </c>
      <c r="T99" s="7" t="s">
        <v>4454</v>
      </c>
      <c r="U99" s="7" t="s">
        <v>4455</v>
      </c>
      <c r="V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0" spans="1:22" x14ac:dyDescent="0.35">
      <c r="A100" s="7" t="s">
        <v>494</v>
      </c>
      <c r="B100" s="7" t="s">
        <v>156</v>
      </c>
      <c r="C100" s="5">
        <v>147.62</v>
      </c>
      <c r="D100" s="2">
        <v>0.72641203703824431</v>
      </c>
      <c r="E100" s="4">
        <v>45170</v>
      </c>
      <c r="F100" s="7" t="s">
        <v>17</v>
      </c>
      <c r="G100" s="7" t="s">
        <v>249</v>
      </c>
      <c r="H100" s="7" t="s">
        <v>495</v>
      </c>
      <c r="I100" s="7" t="s">
        <v>496</v>
      </c>
      <c r="J100" s="7" t="s">
        <v>165</v>
      </c>
      <c r="K100" s="7" t="s">
        <v>69</v>
      </c>
      <c r="L100" s="8">
        <v>71</v>
      </c>
      <c r="M100" s="7" t="s">
        <v>70</v>
      </c>
      <c r="N100" s="8">
        <v>133</v>
      </c>
      <c r="O100" s="8">
        <v>1</v>
      </c>
      <c r="P100" s="5">
        <v>2115.8000000000002</v>
      </c>
      <c r="Q100" s="4">
        <v>45600</v>
      </c>
      <c r="R100" s="9">
        <v>0.3384490740740741</v>
      </c>
      <c r="S100" s="8">
        <v>17</v>
      </c>
      <c r="T100" s="7" t="s">
        <v>4454</v>
      </c>
      <c r="U100" s="7" t="s">
        <v>4455</v>
      </c>
      <c r="V1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1" spans="1:22" x14ac:dyDescent="0.35">
      <c r="A101" s="7" t="s">
        <v>497</v>
      </c>
      <c r="B101" s="7" t="s">
        <v>498</v>
      </c>
      <c r="C101" s="5">
        <v>115.02</v>
      </c>
      <c r="D101" s="2">
        <v>0.67990740740788169</v>
      </c>
      <c r="E101" s="4">
        <v>45180</v>
      </c>
      <c r="F101" s="7" t="s">
        <v>17</v>
      </c>
      <c r="G101" s="7" t="s">
        <v>237</v>
      </c>
      <c r="H101" s="7" t="s">
        <v>499</v>
      </c>
      <c r="I101" s="7" t="s">
        <v>500</v>
      </c>
      <c r="J101" s="7" t="s">
        <v>432</v>
      </c>
      <c r="K101" s="7" t="s">
        <v>69</v>
      </c>
      <c r="L101" s="8">
        <v>37</v>
      </c>
      <c r="M101" s="7" t="s">
        <v>23</v>
      </c>
      <c r="N101" s="8">
        <v>175</v>
      </c>
      <c r="O101" s="8">
        <v>1</v>
      </c>
      <c r="P101" s="5">
        <v>7643.66</v>
      </c>
      <c r="Q101" s="4">
        <v>45600</v>
      </c>
      <c r="R101" s="9">
        <v>0.33932870370370372</v>
      </c>
      <c r="S101" s="8">
        <v>16</v>
      </c>
      <c r="T101" s="7" t="s">
        <v>4457</v>
      </c>
      <c r="U101" s="7" t="s">
        <v>4455</v>
      </c>
      <c r="V1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2" spans="1:22" x14ac:dyDescent="0.35">
      <c r="A102" s="7" t="s">
        <v>501</v>
      </c>
      <c r="B102" s="7" t="s">
        <v>396</v>
      </c>
      <c r="C102" s="5">
        <v>383.37</v>
      </c>
      <c r="D102" s="2">
        <v>0.72495370370597811</v>
      </c>
      <c r="E102" s="4">
        <v>44950</v>
      </c>
      <c r="F102" s="7" t="s">
        <v>17</v>
      </c>
      <c r="G102" s="7" t="s">
        <v>157</v>
      </c>
      <c r="H102" s="7" t="s">
        <v>502</v>
      </c>
      <c r="I102" s="7" t="s">
        <v>503</v>
      </c>
      <c r="J102" s="7" t="s">
        <v>386</v>
      </c>
      <c r="K102" s="7" t="s">
        <v>69</v>
      </c>
      <c r="L102" s="8">
        <v>30</v>
      </c>
      <c r="M102" s="7" t="s">
        <v>77</v>
      </c>
      <c r="N102" s="8">
        <v>24</v>
      </c>
      <c r="O102" s="8">
        <v>1</v>
      </c>
      <c r="P102" s="5">
        <v>8901.93</v>
      </c>
      <c r="Q102" s="4">
        <v>45600</v>
      </c>
      <c r="R102" s="9">
        <v>0.34105324074074073</v>
      </c>
      <c r="S102" s="8">
        <v>17</v>
      </c>
      <c r="T102" s="7" t="s">
        <v>4456</v>
      </c>
      <c r="U102" s="7" t="s">
        <v>4455</v>
      </c>
      <c r="V1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3" spans="1:22" x14ac:dyDescent="0.35">
      <c r="A103" s="7" t="s">
        <v>504</v>
      </c>
      <c r="B103" s="7" t="s">
        <v>505</v>
      </c>
      <c r="C103" s="5">
        <v>98.54</v>
      </c>
      <c r="D103" s="2">
        <v>0.67969907407677965</v>
      </c>
      <c r="E103" s="4">
        <v>45149</v>
      </c>
      <c r="F103" s="7" t="s">
        <v>46</v>
      </c>
      <c r="G103" s="7" t="s">
        <v>506</v>
      </c>
      <c r="H103" s="7" t="s">
        <v>499</v>
      </c>
      <c r="I103" s="7" t="s">
        <v>507</v>
      </c>
      <c r="J103" s="7" t="s">
        <v>312</v>
      </c>
      <c r="K103" s="7" t="s">
        <v>36</v>
      </c>
      <c r="L103" s="8">
        <v>20</v>
      </c>
      <c r="M103" s="7" t="s">
        <v>37</v>
      </c>
      <c r="N103" s="8">
        <v>167</v>
      </c>
      <c r="O103" s="8">
        <v>1</v>
      </c>
      <c r="P103" s="5">
        <v>9383.43</v>
      </c>
      <c r="Q103" s="4">
        <v>45600</v>
      </c>
      <c r="R103" s="9">
        <v>0.34030092592592592</v>
      </c>
      <c r="S103" s="8">
        <v>16</v>
      </c>
      <c r="T103" s="7" t="s">
        <v>4456</v>
      </c>
      <c r="U103" s="7" t="s">
        <v>4455</v>
      </c>
      <c r="V1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4" spans="1:22" x14ac:dyDescent="0.35">
      <c r="A104" s="7" t="s">
        <v>508</v>
      </c>
      <c r="B104" s="7" t="s">
        <v>509</v>
      </c>
      <c r="C104" s="5">
        <v>83.24</v>
      </c>
      <c r="D104" s="2">
        <v>0.77443287037021946</v>
      </c>
      <c r="E104" s="4">
        <v>45215</v>
      </c>
      <c r="F104" s="7" t="s">
        <v>46</v>
      </c>
      <c r="G104" s="7" t="s">
        <v>157</v>
      </c>
      <c r="H104" s="7" t="s">
        <v>510</v>
      </c>
      <c r="I104" s="7" t="s">
        <v>180</v>
      </c>
      <c r="J104" s="7" t="s">
        <v>35</v>
      </c>
      <c r="K104" s="7" t="s">
        <v>69</v>
      </c>
      <c r="L104" s="8">
        <v>55</v>
      </c>
      <c r="M104" s="7" t="s">
        <v>23</v>
      </c>
      <c r="N104" s="8">
        <v>164</v>
      </c>
      <c r="O104" s="8">
        <v>1</v>
      </c>
      <c r="P104" s="5">
        <v>1181.31</v>
      </c>
      <c r="Q104" s="4">
        <v>45600</v>
      </c>
      <c r="R104" s="9">
        <v>0.34087962962962964</v>
      </c>
      <c r="S104" s="8">
        <v>18</v>
      </c>
      <c r="T104" s="7" t="s">
        <v>4454</v>
      </c>
      <c r="U104" s="7" t="s">
        <v>4455</v>
      </c>
      <c r="V1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5" spans="1:22" x14ac:dyDescent="0.35">
      <c r="A105" s="7" t="s">
        <v>511</v>
      </c>
      <c r="B105" s="7" t="s">
        <v>412</v>
      </c>
      <c r="C105" s="5">
        <v>196.16</v>
      </c>
      <c r="D105" s="2">
        <v>0.68707175926101627</v>
      </c>
      <c r="E105" s="4">
        <v>44981</v>
      </c>
      <c r="F105" s="7" t="s">
        <v>17</v>
      </c>
      <c r="G105" s="7" t="s">
        <v>301</v>
      </c>
      <c r="H105" s="7" t="s">
        <v>512</v>
      </c>
      <c r="I105" s="7" t="s">
        <v>513</v>
      </c>
      <c r="J105" s="7" t="s">
        <v>514</v>
      </c>
      <c r="K105" s="7" t="s">
        <v>69</v>
      </c>
      <c r="L105" s="8">
        <v>27</v>
      </c>
      <c r="M105" s="7" t="s">
        <v>77</v>
      </c>
      <c r="N105" s="8">
        <v>146</v>
      </c>
      <c r="O105" s="8">
        <v>1</v>
      </c>
      <c r="P105" s="5">
        <v>9418.86</v>
      </c>
      <c r="Q105" s="4">
        <v>45600</v>
      </c>
      <c r="R105" s="9">
        <v>0.33925925925925926</v>
      </c>
      <c r="S105" s="8">
        <v>16</v>
      </c>
      <c r="T105" s="7" t="s">
        <v>4456</v>
      </c>
      <c r="U105" s="7" t="s">
        <v>4455</v>
      </c>
      <c r="V1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6" spans="1:22" x14ac:dyDescent="0.35">
      <c r="A106" s="7" t="s">
        <v>515</v>
      </c>
      <c r="B106" s="7" t="s">
        <v>516</v>
      </c>
      <c r="C106" s="5">
        <v>129.94</v>
      </c>
      <c r="D106" s="2">
        <v>0.69168981481197989</v>
      </c>
      <c r="E106" s="4">
        <v>44928</v>
      </c>
      <c r="F106" s="7" t="s">
        <v>17</v>
      </c>
      <c r="G106" s="7" t="s">
        <v>146</v>
      </c>
      <c r="H106" s="7" t="s">
        <v>517</v>
      </c>
      <c r="I106" s="7" t="s">
        <v>518</v>
      </c>
      <c r="J106" s="7" t="s">
        <v>414</v>
      </c>
      <c r="K106" s="7" t="s">
        <v>22</v>
      </c>
      <c r="L106" s="8">
        <v>32</v>
      </c>
      <c r="M106" s="7" t="s">
        <v>77</v>
      </c>
      <c r="N106" s="8">
        <v>235</v>
      </c>
      <c r="O106" s="8">
        <v>1</v>
      </c>
      <c r="P106" s="5">
        <v>7954.92</v>
      </c>
      <c r="Q106" s="4">
        <v>45600</v>
      </c>
      <c r="R106" s="9">
        <v>0.3379050925925926</v>
      </c>
      <c r="S106" s="8">
        <v>16</v>
      </c>
      <c r="T106" s="7" t="s">
        <v>4456</v>
      </c>
      <c r="U106" s="7" t="s">
        <v>4455</v>
      </c>
      <c r="V1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7" spans="1:22" x14ac:dyDescent="0.35">
      <c r="A107" s="7" t="s">
        <v>519</v>
      </c>
      <c r="B107" s="7" t="s">
        <v>520</v>
      </c>
      <c r="C107" s="5">
        <v>306.89999999999998</v>
      </c>
      <c r="D107" s="2">
        <v>0.68822916666977108</v>
      </c>
      <c r="E107" s="4">
        <v>45260</v>
      </c>
      <c r="F107" s="7" t="s">
        <v>17</v>
      </c>
      <c r="G107" s="7" t="s">
        <v>521</v>
      </c>
      <c r="H107" s="7" t="s">
        <v>522</v>
      </c>
      <c r="I107" s="7" t="s">
        <v>523</v>
      </c>
      <c r="J107" s="7" t="s">
        <v>478</v>
      </c>
      <c r="K107" s="7" t="s">
        <v>36</v>
      </c>
      <c r="L107" s="8">
        <v>46</v>
      </c>
      <c r="M107" s="7" t="s">
        <v>77</v>
      </c>
      <c r="N107" s="8">
        <v>51</v>
      </c>
      <c r="O107" s="8">
        <v>1</v>
      </c>
      <c r="P107" s="5">
        <v>9418.08</v>
      </c>
      <c r="Q107" s="4">
        <v>45600</v>
      </c>
      <c r="R107" s="9">
        <v>0.34083333333333332</v>
      </c>
      <c r="S107" s="8">
        <v>16</v>
      </c>
      <c r="T107" s="7" t="s">
        <v>4457</v>
      </c>
      <c r="U107" s="7" t="s">
        <v>4455</v>
      </c>
      <c r="V1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" spans="1:22" x14ac:dyDescent="0.35">
      <c r="A108" s="7" t="s">
        <v>524</v>
      </c>
      <c r="B108" s="7" t="s">
        <v>525</v>
      </c>
      <c r="C108" s="5">
        <v>114.98</v>
      </c>
      <c r="D108" s="2">
        <v>0.70278935185342561</v>
      </c>
      <c r="E108" s="4">
        <v>45231</v>
      </c>
      <c r="F108" s="7" t="s">
        <v>17</v>
      </c>
      <c r="G108" s="7" t="s">
        <v>59</v>
      </c>
      <c r="H108" s="7" t="s">
        <v>526</v>
      </c>
      <c r="I108" s="7" t="s">
        <v>527</v>
      </c>
      <c r="J108" s="7" t="s">
        <v>418</v>
      </c>
      <c r="K108" s="7" t="s">
        <v>36</v>
      </c>
      <c r="L108" s="8">
        <v>59</v>
      </c>
      <c r="M108" s="7" t="s">
        <v>70</v>
      </c>
      <c r="N108" s="8">
        <v>80</v>
      </c>
      <c r="O108" s="8">
        <v>1</v>
      </c>
      <c r="P108" s="5">
        <v>6144.68</v>
      </c>
      <c r="Q108" s="4">
        <v>45600</v>
      </c>
      <c r="R108" s="9">
        <v>0.33986111111111111</v>
      </c>
      <c r="S108" s="8">
        <v>16</v>
      </c>
      <c r="T108" s="7" t="s">
        <v>4454</v>
      </c>
      <c r="U108" s="7" t="s">
        <v>4455</v>
      </c>
      <c r="V1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9" spans="1:22" x14ac:dyDescent="0.35">
      <c r="A109" s="7" t="s">
        <v>528</v>
      </c>
      <c r="B109" s="7" t="s">
        <v>529</v>
      </c>
      <c r="C109" s="5">
        <v>756.59</v>
      </c>
      <c r="D109" s="2">
        <v>0.69932870370394085</v>
      </c>
      <c r="E109" s="4">
        <v>44991</v>
      </c>
      <c r="F109" s="7" t="s">
        <v>17</v>
      </c>
      <c r="G109" s="7" t="s">
        <v>285</v>
      </c>
      <c r="H109" s="7" t="s">
        <v>530</v>
      </c>
      <c r="I109" s="7" t="s">
        <v>531</v>
      </c>
      <c r="J109" s="7" t="s">
        <v>445</v>
      </c>
      <c r="K109" s="7" t="s">
        <v>69</v>
      </c>
      <c r="L109" s="8">
        <v>27</v>
      </c>
      <c r="M109" s="7" t="s">
        <v>37</v>
      </c>
      <c r="N109" s="8">
        <v>17</v>
      </c>
      <c r="O109" s="8">
        <v>1</v>
      </c>
      <c r="P109" s="5">
        <v>420.65</v>
      </c>
      <c r="Q109" s="4">
        <v>45600</v>
      </c>
      <c r="R109" s="9">
        <v>0.34143518518518517</v>
      </c>
      <c r="S109" s="8">
        <v>16</v>
      </c>
      <c r="T109" s="7" t="s">
        <v>4456</v>
      </c>
      <c r="U109" s="7" t="s">
        <v>4455</v>
      </c>
      <c r="V1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0" spans="1:22" x14ac:dyDescent="0.35">
      <c r="A110" s="7" t="s">
        <v>532</v>
      </c>
      <c r="B110" s="7" t="s">
        <v>533</v>
      </c>
      <c r="C110" s="5">
        <v>503.76</v>
      </c>
      <c r="D110" s="2">
        <v>0.77278935185313458</v>
      </c>
      <c r="E110" s="4">
        <v>45257</v>
      </c>
      <c r="F110" s="7" t="s">
        <v>17</v>
      </c>
      <c r="G110" s="7" t="s">
        <v>140</v>
      </c>
      <c r="H110" s="7" t="s">
        <v>534</v>
      </c>
      <c r="I110" s="7" t="s">
        <v>535</v>
      </c>
      <c r="J110" s="7" t="s">
        <v>160</v>
      </c>
      <c r="K110" s="7" t="s">
        <v>36</v>
      </c>
      <c r="L110" s="8">
        <v>22</v>
      </c>
      <c r="M110" s="7" t="s">
        <v>37</v>
      </c>
      <c r="N110" s="8">
        <v>35</v>
      </c>
      <c r="O110" s="8">
        <v>1</v>
      </c>
      <c r="P110" s="5">
        <v>447.82</v>
      </c>
      <c r="Q110" s="4">
        <v>45600</v>
      </c>
      <c r="R110" s="9">
        <v>0.33983796296296298</v>
      </c>
      <c r="S110" s="8">
        <v>18</v>
      </c>
      <c r="T110" s="7" t="s">
        <v>4456</v>
      </c>
      <c r="U110" s="7" t="s">
        <v>4455</v>
      </c>
      <c r="V1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1" spans="1:22" x14ac:dyDescent="0.35">
      <c r="A111" s="7" t="s">
        <v>536</v>
      </c>
      <c r="B111" s="7" t="s">
        <v>537</v>
      </c>
      <c r="C111" s="5">
        <v>143.03</v>
      </c>
      <c r="D111" s="2">
        <v>0.69289351852057735</v>
      </c>
      <c r="E111" s="4">
        <v>45138</v>
      </c>
      <c r="F111" s="7" t="s">
        <v>17</v>
      </c>
      <c r="G111" s="7" t="s">
        <v>237</v>
      </c>
      <c r="H111" s="7" t="s">
        <v>538</v>
      </c>
      <c r="I111" s="7" t="s">
        <v>266</v>
      </c>
      <c r="J111" s="7" t="s">
        <v>288</v>
      </c>
      <c r="K111" s="7" t="s">
        <v>22</v>
      </c>
      <c r="L111" s="8">
        <v>63</v>
      </c>
      <c r="M111" s="7" t="s">
        <v>70</v>
      </c>
      <c r="N111" s="8">
        <v>147</v>
      </c>
      <c r="O111" s="8">
        <v>1</v>
      </c>
      <c r="P111" s="5">
        <v>7981.45</v>
      </c>
      <c r="Q111" s="4">
        <v>45600</v>
      </c>
      <c r="R111" s="9">
        <v>0.34076388888888887</v>
      </c>
      <c r="S111" s="8">
        <v>16</v>
      </c>
      <c r="T111" s="7" t="s">
        <v>4454</v>
      </c>
      <c r="U111" s="7" t="s">
        <v>4455</v>
      </c>
      <c r="V1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2" spans="1:22" x14ac:dyDescent="0.35">
      <c r="A112" s="7" t="s">
        <v>539</v>
      </c>
      <c r="B112" s="7" t="s">
        <v>540</v>
      </c>
      <c r="C112" s="5">
        <v>1045.22</v>
      </c>
      <c r="D112" s="2">
        <v>0.67614583333488554</v>
      </c>
      <c r="E112" s="4">
        <v>45252</v>
      </c>
      <c r="F112" s="7" t="s">
        <v>17</v>
      </c>
      <c r="G112" s="7" t="s">
        <v>125</v>
      </c>
      <c r="H112" s="7" t="s">
        <v>541</v>
      </c>
      <c r="I112" s="7" t="s">
        <v>542</v>
      </c>
      <c r="J112" s="7" t="s">
        <v>543</v>
      </c>
      <c r="K112" s="7" t="s">
        <v>22</v>
      </c>
      <c r="L112" s="8">
        <v>53</v>
      </c>
      <c r="M112" s="7" t="s">
        <v>70</v>
      </c>
      <c r="N112" s="8">
        <v>73</v>
      </c>
      <c r="O112" s="8">
        <v>1</v>
      </c>
      <c r="P112" s="5">
        <v>1829.9</v>
      </c>
      <c r="Q112" s="4">
        <v>45600</v>
      </c>
      <c r="R112" s="9">
        <v>0.33859953703703705</v>
      </c>
      <c r="S112" s="8">
        <v>16</v>
      </c>
      <c r="T112" s="7" t="s">
        <v>4457</v>
      </c>
      <c r="U112" s="7" t="s">
        <v>4455</v>
      </c>
      <c r="V1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3" spans="1:22" x14ac:dyDescent="0.35">
      <c r="A113" s="7" t="s">
        <v>544</v>
      </c>
      <c r="B113" s="7" t="s">
        <v>545</v>
      </c>
      <c r="C113" s="5">
        <v>245.54</v>
      </c>
      <c r="D113" s="2">
        <v>0.68716435185342561</v>
      </c>
      <c r="E113" s="4">
        <v>45006</v>
      </c>
      <c r="F113" s="7" t="s">
        <v>17</v>
      </c>
      <c r="G113" s="7" t="s">
        <v>203</v>
      </c>
      <c r="H113" s="7" t="s">
        <v>546</v>
      </c>
      <c r="I113" s="7" t="s">
        <v>547</v>
      </c>
      <c r="J113" s="7" t="s">
        <v>548</v>
      </c>
      <c r="K113" s="7" t="s">
        <v>22</v>
      </c>
      <c r="L113" s="8">
        <v>25</v>
      </c>
      <c r="M113" s="7" t="s">
        <v>37</v>
      </c>
      <c r="N113" s="8">
        <v>180</v>
      </c>
      <c r="O113" s="8">
        <v>1</v>
      </c>
      <c r="P113" s="5">
        <v>985.06</v>
      </c>
      <c r="Q113" s="4">
        <v>45600</v>
      </c>
      <c r="R113" s="9">
        <v>0.34057870370370369</v>
      </c>
      <c r="S113" s="8">
        <v>16</v>
      </c>
      <c r="T113" s="7" t="s">
        <v>4456</v>
      </c>
      <c r="U113" s="7" t="s">
        <v>4455</v>
      </c>
      <c r="V1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4" spans="1:22" x14ac:dyDescent="0.35">
      <c r="A114" s="7" t="s">
        <v>549</v>
      </c>
      <c r="B114" s="7" t="s">
        <v>550</v>
      </c>
      <c r="C114" s="5">
        <v>254.37</v>
      </c>
      <c r="D114" s="2">
        <v>0.76863425925694173</v>
      </c>
      <c r="E114" s="4">
        <v>45036</v>
      </c>
      <c r="F114" s="7" t="s">
        <v>46</v>
      </c>
      <c r="G114" s="7" t="s">
        <v>323</v>
      </c>
      <c r="H114" s="7" t="s">
        <v>551</v>
      </c>
      <c r="I114" s="7" t="s">
        <v>552</v>
      </c>
      <c r="J114" s="7" t="s">
        <v>445</v>
      </c>
      <c r="K114" s="7" t="s">
        <v>36</v>
      </c>
      <c r="L114" s="8">
        <v>51</v>
      </c>
      <c r="M114" s="7" t="s">
        <v>77</v>
      </c>
      <c r="N114" s="8">
        <v>174</v>
      </c>
      <c r="O114" s="8">
        <v>1</v>
      </c>
      <c r="P114" s="5">
        <v>8849.26</v>
      </c>
      <c r="Q114" s="4">
        <v>45600</v>
      </c>
      <c r="R114" s="9">
        <v>0.33814814814814814</v>
      </c>
      <c r="S114" s="8">
        <v>18</v>
      </c>
      <c r="T114" s="7" t="s">
        <v>4457</v>
      </c>
      <c r="U114" s="7" t="s">
        <v>4455</v>
      </c>
      <c r="V1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5" spans="1:22" x14ac:dyDescent="0.35">
      <c r="A115" s="7" t="s">
        <v>553</v>
      </c>
      <c r="B115" s="7" t="s">
        <v>554</v>
      </c>
      <c r="C115" s="5">
        <v>213.76</v>
      </c>
      <c r="D115" s="2">
        <v>0.74460648147942265</v>
      </c>
      <c r="E115" s="4">
        <v>44986</v>
      </c>
      <c r="F115" s="7" t="s">
        <v>46</v>
      </c>
      <c r="G115" s="7" t="s">
        <v>323</v>
      </c>
      <c r="H115" s="7" t="s">
        <v>443</v>
      </c>
      <c r="I115" s="7" t="s">
        <v>555</v>
      </c>
      <c r="J115" s="7" t="s">
        <v>35</v>
      </c>
      <c r="K115" s="7" t="s">
        <v>22</v>
      </c>
      <c r="L115" s="8">
        <v>78</v>
      </c>
      <c r="M115" s="7" t="s">
        <v>70</v>
      </c>
      <c r="N115" s="8">
        <v>282</v>
      </c>
      <c r="O115" s="8">
        <v>1</v>
      </c>
      <c r="P115" s="5">
        <v>3528.72</v>
      </c>
      <c r="Q115" s="4">
        <v>45600</v>
      </c>
      <c r="R115" s="9">
        <v>0.34</v>
      </c>
      <c r="S115" s="8">
        <v>17</v>
      </c>
      <c r="T115" s="7" t="s">
        <v>4454</v>
      </c>
      <c r="U115" s="7" t="s">
        <v>4455</v>
      </c>
      <c r="V1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6" spans="1:22" x14ac:dyDescent="0.35">
      <c r="A116" s="7" t="s">
        <v>556</v>
      </c>
      <c r="B116" s="7" t="s">
        <v>557</v>
      </c>
      <c r="C116" s="5">
        <v>327.86</v>
      </c>
      <c r="D116" s="2">
        <v>0.70333333333110204</v>
      </c>
      <c r="E116" s="4">
        <v>44967</v>
      </c>
      <c r="F116" s="7" t="s">
        <v>17</v>
      </c>
      <c r="G116" s="7" t="s">
        <v>558</v>
      </c>
      <c r="H116" s="7" t="s">
        <v>559</v>
      </c>
      <c r="I116" s="7" t="s">
        <v>110</v>
      </c>
      <c r="J116" s="7" t="s">
        <v>267</v>
      </c>
      <c r="K116" s="7" t="s">
        <v>36</v>
      </c>
      <c r="L116" s="8">
        <v>40</v>
      </c>
      <c r="M116" s="7" t="s">
        <v>77</v>
      </c>
      <c r="N116" s="8">
        <v>104</v>
      </c>
      <c r="O116" s="8">
        <v>1</v>
      </c>
      <c r="P116" s="5">
        <v>480.16</v>
      </c>
      <c r="Q116" s="4">
        <v>45600</v>
      </c>
      <c r="R116" s="9">
        <v>0.33784722222222224</v>
      </c>
      <c r="S116" s="8">
        <v>16</v>
      </c>
      <c r="T116" s="7" t="s">
        <v>4457</v>
      </c>
      <c r="U116" s="7" t="s">
        <v>4455</v>
      </c>
      <c r="V1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7" spans="1:22" x14ac:dyDescent="0.35">
      <c r="A117" s="7" t="s">
        <v>560</v>
      </c>
      <c r="B117" s="7" t="s">
        <v>561</v>
      </c>
      <c r="C117" s="5">
        <v>2.5</v>
      </c>
      <c r="D117" s="2">
        <v>0.6966550925935735</v>
      </c>
      <c r="E117" s="4">
        <v>45128</v>
      </c>
      <c r="F117" s="7" t="s">
        <v>17</v>
      </c>
      <c r="G117" s="7" t="s">
        <v>18</v>
      </c>
      <c r="H117" s="7" t="s">
        <v>562</v>
      </c>
      <c r="I117" s="7" t="s">
        <v>563</v>
      </c>
      <c r="J117" s="7" t="s">
        <v>564</v>
      </c>
      <c r="K117" s="7" t="s">
        <v>36</v>
      </c>
      <c r="L117" s="8">
        <v>47</v>
      </c>
      <c r="M117" s="7" t="s">
        <v>23</v>
      </c>
      <c r="N117" s="8">
        <v>107</v>
      </c>
      <c r="O117" s="8">
        <v>1</v>
      </c>
      <c r="P117" s="5">
        <v>12145.27</v>
      </c>
      <c r="Q117" s="4">
        <v>45600</v>
      </c>
      <c r="R117" s="9">
        <v>0.34019675925925924</v>
      </c>
      <c r="S117" s="8">
        <v>16</v>
      </c>
      <c r="T117" s="7" t="s">
        <v>4457</v>
      </c>
      <c r="U117" s="7" t="s">
        <v>4455</v>
      </c>
      <c r="V1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8" spans="1:22" x14ac:dyDescent="0.35">
      <c r="A118" s="7" t="s">
        <v>565</v>
      </c>
      <c r="B118" s="7" t="s">
        <v>269</v>
      </c>
      <c r="C118" s="5">
        <v>300.08</v>
      </c>
      <c r="D118" s="2">
        <v>0.71021990740700858</v>
      </c>
      <c r="E118" s="4">
        <v>45208</v>
      </c>
      <c r="F118" s="7" t="s">
        <v>46</v>
      </c>
      <c r="G118" s="7" t="s">
        <v>119</v>
      </c>
      <c r="H118" s="7" t="s">
        <v>566</v>
      </c>
      <c r="I118" s="7" t="s">
        <v>567</v>
      </c>
      <c r="J118" s="7" t="s">
        <v>143</v>
      </c>
      <c r="K118" s="7" t="s">
        <v>36</v>
      </c>
      <c r="L118" s="8">
        <v>68</v>
      </c>
      <c r="M118" s="7" t="s">
        <v>23</v>
      </c>
      <c r="N118" s="8">
        <v>47</v>
      </c>
      <c r="O118" s="8">
        <v>1</v>
      </c>
      <c r="P118" s="5">
        <v>13546.75</v>
      </c>
      <c r="Q118" s="4">
        <v>45600</v>
      </c>
      <c r="R118" s="9">
        <v>0.34187499999999998</v>
      </c>
      <c r="S118" s="8">
        <v>17</v>
      </c>
      <c r="T118" s="7" t="s">
        <v>4454</v>
      </c>
      <c r="U118" s="7" t="s">
        <v>4455</v>
      </c>
      <c r="V1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9" spans="1:22" x14ac:dyDescent="0.35">
      <c r="A119" s="7" t="s">
        <v>568</v>
      </c>
      <c r="B119" s="7" t="s">
        <v>569</v>
      </c>
      <c r="C119" s="5">
        <v>56.98</v>
      </c>
      <c r="D119" s="2">
        <v>0.69039351851824904</v>
      </c>
      <c r="E119" s="4">
        <v>45292</v>
      </c>
      <c r="F119" s="7" t="s">
        <v>46</v>
      </c>
      <c r="G119" s="7" t="s">
        <v>53</v>
      </c>
      <c r="H119" s="7" t="s">
        <v>570</v>
      </c>
      <c r="I119" s="7" t="s">
        <v>571</v>
      </c>
      <c r="J119" s="7" t="s">
        <v>572</v>
      </c>
      <c r="K119" s="7" t="s">
        <v>22</v>
      </c>
      <c r="L119" s="8">
        <v>43</v>
      </c>
      <c r="M119" s="7" t="s">
        <v>77</v>
      </c>
      <c r="N119" s="8">
        <v>122</v>
      </c>
      <c r="O119" s="8">
        <v>2</v>
      </c>
      <c r="P119" s="5">
        <v>5688.37</v>
      </c>
      <c r="Q119" s="4">
        <v>45600</v>
      </c>
      <c r="R119" s="9">
        <v>0.33868055555555554</v>
      </c>
      <c r="S119" s="8">
        <v>16</v>
      </c>
      <c r="T119" s="7" t="s">
        <v>4457</v>
      </c>
      <c r="U119" s="7" t="s">
        <v>4458</v>
      </c>
      <c r="V1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0" spans="1:22" x14ac:dyDescent="0.35">
      <c r="A120" s="7" t="s">
        <v>573</v>
      </c>
      <c r="B120" s="7" t="s">
        <v>107</v>
      </c>
      <c r="C120" s="5">
        <v>407.65</v>
      </c>
      <c r="D120" s="2">
        <v>0.67474537037196569</v>
      </c>
      <c r="E120" s="4">
        <v>45114</v>
      </c>
      <c r="F120" s="7" t="s">
        <v>17</v>
      </c>
      <c r="G120" s="7" t="s">
        <v>388</v>
      </c>
      <c r="H120" s="7" t="s">
        <v>574</v>
      </c>
      <c r="I120" s="7" t="s">
        <v>575</v>
      </c>
      <c r="J120" s="7" t="s">
        <v>576</v>
      </c>
      <c r="K120" s="7" t="s">
        <v>36</v>
      </c>
      <c r="L120" s="8">
        <v>26</v>
      </c>
      <c r="M120" s="7" t="s">
        <v>77</v>
      </c>
      <c r="N120" s="8">
        <v>62</v>
      </c>
      <c r="O120" s="8">
        <v>1</v>
      </c>
      <c r="P120" s="5">
        <v>8346.64</v>
      </c>
      <c r="Q120" s="4">
        <v>45600</v>
      </c>
      <c r="R120" s="9">
        <v>0.33784722222222224</v>
      </c>
      <c r="S120" s="8">
        <v>16</v>
      </c>
      <c r="T120" s="7" t="s">
        <v>4456</v>
      </c>
      <c r="U120" s="7" t="s">
        <v>4455</v>
      </c>
      <c r="V1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1" spans="1:22" x14ac:dyDescent="0.35">
      <c r="A121" s="7" t="s">
        <v>577</v>
      </c>
      <c r="B121" s="7" t="s">
        <v>578</v>
      </c>
      <c r="C121" s="5">
        <v>115.83</v>
      </c>
      <c r="D121" s="2">
        <v>0.71518518518860219</v>
      </c>
      <c r="E121" s="4">
        <v>45068</v>
      </c>
      <c r="F121" s="7" t="s">
        <v>17</v>
      </c>
      <c r="G121" s="7" t="s">
        <v>558</v>
      </c>
      <c r="H121" s="7" t="s">
        <v>579</v>
      </c>
      <c r="I121" s="7" t="s">
        <v>287</v>
      </c>
      <c r="J121" s="7" t="s">
        <v>572</v>
      </c>
      <c r="K121" s="7" t="s">
        <v>69</v>
      </c>
      <c r="L121" s="8">
        <v>39</v>
      </c>
      <c r="M121" s="7" t="s">
        <v>77</v>
      </c>
      <c r="N121" s="8">
        <v>167</v>
      </c>
      <c r="O121" s="8">
        <v>1</v>
      </c>
      <c r="P121" s="5">
        <v>6481.04</v>
      </c>
      <c r="Q121" s="4">
        <v>45600</v>
      </c>
      <c r="R121" s="9">
        <v>0.34030092592592592</v>
      </c>
      <c r="S121" s="8">
        <v>17</v>
      </c>
      <c r="T121" s="7" t="s">
        <v>4457</v>
      </c>
      <c r="U121" s="7" t="s">
        <v>4455</v>
      </c>
      <c r="V1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2" spans="1:22" x14ac:dyDescent="0.35">
      <c r="A122" s="7" t="s">
        <v>580</v>
      </c>
      <c r="B122" s="7" t="s">
        <v>581</v>
      </c>
      <c r="C122" s="5">
        <v>53.57</v>
      </c>
      <c r="D122" s="2">
        <v>0.67861111111415084</v>
      </c>
      <c r="E122" s="4">
        <v>45154</v>
      </c>
      <c r="F122" s="7" t="s">
        <v>17</v>
      </c>
      <c r="G122" s="7" t="s">
        <v>26</v>
      </c>
      <c r="H122" s="7" t="s">
        <v>582</v>
      </c>
      <c r="I122" s="7" t="s">
        <v>583</v>
      </c>
      <c r="J122" s="7" t="s">
        <v>105</v>
      </c>
      <c r="K122" s="7" t="s">
        <v>22</v>
      </c>
      <c r="L122" s="8">
        <v>69</v>
      </c>
      <c r="M122" s="7" t="s">
        <v>70</v>
      </c>
      <c r="N122" s="8">
        <v>121</v>
      </c>
      <c r="O122" s="8">
        <v>1</v>
      </c>
      <c r="P122" s="5">
        <v>1651.33</v>
      </c>
      <c r="Q122" s="4">
        <v>45600</v>
      </c>
      <c r="R122" s="9">
        <v>0.33938657407407408</v>
      </c>
      <c r="S122" s="8">
        <v>16</v>
      </c>
      <c r="T122" s="7" t="s">
        <v>4454</v>
      </c>
      <c r="U122" s="7" t="s">
        <v>4455</v>
      </c>
      <c r="V1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3" spans="1:22" x14ac:dyDescent="0.35">
      <c r="A123" s="7" t="s">
        <v>584</v>
      </c>
      <c r="B123" s="7" t="s">
        <v>585</v>
      </c>
      <c r="C123" s="5">
        <v>63.34</v>
      </c>
      <c r="D123" s="2">
        <v>0.66807870370394085</v>
      </c>
      <c r="E123" s="4">
        <v>45247</v>
      </c>
      <c r="F123" s="7" t="s">
        <v>46</v>
      </c>
      <c r="G123" s="7" t="s">
        <v>73</v>
      </c>
      <c r="H123" s="7" t="s">
        <v>586</v>
      </c>
      <c r="I123" s="7" t="s">
        <v>587</v>
      </c>
      <c r="J123" s="7" t="s">
        <v>165</v>
      </c>
      <c r="K123" s="7" t="s">
        <v>36</v>
      </c>
      <c r="L123" s="8">
        <v>46</v>
      </c>
      <c r="M123" s="7" t="s">
        <v>23</v>
      </c>
      <c r="N123" s="8">
        <v>165</v>
      </c>
      <c r="O123" s="8">
        <v>1</v>
      </c>
      <c r="P123" s="5">
        <v>11174.94</v>
      </c>
      <c r="Q123" s="4">
        <v>45600</v>
      </c>
      <c r="R123" s="9">
        <v>0.34042824074074074</v>
      </c>
      <c r="S123" s="8">
        <v>16</v>
      </c>
      <c r="T123" s="7" t="s">
        <v>4457</v>
      </c>
      <c r="U123" s="7" t="s">
        <v>4455</v>
      </c>
      <c r="V1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4" spans="1:22" x14ac:dyDescent="0.35">
      <c r="A124" s="7" t="s">
        <v>588</v>
      </c>
      <c r="B124" s="7" t="s">
        <v>589</v>
      </c>
      <c r="C124" s="5">
        <v>317.87</v>
      </c>
      <c r="D124" s="2">
        <v>0.72887731481750961</v>
      </c>
      <c r="E124" s="4">
        <v>45068</v>
      </c>
      <c r="F124" s="7" t="s">
        <v>17</v>
      </c>
      <c r="G124" s="7" t="s">
        <v>73</v>
      </c>
      <c r="H124" s="7" t="s">
        <v>590</v>
      </c>
      <c r="I124" s="7" t="s">
        <v>591</v>
      </c>
      <c r="J124" s="7" t="s">
        <v>592</v>
      </c>
      <c r="K124" s="7" t="s">
        <v>36</v>
      </c>
      <c r="L124" s="8">
        <v>27</v>
      </c>
      <c r="M124" s="7" t="s">
        <v>37</v>
      </c>
      <c r="N124" s="8">
        <v>91</v>
      </c>
      <c r="O124" s="8">
        <v>1</v>
      </c>
      <c r="P124" s="5">
        <v>145.5</v>
      </c>
      <c r="Q124" s="4">
        <v>45600</v>
      </c>
      <c r="R124" s="9">
        <v>0.34134259259259259</v>
      </c>
      <c r="S124" s="8">
        <v>17</v>
      </c>
      <c r="T124" s="7" t="s">
        <v>4456</v>
      </c>
      <c r="U124" s="7" t="s">
        <v>4455</v>
      </c>
      <c r="V1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5" spans="1:22" x14ac:dyDescent="0.35">
      <c r="A125" s="7" t="s">
        <v>593</v>
      </c>
      <c r="B125" s="7" t="s">
        <v>594</v>
      </c>
      <c r="C125" s="5">
        <v>331.65</v>
      </c>
      <c r="D125" s="2">
        <v>0.72646990740759065</v>
      </c>
      <c r="E125" s="4">
        <v>45163</v>
      </c>
      <c r="F125" s="7" t="s">
        <v>17</v>
      </c>
      <c r="G125" s="7" t="s">
        <v>595</v>
      </c>
      <c r="H125" s="7" t="s">
        <v>596</v>
      </c>
      <c r="I125" s="7" t="s">
        <v>597</v>
      </c>
      <c r="J125" s="7" t="s">
        <v>598</v>
      </c>
      <c r="K125" s="7" t="s">
        <v>36</v>
      </c>
      <c r="L125" s="8">
        <v>41</v>
      </c>
      <c r="M125" s="7" t="s">
        <v>77</v>
      </c>
      <c r="N125" s="8">
        <v>61</v>
      </c>
      <c r="O125" s="8">
        <v>1</v>
      </c>
      <c r="P125" s="5">
        <v>4172.57</v>
      </c>
      <c r="Q125" s="4">
        <v>45600</v>
      </c>
      <c r="R125" s="9">
        <v>0.34097222222222223</v>
      </c>
      <c r="S125" s="8">
        <v>17</v>
      </c>
      <c r="T125" s="7" t="s">
        <v>4457</v>
      </c>
      <c r="U125" s="7" t="s">
        <v>4455</v>
      </c>
      <c r="V1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6" spans="1:22" x14ac:dyDescent="0.35">
      <c r="A126" s="7" t="s">
        <v>599</v>
      </c>
      <c r="B126" s="7" t="s">
        <v>600</v>
      </c>
      <c r="C126" s="5">
        <v>5.04</v>
      </c>
      <c r="D126" s="2">
        <v>0.69344907407503342</v>
      </c>
      <c r="E126" s="4">
        <v>45257</v>
      </c>
      <c r="F126" s="7" t="s">
        <v>17</v>
      </c>
      <c r="G126" s="7" t="s">
        <v>453</v>
      </c>
      <c r="H126" s="7" t="s">
        <v>601</v>
      </c>
      <c r="I126" s="7" t="s">
        <v>602</v>
      </c>
      <c r="J126" s="7" t="s">
        <v>353</v>
      </c>
      <c r="K126" s="7" t="s">
        <v>22</v>
      </c>
      <c r="L126" s="8">
        <v>56</v>
      </c>
      <c r="M126" s="7" t="s">
        <v>70</v>
      </c>
      <c r="N126" s="8">
        <v>41</v>
      </c>
      <c r="O126" s="8">
        <v>1</v>
      </c>
      <c r="P126" s="5">
        <v>5558.36</v>
      </c>
      <c r="Q126" s="4">
        <v>45600</v>
      </c>
      <c r="R126" s="9">
        <v>0.34083333333333332</v>
      </c>
      <c r="S126" s="8">
        <v>16</v>
      </c>
      <c r="T126" s="7" t="s">
        <v>4454</v>
      </c>
      <c r="U126" s="7" t="s">
        <v>4455</v>
      </c>
      <c r="V1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7" spans="1:22" x14ac:dyDescent="0.35">
      <c r="A127" s="7" t="s">
        <v>603</v>
      </c>
      <c r="B127" s="7" t="s">
        <v>604</v>
      </c>
      <c r="C127" s="5">
        <v>214.54</v>
      </c>
      <c r="D127" s="2">
        <v>0.74078703703708015</v>
      </c>
      <c r="E127" s="4">
        <v>45142</v>
      </c>
      <c r="F127" s="7" t="s">
        <v>46</v>
      </c>
      <c r="G127" s="7" t="s">
        <v>73</v>
      </c>
      <c r="H127" s="7" t="s">
        <v>605</v>
      </c>
      <c r="I127" s="7" t="s">
        <v>606</v>
      </c>
      <c r="J127" s="7" t="s">
        <v>607</v>
      </c>
      <c r="K127" s="7" t="s">
        <v>36</v>
      </c>
      <c r="L127" s="8">
        <v>70</v>
      </c>
      <c r="M127" s="7" t="s">
        <v>23</v>
      </c>
      <c r="N127" s="8">
        <v>247</v>
      </c>
      <c r="O127" s="8">
        <v>1</v>
      </c>
      <c r="P127" s="5">
        <v>11151.53</v>
      </c>
      <c r="Q127" s="4">
        <v>45600</v>
      </c>
      <c r="R127" s="9">
        <v>0.34162037037037035</v>
      </c>
      <c r="S127" s="8">
        <v>17</v>
      </c>
      <c r="T127" s="7" t="s">
        <v>4454</v>
      </c>
      <c r="U127" s="7" t="s">
        <v>4455</v>
      </c>
      <c r="V1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" spans="1:22" x14ac:dyDescent="0.35">
      <c r="A128" s="7" t="s">
        <v>608</v>
      </c>
      <c r="B128" s="7" t="s">
        <v>609</v>
      </c>
      <c r="C128" s="5">
        <v>598.80999999999995</v>
      </c>
      <c r="D128" s="2">
        <v>0.70040509258979</v>
      </c>
      <c r="E128" s="4">
        <v>45173</v>
      </c>
      <c r="F128" s="7" t="s">
        <v>17</v>
      </c>
      <c r="G128" s="7" t="s">
        <v>243</v>
      </c>
      <c r="H128" s="7" t="s">
        <v>216</v>
      </c>
      <c r="I128" s="7" t="s">
        <v>67</v>
      </c>
      <c r="J128" s="7" t="s">
        <v>427</v>
      </c>
      <c r="K128" s="7" t="s">
        <v>69</v>
      </c>
      <c r="L128" s="8">
        <v>57</v>
      </c>
      <c r="M128" s="7" t="s">
        <v>23</v>
      </c>
      <c r="N128" s="8">
        <v>158</v>
      </c>
      <c r="O128" s="8">
        <v>1</v>
      </c>
      <c r="P128" s="5">
        <v>1415.52</v>
      </c>
      <c r="Q128" s="4">
        <v>45600</v>
      </c>
      <c r="R128" s="9">
        <v>0.34042824074074074</v>
      </c>
      <c r="S128" s="8">
        <v>16</v>
      </c>
      <c r="T128" s="7" t="s">
        <v>4454</v>
      </c>
      <c r="U128" s="7" t="s">
        <v>4455</v>
      </c>
      <c r="V1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9" spans="1:22" x14ac:dyDescent="0.35">
      <c r="A129" s="7" t="s">
        <v>610</v>
      </c>
      <c r="B129" s="7" t="s">
        <v>611</v>
      </c>
      <c r="C129" s="5">
        <v>841.28</v>
      </c>
      <c r="D129" s="2">
        <v>0.73224537036730908</v>
      </c>
      <c r="E129" s="4">
        <v>45147</v>
      </c>
      <c r="F129" s="7" t="s">
        <v>17</v>
      </c>
      <c r="G129" s="7" t="s">
        <v>255</v>
      </c>
      <c r="H129" s="7" t="s">
        <v>612</v>
      </c>
      <c r="I129" s="7" t="s">
        <v>465</v>
      </c>
      <c r="J129" s="7" t="s">
        <v>160</v>
      </c>
      <c r="K129" s="7" t="s">
        <v>36</v>
      </c>
      <c r="L129" s="8">
        <v>26</v>
      </c>
      <c r="M129" s="7" t="s">
        <v>37</v>
      </c>
      <c r="N129" s="8">
        <v>80</v>
      </c>
      <c r="O129" s="8">
        <v>1</v>
      </c>
      <c r="P129" s="5">
        <v>1103.6400000000001</v>
      </c>
      <c r="Q129" s="4">
        <v>45600</v>
      </c>
      <c r="R129" s="9">
        <v>0.34025462962962966</v>
      </c>
      <c r="S129" s="8">
        <v>17</v>
      </c>
      <c r="T129" s="7" t="s">
        <v>4456</v>
      </c>
      <c r="U129" s="7" t="s">
        <v>4455</v>
      </c>
      <c r="V1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0" spans="1:22" x14ac:dyDescent="0.35">
      <c r="A130" s="7" t="s">
        <v>613</v>
      </c>
      <c r="B130" s="7" t="s">
        <v>384</v>
      </c>
      <c r="C130" s="5">
        <v>38.15</v>
      </c>
      <c r="D130" s="2">
        <v>0.67199074073869269</v>
      </c>
      <c r="E130" s="4">
        <v>45176</v>
      </c>
      <c r="F130" s="7" t="s">
        <v>17</v>
      </c>
      <c r="G130" s="7" t="s">
        <v>32</v>
      </c>
      <c r="H130" s="7" t="s">
        <v>614</v>
      </c>
      <c r="I130" s="7" t="s">
        <v>615</v>
      </c>
      <c r="J130" s="7" t="s">
        <v>262</v>
      </c>
      <c r="K130" s="7" t="s">
        <v>36</v>
      </c>
      <c r="L130" s="8">
        <v>26</v>
      </c>
      <c r="M130" s="7" t="s">
        <v>37</v>
      </c>
      <c r="N130" s="8">
        <v>108</v>
      </c>
      <c r="O130" s="8">
        <v>1</v>
      </c>
      <c r="P130" s="5">
        <v>303.68</v>
      </c>
      <c r="Q130" s="4">
        <v>45600</v>
      </c>
      <c r="R130" s="9">
        <v>0.33868055555555554</v>
      </c>
      <c r="S130" s="8">
        <v>16</v>
      </c>
      <c r="T130" s="7" t="s">
        <v>4456</v>
      </c>
      <c r="U130" s="7" t="s">
        <v>4455</v>
      </c>
      <c r="V1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1" spans="1:22" x14ac:dyDescent="0.35">
      <c r="A131" s="7" t="s">
        <v>616</v>
      </c>
      <c r="B131" s="7" t="s">
        <v>617</v>
      </c>
      <c r="C131" s="5">
        <v>1036.6600000000001</v>
      </c>
      <c r="D131" s="2">
        <v>0.69436342592234723</v>
      </c>
      <c r="E131" s="4">
        <v>45118</v>
      </c>
      <c r="F131" s="7" t="s">
        <v>17</v>
      </c>
      <c r="G131" s="7" t="s">
        <v>237</v>
      </c>
      <c r="H131" s="7" t="s">
        <v>618</v>
      </c>
      <c r="I131" s="7" t="s">
        <v>121</v>
      </c>
      <c r="J131" s="7" t="s">
        <v>619</v>
      </c>
      <c r="K131" s="7" t="s">
        <v>69</v>
      </c>
      <c r="L131" s="8">
        <v>58</v>
      </c>
      <c r="M131" s="7" t="s">
        <v>23</v>
      </c>
      <c r="N131" s="8">
        <v>144</v>
      </c>
      <c r="O131" s="8">
        <v>1</v>
      </c>
      <c r="P131" s="5">
        <v>5541.57</v>
      </c>
      <c r="Q131" s="4">
        <v>45600</v>
      </c>
      <c r="R131" s="9">
        <v>0.33986111111111111</v>
      </c>
      <c r="S131" s="8">
        <v>16</v>
      </c>
      <c r="T131" s="7" t="s">
        <v>4454</v>
      </c>
      <c r="U131" s="7" t="s">
        <v>4455</v>
      </c>
      <c r="V1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2" spans="1:22" x14ac:dyDescent="0.35">
      <c r="A132" s="7" t="s">
        <v>620</v>
      </c>
      <c r="B132" s="7" t="s">
        <v>621</v>
      </c>
      <c r="C132" s="5">
        <v>124.72</v>
      </c>
      <c r="D132" s="2">
        <v>0.71813657407619758</v>
      </c>
      <c r="E132" s="4">
        <v>45110</v>
      </c>
      <c r="F132" s="7" t="s">
        <v>17</v>
      </c>
      <c r="G132" s="7" t="s">
        <v>53</v>
      </c>
      <c r="H132" s="7" t="s">
        <v>622</v>
      </c>
      <c r="I132" s="7" t="s">
        <v>623</v>
      </c>
      <c r="J132" s="7" t="s">
        <v>432</v>
      </c>
      <c r="K132" s="7" t="s">
        <v>69</v>
      </c>
      <c r="L132" s="8">
        <v>33</v>
      </c>
      <c r="M132" s="7" t="s">
        <v>77</v>
      </c>
      <c r="N132" s="8">
        <v>105</v>
      </c>
      <c r="O132" s="8">
        <v>1</v>
      </c>
      <c r="P132" s="5">
        <v>6309.8</v>
      </c>
      <c r="Q132" s="4">
        <v>45600</v>
      </c>
      <c r="R132" s="9">
        <v>0.33848379629629627</v>
      </c>
      <c r="S132" s="8">
        <v>17</v>
      </c>
      <c r="T132" s="7" t="s">
        <v>4456</v>
      </c>
      <c r="U132" s="7" t="s">
        <v>4455</v>
      </c>
      <c r="V1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3" spans="1:22" x14ac:dyDescent="0.35">
      <c r="A133" s="7" t="s">
        <v>624</v>
      </c>
      <c r="B133" s="7" t="s">
        <v>625</v>
      </c>
      <c r="C133" s="5">
        <v>302.45</v>
      </c>
      <c r="D133" s="2">
        <v>0.71777777777606389</v>
      </c>
      <c r="E133" s="4">
        <v>45194</v>
      </c>
      <c r="F133" s="7" t="s">
        <v>46</v>
      </c>
      <c r="G133" s="7" t="s">
        <v>237</v>
      </c>
      <c r="H133" s="7" t="s">
        <v>626</v>
      </c>
      <c r="I133" s="7" t="s">
        <v>627</v>
      </c>
      <c r="J133" s="7" t="s">
        <v>128</v>
      </c>
      <c r="K133" s="7" t="s">
        <v>69</v>
      </c>
      <c r="L133" s="8">
        <v>78</v>
      </c>
      <c r="M133" s="7" t="s">
        <v>70</v>
      </c>
      <c r="N133" s="8">
        <v>40</v>
      </c>
      <c r="O133" s="8">
        <v>1</v>
      </c>
      <c r="P133" s="5">
        <v>5133.6099999999997</v>
      </c>
      <c r="Q133" s="4">
        <v>45600</v>
      </c>
      <c r="R133" s="9">
        <v>0.34160879629629631</v>
      </c>
      <c r="S133" s="8">
        <v>17</v>
      </c>
      <c r="T133" s="7" t="s">
        <v>4454</v>
      </c>
      <c r="U133" s="7" t="s">
        <v>4455</v>
      </c>
      <c r="V1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4" spans="1:22" x14ac:dyDescent="0.35">
      <c r="A134" s="7" t="s">
        <v>628</v>
      </c>
      <c r="B134" s="7" t="s">
        <v>629</v>
      </c>
      <c r="C134" s="5">
        <v>208.04</v>
      </c>
      <c r="D134" s="2">
        <v>0.71530092592729488</v>
      </c>
      <c r="E134" s="4">
        <v>45250</v>
      </c>
      <c r="F134" s="7" t="s">
        <v>17</v>
      </c>
      <c r="G134" s="7" t="s">
        <v>108</v>
      </c>
      <c r="H134" s="7" t="s">
        <v>630</v>
      </c>
      <c r="I134" s="7" t="s">
        <v>631</v>
      </c>
      <c r="J134" s="7" t="s">
        <v>288</v>
      </c>
      <c r="K134" s="7" t="s">
        <v>36</v>
      </c>
      <c r="L134" s="8">
        <v>47</v>
      </c>
      <c r="M134" s="7" t="s">
        <v>77</v>
      </c>
      <c r="N134" s="8">
        <v>273</v>
      </c>
      <c r="O134" s="8">
        <v>1</v>
      </c>
      <c r="P134" s="5">
        <v>9344.98</v>
      </c>
      <c r="Q134" s="4">
        <v>45600</v>
      </c>
      <c r="R134" s="9">
        <v>0.33940972222222221</v>
      </c>
      <c r="S134" s="8">
        <v>17</v>
      </c>
      <c r="T134" s="7" t="s">
        <v>4457</v>
      </c>
      <c r="U134" s="7" t="s">
        <v>4455</v>
      </c>
      <c r="V1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5" spans="1:22" x14ac:dyDescent="0.35">
      <c r="A135" s="7" t="s">
        <v>632</v>
      </c>
      <c r="B135" s="7" t="s">
        <v>569</v>
      </c>
      <c r="C135" s="5">
        <v>5.77</v>
      </c>
      <c r="D135" s="2">
        <v>0.72716435185429873</v>
      </c>
      <c r="E135" s="4">
        <v>45247</v>
      </c>
      <c r="F135" s="7" t="s">
        <v>46</v>
      </c>
      <c r="G135" s="7" t="s">
        <v>140</v>
      </c>
      <c r="H135" s="7" t="s">
        <v>633</v>
      </c>
      <c r="I135" s="7" t="s">
        <v>567</v>
      </c>
      <c r="J135" s="7" t="s">
        <v>634</v>
      </c>
      <c r="K135" s="7" t="s">
        <v>69</v>
      </c>
      <c r="L135" s="8">
        <v>23</v>
      </c>
      <c r="M135" s="7" t="s">
        <v>37</v>
      </c>
      <c r="N135" s="8">
        <v>254</v>
      </c>
      <c r="O135" s="8">
        <v>1</v>
      </c>
      <c r="P135" s="5">
        <v>1117.97</v>
      </c>
      <c r="Q135" s="4">
        <v>45600</v>
      </c>
      <c r="R135" s="9">
        <v>0.34089120370370368</v>
      </c>
      <c r="S135" s="8">
        <v>17</v>
      </c>
      <c r="T135" s="7" t="s">
        <v>4456</v>
      </c>
      <c r="U135" s="7" t="s">
        <v>4455</v>
      </c>
      <c r="V1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6" spans="1:22" x14ac:dyDescent="0.35">
      <c r="A136" s="7" t="s">
        <v>635</v>
      </c>
      <c r="B136" s="7" t="s">
        <v>636</v>
      </c>
      <c r="C136" s="5">
        <v>381.33</v>
      </c>
      <c r="D136" s="2">
        <v>0.69866898148029577</v>
      </c>
      <c r="E136" s="4">
        <v>45159</v>
      </c>
      <c r="F136" s="7" t="s">
        <v>17</v>
      </c>
      <c r="G136" s="7" t="s">
        <v>86</v>
      </c>
      <c r="H136" s="7" t="s">
        <v>637</v>
      </c>
      <c r="I136" s="7" t="s">
        <v>638</v>
      </c>
      <c r="J136" s="7" t="s">
        <v>639</v>
      </c>
      <c r="K136" s="7" t="s">
        <v>22</v>
      </c>
      <c r="L136" s="8">
        <v>56</v>
      </c>
      <c r="M136" s="7" t="s">
        <v>23</v>
      </c>
      <c r="N136" s="8">
        <v>75</v>
      </c>
      <c r="O136" s="8">
        <v>1</v>
      </c>
      <c r="P136" s="5">
        <v>11835.35</v>
      </c>
      <c r="Q136" s="4">
        <v>45600</v>
      </c>
      <c r="R136" s="9">
        <v>0.3399537037037037</v>
      </c>
      <c r="S136" s="8">
        <v>16</v>
      </c>
      <c r="T136" s="7" t="s">
        <v>4454</v>
      </c>
      <c r="U136" s="7" t="s">
        <v>4455</v>
      </c>
      <c r="V1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7" spans="1:22" x14ac:dyDescent="0.35">
      <c r="A137" s="7" t="s">
        <v>640</v>
      </c>
      <c r="B137" s="7" t="s">
        <v>641</v>
      </c>
      <c r="C137" s="5">
        <v>16.16</v>
      </c>
      <c r="D137" s="2">
        <v>0.70805555555853061</v>
      </c>
      <c r="E137" s="4">
        <v>45215</v>
      </c>
      <c r="F137" s="7" t="s">
        <v>17</v>
      </c>
      <c r="G137" s="7" t="s">
        <v>178</v>
      </c>
      <c r="H137" s="7" t="s">
        <v>642</v>
      </c>
      <c r="I137" s="7" t="s">
        <v>643</v>
      </c>
      <c r="J137" s="7" t="s">
        <v>149</v>
      </c>
      <c r="K137" s="7" t="s">
        <v>22</v>
      </c>
      <c r="L137" s="8">
        <v>50</v>
      </c>
      <c r="M137" s="7" t="s">
        <v>23</v>
      </c>
      <c r="N137" s="8">
        <v>124</v>
      </c>
      <c r="O137" s="8">
        <v>1</v>
      </c>
      <c r="P137" s="5">
        <v>14401.17</v>
      </c>
      <c r="Q137" s="4">
        <v>45600</v>
      </c>
      <c r="R137" s="9">
        <v>0.34165509259259258</v>
      </c>
      <c r="S137" s="8">
        <v>16</v>
      </c>
      <c r="T137" s="7" t="s">
        <v>4457</v>
      </c>
      <c r="U137" s="7" t="s">
        <v>4455</v>
      </c>
      <c r="V1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8" spans="1:22" x14ac:dyDescent="0.35">
      <c r="A138" s="7" t="s">
        <v>644</v>
      </c>
      <c r="B138" s="7" t="s">
        <v>604</v>
      </c>
      <c r="C138" s="5">
        <v>486.08</v>
      </c>
      <c r="D138" s="2">
        <v>0.72349537037371192</v>
      </c>
      <c r="E138" s="4">
        <v>45097</v>
      </c>
      <c r="F138" s="7" t="s">
        <v>17</v>
      </c>
      <c r="G138" s="7" t="s">
        <v>53</v>
      </c>
      <c r="H138" s="7" t="s">
        <v>645</v>
      </c>
      <c r="I138" s="7" t="s">
        <v>646</v>
      </c>
      <c r="J138" s="7" t="s">
        <v>406</v>
      </c>
      <c r="K138" s="7" t="s">
        <v>36</v>
      </c>
      <c r="L138" s="8">
        <v>18</v>
      </c>
      <c r="M138" s="7" t="s">
        <v>37</v>
      </c>
      <c r="N138" s="8">
        <v>68</v>
      </c>
      <c r="O138" s="8">
        <v>1</v>
      </c>
      <c r="P138" s="5">
        <v>1748.69</v>
      </c>
      <c r="Q138" s="4">
        <v>45600</v>
      </c>
      <c r="R138" s="9">
        <v>0.33822916666666669</v>
      </c>
      <c r="S138" s="8">
        <v>17</v>
      </c>
      <c r="T138" s="7" t="s">
        <v>4456</v>
      </c>
      <c r="U138" s="7" t="s">
        <v>4455</v>
      </c>
      <c r="V1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9" spans="1:22" x14ac:dyDescent="0.35">
      <c r="A139" s="7" t="s">
        <v>647</v>
      </c>
      <c r="B139" s="7" t="s">
        <v>648</v>
      </c>
      <c r="C139" s="5">
        <v>336.39</v>
      </c>
      <c r="D139" s="2">
        <v>0.70391203703911742</v>
      </c>
      <c r="E139" s="4">
        <v>44942</v>
      </c>
      <c r="F139" s="7" t="s">
        <v>17</v>
      </c>
      <c r="G139" s="7" t="s">
        <v>237</v>
      </c>
      <c r="H139" s="7" t="s">
        <v>649</v>
      </c>
      <c r="I139" s="7" t="s">
        <v>627</v>
      </c>
      <c r="J139" s="7" t="s">
        <v>362</v>
      </c>
      <c r="K139" s="7" t="s">
        <v>69</v>
      </c>
      <c r="L139" s="8">
        <v>21</v>
      </c>
      <c r="M139" s="7" t="s">
        <v>37</v>
      </c>
      <c r="N139" s="8">
        <v>18</v>
      </c>
      <c r="O139" s="8">
        <v>1</v>
      </c>
      <c r="P139" s="5">
        <v>1000.46</v>
      </c>
      <c r="Q139" s="4">
        <v>45600</v>
      </c>
      <c r="R139" s="9">
        <v>0.34024305555555556</v>
      </c>
      <c r="S139" s="8">
        <v>16</v>
      </c>
      <c r="T139" s="7" t="s">
        <v>4456</v>
      </c>
      <c r="U139" s="7" t="s">
        <v>4455</v>
      </c>
      <c r="V1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0" spans="1:22" x14ac:dyDescent="0.35">
      <c r="A140" s="7" t="s">
        <v>650</v>
      </c>
      <c r="B140" s="7" t="s">
        <v>232</v>
      </c>
      <c r="C140" s="5">
        <v>997.43</v>
      </c>
      <c r="D140" s="2">
        <v>0.67174768518452765</v>
      </c>
      <c r="E140" s="4">
        <v>45252</v>
      </c>
      <c r="F140" s="7" t="s">
        <v>17</v>
      </c>
      <c r="G140" s="7" t="s">
        <v>59</v>
      </c>
      <c r="H140" s="7" t="s">
        <v>292</v>
      </c>
      <c r="I140" s="7" t="s">
        <v>651</v>
      </c>
      <c r="J140" s="7" t="s">
        <v>652</v>
      </c>
      <c r="K140" s="7" t="s">
        <v>36</v>
      </c>
      <c r="L140" s="8">
        <v>69</v>
      </c>
      <c r="M140" s="7" t="s">
        <v>23</v>
      </c>
      <c r="N140" s="8">
        <v>118</v>
      </c>
      <c r="O140" s="8">
        <v>1</v>
      </c>
      <c r="P140" s="5">
        <v>6810.05</v>
      </c>
      <c r="Q140" s="4">
        <v>45600</v>
      </c>
      <c r="R140" s="9">
        <v>0.33917824074074077</v>
      </c>
      <c r="S140" s="8">
        <v>16</v>
      </c>
      <c r="T140" s="7" t="s">
        <v>4454</v>
      </c>
      <c r="U140" s="7" t="s">
        <v>4455</v>
      </c>
      <c r="V1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1" spans="1:22" x14ac:dyDescent="0.35">
      <c r="A141" s="7" t="s">
        <v>653</v>
      </c>
      <c r="B141" s="7" t="s">
        <v>79</v>
      </c>
      <c r="C141" s="5">
        <v>234.57</v>
      </c>
      <c r="D141" s="2">
        <v>0.67300925926247146</v>
      </c>
      <c r="E141" s="4">
        <v>45170</v>
      </c>
      <c r="F141" s="7" t="s">
        <v>17</v>
      </c>
      <c r="G141" s="7" t="s">
        <v>265</v>
      </c>
      <c r="H141" s="7" t="s">
        <v>654</v>
      </c>
      <c r="I141" s="7" t="s">
        <v>655</v>
      </c>
      <c r="J141" s="7" t="s">
        <v>414</v>
      </c>
      <c r="K141" s="7" t="s">
        <v>36</v>
      </c>
      <c r="L141" s="8">
        <v>23</v>
      </c>
      <c r="M141" s="7" t="s">
        <v>37</v>
      </c>
      <c r="N141" s="8">
        <v>120</v>
      </c>
      <c r="O141" s="8">
        <v>1</v>
      </c>
      <c r="P141" s="5">
        <v>263.98</v>
      </c>
      <c r="Q141" s="4">
        <v>45600</v>
      </c>
      <c r="R141" s="9">
        <v>0.33943287037037034</v>
      </c>
      <c r="S141" s="8">
        <v>16</v>
      </c>
      <c r="T141" s="7" t="s">
        <v>4456</v>
      </c>
      <c r="U141" s="7" t="s">
        <v>4455</v>
      </c>
      <c r="V1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2" spans="1:22" x14ac:dyDescent="0.35">
      <c r="A142" s="7" t="s">
        <v>656</v>
      </c>
      <c r="B142" s="7" t="s">
        <v>657</v>
      </c>
      <c r="C142" s="5">
        <v>6</v>
      </c>
      <c r="D142" s="2">
        <v>0.77656250000291038</v>
      </c>
      <c r="E142" s="4">
        <v>45222</v>
      </c>
      <c r="F142" s="7" t="s">
        <v>17</v>
      </c>
      <c r="G142" s="7" t="s">
        <v>265</v>
      </c>
      <c r="H142" s="7" t="s">
        <v>658</v>
      </c>
      <c r="I142" s="7" t="s">
        <v>503</v>
      </c>
      <c r="J142" s="7" t="s">
        <v>277</v>
      </c>
      <c r="K142" s="7" t="s">
        <v>36</v>
      </c>
      <c r="L142" s="8">
        <v>30</v>
      </c>
      <c r="M142" s="7" t="s">
        <v>23</v>
      </c>
      <c r="N142" s="8">
        <v>246</v>
      </c>
      <c r="O142" s="8">
        <v>1</v>
      </c>
      <c r="P142" s="5">
        <v>5442.76</v>
      </c>
      <c r="Q142" s="4">
        <v>45600</v>
      </c>
      <c r="R142" s="9">
        <v>0.34008101851851852</v>
      </c>
      <c r="S142" s="8">
        <v>18</v>
      </c>
      <c r="T142" s="7" t="s">
        <v>4456</v>
      </c>
      <c r="U142" s="7" t="s">
        <v>4455</v>
      </c>
      <c r="V1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3" spans="1:22" x14ac:dyDescent="0.35">
      <c r="A143" s="7" t="s">
        <v>659</v>
      </c>
      <c r="B143" s="7" t="s">
        <v>660</v>
      </c>
      <c r="C143" s="5">
        <v>1049.92</v>
      </c>
      <c r="D143" s="2">
        <v>0.70177083333692281</v>
      </c>
      <c r="E143" s="4">
        <v>45222</v>
      </c>
      <c r="F143" s="7" t="s">
        <v>17</v>
      </c>
      <c r="G143" s="7" t="s">
        <v>73</v>
      </c>
      <c r="H143" s="7" t="s">
        <v>661</v>
      </c>
      <c r="I143" s="7" t="s">
        <v>662</v>
      </c>
      <c r="J143" s="7" t="s">
        <v>29</v>
      </c>
      <c r="K143" s="7" t="s">
        <v>22</v>
      </c>
      <c r="L143" s="8">
        <v>80</v>
      </c>
      <c r="M143" s="7" t="s">
        <v>70</v>
      </c>
      <c r="N143" s="8">
        <v>21</v>
      </c>
      <c r="O143" s="8">
        <v>1</v>
      </c>
      <c r="P143" s="5">
        <v>2037.85</v>
      </c>
      <c r="Q143" s="4">
        <v>45600</v>
      </c>
      <c r="R143" s="9">
        <v>0.34067129629629628</v>
      </c>
      <c r="S143" s="8">
        <v>16</v>
      </c>
      <c r="T143" s="7" t="s">
        <v>4454</v>
      </c>
      <c r="U143" s="7" t="s">
        <v>4455</v>
      </c>
      <c r="V1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4" spans="1:22" x14ac:dyDescent="0.35">
      <c r="A144" s="7" t="s">
        <v>663</v>
      </c>
      <c r="B144" s="7" t="s">
        <v>664</v>
      </c>
      <c r="C144" s="5">
        <v>227.14</v>
      </c>
      <c r="D144" s="2">
        <v>0.73759259259531973</v>
      </c>
      <c r="E144" s="4">
        <v>45110</v>
      </c>
      <c r="F144" s="7" t="s">
        <v>17</v>
      </c>
      <c r="G144" s="7" t="s">
        <v>249</v>
      </c>
      <c r="H144" s="7" t="s">
        <v>665</v>
      </c>
      <c r="I144" s="7" t="s">
        <v>266</v>
      </c>
      <c r="J144" s="7" t="s">
        <v>100</v>
      </c>
      <c r="K144" s="7" t="s">
        <v>22</v>
      </c>
      <c r="L144" s="8">
        <v>18</v>
      </c>
      <c r="M144" s="7" t="s">
        <v>37</v>
      </c>
      <c r="N144" s="8">
        <v>294</v>
      </c>
      <c r="O144" s="8">
        <v>1</v>
      </c>
      <c r="P144" s="5">
        <v>341.94</v>
      </c>
      <c r="Q144" s="4">
        <v>45600</v>
      </c>
      <c r="R144" s="9">
        <v>0.34136574074074072</v>
      </c>
      <c r="S144" s="8">
        <v>17</v>
      </c>
      <c r="T144" s="7" t="s">
        <v>4456</v>
      </c>
      <c r="U144" s="7" t="s">
        <v>4455</v>
      </c>
      <c r="V1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5" spans="1:22" x14ac:dyDescent="0.35">
      <c r="A145" s="7" t="s">
        <v>666</v>
      </c>
      <c r="B145" s="7" t="s">
        <v>667</v>
      </c>
      <c r="C145" s="5">
        <v>233.74</v>
      </c>
      <c r="D145" s="2">
        <v>0.69513888889196096</v>
      </c>
      <c r="E145" s="4">
        <v>45223</v>
      </c>
      <c r="F145" s="7" t="s">
        <v>46</v>
      </c>
      <c r="G145" s="7" t="s">
        <v>53</v>
      </c>
      <c r="H145" s="7" t="s">
        <v>668</v>
      </c>
      <c r="I145" s="7" t="s">
        <v>523</v>
      </c>
      <c r="J145" s="7" t="s">
        <v>95</v>
      </c>
      <c r="K145" s="7" t="s">
        <v>36</v>
      </c>
      <c r="L145" s="8">
        <v>66</v>
      </c>
      <c r="M145" s="7" t="s">
        <v>70</v>
      </c>
      <c r="N145" s="8">
        <v>17</v>
      </c>
      <c r="O145" s="8">
        <v>1</v>
      </c>
      <c r="P145" s="5">
        <v>1066.5899999999999</v>
      </c>
      <c r="Q145" s="4">
        <v>45600</v>
      </c>
      <c r="R145" s="9">
        <v>0.3411689814814815</v>
      </c>
      <c r="S145" s="8">
        <v>16</v>
      </c>
      <c r="T145" s="7" t="s">
        <v>4454</v>
      </c>
      <c r="U145" s="7" t="s">
        <v>4455</v>
      </c>
      <c r="V1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" spans="1:22" x14ac:dyDescent="0.35">
      <c r="A146" s="7" t="s">
        <v>669</v>
      </c>
      <c r="B146" s="7" t="s">
        <v>529</v>
      </c>
      <c r="C146" s="5">
        <v>113.02</v>
      </c>
      <c r="D146" s="2">
        <v>0.70442129629373085</v>
      </c>
      <c r="E146" s="4">
        <v>45194</v>
      </c>
      <c r="F146" s="7" t="s">
        <v>46</v>
      </c>
      <c r="G146" s="7" t="s">
        <v>392</v>
      </c>
      <c r="H146" s="7" t="s">
        <v>670</v>
      </c>
      <c r="I146" s="7" t="s">
        <v>671</v>
      </c>
      <c r="J146" s="7" t="s">
        <v>62</v>
      </c>
      <c r="K146" s="7" t="s">
        <v>69</v>
      </c>
      <c r="L146" s="8">
        <v>69</v>
      </c>
      <c r="M146" s="7" t="s">
        <v>70</v>
      </c>
      <c r="N146" s="8">
        <v>166</v>
      </c>
      <c r="O146" s="8">
        <v>1</v>
      </c>
      <c r="P146" s="5">
        <v>6077.96</v>
      </c>
      <c r="Q146" s="4">
        <v>45600</v>
      </c>
      <c r="R146" s="9">
        <v>0.3384375</v>
      </c>
      <c r="S146" s="8">
        <v>16</v>
      </c>
      <c r="T146" s="7" t="s">
        <v>4454</v>
      </c>
      <c r="U146" s="7" t="s">
        <v>4455</v>
      </c>
      <c r="V1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7" spans="1:22" x14ac:dyDescent="0.35">
      <c r="A147" s="7" t="s">
        <v>672</v>
      </c>
      <c r="B147" s="7" t="s">
        <v>355</v>
      </c>
      <c r="C147" s="5">
        <v>45.85</v>
      </c>
      <c r="D147" s="2">
        <v>0.74803240740584442</v>
      </c>
      <c r="E147" s="4">
        <v>44973</v>
      </c>
      <c r="F147" s="7" t="s">
        <v>17</v>
      </c>
      <c r="G147" s="7" t="s">
        <v>140</v>
      </c>
      <c r="H147" s="7" t="s">
        <v>60</v>
      </c>
      <c r="I147" s="7" t="s">
        <v>673</v>
      </c>
      <c r="J147" s="7" t="s">
        <v>674</v>
      </c>
      <c r="K147" s="7" t="s">
        <v>22</v>
      </c>
      <c r="L147" s="8">
        <v>20</v>
      </c>
      <c r="M147" s="7" t="s">
        <v>37</v>
      </c>
      <c r="N147" s="8">
        <v>92</v>
      </c>
      <c r="O147" s="8">
        <v>1</v>
      </c>
      <c r="P147" s="5">
        <v>1659.15</v>
      </c>
      <c r="Q147" s="4">
        <v>45600</v>
      </c>
      <c r="R147" s="9">
        <v>0.33847222222222223</v>
      </c>
      <c r="S147" s="8">
        <v>17</v>
      </c>
      <c r="T147" s="7" t="s">
        <v>4456</v>
      </c>
      <c r="U147" s="7" t="s">
        <v>4455</v>
      </c>
      <c r="V1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8" spans="1:22" x14ac:dyDescent="0.35">
      <c r="A148" s="7" t="s">
        <v>675</v>
      </c>
      <c r="B148" s="7" t="s">
        <v>79</v>
      </c>
      <c r="C148" s="5">
        <v>973.39</v>
      </c>
      <c r="D148" s="2">
        <v>0.72453703703649808</v>
      </c>
      <c r="E148" s="4">
        <v>45168</v>
      </c>
      <c r="F148" s="7" t="s">
        <v>17</v>
      </c>
      <c r="G148" s="7" t="s">
        <v>285</v>
      </c>
      <c r="H148" s="7" t="s">
        <v>676</v>
      </c>
      <c r="I148" s="7" t="s">
        <v>677</v>
      </c>
      <c r="J148" s="7" t="s">
        <v>607</v>
      </c>
      <c r="K148" s="7" t="s">
        <v>69</v>
      </c>
      <c r="L148" s="8">
        <v>77</v>
      </c>
      <c r="M148" s="7" t="s">
        <v>70</v>
      </c>
      <c r="N148" s="8">
        <v>296</v>
      </c>
      <c r="O148" s="8">
        <v>1</v>
      </c>
      <c r="P148" s="5">
        <v>2042.22</v>
      </c>
      <c r="Q148" s="4">
        <v>45600</v>
      </c>
      <c r="R148" s="9">
        <v>0.3414814814814815</v>
      </c>
      <c r="S148" s="8">
        <v>17</v>
      </c>
      <c r="T148" s="7" t="s">
        <v>4454</v>
      </c>
      <c r="U148" s="7" t="s">
        <v>4455</v>
      </c>
      <c r="V1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9" spans="1:22" x14ac:dyDescent="0.35">
      <c r="A149" s="7" t="s">
        <v>678</v>
      </c>
      <c r="B149" s="7" t="s">
        <v>679</v>
      </c>
      <c r="C149" s="5">
        <v>514.95000000000005</v>
      </c>
      <c r="D149" s="2">
        <v>0.77625000000261934</v>
      </c>
      <c r="E149" s="4">
        <v>45029</v>
      </c>
      <c r="F149" s="7" t="s">
        <v>17</v>
      </c>
      <c r="G149" s="7" t="s">
        <v>203</v>
      </c>
      <c r="H149" s="7" t="s">
        <v>680</v>
      </c>
      <c r="I149" s="7" t="s">
        <v>681</v>
      </c>
      <c r="J149" s="7" t="s">
        <v>682</v>
      </c>
      <c r="K149" s="7" t="s">
        <v>36</v>
      </c>
      <c r="L149" s="8">
        <v>41</v>
      </c>
      <c r="M149" s="7" t="s">
        <v>23</v>
      </c>
      <c r="N149" s="8">
        <v>142</v>
      </c>
      <c r="O149" s="8">
        <v>5</v>
      </c>
      <c r="P149" s="5">
        <v>421.93</v>
      </c>
      <c r="Q149" s="4">
        <v>45600</v>
      </c>
      <c r="R149" s="9">
        <v>0.34028935185185183</v>
      </c>
      <c r="S149" s="8">
        <v>18</v>
      </c>
      <c r="T149" s="7" t="s">
        <v>4457</v>
      </c>
      <c r="U149" s="7" t="s">
        <v>4458</v>
      </c>
      <c r="V1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0" spans="1:22" x14ac:dyDescent="0.35">
      <c r="A150" s="7" t="s">
        <v>683</v>
      </c>
      <c r="B150" s="7" t="s">
        <v>684</v>
      </c>
      <c r="C150" s="5">
        <v>415.5</v>
      </c>
      <c r="D150" s="2">
        <v>0.68707175926101627</v>
      </c>
      <c r="E150" s="4">
        <v>45135</v>
      </c>
      <c r="F150" s="7" t="s">
        <v>17</v>
      </c>
      <c r="G150" s="7" t="s">
        <v>92</v>
      </c>
      <c r="H150" s="7" t="s">
        <v>685</v>
      </c>
      <c r="I150" s="7" t="s">
        <v>61</v>
      </c>
      <c r="J150" s="7" t="s">
        <v>543</v>
      </c>
      <c r="K150" s="7" t="s">
        <v>22</v>
      </c>
      <c r="L150" s="8">
        <v>66</v>
      </c>
      <c r="M150" s="7" t="s">
        <v>23</v>
      </c>
      <c r="N150" s="8">
        <v>141</v>
      </c>
      <c r="O150" s="8">
        <v>1</v>
      </c>
      <c r="P150" s="5">
        <v>10113.66</v>
      </c>
      <c r="Q150" s="4">
        <v>45600</v>
      </c>
      <c r="R150" s="9">
        <v>0.34054398148148146</v>
      </c>
      <c r="S150" s="8">
        <v>16</v>
      </c>
      <c r="T150" s="7" t="s">
        <v>4454</v>
      </c>
      <c r="U150" s="7" t="s">
        <v>4455</v>
      </c>
      <c r="V1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1" spans="1:22" x14ac:dyDescent="0.35">
      <c r="A151" s="7" t="s">
        <v>686</v>
      </c>
      <c r="B151" s="7" t="s">
        <v>687</v>
      </c>
      <c r="C151" s="5">
        <v>265.76</v>
      </c>
      <c r="D151" s="2">
        <v>0.74230324073869269</v>
      </c>
      <c r="E151" s="4">
        <v>44963</v>
      </c>
      <c r="F151" s="7" t="s">
        <v>17</v>
      </c>
      <c r="G151" s="7" t="s">
        <v>243</v>
      </c>
      <c r="H151" s="7" t="s">
        <v>688</v>
      </c>
      <c r="I151" s="7" t="s">
        <v>689</v>
      </c>
      <c r="J151" s="7" t="s">
        <v>474</v>
      </c>
      <c r="K151" s="7" t="s">
        <v>36</v>
      </c>
      <c r="L151" s="8">
        <v>54</v>
      </c>
      <c r="M151" s="7" t="s">
        <v>70</v>
      </c>
      <c r="N151" s="8">
        <v>92</v>
      </c>
      <c r="O151" s="8">
        <v>1</v>
      </c>
      <c r="P151" s="5">
        <v>4446.17</v>
      </c>
      <c r="Q151" s="4">
        <v>45600</v>
      </c>
      <c r="R151" s="9">
        <v>0.34187499999999998</v>
      </c>
      <c r="S151" s="8">
        <v>17</v>
      </c>
      <c r="T151" s="7" t="s">
        <v>4457</v>
      </c>
      <c r="U151" s="7" t="s">
        <v>4455</v>
      </c>
      <c r="V1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2" spans="1:22" x14ac:dyDescent="0.35">
      <c r="A152" s="7" t="s">
        <v>690</v>
      </c>
      <c r="B152" s="7" t="s">
        <v>691</v>
      </c>
      <c r="C152" s="5">
        <v>69.400000000000006</v>
      </c>
      <c r="D152" s="2">
        <v>0.75605324074422242</v>
      </c>
      <c r="E152" s="4">
        <v>45131</v>
      </c>
      <c r="F152" s="7" t="s">
        <v>17</v>
      </c>
      <c r="G152" s="7" t="s">
        <v>301</v>
      </c>
      <c r="H152" s="7" t="s">
        <v>692</v>
      </c>
      <c r="I152" s="7" t="s">
        <v>535</v>
      </c>
      <c r="J152" s="7" t="s">
        <v>89</v>
      </c>
      <c r="K152" s="7" t="s">
        <v>36</v>
      </c>
      <c r="L152" s="8">
        <v>80</v>
      </c>
      <c r="M152" s="7" t="s">
        <v>70</v>
      </c>
      <c r="N152" s="8">
        <v>113</v>
      </c>
      <c r="O152" s="8">
        <v>1</v>
      </c>
      <c r="P152" s="5">
        <v>6452.77</v>
      </c>
      <c r="Q152" s="4">
        <v>45600</v>
      </c>
      <c r="R152" s="9">
        <v>0.33962962962962961</v>
      </c>
      <c r="S152" s="8">
        <v>18</v>
      </c>
      <c r="T152" s="7" t="s">
        <v>4454</v>
      </c>
      <c r="U152" s="7" t="s">
        <v>4455</v>
      </c>
      <c r="V1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3" spans="1:22" x14ac:dyDescent="0.35">
      <c r="A153" s="7" t="s">
        <v>693</v>
      </c>
      <c r="B153" s="7" t="s">
        <v>130</v>
      </c>
      <c r="C153" s="5">
        <v>332.93</v>
      </c>
      <c r="D153" s="2">
        <v>0.687361111107748</v>
      </c>
      <c r="E153" s="4">
        <v>45250</v>
      </c>
      <c r="F153" s="7" t="s">
        <v>46</v>
      </c>
      <c r="G153" s="7" t="s">
        <v>86</v>
      </c>
      <c r="H153" s="7" t="s">
        <v>351</v>
      </c>
      <c r="I153" s="7" t="s">
        <v>271</v>
      </c>
      <c r="J153" s="7" t="s">
        <v>137</v>
      </c>
      <c r="K153" s="7" t="s">
        <v>69</v>
      </c>
      <c r="L153" s="8">
        <v>35</v>
      </c>
      <c r="M153" s="7" t="s">
        <v>77</v>
      </c>
      <c r="N153" s="8">
        <v>293</v>
      </c>
      <c r="O153" s="8">
        <v>1</v>
      </c>
      <c r="P153" s="5">
        <v>2788.2</v>
      </c>
      <c r="Q153" s="4">
        <v>45600</v>
      </c>
      <c r="R153" s="9">
        <v>0.33905092592592595</v>
      </c>
      <c r="S153" s="8">
        <v>16</v>
      </c>
      <c r="T153" s="7" t="s">
        <v>4457</v>
      </c>
      <c r="U153" s="7" t="s">
        <v>4455</v>
      </c>
      <c r="V1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4" spans="1:22" x14ac:dyDescent="0.35">
      <c r="A154" s="7" t="s">
        <v>694</v>
      </c>
      <c r="B154" s="7" t="s">
        <v>447</v>
      </c>
      <c r="C154" s="5">
        <v>267.89999999999998</v>
      </c>
      <c r="D154" s="2">
        <v>0.70332175926159834</v>
      </c>
      <c r="E154" s="4">
        <v>45208</v>
      </c>
      <c r="F154" s="7" t="s">
        <v>17</v>
      </c>
      <c r="G154" s="7" t="s">
        <v>237</v>
      </c>
      <c r="H154" s="7" t="s">
        <v>695</v>
      </c>
      <c r="I154" s="7" t="s">
        <v>696</v>
      </c>
      <c r="J154" s="7" t="s">
        <v>303</v>
      </c>
      <c r="K154" s="7" t="s">
        <v>36</v>
      </c>
      <c r="L154" s="8">
        <v>20</v>
      </c>
      <c r="M154" s="7" t="s">
        <v>37</v>
      </c>
      <c r="N154" s="8">
        <v>160</v>
      </c>
      <c r="O154" s="8">
        <v>1</v>
      </c>
      <c r="P154" s="5">
        <v>596.16</v>
      </c>
      <c r="Q154" s="4">
        <v>45600</v>
      </c>
      <c r="R154" s="9">
        <v>0.33928240740740739</v>
      </c>
      <c r="S154" s="8">
        <v>16</v>
      </c>
      <c r="T154" s="7" t="s">
        <v>4456</v>
      </c>
      <c r="U154" s="7" t="s">
        <v>4455</v>
      </c>
      <c r="V1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5" spans="1:22" x14ac:dyDescent="0.35">
      <c r="A155" s="7" t="s">
        <v>697</v>
      </c>
      <c r="B155" s="7" t="s">
        <v>698</v>
      </c>
      <c r="C155" s="5">
        <v>496.03</v>
      </c>
      <c r="D155" s="2">
        <v>0.69851851851854008</v>
      </c>
      <c r="E155" s="4">
        <v>45233</v>
      </c>
      <c r="F155" s="7" t="s">
        <v>17</v>
      </c>
      <c r="G155" s="7" t="s">
        <v>212</v>
      </c>
      <c r="H155" s="7" t="s">
        <v>404</v>
      </c>
      <c r="I155" s="7" t="s">
        <v>699</v>
      </c>
      <c r="J155" s="7" t="s">
        <v>35</v>
      </c>
      <c r="K155" s="7" t="s">
        <v>69</v>
      </c>
      <c r="L155" s="8">
        <v>61</v>
      </c>
      <c r="M155" s="7" t="s">
        <v>23</v>
      </c>
      <c r="N155" s="8">
        <v>265</v>
      </c>
      <c r="O155" s="8">
        <v>1</v>
      </c>
      <c r="P155" s="5">
        <v>12904.66</v>
      </c>
      <c r="Q155" s="4">
        <v>45600</v>
      </c>
      <c r="R155" s="9">
        <v>0.34005787037037039</v>
      </c>
      <c r="S155" s="8">
        <v>16</v>
      </c>
      <c r="T155" s="7" t="s">
        <v>4454</v>
      </c>
      <c r="U155" s="7" t="s">
        <v>4455</v>
      </c>
      <c r="V1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6" spans="1:22" x14ac:dyDescent="0.35">
      <c r="A156" s="7" t="s">
        <v>700</v>
      </c>
      <c r="B156" s="7" t="s">
        <v>701</v>
      </c>
      <c r="C156" s="5">
        <v>376.26</v>
      </c>
      <c r="D156" s="2">
        <v>0.69526620370015735</v>
      </c>
      <c r="E156" s="4">
        <v>44972</v>
      </c>
      <c r="F156" s="7" t="s">
        <v>17</v>
      </c>
      <c r="G156" s="7" t="s">
        <v>255</v>
      </c>
      <c r="H156" s="7" t="s">
        <v>468</v>
      </c>
      <c r="I156" s="7" t="s">
        <v>702</v>
      </c>
      <c r="J156" s="7" t="s">
        <v>427</v>
      </c>
      <c r="K156" s="7" t="s">
        <v>22</v>
      </c>
      <c r="L156" s="8">
        <v>37</v>
      </c>
      <c r="M156" s="7" t="s">
        <v>77</v>
      </c>
      <c r="N156" s="8">
        <v>245</v>
      </c>
      <c r="O156" s="8">
        <v>1</v>
      </c>
      <c r="P156" s="5">
        <v>9062.4</v>
      </c>
      <c r="Q156" s="4">
        <v>45600</v>
      </c>
      <c r="R156" s="9">
        <v>0.34025462962962966</v>
      </c>
      <c r="S156" s="8">
        <v>16</v>
      </c>
      <c r="T156" s="7" t="s">
        <v>4457</v>
      </c>
      <c r="U156" s="7" t="s">
        <v>4455</v>
      </c>
      <c r="V1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7" spans="1:22" x14ac:dyDescent="0.35">
      <c r="A157" s="7" t="s">
        <v>703</v>
      </c>
      <c r="B157" s="7" t="s">
        <v>704</v>
      </c>
      <c r="C157" s="5">
        <v>83.02</v>
      </c>
      <c r="D157" s="2">
        <v>0.749895833330811</v>
      </c>
      <c r="E157" s="4">
        <v>45173</v>
      </c>
      <c r="F157" s="7" t="s">
        <v>46</v>
      </c>
      <c r="G157" s="7" t="s">
        <v>59</v>
      </c>
      <c r="H157" s="7" t="s">
        <v>705</v>
      </c>
      <c r="I157" s="7" t="s">
        <v>706</v>
      </c>
      <c r="J157" s="7" t="s">
        <v>707</v>
      </c>
      <c r="K157" s="7" t="s">
        <v>36</v>
      </c>
      <c r="L157" s="8">
        <v>36</v>
      </c>
      <c r="M157" s="7" t="s">
        <v>77</v>
      </c>
      <c r="N157" s="8">
        <v>171</v>
      </c>
      <c r="O157" s="8">
        <v>1</v>
      </c>
      <c r="P157" s="5">
        <v>9009.56</v>
      </c>
      <c r="Q157" s="4">
        <v>45600</v>
      </c>
      <c r="R157" s="9">
        <v>0.34098379629629627</v>
      </c>
      <c r="S157" s="8">
        <v>17</v>
      </c>
      <c r="T157" s="7" t="s">
        <v>4457</v>
      </c>
      <c r="U157" s="7" t="s">
        <v>4455</v>
      </c>
      <c r="V1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8" spans="1:22" x14ac:dyDescent="0.35">
      <c r="A158" s="7" t="s">
        <v>708</v>
      </c>
      <c r="B158" s="7" t="s">
        <v>236</v>
      </c>
      <c r="C158" s="5">
        <v>93.26</v>
      </c>
      <c r="D158" s="2">
        <v>0.68254629629518604</v>
      </c>
      <c r="E158" s="4">
        <v>45134</v>
      </c>
      <c r="F158" s="7" t="s">
        <v>46</v>
      </c>
      <c r="G158" s="7" t="s">
        <v>203</v>
      </c>
      <c r="H158" s="7" t="s">
        <v>709</v>
      </c>
      <c r="I158" s="7" t="s">
        <v>710</v>
      </c>
      <c r="J158" s="7" t="s">
        <v>186</v>
      </c>
      <c r="K158" s="7" t="s">
        <v>36</v>
      </c>
      <c r="L158" s="8">
        <v>20</v>
      </c>
      <c r="M158" s="7" t="s">
        <v>37</v>
      </c>
      <c r="N158" s="8">
        <v>72</v>
      </c>
      <c r="O158" s="8">
        <v>1</v>
      </c>
      <c r="P158" s="5">
        <v>1152.2</v>
      </c>
      <c r="Q158" s="4">
        <v>45600</v>
      </c>
      <c r="R158" s="9">
        <v>0.34171296296296294</v>
      </c>
      <c r="S158" s="8">
        <v>16</v>
      </c>
      <c r="T158" s="7" t="s">
        <v>4456</v>
      </c>
      <c r="U158" s="7" t="s">
        <v>4455</v>
      </c>
      <c r="V1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9" spans="1:22" x14ac:dyDescent="0.35">
      <c r="A159" s="7" t="s">
        <v>711</v>
      </c>
      <c r="B159" s="7" t="s">
        <v>712</v>
      </c>
      <c r="C159" s="5">
        <v>803.37</v>
      </c>
      <c r="D159" s="2">
        <v>0.67261574073927477</v>
      </c>
      <c r="E159" s="4">
        <v>45033</v>
      </c>
      <c r="F159" s="7" t="s">
        <v>46</v>
      </c>
      <c r="G159" s="7" t="s">
        <v>92</v>
      </c>
      <c r="H159" s="7" t="s">
        <v>713</v>
      </c>
      <c r="I159" s="7" t="s">
        <v>714</v>
      </c>
      <c r="J159" s="7" t="s">
        <v>95</v>
      </c>
      <c r="K159" s="7" t="s">
        <v>69</v>
      </c>
      <c r="L159" s="8">
        <v>68</v>
      </c>
      <c r="M159" s="7" t="s">
        <v>23</v>
      </c>
      <c r="N159" s="8">
        <v>129</v>
      </c>
      <c r="O159" s="8">
        <v>1</v>
      </c>
      <c r="P159" s="5">
        <v>12168.37</v>
      </c>
      <c r="Q159" s="4">
        <v>45600</v>
      </c>
      <c r="R159" s="9">
        <v>0.33935185185185185</v>
      </c>
      <c r="S159" s="8">
        <v>16</v>
      </c>
      <c r="T159" s="7" t="s">
        <v>4454</v>
      </c>
      <c r="U159" s="7" t="s">
        <v>4455</v>
      </c>
      <c r="V1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0" spans="1:22" x14ac:dyDescent="0.35">
      <c r="A160" s="7" t="s">
        <v>715</v>
      </c>
      <c r="B160" s="7" t="s">
        <v>716</v>
      </c>
      <c r="C160" s="5">
        <v>35.76</v>
      </c>
      <c r="D160" s="2">
        <v>0.73493055555445608</v>
      </c>
      <c r="E160" s="4">
        <v>45188</v>
      </c>
      <c r="F160" s="7" t="s">
        <v>17</v>
      </c>
      <c r="G160" s="7" t="s">
        <v>249</v>
      </c>
      <c r="H160" s="7" t="s">
        <v>717</v>
      </c>
      <c r="I160" s="7" t="s">
        <v>718</v>
      </c>
      <c r="J160" s="7" t="s">
        <v>100</v>
      </c>
      <c r="K160" s="7" t="s">
        <v>69</v>
      </c>
      <c r="L160" s="8">
        <v>23</v>
      </c>
      <c r="M160" s="7" t="s">
        <v>37</v>
      </c>
      <c r="N160" s="8">
        <v>122</v>
      </c>
      <c r="O160" s="8">
        <v>1</v>
      </c>
      <c r="P160" s="5">
        <v>611.86</v>
      </c>
      <c r="Q160" s="4">
        <v>45600</v>
      </c>
      <c r="R160" s="9">
        <v>0.34143518518518517</v>
      </c>
      <c r="S160" s="8">
        <v>17</v>
      </c>
      <c r="T160" s="7" t="s">
        <v>4456</v>
      </c>
      <c r="U160" s="7" t="s">
        <v>4455</v>
      </c>
      <c r="V1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1" spans="1:22" x14ac:dyDescent="0.35">
      <c r="A161" s="7" t="s">
        <v>719</v>
      </c>
      <c r="B161" s="7" t="s">
        <v>720</v>
      </c>
      <c r="C161" s="5">
        <v>28.53</v>
      </c>
      <c r="D161" s="2">
        <v>0.69281249999767169</v>
      </c>
      <c r="E161" s="4">
        <v>45077</v>
      </c>
      <c r="F161" s="7" t="s">
        <v>17</v>
      </c>
      <c r="G161" s="7" t="s">
        <v>453</v>
      </c>
      <c r="H161" s="7" t="s">
        <v>179</v>
      </c>
      <c r="I161" s="7" t="s">
        <v>34</v>
      </c>
      <c r="J161" s="7" t="s">
        <v>76</v>
      </c>
      <c r="K161" s="7" t="s">
        <v>36</v>
      </c>
      <c r="L161" s="8">
        <v>62</v>
      </c>
      <c r="M161" s="7" t="s">
        <v>23</v>
      </c>
      <c r="N161" s="8">
        <v>99</v>
      </c>
      <c r="O161" s="8">
        <v>1</v>
      </c>
      <c r="P161" s="5">
        <v>8670.5300000000007</v>
      </c>
      <c r="Q161" s="4">
        <v>45600</v>
      </c>
      <c r="R161" s="9">
        <v>0.33784722222222224</v>
      </c>
      <c r="S161" s="8">
        <v>16</v>
      </c>
      <c r="T161" s="7" t="s">
        <v>4454</v>
      </c>
      <c r="U161" s="7" t="s">
        <v>4455</v>
      </c>
      <c r="V1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2" spans="1:22" x14ac:dyDescent="0.35">
      <c r="A162" s="7" t="s">
        <v>721</v>
      </c>
      <c r="B162" s="7" t="s">
        <v>722</v>
      </c>
      <c r="C162" s="5">
        <v>139.53</v>
      </c>
      <c r="D162" s="2">
        <v>0.72232638888817746</v>
      </c>
      <c r="E162" s="4">
        <v>45208</v>
      </c>
      <c r="F162" s="7" t="s">
        <v>46</v>
      </c>
      <c r="G162" s="7" t="s">
        <v>108</v>
      </c>
      <c r="H162" s="7" t="s">
        <v>723</v>
      </c>
      <c r="I162" s="7" t="s">
        <v>440</v>
      </c>
      <c r="J162" s="7" t="s">
        <v>43</v>
      </c>
      <c r="K162" s="7" t="s">
        <v>36</v>
      </c>
      <c r="L162" s="8">
        <v>53</v>
      </c>
      <c r="M162" s="7" t="s">
        <v>23</v>
      </c>
      <c r="N162" s="8">
        <v>177</v>
      </c>
      <c r="O162" s="8">
        <v>1</v>
      </c>
      <c r="P162" s="5">
        <v>10098.86</v>
      </c>
      <c r="Q162" s="4">
        <v>45600</v>
      </c>
      <c r="R162" s="9">
        <v>0.33855324074074072</v>
      </c>
      <c r="S162" s="8">
        <v>17</v>
      </c>
      <c r="T162" s="7" t="s">
        <v>4457</v>
      </c>
      <c r="U162" s="7" t="s">
        <v>4455</v>
      </c>
      <c r="V1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3" spans="1:22" x14ac:dyDescent="0.35">
      <c r="A163" s="7" t="s">
        <v>724</v>
      </c>
      <c r="B163" s="7" t="s">
        <v>725</v>
      </c>
      <c r="C163" s="5">
        <v>307.57</v>
      </c>
      <c r="D163" s="2">
        <v>0.67501157407241408</v>
      </c>
      <c r="E163" s="4">
        <v>44935</v>
      </c>
      <c r="F163" s="7" t="s">
        <v>17</v>
      </c>
      <c r="G163" s="7" t="s">
        <v>73</v>
      </c>
      <c r="H163" s="7" t="s">
        <v>726</v>
      </c>
      <c r="I163" s="7" t="s">
        <v>727</v>
      </c>
      <c r="J163" s="7" t="s">
        <v>474</v>
      </c>
      <c r="K163" s="7" t="s">
        <v>69</v>
      </c>
      <c r="L163" s="8">
        <v>33</v>
      </c>
      <c r="M163" s="7" t="s">
        <v>23</v>
      </c>
      <c r="N163" s="8">
        <v>285</v>
      </c>
      <c r="O163" s="8">
        <v>1</v>
      </c>
      <c r="P163" s="5">
        <v>5307.74</v>
      </c>
      <c r="Q163" s="4">
        <v>45600</v>
      </c>
      <c r="R163" s="9">
        <v>0.33788194444444447</v>
      </c>
      <c r="S163" s="8">
        <v>16</v>
      </c>
      <c r="T163" s="7" t="s">
        <v>4456</v>
      </c>
      <c r="U163" s="7" t="s">
        <v>4455</v>
      </c>
      <c r="V1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4" spans="1:22" x14ac:dyDescent="0.35">
      <c r="A164" s="7" t="s">
        <v>728</v>
      </c>
      <c r="B164" s="7" t="s">
        <v>729</v>
      </c>
      <c r="C164" s="5">
        <v>60.65</v>
      </c>
      <c r="D164" s="2">
        <v>0.76050925925665069</v>
      </c>
      <c r="E164" s="4">
        <v>45072</v>
      </c>
      <c r="F164" s="7" t="s">
        <v>46</v>
      </c>
      <c r="G164" s="7" t="s">
        <v>255</v>
      </c>
      <c r="H164" s="7" t="s">
        <v>730</v>
      </c>
      <c r="I164" s="7" t="s">
        <v>731</v>
      </c>
      <c r="J164" s="7" t="s">
        <v>674</v>
      </c>
      <c r="K164" s="7" t="s">
        <v>69</v>
      </c>
      <c r="L164" s="8">
        <v>56</v>
      </c>
      <c r="M164" s="7" t="s">
        <v>70</v>
      </c>
      <c r="N164" s="8">
        <v>53</v>
      </c>
      <c r="O164" s="8">
        <v>1</v>
      </c>
      <c r="P164" s="5">
        <v>1047.28</v>
      </c>
      <c r="Q164" s="4">
        <v>45600</v>
      </c>
      <c r="R164" s="9">
        <v>0.33983796296296298</v>
      </c>
      <c r="S164" s="8">
        <v>18</v>
      </c>
      <c r="T164" s="7" t="s">
        <v>4454</v>
      </c>
      <c r="U164" s="7" t="s">
        <v>4455</v>
      </c>
      <c r="V1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5" spans="1:22" x14ac:dyDescent="0.35">
      <c r="A165" s="7" t="s">
        <v>732</v>
      </c>
      <c r="B165" s="7" t="s">
        <v>733</v>
      </c>
      <c r="C165" s="5">
        <v>74.86</v>
      </c>
      <c r="D165" s="2">
        <v>0.73839120370394085</v>
      </c>
      <c r="E165" s="4">
        <v>45152</v>
      </c>
      <c r="F165" s="7" t="s">
        <v>17</v>
      </c>
      <c r="G165" s="7" t="s">
        <v>80</v>
      </c>
      <c r="H165" s="7" t="s">
        <v>734</v>
      </c>
      <c r="I165" s="7" t="s">
        <v>735</v>
      </c>
      <c r="J165" s="7" t="s">
        <v>165</v>
      </c>
      <c r="K165" s="7" t="s">
        <v>69</v>
      </c>
      <c r="L165" s="8">
        <v>70</v>
      </c>
      <c r="M165" s="7" t="s">
        <v>23</v>
      </c>
      <c r="N165" s="8">
        <v>125</v>
      </c>
      <c r="O165" s="8">
        <v>1</v>
      </c>
      <c r="P165" s="5">
        <v>6921.48</v>
      </c>
      <c r="Q165" s="4">
        <v>45600</v>
      </c>
      <c r="R165" s="9">
        <v>0.33864583333333331</v>
      </c>
      <c r="S165" s="8">
        <v>17</v>
      </c>
      <c r="T165" s="7" t="s">
        <v>4454</v>
      </c>
      <c r="U165" s="7" t="s">
        <v>4455</v>
      </c>
      <c r="V1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6" spans="1:22" x14ac:dyDescent="0.35">
      <c r="A166" s="7" t="s">
        <v>736</v>
      </c>
      <c r="B166" s="7" t="s">
        <v>737</v>
      </c>
      <c r="C166" s="5">
        <v>117.97</v>
      </c>
      <c r="D166" s="2">
        <v>0.78578703703533392</v>
      </c>
      <c r="E166" s="4">
        <v>45254</v>
      </c>
      <c r="F166" s="7" t="s">
        <v>17</v>
      </c>
      <c r="G166" s="7" t="s">
        <v>291</v>
      </c>
      <c r="H166" s="7" t="s">
        <v>738</v>
      </c>
      <c r="I166" s="7" t="s">
        <v>739</v>
      </c>
      <c r="J166" s="7" t="s">
        <v>740</v>
      </c>
      <c r="K166" s="7" t="s">
        <v>69</v>
      </c>
      <c r="L166" s="8">
        <v>51</v>
      </c>
      <c r="M166" s="7" t="s">
        <v>70</v>
      </c>
      <c r="N166" s="8">
        <v>137</v>
      </c>
      <c r="O166" s="8">
        <v>1</v>
      </c>
      <c r="P166" s="5">
        <v>1475.46</v>
      </c>
      <c r="Q166" s="4">
        <v>45600</v>
      </c>
      <c r="R166" s="9">
        <v>0.33982638888888889</v>
      </c>
      <c r="S166" s="8">
        <v>18</v>
      </c>
      <c r="T166" s="7" t="s">
        <v>4457</v>
      </c>
      <c r="U166" s="7" t="s">
        <v>4455</v>
      </c>
      <c r="V1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7" spans="1:22" x14ac:dyDescent="0.35">
      <c r="A167" s="7" t="s">
        <v>741</v>
      </c>
      <c r="B167" s="7" t="s">
        <v>742</v>
      </c>
      <c r="C167" s="5">
        <v>231.91</v>
      </c>
      <c r="D167" s="2">
        <v>0.77178240740613546</v>
      </c>
      <c r="E167" s="4">
        <v>44957</v>
      </c>
      <c r="F167" s="7" t="s">
        <v>17</v>
      </c>
      <c r="G167" s="7" t="s">
        <v>92</v>
      </c>
      <c r="H167" s="7" t="s">
        <v>743</v>
      </c>
      <c r="I167" s="7" t="s">
        <v>744</v>
      </c>
      <c r="J167" s="7" t="s">
        <v>252</v>
      </c>
      <c r="K167" s="7" t="s">
        <v>22</v>
      </c>
      <c r="L167" s="8">
        <v>34</v>
      </c>
      <c r="M167" s="7" t="s">
        <v>77</v>
      </c>
      <c r="N167" s="8">
        <v>165</v>
      </c>
      <c r="O167" s="8">
        <v>1</v>
      </c>
      <c r="P167" s="5">
        <v>112.76</v>
      </c>
      <c r="Q167" s="4">
        <v>45600</v>
      </c>
      <c r="R167" s="9">
        <v>0.34184027777777776</v>
      </c>
      <c r="S167" s="8">
        <v>18</v>
      </c>
      <c r="T167" s="7" t="s">
        <v>4456</v>
      </c>
      <c r="U167" s="7" t="s">
        <v>4455</v>
      </c>
      <c r="V1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8" spans="1:22" x14ac:dyDescent="0.35">
      <c r="A168" s="7" t="s">
        <v>745</v>
      </c>
      <c r="B168" s="7" t="s">
        <v>228</v>
      </c>
      <c r="C168" s="5">
        <v>126.21</v>
      </c>
      <c r="D168" s="2">
        <v>0.67153935185342561</v>
      </c>
      <c r="E168" s="4">
        <v>44971</v>
      </c>
      <c r="F168" s="7" t="s">
        <v>17</v>
      </c>
      <c r="G168" s="7" t="s">
        <v>197</v>
      </c>
      <c r="H168" s="7" t="s">
        <v>746</v>
      </c>
      <c r="I168" s="7" t="s">
        <v>747</v>
      </c>
      <c r="J168" s="7" t="s">
        <v>353</v>
      </c>
      <c r="K168" s="7" t="s">
        <v>69</v>
      </c>
      <c r="L168" s="8">
        <v>75</v>
      </c>
      <c r="M168" s="7" t="s">
        <v>70</v>
      </c>
      <c r="N168" s="8">
        <v>268</v>
      </c>
      <c r="O168" s="8">
        <v>1</v>
      </c>
      <c r="P168" s="5">
        <v>5669.66</v>
      </c>
      <c r="Q168" s="4">
        <v>45600</v>
      </c>
      <c r="R168" s="9">
        <v>0.33937499999999998</v>
      </c>
      <c r="S168" s="8">
        <v>16</v>
      </c>
      <c r="T168" s="7" t="s">
        <v>4454</v>
      </c>
      <c r="U168" s="7" t="s">
        <v>4455</v>
      </c>
      <c r="V1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9" spans="1:22" x14ac:dyDescent="0.35">
      <c r="A169" s="7" t="s">
        <v>748</v>
      </c>
      <c r="B169" s="7" t="s">
        <v>749</v>
      </c>
      <c r="C169" s="5">
        <v>506.28</v>
      </c>
      <c r="D169" s="2">
        <v>0.71075231481518131</v>
      </c>
      <c r="E169" s="4">
        <v>45048</v>
      </c>
      <c r="F169" s="7" t="s">
        <v>46</v>
      </c>
      <c r="G169" s="7" t="s">
        <v>265</v>
      </c>
      <c r="H169" s="7" t="s">
        <v>750</v>
      </c>
      <c r="I169" s="7" t="s">
        <v>751</v>
      </c>
      <c r="J169" s="7" t="s">
        <v>752</v>
      </c>
      <c r="K169" s="7" t="s">
        <v>36</v>
      </c>
      <c r="L169" s="8">
        <v>53</v>
      </c>
      <c r="M169" s="7" t="s">
        <v>70</v>
      </c>
      <c r="N169" s="8">
        <v>162</v>
      </c>
      <c r="O169" s="8">
        <v>2</v>
      </c>
      <c r="P169" s="5">
        <v>1309.95</v>
      </c>
      <c r="Q169" s="4">
        <v>45600</v>
      </c>
      <c r="R169" s="9">
        <v>0.33968749999999998</v>
      </c>
      <c r="S169" s="8">
        <v>17</v>
      </c>
      <c r="T169" s="7" t="s">
        <v>4457</v>
      </c>
      <c r="U169" s="7" t="s">
        <v>4458</v>
      </c>
      <c r="V1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0" spans="1:22" x14ac:dyDescent="0.35">
      <c r="A170" s="7" t="s">
        <v>753</v>
      </c>
      <c r="B170" s="7" t="s">
        <v>222</v>
      </c>
      <c r="C170" s="5">
        <v>304.35000000000002</v>
      </c>
      <c r="D170" s="2">
        <v>0.713587962964084</v>
      </c>
      <c r="E170" s="4">
        <v>45264</v>
      </c>
      <c r="F170" s="7" t="s">
        <v>17</v>
      </c>
      <c r="G170" s="7" t="s">
        <v>26</v>
      </c>
      <c r="H170" s="7" t="s">
        <v>738</v>
      </c>
      <c r="I170" s="7" t="s">
        <v>754</v>
      </c>
      <c r="J170" s="7" t="s">
        <v>83</v>
      </c>
      <c r="K170" s="7" t="s">
        <v>69</v>
      </c>
      <c r="L170" s="8">
        <v>31</v>
      </c>
      <c r="M170" s="7" t="s">
        <v>77</v>
      </c>
      <c r="N170" s="8">
        <v>36</v>
      </c>
      <c r="O170" s="8">
        <v>1</v>
      </c>
      <c r="P170" s="5">
        <v>4057.1</v>
      </c>
      <c r="Q170" s="4">
        <v>45600</v>
      </c>
      <c r="R170" s="9">
        <v>0.33940972222222221</v>
      </c>
      <c r="S170" s="8">
        <v>17</v>
      </c>
      <c r="T170" s="7" t="s">
        <v>4456</v>
      </c>
      <c r="U170" s="7" t="s">
        <v>4455</v>
      </c>
      <c r="V1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1" spans="1:22" x14ac:dyDescent="0.35">
      <c r="A171" s="7" t="s">
        <v>755</v>
      </c>
      <c r="B171" s="7" t="s">
        <v>756</v>
      </c>
      <c r="C171" s="5">
        <v>281.85000000000002</v>
      </c>
      <c r="D171" s="2">
        <v>0.72681712963094469</v>
      </c>
      <c r="E171" s="4">
        <v>45062</v>
      </c>
      <c r="F171" s="7" t="s">
        <v>17</v>
      </c>
      <c r="G171" s="7" t="s">
        <v>73</v>
      </c>
      <c r="H171" s="7" t="s">
        <v>757</v>
      </c>
      <c r="I171" s="7" t="s">
        <v>758</v>
      </c>
      <c r="J171" s="7" t="s">
        <v>759</v>
      </c>
      <c r="K171" s="7" t="s">
        <v>22</v>
      </c>
      <c r="L171" s="8">
        <v>22</v>
      </c>
      <c r="M171" s="7" t="s">
        <v>37</v>
      </c>
      <c r="N171" s="8">
        <v>109</v>
      </c>
      <c r="O171" s="8">
        <v>1</v>
      </c>
      <c r="P171" s="5">
        <v>1585.98</v>
      </c>
      <c r="Q171" s="4">
        <v>45600</v>
      </c>
      <c r="R171" s="9">
        <v>0.33863425925925927</v>
      </c>
      <c r="S171" s="8">
        <v>17</v>
      </c>
      <c r="T171" s="7" t="s">
        <v>4456</v>
      </c>
      <c r="U171" s="7" t="s">
        <v>4455</v>
      </c>
      <c r="V1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2" spans="1:22" x14ac:dyDescent="0.35">
      <c r="A172" s="7" t="s">
        <v>760</v>
      </c>
      <c r="B172" s="7" t="s">
        <v>761</v>
      </c>
      <c r="C172" s="5">
        <v>777.88</v>
      </c>
      <c r="D172" s="2">
        <v>0.7070833333345945</v>
      </c>
      <c r="E172" s="4">
        <v>45005</v>
      </c>
      <c r="F172" s="7" t="s">
        <v>17</v>
      </c>
      <c r="G172" s="7" t="s">
        <v>26</v>
      </c>
      <c r="H172" s="7" t="s">
        <v>709</v>
      </c>
      <c r="I172" s="7" t="s">
        <v>293</v>
      </c>
      <c r="J172" s="7" t="s">
        <v>762</v>
      </c>
      <c r="K172" s="7" t="s">
        <v>69</v>
      </c>
      <c r="L172" s="8">
        <v>31</v>
      </c>
      <c r="M172" s="7" t="s">
        <v>77</v>
      </c>
      <c r="N172" s="8">
        <v>17</v>
      </c>
      <c r="O172" s="8">
        <v>1</v>
      </c>
      <c r="P172" s="5">
        <v>6825.55</v>
      </c>
      <c r="Q172" s="4">
        <v>45600</v>
      </c>
      <c r="R172" s="9">
        <v>0.33975694444444443</v>
      </c>
      <c r="S172" s="8">
        <v>16</v>
      </c>
      <c r="T172" s="7" t="s">
        <v>4456</v>
      </c>
      <c r="U172" s="7" t="s">
        <v>4455</v>
      </c>
      <c r="V1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3" spans="1:22" x14ac:dyDescent="0.35">
      <c r="A173" s="7" t="s">
        <v>763</v>
      </c>
      <c r="B173" s="7" t="s">
        <v>764</v>
      </c>
      <c r="C173" s="5">
        <v>119.18</v>
      </c>
      <c r="D173" s="2">
        <v>0.75113425926247146</v>
      </c>
      <c r="E173" s="4">
        <v>45163</v>
      </c>
      <c r="F173" s="7" t="s">
        <v>17</v>
      </c>
      <c r="G173" s="7" t="s">
        <v>140</v>
      </c>
      <c r="H173" s="7" t="s">
        <v>109</v>
      </c>
      <c r="I173" s="7" t="s">
        <v>765</v>
      </c>
      <c r="J173" s="7" t="s">
        <v>482</v>
      </c>
      <c r="K173" s="7" t="s">
        <v>69</v>
      </c>
      <c r="L173" s="8">
        <v>56</v>
      </c>
      <c r="M173" s="7" t="s">
        <v>70</v>
      </c>
      <c r="N173" s="8">
        <v>96</v>
      </c>
      <c r="O173" s="8">
        <v>1</v>
      </c>
      <c r="P173" s="5">
        <v>5516.5</v>
      </c>
      <c r="Q173" s="4">
        <v>45600</v>
      </c>
      <c r="R173" s="9">
        <v>0.33858796296296295</v>
      </c>
      <c r="S173" s="8">
        <v>18</v>
      </c>
      <c r="T173" s="7" t="s">
        <v>4454</v>
      </c>
      <c r="U173" s="7" t="s">
        <v>4455</v>
      </c>
      <c r="V1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4" spans="1:22" x14ac:dyDescent="0.35">
      <c r="A174" s="7" t="s">
        <v>766</v>
      </c>
      <c r="B174" s="7" t="s">
        <v>767</v>
      </c>
      <c r="C174" s="5">
        <v>177.19</v>
      </c>
      <c r="D174" s="2">
        <v>0.72601851851504762</v>
      </c>
      <c r="E174" s="4">
        <v>45061</v>
      </c>
      <c r="F174" s="7" t="s">
        <v>17</v>
      </c>
      <c r="G174" s="7" t="s">
        <v>265</v>
      </c>
      <c r="H174" s="7" t="s">
        <v>768</v>
      </c>
      <c r="I174" s="7" t="s">
        <v>417</v>
      </c>
      <c r="J174" s="7" t="s">
        <v>769</v>
      </c>
      <c r="K174" s="7" t="s">
        <v>36</v>
      </c>
      <c r="L174" s="8">
        <v>76</v>
      </c>
      <c r="M174" s="7" t="s">
        <v>70</v>
      </c>
      <c r="N174" s="8">
        <v>43</v>
      </c>
      <c r="O174" s="8">
        <v>1</v>
      </c>
      <c r="P174" s="5">
        <v>5343.3</v>
      </c>
      <c r="Q174" s="4">
        <v>45600</v>
      </c>
      <c r="R174" s="9">
        <v>0.33784722222222224</v>
      </c>
      <c r="S174" s="8">
        <v>17</v>
      </c>
      <c r="T174" s="7" t="s">
        <v>4454</v>
      </c>
      <c r="U174" s="7" t="s">
        <v>4455</v>
      </c>
      <c r="V1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5" spans="1:22" x14ac:dyDescent="0.35">
      <c r="A175" s="7" t="s">
        <v>770</v>
      </c>
      <c r="B175" s="7" t="s">
        <v>771</v>
      </c>
      <c r="C175" s="5">
        <v>260.88</v>
      </c>
      <c r="D175" s="2">
        <v>0.70150462962919846</v>
      </c>
      <c r="E175" s="4">
        <v>45075</v>
      </c>
      <c r="F175" s="7" t="s">
        <v>17</v>
      </c>
      <c r="G175" s="7" t="s">
        <v>114</v>
      </c>
      <c r="H175" s="7" t="s">
        <v>772</v>
      </c>
      <c r="I175" s="7" t="s">
        <v>773</v>
      </c>
      <c r="J175" s="7" t="s">
        <v>209</v>
      </c>
      <c r="K175" s="7" t="s">
        <v>69</v>
      </c>
      <c r="L175" s="8">
        <v>22</v>
      </c>
      <c r="M175" s="7" t="s">
        <v>37</v>
      </c>
      <c r="N175" s="8">
        <v>36</v>
      </c>
      <c r="O175" s="8">
        <v>1</v>
      </c>
      <c r="P175" s="5">
        <v>903.05</v>
      </c>
      <c r="Q175" s="4">
        <v>45600</v>
      </c>
      <c r="R175" s="9">
        <v>0.33810185185185188</v>
      </c>
      <c r="S175" s="8">
        <v>16</v>
      </c>
      <c r="T175" s="7" t="s">
        <v>4456</v>
      </c>
      <c r="U175" s="7" t="s">
        <v>4455</v>
      </c>
      <c r="V1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6" spans="1:22" x14ac:dyDescent="0.35">
      <c r="A176" s="7" t="s">
        <v>774</v>
      </c>
      <c r="B176" s="7" t="s">
        <v>463</v>
      </c>
      <c r="C176" s="5">
        <v>169.47</v>
      </c>
      <c r="D176" s="2">
        <v>0.67377314814802958</v>
      </c>
      <c r="E176" s="4">
        <v>45007</v>
      </c>
      <c r="F176" s="7" t="s">
        <v>17</v>
      </c>
      <c r="G176" s="7" t="s">
        <v>265</v>
      </c>
      <c r="H176" s="7" t="s">
        <v>775</v>
      </c>
      <c r="I176" s="7" t="s">
        <v>136</v>
      </c>
      <c r="J176" s="7" t="s">
        <v>246</v>
      </c>
      <c r="K176" s="7" t="s">
        <v>36</v>
      </c>
      <c r="L176" s="8">
        <v>24</v>
      </c>
      <c r="M176" s="7" t="s">
        <v>37</v>
      </c>
      <c r="N176" s="8">
        <v>19</v>
      </c>
      <c r="O176" s="8">
        <v>1</v>
      </c>
      <c r="P176" s="5">
        <v>1806.16</v>
      </c>
      <c r="Q176" s="4">
        <v>45600</v>
      </c>
      <c r="R176" s="9">
        <v>0.33862268518518518</v>
      </c>
      <c r="S176" s="8">
        <v>16</v>
      </c>
      <c r="T176" s="7" t="s">
        <v>4456</v>
      </c>
      <c r="U176" s="7" t="s">
        <v>4455</v>
      </c>
      <c r="V1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7" spans="1:22" x14ac:dyDescent="0.35">
      <c r="A177" s="7" t="s">
        <v>776</v>
      </c>
      <c r="B177" s="7" t="s">
        <v>777</v>
      </c>
      <c r="C177" s="5">
        <v>73.23</v>
      </c>
      <c r="D177" s="2">
        <v>0.70339120370044839</v>
      </c>
      <c r="E177" s="4">
        <v>45065</v>
      </c>
      <c r="F177" s="7" t="s">
        <v>17</v>
      </c>
      <c r="G177" s="7" t="s">
        <v>595</v>
      </c>
      <c r="H177" s="7" t="s">
        <v>778</v>
      </c>
      <c r="I177" s="7" t="s">
        <v>779</v>
      </c>
      <c r="J177" s="7" t="s">
        <v>154</v>
      </c>
      <c r="K177" s="7" t="s">
        <v>69</v>
      </c>
      <c r="L177" s="8">
        <v>26</v>
      </c>
      <c r="M177" s="7" t="s">
        <v>37</v>
      </c>
      <c r="N177" s="8">
        <v>14</v>
      </c>
      <c r="O177" s="8">
        <v>1</v>
      </c>
      <c r="P177" s="5">
        <v>787.74</v>
      </c>
      <c r="Q177" s="4">
        <v>45600</v>
      </c>
      <c r="R177" s="9">
        <v>0.34111111111111109</v>
      </c>
      <c r="S177" s="8">
        <v>16</v>
      </c>
      <c r="T177" s="7" t="s">
        <v>4456</v>
      </c>
      <c r="U177" s="7" t="s">
        <v>4455</v>
      </c>
      <c r="V1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8" spans="1:22" x14ac:dyDescent="0.35">
      <c r="A178" s="7" t="s">
        <v>780</v>
      </c>
      <c r="B178" s="7" t="s">
        <v>781</v>
      </c>
      <c r="C178" s="5">
        <v>1362.55</v>
      </c>
      <c r="D178" s="2">
        <v>0.75494212962803431</v>
      </c>
      <c r="E178" s="4">
        <v>44967</v>
      </c>
      <c r="F178" s="7" t="s">
        <v>17</v>
      </c>
      <c r="G178" s="7" t="s">
        <v>506</v>
      </c>
      <c r="H178" s="7" t="s">
        <v>782</v>
      </c>
      <c r="I178" s="7" t="s">
        <v>783</v>
      </c>
      <c r="J178" s="7" t="s">
        <v>353</v>
      </c>
      <c r="K178" s="7" t="s">
        <v>22</v>
      </c>
      <c r="L178" s="8">
        <v>29</v>
      </c>
      <c r="M178" s="7" t="s">
        <v>77</v>
      </c>
      <c r="N178" s="8">
        <v>106</v>
      </c>
      <c r="O178" s="8">
        <v>1</v>
      </c>
      <c r="P178" s="5">
        <v>2429.6799999999998</v>
      </c>
      <c r="Q178" s="4">
        <v>45600</v>
      </c>
      <c r="R178" s="9">
        <v>0.34103009259259259</v>
      </c>
      <c r="S178" s="8">
        <v>18</v>
      </c>
      <c r="T178" s="7" t="s">
        <v>4456</v>
      </c>
      <c r="U178" s="7" t="s">
        <v>4455</v>
      </c>
      <c r="V1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9" spans="1:22" x14ac:dyDescent="0.35">
      <c r="A179" s="7" t="s">
        <v>784</v>
      </c>
      <c r="B179" s="7" t="s">
        <v>785</v>
      </c>
      <c r="C179" s="5">
        <v>792.57</v>
      </c>
      <c r="D179" s="2">
        <v>0.68236111111036735</v>
      </c>
      <c r="E179" s="4">
        <v>45068</v>
      </c>
      <c r="F179" s="7" t="s">
        <v>17</v>
      </c>
      <c r="G179" s="7" t="s">
        <v>197</v>
      </c>
      <c r="H179" s="7" t="s">
        <v>786</v>
      </c>
      <c r="I179" s="7" t="s">
        <v>787</v>
      </c>
      <c r="J179" s="7" t="s">
        <v>128</v>
      </c>
      <c r="K179" s="7" t="s">
        <v>22</v>
      </c>
      <c r="L179" s="8">
        <v>19</v>
      </c>
      <c r="M179" s="7" t="s">
        <v>37</v>
      </c>
      <c r="N179" s="8">
        <v>164</v>
      </c>
      <c r="O179" s="8">
        <v>1</v>
      </c>
      <c r="P179" s="5">
        <v>770.37</v>
      </c>
      <c r="Q179" s="4">
        <v>45600</v>
      </c>
      <c r="R179" s="9">
        <v>0.34072916666666669</v>
      </c>
      <c r="S179" s="8">
        <v>16</v>
      </c>
      <c r="T179" s="7" t="s">
        <v>4456</v>
      </c>
      <c r="U179" s="7" t="s">
        <v>4455</v>
      </c>
      <c r="V1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0" spans="1:22" x14ac:dyDescent="0.35">
      <c r="A180" s="7" t="s">
        <v>788</v>
      </c>
      <c r="B180" s="7" t="s">
        <v>789</v>
      </c>
      <c r="C180" s="5">
        <v>237.06</v>
      </c>
      <c r="D180" s="2">
        <v>0.69950231481197989</v>
      </c>
      <c r="E180" s="4">
        <v>45278</v>
      </c>
      <c r="F180" s="7" t="s">
        <v>17</v>
      </c>
      <c r="G180" s="7" t="s">
        <v>425</v>
      </c>
      <c r="H180" s="7" t="s">
        <v>790</v>
      </c>
      <c r="I180" s="7" t="s">
        <v>791</v>
      </c>
      <c r="J180" s="7" t="s">
        <v>474</v>
      </c>
      <c r="K180" s="7" t="s">
        <v>36</v>
      </c>
      <c r="L180" s="8">
        <v>71</v>
      </c>
      <c r="M180" s="7" t="s">
        <v>70</v>
      </c>
      <c r="N180" s="8">
        <v>46</v>
      </c>
      <c r="O180" s="8">
        <v>1</v>
      </c>
      <c r="P180" s="5">
        <v>1182.77</v>
      </c>
      <c r="Q180" s="4">
        <v>45600</v>
      </c>
      <c r="R180" s="9">
        <v>0.33877314814814813</v>
      </c>
      <c r="S180" s="8">
        <v>16</v>
      </c>
      <c r="T180" s="7" t="s">
        <v>4454</v>
      </c>
      <c r="U180" s="7" t="s">
        <v>4455</v>
      </c>
      <c r="V1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1" spans="1:22" x14ac:dyDescent="0.35">
      <c r="A181" s="7" t="s">
        <v>792</v>
      </c>
      <c r="B181" s="7" t="s">
        <v>484</v>
      </c>
      <c r="C181" s="5">
        <v>34.17</v>
      </c>
      <c r="D181" s="2">
        <v>0.70674768518802011</v>
      </c>
      <c r="E181" s="4">
        <v>45251</v>
      </c>
      <c r="F181" s="7" t="s">
        <v>46</v>
      </c>
      <c r="G181" s="7" t="s">
        <v>243</v>
      </c>
      <c r="H181" s="7" t="s">
        <v>163</v>
      </c>
      <c r="I181" s="7" t="s">
        <v>793</v>
      </c>
      <c r="J181" s="7" t="s">
        <v>50</v>
      </c>
      <c r="K181" s="7" t="s">
        <v>36</v>
      </c>
      <c r="L181" s="8">
        <v>54</v>
      </c>
      <c r="M181" s="7" t="s">
        <v>77</v>
      </c>
      <c r="N181" s="8">
        <v>54</v>
      </c>
      <c r="O181" s="8">
        <v>1</v>
      </c>
      <c r="P181" s="5">
        <v>726.55</v>
      </c>
      <c r="Q181" s="4">
        <v>45600</v>
      </c>
      <c r="R181" s="9">
        <v>0.33783564814814815</v>
      </c>
      <c r="S181" s="8">
        <v>16</v>
      </c>
      <c r="T181" s="7" t="s">
        <v>4457</v>
      </c>
      <c r="U181" s="7" t="s">
        <v>4455</v>
      </c>
      <c r="V1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2" spans="1:22" x14ac:dyDescent="0.35">
      <c r="A182" s="7" t="s">
        <v>794</v>
      </c>
      <c r="B182" s="7" t="s">
        <v>795</v>
      </c>
      <c r="C182" s="5">
        <v>740.25</v>
      </c>
      <c r="D182" s="2">
        <v>0.71108796296175569</v>
      </c>
      <c r="E182" s="4">
        <v>45126</v>
      </c>
      <c r="F182" s="7" t="s">
        <v>17</v>
      </c>
      <c r="G182" s="7" t="s">
        <v>243</v>
      </c>
      <c r="H182" s="7" t="s">
        <v>796</v>
      </c>
      <c r="I182" s="7" t="s">
        <v>320</v>
      </c>
      <c r="J182" s="7" t="s">
        <v>752</v>
      </c>
      <c r="K182" s="7" t="s">
        <v>36</v>
      </c>
      <c r="L182" s="8">
        <v>41</v>
      </c>
      <c r="M182" s="7" t="s">
        <v>23</v>
      </c>
      <c r="N182" s="8">
        <v>123</v>
      </c>
      <c r="O182" s="8">
        <v>1</v>
      </c>
      <c r="P182" s="5">
        <v>14464.3</v>
      </c>
      <c r="Q182" s="4">
        <v>45600</v>
      </c>
      <c r="R182" s="9">
        <v>0.3392013888888889</v>
      </c>
      <c r="S182" s="8">
        <v>17</v>
      </c>
      <c r="T182" s="7" t="s">
        <v>4457</v>
      </c>
      <c r="U182" s="7" t="s">
        <v>4455</v>
      </c>
      <c r="V1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3" spans="1:22" x14ac:dyDescent="0.35">
      <c r="A183" s="7" t="s">
        <v>797</v>
      </c>
      <c r="B183" s="7" t="s">
        <v>471</v>
      </c>
      <c r="C183" s="5">
        <v>453.54</v>
      </c>
      <c r="D183" s="2">
        <v>0.69170138888875954</v>
      </c>
      <c r="E183" s="4">
        <v>45035</v>
      </c>
      <c r="F183" s="7" t="s">
        <v>17</v>
      </c>
      <c r="G183" s="7" t="s">
        <v>86</v>
      </c>
      <c r="H183" s="7" t="s">
        <v>798</v>
      </c>
      <c r="I183" s="7" t="s">
        <v>799</v>
      </c>
      <c r="J183" s="7" t="s">
        <v>111</v>
      </c>
      <c r="K183" s="7" t="s">
        <v>22</v>
      </c>
      <c r="L183" s="8">
        <v>58</v>
      </c>
      <c r="M183" s="7" t="s">
        <v>23</v>
      </c>
      <c r="N183" s="8">
        <v>82</v>
      </c>
      <c r="O183" s="8">
        <v>1</v>
      </c>
      <c r="P183" s="5">
        <v>12046.3</v>
      </c>
      <c r="Q183" s="4">
        <v>45600</v>
      </c>
      <c r="R183" s="9">
        <v>0.34173611111111113</v>
      </c>
      <c r="S183" s="8">
        <v>16</v>
      </c>
      <c r="T183" s="7" t="s">
        <v>4454</v>
      </c>
      <c r="U183" s="7" t="s">
        <v>4455</v>
      </c>
      <c r="V1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4" spans="1:22" x14ac:dyDescent="0.35">
      <c r="A184" s="7" t="s">
        <v>800</v>
      </c>
      <c r="B184" s="7" t="s">
        <v>801</v>
      </c>
      <c r="C184" s="5">
        <v>300.47000000000003</v>
      </c>
      <c r="D184" s="2">
        <v>0.67490740741050104</v>
      </c>
      <c r="E184" s="4">
        <v>45243</v>
      </c>
      <c r="F184" s="7" t="s">
        <v>17</v>
      </c>
      <c r="G184" s="7" t="s">
        <v>392</v>
      </c>
      <c r="H184" s="7" t="s">
        <v>802</v>
      </c>
      <c r="I184" s="7" t="s">
        <v>401</v>
      </c>
      <c r="J184" s="7" t="s">
        <v>149</v>
      </c>
      <c r="K184" s="7" t="s">
        <v>69</v>
      </c>
      <c r="L184" s="8">
        <v>73</v>
      </c>
      <c r="M184" s="7" t="s">
        <v>70</v>
      </c>
      <c r="N184" s="8">
        <v>100</v>
      </c>
      <c r="O184" s="8">
        <v>1</v>
      </c>
      <c r="P184" s="5">
        <v>7885.64</v>
      </c>
      <c r="Q184" s="4">
        <v>45600</v>
      </c>
      <c r="R184" s="9">
        <v>0.33888888888888891</v>
      </c>
      <c r="S184" s="8">
        <v>16</v>
      </c>
      <c r="T184" s="7" t="s">
        <v>4454</v>
      </c>
      <c r="U184" s="7" t="s">
        <v>4455</v>
      </c>
      <c r="V1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5" spans="1:22" x14ac:dyDescent="0.35">
      <c r="A185" s="7" t="s">
        <v>803</v>
      </c>
      <c r="B185" s="7" t="s">
        <v>804</v>
      </c>
      <c r="C185" s="5">
        <v>110.93</v>
      </c>
      <c r="D185" s="2">
        <v>0.69322916666715173</v>
      </c>
      <c r="E185" s="4">
        <v>45023</v>
      </c>
      <c r="F185" s="7" t="s">
        <v>46</v>
      </c>
      <c r="G185" s="7" t="s">
        <v>301</v>
      </c>
      <c r="H185" s="7" t="s">
        <v>152</v>
      </c>
      <c r="I185" s="7" t="s">
        <v>465</v>
      </c>
      <c r="J185" s="7" t="s">
        <v>308</v>
      </c>
      <c r="K185" s="7" t="s">
        <v>69</v>
      </c>
      <c r="L185" s="8">
        <v>19</v>
      </c>
      <c r="M185" s="7" t="s">
        <v>37</v>
      </c>
      <c r="N185" s="8">
        <v>201</v>
      </c>
      <c r="O185" s="8">
        <v>1</v>
      </c>
      <c r="P185" s="5">
        <v>1952.35</v>
      </c>
      <c r="Q185" s="4">
        <v>45600</v>
      </c>
      <c r="R185" s="9">
        <v>0.34089120370370368</v>
      </c>
      <c r="S185" s="8">
        <v>16</v>
      </c>
      <c r="T185" s="7" t="s">
        <v>4456</v>
      </c>
      <c r="U185" s="7" t="s">
        <v>4455</v>
      </c>
      <c r="V1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6" spans="1:22" x14ac:dyDescent="0.35">
      <c r="A186" s="7" t="s">
        <v>805</v>
      </c>
      <c r="B186" s="7" t="s">
        <v>806</v>
      </c>
      <c r="C186" s="5">
        <v>201.69</v>
      </c>
      <c r="D186" s="2">
        <v>0.69902777778042946</v>
      </c>
      <c r="E186" s="4">
        <v>44929</v>
      </c>
      <c r="F186" s="7" t="s">
        <v>17</v>
      </c>
      <c r="G186" s="7" t="s">
        <v>146</v>
      </c>
      <c r="H186" s="7" t="s">
        <v>807</v>
      </c>
      <c r="I186" s="7" t="s">
        <v>486</v>
      </c>
      <c r="J186" s="7" t="s">
        <v>62</v>
      </c>
      <c r="K186" s="7" t="s">
        <v>22</v>
      </c>
      <c r="L186" s="8">
        <v>59</v>
      </c>
      <c r="M186" s="7" t="s">
        <v>23</v>
      </c>
      <c r="N186" s="8">
        <v>299</v>
      </c>
      <c r="O186" s="8">
        <v>1</v>
      </c>
      <c r="P186" s="5">
        <v>7328.52</v>
      </c>
      <c r="Q186" s="4">
        <v>45600</v>
      </c>
      <c r="R186" s="9">
        <v>0.34046296296296297</v>
      </c>
      <c r="S186" s="8">
        <v>16</v>
      </c>
      <c r="T186" s="7" t="s">
        <v>4454</v>
      </c>
      <c r="U186" s="7" t="s">
        <v>4455</v>
      </c>
      <c r="V1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7" spans="1:22" x14ac:dyDescent="0.35">
      <c r="A187" s="7" t="s">
        <v>808</v>
      </c>
      <c r="B187" s="7" t="s">
        <v>809</v>
      </c>
      <c r="C187" s="5">
        <v>399.21</v>
      </c>
      <c r="D187" s="2">
        <v>0.67765046295971842</v>
      </c>
      <c r="E187" s="4">
        <v>44956</v>
      </c>
      <c r="F187" s="7" t="s">
        <v>17</v>
      </c>
      <c r="G187" s="7" t="s">
        <v>595</v>
      </c>
      <c r="H187" s="7" t="s">
        <v>810</v>
      </c>
      <c r="I187" s="7" t="s">
        <v>811</v>
      </c>
      <c r="J187" s="7" t="s">
        <v>619</v>
      </c>
      <c r="K187" s="7" t="s">
        <v>22</v>
      </c>
      <c r="L187" s="8">
        <v>59</v>
      </c>
      <c r="M187" s="7" t="s">
        <v>77</v>
      </c>
      <c r="N187" s="8">
        <v>109</v>
      </c>
      <c r="O187" s="8">
        <v>1</v>
      </c>
      <c r="P187" s="5">
        <v>3210.39</v>
      </c>
      <c r="Q187" s="4">
        <v>45600</v>
      </c>
      <c r="R187" s="9">
        <v>0.33913194444444444</v>
      </c>
      <c r="S187" s="8">
        <v>16</v>
      </c>
      <c r="T187" s="7" t="s">
        <v>4454</v>
      </c>
      <c r="U187" s="7" t="s">
        <v>4455</v>
      </c>
      <c r="V1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8" spans="1:22" x14ac:dyDescent="0.35">
      <c r="A188" s="7" t="s">
        <v>812</v>
      </c>
      <c r="B188" s="7" t="s">
        <v>813</v>
      </c>
      <c r="C188" s="5">
        <v>1041.8800000000001</v>
      </c>
      <c r="D188" s="2">
        <v>0.69724537037109258</v>
      </c>
      <c r="E188" s="4">
        <v>45175</v>
      </c>
      <c r="F188" s="7" t="s">
        <v>17</v>
      </c>
      <c r="G188" s="7" t="s">
        <v>392</v>
      </c>
      <c r="H188" s="7" t="s">
        <v>814</v>
      </c>
      <c r="I188" s="7" t="s">
        <v>815</v>
      </c>
      <c r="J188" s="7" t="s">
        <v>418</v>
      </c>
      <c r="K188" s="7" t="s">
        <v>36</v>
      </c>
      <c r="L188" s="8">
        <v>78</v>
      </c>
      <c r="M188" s="7" t="s">
        <v>70</v>
      </c>
      <c r="N188" s="8">
        <v>57</v>
      </c>
      <c r="O188" s="8">
        <v>1</v>
      </c>
      <c r="P188" s="5">
        <v>5726.2</v>
      </c>
      <c r="Q188" s="4">
        <v>45600</v>
      </c>
      <c r="R188" s="9">
        <v>0.33800925925925923</v>
      </c>
      <c r="S188" s="8">
        <v>16</v>
      </c>
      <c r="T188" s="7" t="s">
        <v>4454</v>
      </c>
      <c r="U188" s="7" t="s">
        <v>4455</v>
      </c>
      <c r="V1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9" spans="1:22" x14ac:dyDescent="0.35">
      <c r="A189" s="7" t="s">
        <v>816</v>
      </c>
      <c r="B189" s="7" t="s">
        <v>817</v>
      </c>
      <c r="C189" s="5">
        <v>630.36</v>
      </c>
      <c r="D189" s="2">
        <v>0.67491898148000473</v>
      </c>
      <c r="E189" s="4">
        <v>44987</v>
      </c>
      <c r="F189" s="7" t="s">
        <v>17</v>
      </c>
      <c r="G189" s="7" t="s">
        <v>32</v>
      </c>
      <c r="H189" s="7" t="s">
        <v>818</v>
      </c>
      <c r="I189" s="7" t="s">
        <v>819</v>
      </c>
      <c r="J189" s="7" t="s">
        <v>820</v>
      </c>
      <c r="K189" s="7" t="s">
        <v>22</v>
      </c>
      <c r="L189" s="8">
        <v>62</v>
      </c>
      <c r="M189" s="7" t="s">
        <v>70</v>
      </c>
      <c r="N189" s="8">
        <v>52</v>
      </c>
      <c r="O189" s="8">
        <v>1</v>
      </c>
      <c r="P189" s="5">
        <v>1363.65</v>
      </c>
      <c r="Q189" s="4">
        <v>45600</v>
      </c>
      <c r="R189" s="9">
        <v>0.34184027777777776</v>
      </c>
      <c r="S189" s="8">
        <v>16</v>
      </c>
      <c r="T189" s="7" t="s">
        <v>4454</v>
      </c>
      <c r="U189" s="7" t="s">
        <v>4455</v>
      </c>
      <c r="V1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0" spans="1:22" x14ac:dyDescent="0.35">
      <c r="A190" s="7" t="s">
        <v>821</v>
      </c>
      <c r="B190" s="7" t="s">
        <v>822</v>
      </c>
      <c r="C190" s="5">
        <v>10.94</v>
      </c>
      <c r="D190" s="2">
        <v>0.72508101852145046</v>
      </c>
      <c r="E190" s="4">
        <v>45222</v>
      </c>
      <c r="F190" s="7" t="s">
        <v>46</v>
      </c>
      <c r="G190" s="7" t="s">
        <v>243</v>
      </c>
      <c r="H190" s="7" t="s">
        <v>823</v>
      </c>
      <c r="I190" s="7" t="s">
        <v>824</v>
      </c>
      <c r="J190" s="7" t="s">
        <v>160</v>
      </c>
      <c r="K190" s="7" t="s">
        <v>22</v>
      </c>
      <c r="L190" s="8">
        <v>60</v>
      </c>
      <c r="M190" s="7" t="s">
        <v>77</v>
      </c>
      <c r="N190" s="8">
        <v>245</v>
      </c>
      <c r="O190" s="8">
        <v>1</v>
      </c>
      <c r="P190" s="5">
        <v>1241.99</v>
      </c>
      <c r="Q190" s="4">
        <v>45600</v>
      </c>
      <c r="R190" s="9">
        <v>0.34158564814814812</v>
      </c>
      <c r="S190" s="8">
        <v>17</v>
      </c>
      <c r="T190" s="7" t="s">
        <v>4454</v>
      </c>
      <c r="U190" s="7" t="s">
        <v>4455</v>
      </c>
      <c r="V1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1" spans="1:22" x14ac:dyDescent="0.35">
      <c r="A191" s="7" t="s">
        <v>825</v>
      </c>
      <c r="B191" s="7" t="s">
        <v>826</v>
      </c>
      <c r="C191" s="5">
        <v>215.9</v>
      </c>
      <c r="D191" s="2">
        <v>0.66815972221957054</v>
      </c>
      <c r="E191" s="4">
        <v>44930</v>
      </c>
      <c r="F191" s="7" t="s">
        <v>17</v>
      </c>
      <c r="G191" s="7" t="s">
        <v>140</v>
      </c>
      <c r="H191" s="7" t="s">
        <v>827</v>
      </c>
      <c r="I191" s="7" t="s">
        <v>828</v>
      </c>
      <c r="J191" s="7" t="s">
        <v>160</v>
      </c>
      <c r="K191" s="7" t="s">
        <v>22</v>
      </c>
      <c r="L191" s="8">
        <v>38</v>
      </c>
      <c r="M191" s="7" t="s">
        <v>23</v>
      </c>
      <c r="N191" s="8">
        <v>235</v>
      </c>
      <c r="O191" s="8">
        <v>1</v>
      </c>
      <c r="P191" s="5">
        <v>7873.28</v>
      </c>
      <c r="Q191" s="4">
        <v>45600</v>
      </c>
      <c r="R191" s="9">
        <v>0.34054398148148146</v>
      </c>
      <c r="S191" s="8">
        <v>16</v>
      </c>
      <c r="T191" s="7" t="s">
        <v>4457</v>
      </c>
      <c r="U191" s="7" t="s">
        <v>4455</v>
      </c>
      <c r="V1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2" spans="1:22" x14ac:dyDescent="0.35">
      <c r="A192" s="7" t="s">
        <v>829</v>
      </c>
      <c r="B192" s="7" t="s">
        <v>550</v>
      </c>
      <c r="C192" s="5">
        <v>1422.55</v>
      </c>
      <c r="D192" s="2">
        <v>0.74256944444641704</v>
      </c>
      <c r="E192" s="4">
        <v>45117</v>
      </c>
      <c r="F192" s="7" t="s">
        <v>17</v>
      </c>
      <c r="G192" s="7" t="s">
        <v>453</v>
      </c>
      <c r="H192" s="7" t="s">
        <v>830</v>
      </c>
      <c r="I192" s="7" t="s">
        <v>110</v>
      </c>
      <c r="J192" s="7" t="s">
        <v>831</v>
      </c>
      <c r="K192" s="7" t="s">
        <v>69</v>
      </c>
      <c r="L192" s="8">
        <v>79</v>
      </c>
      <c r="M192" s="7" t="s">
        <v>70</v>
      </c>
      <c r="N192" s="8">
        <v>165</v>
      </c>
      <c r="O192" s="8">
        <v>1</v>
      </c>
      <c r="P192" s="5">
        <v>5674.32</v>
      </c>
      <c r="Q192" s="4">
        <v>45600</v>
      </c>
      <c r="R192" s="9">
        <v>0.33807870370370369</v>
      </c>
      <c r="S192" s="8">
        <v>17</v>
      </c>
      <c r="T192" s="7" t="s">
        <v>4454</v>
      </c>
      <c r="U192" s="7" t="s">
        <v>4455</v>
      </c>
      <c r="V1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3" spans="1:22" x14ac:dyDescent="0.35">
      <c r="A193" s="7" t="s">
        <v>832</v>
      </c>
      <c r="B193" s="7" t="s">
        <v>813</v>
      </c>
      <c r="C193" s="5">
        <v>226.37</v>
      </c>
      <c r="D193" s="2">
        <v>0.71328703704057261</v>
      </c>
      <c r="E193" s="4">
        <v>45187</v>
      </c>
      <c r="F193" s="7" t="s">
        <v>46</v>
      </c>
      <c r="G193" s="7" t="s">
        <v>108</v>
      </c>
      <c r="H193" s="7" t="s">
        <v>833</v>
      </c>
      <c r="I193" s="7" t="s">
        <v>834</v>
      </c>
      <c r="J193" s="7" t="s">
        <v>576</v>
      </c>
      <c r="K193" s="7" t="s">
        <v>69</v>
      </c>
      <c r="L193" s="8">
        <v>49</v>
      </c>
      <c r="M193" s="7" t="s">
        <v>23</v>
      </c>
      <c r="N193" s="8">
        <v>141</v>
      </c>
      <c r="O193" s="8">
        <v>1</v>
      </c>
      <c r="P193" s="5">
        <v>9840.0400000000009</v>
      </c>
      <c r="Q193" s="4">
        <v>45600</v>
      </c>
      <c r="R193" s="9">
        <v>0.34023148148148147</v>
      </c>
      <c r="S193" s="8">
        <v>17</v>
      </c>
      <c r="T193" s="7" t="s">
        <v>4457</v>
      </c>
      <c r="U193" s="7" t="s">
        <v>4455</v>
      </c>
      <c r="V1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4" spans="1:22" x14ac:dyDescent="0.35">
      <c r="A194" s="7" t="s">
        <v>835</v>
      </c>
      <c r="B194" s="7" t="s">
        <v>396</v>
      </c>
      <c r="C194" s="5">
        <v>444.89</v>
      </c>
      <c r="D194" s="2">
        <v>0.68586805555241881</v>
      </c>
      <c r="E194" s="4">
        <v>45180</v>
      </c>
      <c r="F194" s="7" t="s">
        <v>46</v>
      </c>
      <c r="G194" s="7" t="s">
        <v>146</v>
      </c>
      <c r="H194" s="7" t="s">
        <v>836</v>
      </c>
      <c r="I194" s="7" t="s">
        <v>837</v>
      </c>
      <c r="J194" s="7" t="s">
        <v>406</v>
      </c>
      <c r="K194" s="7" t="s">
        <v>69</v>
      </c>
      <c r="L194" s="8">
        <v>43</v>
      </c>
      <c r="M194" s="7" t="s">
        <v>23</v>
      </c>
      <c r="N194" s="8">
        <v>101</v>
      </c>
      <c r="O194" s="8">
        <v>1</v>
      </c>
      <c r="P194" s="5">
        <v>10328.23</v>
      </c>
      <c r="Q194" s="4">
        <v>45600</v>
      </c>
      <c r="R194" s="9">
        <v>0.34155092592592595</v>
      </c>
      <c r="S194" s="8">
        <v>16</v>
      </c>
      <c r="T194" s="7" t="s">
        <v>4457</v>
      </c>
      <c r="U194" s="7" t="s">
        <v>4455</v>
      </c>
      <c r="V1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5" spans="1:22" x14ac:dyDescent="0.35">
      <c r="A195" s="7" t="s">
        <v>838</v>
      </c>
      <c r="B195" s="7" t="s">
        <v>839</v>
      </c>
      <c r="C195" s="5">
        <v>280.57</v>
      </c>
      <c r="D195" s="2">
        <v>0.73269675925985212</v>
      </c>
      <c r="E195" s="4">
        <v>44953</v>
      </c>
      <c r="F195" s="7" t="s">
        <v>46</v>
      </c>
      <c r="G195" s="7" t="s">
        <v>301</v>
      </c>
      <c r="H195" s="7" t="s">
        <v>840</v>
      </c>
      <c r="I195" s="7" t="s">
        <v>841</v>
      </c>
      <c r="J195" s="7" t="s">
        <v>111</v>
      </c>
      <c r="K195" s="7" t="s">
        <v>36</v>
      </c>
      <c r="L195" s="8">
        <v>25</v>
      </c>
      <c r="M195" s="7" t="s">
        <v>37</v>
      </c>
      <c r="N195" s="8">
        <v>24</v>
      </c>
      <c r="O195" s="8">
        <v>1</v>
      </c>
      <c r="P195" s="5">
        <v>293.24</v>
      </c>
      <c r="Q195" s="4">
        <v>45600</v>
      </c>
      <c r="R195" s="9">
        <v>0.34055555555555556</v>
      </c>
      <c r="S195" s="8">
        <v>17</v>
      </c>
      <c r="T195" s="7" t="s">
        <v>4456</v>
      </c>
      <c r="U195" s="7" t="s">
        <v>4455</v>
      </c>
      <c r="V1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6" spans="1:22" x14ac:dyDescent="0.35">
      <c r="A196" s="7" t="s">
        <v>842</v>
      </c>
      <c r="B196" s="7" t="s">
        <v>843</v>
      </c>
      <c r="C196" s="5">
        <v>488.54</v>
      </c>
      <c r="D196" s="2">
        <v>0.74153935185313458</v>
      </c>
      <c r="E196" s="4">
        <v>45110</v>
      </c>
      <c r="F196" s="7" t="s">
        <v>17</v>
      </c>
      <c r="G196" s="7" t="s">
        <v>392</v>
      </c>
      <c r="H196" s="7" t="s">
        <v>115</v>
      </c>
      <c r="I196" s="7" t="s">
        <v>844</v>
      </c>
      <c r="J196" s="7" t="s">
        <v>308</v>
      </c>
      <c r="K196" s="7" t="s">
        <v>69</v>
      </c>
      <c r="L196" s="8">
        <v>52</v>
      </c>
      <c r="M196" s="7" t="s">
        <v>77</v>
      </c>
      <c r="N196" s="8">
        <v>132</v>
      </c>
      <c r="O196" s="8">
        <v>1</v>
      </c>
      <c r="P196" s="5">
        <v>7486.63</v>
      </c>
      <c r="Q196" s="4">
        <v>45600</v>
      </c>
      <c r="R196" s="9">
        <v>0.33849537037037036</v>
      </c>
      <c r="S196" s="8">
        <v>17</v>
      </c>
      <c r="T196" s="7" t="s">
        <v>4457</v>
      </c>
      <c r="U196" s="7" t="s">
        <v>4455</v>
      </c>
      <c r="V1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7" spans="1:22" x14ac:dyDescent="0.35">
      <c r="A197" s="7" t="s">
        <v>845</v>
      </c>
      <c r="B197" s="7" t="s">
        <v>781</v>
      </c>
      <c r="C197" s="5">
        <v>3.3</v>
      </c>
      <c r="D197" s="2">
        <v>0.69601851851621177</v>
      </c>
      <c r="E197" s="4">
        <v>45012</v>
      </c>
      <c r="F197" s="7" t="s">
        <v>46</v>
      </c>
      <c r="G197" s="7" t="s">
        <v>140</v>
      </c>
      <c r="H197" s="7" t="s">
        <v>846</v>
      </c>
      <c r="I197" s="7" t="s">
        <v>142</v>
      </c>
      <c r="J197" s="7" t="s">
        <v>674</v>
      </c>
      <c r="K197" s="7" t="s">
        <v>69</v>
      </c>
      <c r="L197" s="8">
        <v>50</v>
      </c>
      <c r="M197" s="7" t="s">
        <v>23</v>
      </c>
      <c r="N197" s="8">
        <v>131</v>
      </c>
      <c r="O197" s="8">
        <v>1</v>
      </c>
      <c r="P197" s="5">
        <v>11385.37</v>
      </c>
      <c r="Q197" s="4">
        <v>45600</v>
      </c>
      <c r="R197" s="9">
        <v>0.34040509259259261</v>
      </c>
      <c r="S197" s="8">
        <v>16</v>
      </c>
      <c r="T197" s="7" t="s">
        <v>4457</v>
      </c>
      <c r="U197" s="7" t="s">
        <v>4455</v>
      </c>
      <c r="V1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8" spans="1:22" x14ac:dyDescent="0.35">
      <c r="A198" s="7" t="s">
        <v>847</v>
      </c>
      <c r="B198" s="7" t="s">
        <v>848</v>
      </c>
      <c r="C198" s="5">
        <v>199.39</v>
      </c>
      <c r="D198" s="2">
        <v>0.67803240740613546</v>
      </c>
      <c r="E198" s="4">
        <v>45159</v>
      </c>
      <c r="F198" s="7" t="s">
        <v>17</v>
      </c>
      <c r="G198" s="7" t="s">
        <v>521</v>
      </c>
      <c r="H198" s="7" t="s">
        <v>286</v>
      </c>
      <c r="I198" s="7" t="s">
        <v>849</v>
      </c>
      <c r="J198" s="7" t="s">
        <v>282</v>
      </c>
      <c r="K198" s="7" t="s">
        <v>69</v>
      </c>
      <c r="L198" s="8">
        <v>69</v>
      </c>
      <c r="M198" s="7" t="s">
        <v>70</v>
      </c>
      <c r="N198" s="8">
        <v>165</v>
      </c>
      <c r="O198" s="8">
        <v>1</v>
      </c>
      <c r="P198" s="5">
        <v>7264.79</v>
      </c>
      <c r="Q198" s="4">
        <v>45600</v>
      </c>
      <c r="R198" s="9">
        <v>0.3396527777777778</v>
      </c>
      <c r="S198" s="8">
        <v>16</v>
      </c>
      <c r="T198" s="7" t="s">
        <v>4454</v>
      </c>
      <c r="U198" s="7" t="s">
        <v>4455</v>
      </c>
      <c r="V1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9" spans="1:22" x14ac:dyDescent="0.35">
      <c r="A199" s="7" t="s">
        <v>850</v>
      </c>
      <c r="B199" s="7" t="s">
        <v>851</v>
      </c>
      <c r="C199" s="5">
        <v>20.36</v>
      </c>
      <c r="D199" s="2">
        <v>0.70993055555300089</v>
      </c>
      <c r="E199" s="4">
        <v>45131</v>
      </c>
      <c r="F199" s="7" t="s">
        <v>17</v>
      </c>
      <c r="G199" s="7" t="s">
        <v>255</v>
      </c>
      <c r="H199" s="7" t="s">
        <v>852</v>
      </c>
      <c r="I199" s="7" t="s">
        <v>523</v>
      </c>
      <c r="J199" s="7" t="s">
        <v>853</v>
      </c>
      <c r="K199" s="7" t="s">
        <v>69</v>
      </c>
      <c r="L199" s="8">
        <v>62</v>
      </c>
      <c r="M199" s="7" t="s">
        <v>70</v>
      </c>
      <c r="N199" s="8">
        <v>75</v>
      </c>
      <c r="O199" s="8">
        <v>1</v>
      </c>
      <c r="P199" s="5">
        <v>2762.48</v>
      </c>
      <c r="Q199" s="4">
        <v>45600</v>
      </c>
      <c r="R199" s="9">
        <v>0.34114583333333331</v>
      </c>
      <c r="S199" s="8">
        <v>17</v>
      </c>
      <c r="T199" s="7" t="s">
        <v>4454</v>
      </c>
      <c r="U199" s="7" t="s">
        <v>4455</v>
      </c>
      <c r="V1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0" spans="1:22" x14ac:dyDescent="0.35">
      <c r="A200" s="7" t="s">
        <v>854</v>
      </c>
      <c r="B200" s="7" t="s">
        <v>855</v>
      </c>
      <c r="C200" s="5">
        <v>113.64</v>
      </c>
      <c r="D200" s="2">
        <v>0.71505787037312984</v>
      </c>
      <c r="E200" s="4">
        <v>45223</v>
      </c>
      <c r="F200" s="7" t="s">
        <v>17</v>
      </c>
      <c r="G200" s="7" t="s">
        <v>73</v>
      </c>
      <c r="H200" s="7" t="s">
        <v>856</v>
      </c>
      <c r="I200" s="7" t="s">
        <v>857</v>
      </c>
      <c r="J200" s="7" t="s">
        <v>858</v>
      </c>
      <c r="K200" s="7" t="s">
        <v>36</v>
      </c>
      <c r="L200" s="8">
        <v>62</v>
      </c>
      <c r="M200" s="7" t="s">
        <v>70</v>
      </c>
      <c r="N200" s="8">
        <v>32</v>
      </c>
      <c r="O200" s="8">
        <v>1</v>
      </c>
      <c r="P200" s="5">
        <v>6675.03</v>
      </c>
      <c r="Q200" s="4">
        <v>45600</v>
      </c>
      <c r="R200" s="9">
        <v>0.33883101851851855</v>
      </c>
      <c r="S200" s="8">
        <v>17</v>
      </c>
      <c r="T200" s="7" t="s">
        <v>4454</v>
      </c>
      <c r="U200" s="7" t="s">
        <v>4455</v>
      </c>
      <c r="V2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1" spans="1:22" x14ac:dyDescent="0.35">
      <c r="A201" s="7" t="s">
        <v>859</v>
      </c>
      <c r="B201" s="7" t="s">
        <v>585</v>
      </c>
      <c r="C201" s="5">
        <v>493.11</v>
      </c>
      <c r="D201" s="2">
        <v>0.68432870370452292</v>
      </c>
      <c r="E201" s="4">
        <v>45138</v>
      </c>
      <c r="F201" s="7" t="s">
        <v>17</v>
      </c>
      <c r="G201" s="7" t="s">
        <v>521</v>
      </c>
      <c r="H201" s="7" t="s">
        <v>184</v>
      </c>
      <c r="I201" s="7" t="s">
        <v>860</v>
      </c>
      <c r="J201" s="7" t="s">
        <v>154</v>
      </c>
      <c r="K201" s="7" t="s">
        <v>69</v>
      </c>
      <c r="L201" s="8">
        <v>53</v>
      </c>
      <c r="M201" s="7" t="s">
        <v>70</v>
      </c>
      <c r="N201" s="8">
        <v>236</v>
      </c>
      <c r="O201" s="8">
        <v>1</v>
      </c>
      <c r="P201" s="5">
        <v>7432.99</v>
      </c>
      <c r="Q201" s="4">
        <v>45600</v>
      </c>
      <c r="R201" s="9">
        <v>0.33890046296296295</v>
      </c>
      <c r="S201" s="8">
        <v>16</v>
      </c>
      <c r="T201" s="7" t="s">
        <v>4457</v>
      </c>
      <c r="U201" s="7" t="s">
        <v>4455</v>
      </c>
      <c r="V2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2" spans="1:22" x14ac:dyDescent="0.35">
      <c r="A202" s="7" t="s">
        <v>861</v>
      </c>
      <c r="B202" s="7" t="s">
        <v>826</v>
      </c>
      <c r="C202" s="5">
        <v>307.41000000000003</v>
      </c>
      <c r="D202" s="2">
        <v>0.73115740740468027</v>
      </c>
      <c r="E202" s="4">
        <v>45089</v>
      </c>
      <c r="F202" s="7" t="s">
        <v>17</v>
      </c>
      <c r="G202" s="7" t="s">
        <v>140</v>
      </c>
      <c r="H202" s="7" t="s">
        <v>862</v>
      </c>
      <c r="I202" s="7" t="s">
        <v>863</v>
      </c>
      <c r="J202" s="7" t="s">
        <v>83</v>
      </c>
      <c r="K202" s="7" t="s">
        <v>22</v>
      </c>
      <c r="L202" s="8">
        <v>19</v>
      </c>
      <c r="M202" s="7" t="s">
        <v>37</v>
      </c>
      <c r="N202" s="8">
        <v>14</v>
      </c>
      <c r="O202" s="8">
        <v>1</v>
      </c>
      <c r="P202" s="5">
        <v>1057</v>
      </c>
      <c r="Q202" s="4">
        <v>45600</v>
      </c>
      <c r="R202" s="9">
        <v>0.34013888888888888</v>
      </c>
      <c r="S202" s="8">
        <v>17</v>
      </c>
      <c r="T202" s="7" t="s">
        <v>4456</v>
      </c>
      <c r="U202" s="7" t="s">
        <v>4455</v>
      </c>
      <c r="V2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3" spans="1:22" x14ac:dyDescent="0.35">
      <c r="A203" s="7" t="s">
        <v>864</v>
      </c>
      <c r="B203" s="7" t="s">
        <v>484</v>
      </c>
      <c r="C203" s="5">
        <v>11.18</v>
      </c>
      <c r="D203" s="2">
        <v>0.703263888892252</v>
      </c>
      <c r="E203" s="4">
        <v>45260</v>
      </c>
      <c r="F203" s="7" t="s">
        <v>17</v>
      </c>
      <c r="G203" s="7" t="s">
        <v>47</v>
      </c>
      <c r="H203" s="7" t="s">
        <v>865</v>
      </c>
      <c r="I203" s="7" t="s">
        <v>866</v>
      </c>
      <c r="J203" s="7" t="s">
        <v>111</v>
      </c>
      <c r="K203" s="7" t="s">
        <v>36</v>
      </c>
      <c r="L203" s="8">
        <v>43</v>
      </c>
      <c r="M203" s="7" t="s">
        <v>23</v>
      </c>
      <c r="N203" s="8">
        <v>161</v>
      </c>
      <c r="O203" s="8">
        <v>1</v>
      </c>
      <c r="P203" s="5">
        <v>5956.89</v>
      </c>
      <c r="Q203" s="4">
        <v>45600</v>
      </c>
      <c r="R203" s="9">
        <v>0.34050925925925923</v>
      </c>
      <c r="S203" s="8">
        <v>16</v>
      </c>
      <c r="T203" s="7" t="s">
        <v>4457</v>
      </c>
      <c r="U203" s="7" t="s">
        <v>4455</v>
      </c>
      <c r="V2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4" spans="1:22" x14ac:dyDescent="0.35">
      <c r="A204" s="7" t="s">
        <v>867</v>
      </c>
      <c r="B204" s="7" t="s">
        <v>868</v>
      </c>
      <c r="C204" s="5">
        <v>313.82</v>
      </c>
      <c r="D204" s="2">
        <v>0.79002314814715646</v>
      </c>
      <c r="E204" s="4">
        <v>45245</v>
      </c>
      <c r="F204" s="7" t="s">
        <v>17</v>
      </c>
      <c r="G204" s="7" t="s">
        <v>255</v>
      </c>
      <c r="H204" s="7" t="s">
        <v>213</v>
      </c>
      <c r="I204" s="7" t="s">
        <v>298</v>
      </c>
      <c r="J204" s="7" t="s">
        <v>348</v>
      </c>
      <c r="K204" s="7" t="s">
        <v>69</v>
      </c>
      <c r="L204" s="8">
        <v>59</v>
      </c>
      <c r="M204" s="7" t="s">
        <v>77</v>
      </c>
      <c r="N204" s="8">
        <v>151</v>
      </c>
      <c r="O204" s="8">
        <v>1</v>
      </c>
      <c r="P204" s="5">
        <v>7261.59</v>
      </c>
      <c r="Q204" s="4">
        <v>45600</v>
      </c>
      <c r="R204" s="9">
        <v>0.33937499999999998</v>
      </c>
      <c r="S204" s="8">
        <v>18</v>
      </c>
      <c r="T204" s="7" t="s">
        <v>4454</v>
      </c>
      <c r="U204" s="7" t="s">
        <v>4455</v>
      </c>
      <c r="V2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5" spans="1:22" x14ac:dyDescent="0.35">
      <c r="A205" s="7" t="s">
        <v>869</v>
      </c>
      <c r="B205" s="7" t="s">
        <v>722</v>
      </c>
      <c r="C205" s="5">
        <v>51</v>
      </c>
      <c r="D205" s="2">
        <v>0.66710648148000473</v>
      </c>
      <c r="E205" s="4">
        <v>44956</v>
      </c>
      <c r="F205" s="7" t="s">
        <v>17</v>
      </c>
      <c r="G205" s="7" t="s">
        <v>59</v>
      </c>
      <c r="H205" s="7" t="s">
        <v>81</v>
      </c>
      <c r="I205" s="7" t="s">
        <v>870</v>
      </c>
      <c r="J205" s="7" t="s">
        <v>370</v>
      </c>
      <c r="K205" s="7" t="s">
        <v>69</v>
      </c>
      <c r="L205" s="8">
        <v>64</v>
      </c>
      <c r="M205" s="7" t="s">
        <v>70</v>
      </c>
      <c r="N205" s="8">
        <v>107</v>
      </c>
      <c r="O205" s="8">
        <v>1</v>
      </c>
      <c r="P205" s="5">
        <v>4943.16</v>
      </c>
      <c r="Q205" s="4">
        <v>45600</v>
      </c>
      <c r="R205" s="9">
        <v>0.33915509259259258</v>
      </c>
      <c r="S205" s="8">
        <v>16</v>
      </c>
      <c r="T205" s="7" t="s">
        <v>4454</v>
      </c>
      <c r="U205" s="7" t="s">
        <v>4455</v>
      </c>
      <c r="V2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6" spans="1:22" x14ac:dyDescent="0.35">
      <c r="A206" s="7" t="s">
        <v>871</v>
      </c>
      <c r="B206" s="7" t="s">
        <v>872</v>
      </c>
      <c r="C206" s="5">
        <v>140.97999999999999</v>
      </c>
      <c r="D206" s="2">
        <v>0.69053240741050104</v>
      </c>
      <c r="E206" s="4">
        <v>45071</v>
      </c>
      <c r="F206" s="7" t="s">
        <v>17</v>
      </c>
      <c r="G206" s="7" t="s">
        <v>92</v>
      </c>
      <c r="H206" s="7" t="s">
        <v>873</v>
      </c>
      <c r="I206" s="7" t="s">
        <v>874</v>
      </c>
      <c r="J206" s="7" t="s">
        <v>128</v>
      </c>
      <c r="K206" s="7" t="s">
        <v>69</v>
      </c>
      <c r="L206" s="8">
        <v>60</v>
      </c>
      <c r="M206" s="7" t="s">
        <v>77</v>
      </c>
      <c r="N206" s="8">
        <v>100</v>
      </c>
      <c r="O206" s="8">
        <v>1</v>
      </c>
      <c r="P206" s="5">
        <v>8127.48</v>
      </c>
      <c r="Q206" s="4">
        <v>45600</v>
      </c>
      <c r="R206" s="9">
        <v>0.34181712962962962</v>
      </c>
      <c r="S206" s="8">
        <v>16</v>
      </c>
      <c r="T206" s="7" t="s">
        <v>4454</v>
      </c>
      <c r="U206" s="7" t="s">
        <v>4455</v>
      </c>
      <c r="V2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7" spans="1:22" x14ac:dyDescent="0.35">
      <c r="A207" s="7" t="s">
        <v>875</v>
      </c>
      <c r="B207" s="7" t="s">
        <v>876</v>
      </c>
      <c r="C207" s="5">
        <v>288.04000000000002</v>
      </c>
      <c r="D207" s="2">
        <v>0.69954861111182254</v>
      </c>
      <c r="E207" s="4">
        <v>45162</v>
      </c>
      <c r="F207" s="7" t="s">
        <v>17</v>
      </c>
      <c r="G207" s="7" t="s">
        <v>114</v>
      </c>
      <c r="H207" s="7" t="s">
        <v>877</v>
      </c>
      <c r="I207" s="7" t="s">
        <v>878</v>
      </c>
      <c r="J207" s="7" t="s">
        <v>186</v>
      </c>
      <c r="K207" s="7" t="s">
        <v>22</v>
      </c>
      <c r="L207" s="8">
        <v>68</v>
      </c>
      <c r="M207" s="7" t="s">
        <v>70</v>
      </c>
      <c r="N207" s="8">
        <v>63</v>
      </c>
      <c r="O207" s="8">
        <v>1</v>
      </c>
      <c r="P207" s="5">
        <v>1748.02</v>
      </c>
      <c r="Q207" s="4">
        <v>45600</v>
      </c>
      <c r="R207" s="9">
        <v>0.34027777777777779</v>
      </c>
      <c r="S207" s="8">
        <v>16</v>
      </c>
      <c r="T207" s="7" t="s">
        <v>4454</v>
      </c>
      <c r="U207" s="7" t="s">
        <v>4455</v>
      </c>
      <c r="V2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8" spans="1:22" x14ac:dyDescent="0.35">
      <c r="A208" s="7" t="s">
        <v>879</v>
      </c>
      <c r="B208" s="7" t="s">
        <v>880</v>
      </c>
      <c r="C208" s="5">
        <v>800.55</v>
      </c>
      <c r="D208" s="2">
        <v>0.68160879629431292</v>
      </c>
      <c r="E208" s="4">
        <v>45050</v>
      </c>
      <c r="F208" s="7" t="s">
        <v>17</v>
      </c>
      <c r="G208" s="7" t="s">
        <v>53</v>
      </c>
      <c r="H208" s="7" t="s">
        <v>881</v>
      </c>
      <c r="I208" s="7" t="s">
        <v>882</v>
      </c>
      <c r="J208" s="7" t="s">
        <v>619</v>
      </c>
      <c r="K208" s="7" t="s">
        <v>22</v>
      </c>
      <c r="L208" s="8">
        <v>31</v>
      </c>
      <c r="M208" s="7" t="s">
        <v>77</v>
      </c>
      <c r="N208" s="8">
        <v>108</v>
      </c>
      <c r="O208" s="8">
        <v>1</v>
      </c>
      <c r="P208" s="5">
        <v>9660.2199999999993</v>
      </c>
      <c r="Q208" s="4">
        <v>45600</v>
      </c>
      <c r="R208" s="9">
        <v>0.33806712962962965</v>
      </c>
      <c r="S208" s="8">
        <v>16</v>
      </c>
      <c r="T208" s="7" t="s">
        <v>4456</v>
      </c>
      <c r="U208" s="7" t="s">
        <v>4455</v>
      </c>
      <c r="V2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9" spans="1:22" x14ac:dyDescent="0.35">
      <c r="A209" s="7" t="s">
        <v>883</v>
      </c>
      <c r="B209" s="7" t="s">
        <v>884</v>
      </c>
      <c r="C209" s="5">
        <v>485.54</v>
      </c>
      <c r="D209" s="2">
        <v>0.74096064814511919</v>
      </c>
      <c r="E209" s="4">
        <v>44963</v>
      </c>
      <c r="F209" s="7" t="s">
        <v>17</v>
      </c>
      <c r="G209" s="7" t="s">
        <v>26</v>
      </c>
      <c r="H209" s="7" t="s">
        <v>93</v>
      </c>
      <c r="I209" s="7" t="s">
        <v>61</v>
      </c>
      <c r="J209" s="7" t="s">
        <v>885</v>
      </c>
      <c r="K209" s="7" t="s">
        <v>22</v>
      </c>
      <c r="L209" s="8">
        <v>46</v>
      </c>
      <c r="M209" s="7" t="s">
        <v>77</v>
      </c>
      <c r="N209" s="8">
        <v>143</v>
      </c>
      <c r="O209" s="8">
        <v>1</v>
      </c>
      <c r="P209" s="5">
        <v>6371.51</v>
      </c>
      <c r="Q209" s="4">
        <v>45600</v>
      </c>
      <c r="R209" s="9">
        <v>0.34150462962962963</v>
      </c>
      <c r="S209" s="8">
        <v>17</v>
      </c>
      <c r="T209" s="7" t="s">
        <v>4457</v>
      </c>
      <c r="U209" s="7" t="s">
        <v>4455</v>
      </c>
      <c r="V2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0" spans="1:22" x14ac:dyDescent="0.35">
      <c r="A210" s="7" t="s">
        <v>886</v>
      </c>
      <c r="B210" s="7" t="s">
        <v>156</v>
      </c>
      <c r="C210" s="5">
        <v>521.15</v>
      </c>
      <c r="D210" s="2">
        <v>0.76116898148029577</v>
      </c>
      <c r="E210" s="4">
        <v>44974</v>
      </c>
      <c r="F210" s="7" t="s">
        <v>17</v>
      </c>
      <c r="G210" s="7" t="s">
        <v>291</v>
      </c>
      <c r="H210" s="7" t="s">
        <v>713</v>
      </c>
      <c r="I210" s="7" t="s">
        <v>887</v>
      </c>
      <c r="J210" s="7" t="s">
        <v>820</v>
      </c>
      <c r="K210" s="7" t="s">
        <v>22</v>
      </c>
      <c r="L210" s="8">
        <v>54</v>
      </c>
      <c r="M210" s="7" t="s">
        <v>23</v>
      </c>
      <c r="N210" s="8">
        <v>214</v>
      </c>
      <c r="O210" s="8">
        <v>1</v>
      </c>
      <c r="P210" s="5">
        <v>9442.4699999999993</v>
      </c>
      <c r="Q210" s="4">
        <v>45600</v>
      </c>
      <c r="R210" s="9">
        <v>0.33855324074074072</v>
      </c>
      <c r="S210" s="8">
        <v>18</v>
      </c>
      <c r="T210" s="7" t="s">
        <v>4457</v>
      </c>
      <c r="U210" s="7" t="s">
        <v>4455</v>
      </c>
      <c r="V2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1" spans="1:22" x14ac:dyDescent="0.35">
      <c r="A211" s="7" t="s">
        <v>888</v>
      </c>
      <c r="B211" s="7" t="s">
        <v>889</v>
      </c>
      <c r="C211" s="5">
        <v>321.79000000000002</v>
      </c>
      <c r="D211" s="2">
        <v>0.72954861111065838</v>
      </c>
      <c r="E211" s="4">
        <v>45145</v>
      </c>
      <c r="F211" s="7" t="s">
        <v>46</v>
      </c>
      <c r="G211" s="7" t="s">
        <v>40</v>
      </c>
      <c r="H211" s="7" t="s">
        <v>890</v>
      </c>
      <c r="I211" s="7" t="s">
        <v>422</v>
      </c>
      <c r="J211" s="7" t="s">
        <v>682</v>
      </c>
      <c r="K211" s="7" t="s">
        <v>22</v>
      </c>
      <c r="L211" s="8">
        <v>63</v>
      </c>
      <c r="M211" s="7" t="s">
        <v>70</v>
      </c>
      <c r="N211" s="8">
        <v>61</v>
      </c>
      <c r="O211" s="8">
        <v>1</v>
      </c>
      <c r="P211" s="5">
        <v>5959.2</v>
      </c>
      <c r="Q211" s="4">
        <v>45600</v>
      </c>
      <c r="R211" s="9">
        <v>0.34028935185185183</v>
      </c>
      <c r="S211" s="8">
        <v>17</v>
      </c>
      <c r="T211" s="7" t="s">
        <v>4454</v>
      </c>
      <c r="U211" s="7" t="s">
        <v>4455</v>
      </c>
      <c r="V2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2" spans="1:22" x14ac:dyDescent="0.35">
      <c r="A212" s="7" t="s">
        <v>891</v>
      </c>
      <c r="B212" s="7" t="s">
        <v>892</v>
      </c>
      <c r="C212" s="5">
        <v>304.93</v>
      </c>
      <c r="D212" s="2">
        <v>0.68289351851854008</v>
      </c>
      <c r="E212" s="4">
        <v>44981</v>
      </c>
      <c r="F212" s="7" t="s">
        <v>17</v>
      </c>
      <c r="G212" s="7" t="s">
        <v>595</v>
      </c>
      <c r="H212" s="7" t="s">
        <v>893</v>
      </c>
      <c r="I212" s="7" t="s">
        <v>894</v>
      </c>
      <c r="J212" s="7" t="s">
        <v>634</v>
      </c>
      <c r="K212" s="7" t="s">
        <v>22</v>
      </c>
      <c r="L212" s="8">
        <v>65</v>
      </c>
      <c r="M212" s="7" t="s">
        <v>23</v>
      </c>
      <c r="N212" s="8">
        <v>158</v>
      </c>
      <c r="O212" s="8">
        <v>1</v>
      </c>
      <c r="P212" s="5">
        <v>13531.22</v>
      </c>
      <c r="Q212" s="4">
        <v>45600</v>
      </c>
      <c r="R212" s="9">
        <v>0.33906249999999999</v>
      </c>
      <c r="S212" s="8">
        <v>16</v>
      </c>
      <c r="T212" s="7" t="s">
        <v>4454</v>
      </c>
      <c r="U212" s="7" t="s">
        <v>4455</v>
      </c>
      <c r="V2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3" spans="1:22" x14ac:dyDescent="0.35">
      <c r="A213" s="7" t="s">
        <v>895</v>
      </c>
      <c r="B213" s="7" t="s">
        <v>896</v>
      </c>
      <c r="C213" s="5">
        <v>432.08</v>
      </c>
      <c r="D213" s="2">
        <v>0.67008101852115942</v>
      </c>
      <c r="E213" s="4">
        <v>45138</v>
      </c>
      <c r="F213" s="7" t="s">
        <v>17</v>
      </c>
      <c r="G213" s="7" t="s">
        <v>506</v>
      </c>
      <c r="H213" s="7" t="s">
        <v>400</v>
      </c>
      <c r="I213" s="7" t="s">
        <v>897</v>
      </c>
      <c r="J213" s="7" t="s">
        <v>252</v>
      </c>
      <c r="K213" s="7" t="s">
        <v>22</v>
      </c>
      <c r="L213" s="8">
        <v>40</v>
      </c>
      <c r="M213" s="7" t="s">
        <v>23</v>
      </c>
      <c r="N213" s="8">
        <v>145</v>
      </c>
      <c r="O213" s="8">
        <v>1</v>
      </c>
      <c r="P213" s="5">
        <v>11500.62</v>
      </c>
      <c r="Q213" s="4">
        <v>45600</v>
      </c>
      <c r="R213" s="9">
        <v>0.34150462962962963</v>
      </c>
      <c r="S213" s="8">
        <v>16</v>
      </c>
      <c r="T213" s="7" t="s">
        <v>4457</v>
      </c>
      <c r="U213" s="7" t="s">
        <v>4455</v>
      </c>
      <c r="V2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4" spans="1:22" x14ac:dyDescent="0.35">
      <c r="A214" s="7" t="s">
        <v>898</v>
      </c>
      <c r="B214" s="7" t="s">
        <v>899</v>
      </c>
      <c r="C214" s="5">
        <v>694.2</v>
      </c>
      <c r="D214" s="2">
        <v>0.68064814814715646</v>
      </c>
      <c r="E214" s="4">
        <v>45267</v>
      </c>
      <c r="F214" s="7" t="s">
        <v>17</v>
      </c>
      <c r="G214" s="7" t="s">
        <v>178</v>
      </c>
      <c r="H214" s="7" t="s">
        <v>900</v>
      </c>
      <c r="I214" s="7" t="s">
        <v>339</v>
      </c>
      <c r="J214" s="7" t="s">
        <v>76</v>
      </c>
      <c r="K214" s="7" t="s">
        <v>22</v>
      </c>
      <c r="L214" s="8">
        <v>61</v>
      </c>
      <c r="M214" s="7" t="s">
        <v>70</v>
      </c>
      <c r="N214" s="8">
        <v>72</v>
      </c>
      <c r="O214" s="8">
        <v>1</v>
      </c>
      <c r="P214" s="5">
        <v>1389.37</v>
      </c>
      <c r="Q214" s="4">
        <v>45600</v>
      </c>
      <c r="R214" s="9">
        <v>0.33846064814814814</v>
      </c>
      <c r="S214" s="8">
        <v>16</v>
      </c>
      <c r="T214" s="7" t="s">
        <v>4454</v>
      </c>
      <c r="U214" s="7" t="s">
        <v>4455</v>
      </c>
      <c r="V2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5" spans="1:22" x14ac:dyDescent="0.35">
      <c r="A215" s="7" t="s">
        <v>901</v>
      </c>
      <c r="B215" s="7" t="s">
        <v>722</v>
      </c>
      <c r="C215" s="5">
        <v>116.86</v>
      </c>
      <c r="D215" s="2">
        <v>0.76999999999679858</v>
      </c>
      <c r="E215" s="4">
        <v>45005</v>
      </c>
      <c r="F215" s="7" t="s">
        <v>17</v>
      </c>
      <c r="G215" s="7" t="s">
        <v>108</v>
      </c>
      <c r="H215" s="7" t="s">
        <v>902</v>
      </c>
      <c r="I215" s="7" t="s">
        <v>903</v>
      </c>
      <c r="J215" s="7" t="s">
        <v>769</v>
      </c>
      <c r="K215" s="7" t="s">
        <v>22</v>
      </c>
      <c r="L215" s="8">
        <v>55</v>
      </c>
      <c r="M215" s="7" t="s">
        <v>77</v>
      </c>
      <c r="N215" s="8">
        <v>171</v>
      </c>
      <c r="O215" s="8">
        <v>1</v>
      </c>
      <c r="P215" s="5">
        <v>6706.56</v>
      </c>
      <c r="Q215" s="4">
        <v>45600</v>
      </c>
      <c r="R215" s="9">
        <v>0.34184027777777776</v>
      </c>
      <c r="S215" s="8">
        <v>18</v>
      </c>
      <c r="T215" s="7" t="s">
        <v>4454</v>
      </c>
      <c r="U215" s="7" t="s">
        <v>4455</v>
      </c>
      <c r="V2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6" spans="1:22" x14ac:dyDescent="0.35">
      <c r="A216" s="7" t="s">
        <v>904</v>
      </c>
      <c r="B216" s="7" t="s">
        <v>905</v>
      </c>
      <c r="C216" s="5">
        <v>386.81</v>
      </c>
      <c r="D216" s="2">
        <v>0.75199074074043892</v>
      </c>
      <c r="E216" s="4">
        <v>44988</v>
      </c>
      <c r="F216" s="7" t="s">
        <v>46</v>
      </c>
      <c r="G216" s="7" t="s">
        <v>73</v>
      </c>
      <c r="H216" s="7" t="s">
        <v>906</v>
      </c>
      <c r="I216" s="7" t="s">
        <v>907</v>
      </c>
      <c r="J216" s="7" t="s">
        <v>137</v>
      </c>
      <c r="K216" s="7" t="s">
        <v>36</v>
      </c>
      <c r="L216" s="8">
        <v>57</v>
      </c>
      <c r="M216" s="7" t="s">
        <v>23</v>
      </c>
      <c r="N216" s="8">
        <v>149</v>
      </c>
      <c r="O216" s="8">
        <v>1</v>
      </c>
      <c r="P216" s="5">
        <v>7175.29</v>
      </c>
      <c r="Q216" s="4">
        <v>45600</v>
      </c>
      <c r="R216" s="9">
        <v>0.34085648148148145</v>
      </c>
      <c r="S216" s="8">
        <v>18</v>
      </c>
      <c r="T216" s="7" t="s">
        <v>4454</v>
      </c>
      <c r="U216" s="7" t="s">
        <v>4455</v>
      </c>
      <c r="V2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7" spans="1:22" x14ac:dyDescent="0.35">
      <c r="A217" s="7" t="s">
        <v>908</v>
      </c>
      <c r="B217" s="7" t="s">
        <v>909</v>
      </c>
      <c r="C217" s="5">
        <v>74.88</v>
      </c>
      <c r="D217" s="2">
        <v>0.68460648148175096</v>
      </c>
      <c r="E217" s="4">
        <v>45070</v>
      </c>
      <c r="F217" s="7" t="s">
        <v>17</v>
      </c>
      <c r="G217" s="7" t="s">
        <v>47</v>
      </c>
      <c r="H217" s="7" t="s">
        <v>910</v>
      </c>
      <c r="I217" s="7" t="s">
        <v>911</v>
      </c>
      <c r="J217" s="7" t="s">
        <v>607</v>
      </c>
      <c r="K217" s="7" t="s">
        <v>22</v>
      </c>
      <c r="L217" s="8">
        <v>25</v>
      </c>
      <c r="M217" s="7" t="s">
        <v>37</v>
      </c>
      <c r="N217" s="8">
        <v>202</v>
      </c>
      <c r="O217" s="8">
        <v>1</v>
      </c>
      <c r="P217" s="5">
        <v>420.67</v>
      </c>
      <c r="Q217" s="4">
        <v>45600</v>
      </c>
      <c r="R217" s="9">
        <v>0.33872685185185186</v>
      </c>
      <c r="S217" s="8">
        <v>16</v>
      </c>
      <c r="T217" s="7" t="s">
        <v>4456</v>
      </c>
      <c r="U217" s="7" t="s">
        <v>4455</v>
      </c>
      <c r="V2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8" spans="1:22" x14ac:dyDescent="0.35">
      <c r="A218" s="7" t="s">
        <v>912</v>
      </c>
      <c r="B218" s="7" t="s">
        <v>913</v>
      </c>
      <c r="C218" s="5">
        <v>195.76</v>
      </c>
      <c r="D218" s="2">
        <v>0.67869212962978054</v>
      </c>
      <c r="E218" s="4">
        <v>45068</v>
      </c>
      <c r="F218" s="7" t="s">
        <v>17</v>
      </c>
      <c r="G218" s="7" t="s">
        <v>243</v>
      </c>
      <c r="H218" s="7" t="s">
        <v>914</v>
      </c>
      <c r="I218" s="7" t="s">
        <v>915</v>
      </c>
      <c r="J218" s="7" t="s">
        <v>682</v>
      </c>
      <c r="K218" s="7" t="s">
        <v>69</v>
      </c>
      <c r="L218" s="8">
        <v>75</v>
      </c>
      <c r="M218" s="7" t="s">
        <v>70</v>
      </c>
      <c r="N218" s="8">
        <v>99</v>
      </c>
      <c r="O218" s="8">
        <v>1</v>
      </c>
      <c r="P218" s="5">
        <v>7323.53</v>
      </c>
      <c r="Q218" s="4">
        <v>45600</v>
      </c>
      <c r="R218" s="9">
        <v>0.34013888888888888</v>
      </c>
      <c r="S218" s="8">
        <v>16</v>
      </c>
      <c r="T218" s="7" t="s">
        <v>4454</v>
      </c>
      <c r="U218" s="7" t="s">
        <v>4455</v>
      </c>
      <c r="V2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9" spans="1:22" x14ac:dyDescent="0.35">
      <c r="A219" s="7" t="s">
        <v>916</v>
      </c>
      <c r="B219" s="7" t="s">
        <v>667</v>
      </c>
      <c r="C219" s="5">
        <v>134.69999999999999</v>
      </c>
      <c r="D219" s="2">
        <v>0.66895833333546761</v>
      </c>
      <c r="E219" s="4">
        <v>45159</v>
      </c>
      <c r="F219" s="7" t="s">
        <v>17</v>
      </c>
      <c r="G219" s="7" t="s">
        <v>157</v>
      </c>
      <c r="H219" s="7" t="s">
        <v>917</v>
      </c>
      <c r="I219" s="7" t="s">
        <v>918</v>
      </c>
      <c r="J219" s="7" t="s">
        <v>226</v>
      </c>
      <c r="K219" s="7" t="s">
        <v>22</v>
      </c>
      <c r="L219" s="8">
        <v>50</v>
      </c>
      <c r="M219" s="7" t="s">
        <v>23</v>
      </c>
      <c r="N219" s="8">
        <v>106</v>
      </c>
      <c r="O219" s="8">
        <v>1</v>
      </c>
      <c r="P219" s="5">
        <v>8395.85</v>
      </c>
      <c r="Q219" s="4">
        <v>45600</v>
      </c>
      <c r="R219" s="9">
        <v>0.34105324074074073</v>
      </c>
      <c r="S219" s="8">
        <v>16</v>
      </c>
      <c r="T219" s="7" t="s">
        <v>4457</v>
      </c>
      <c r="U219" s="7" t="s">
        <v>4455</v>
      </c>
      <c r="V2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0" spans="1:22" x14ac:dyDescent="0.35">
      <c r="A220" s="7" t="s">
        <v>919</v>
      </c>
      <c r="B220" s="7" t="s">
        <v>39</v>
      </c>
      <c r="C220" s="5">
        <v>890.24</v>
      </c>
      <c r="D220" s="2">
        <v>0.752581018517958</v>
      </c>
      <c r="E220" s="4">
        <v>45114</v>
      </c>
      <c r="F220" s="7" t="s">
        <v>46</v>
      </c>
      <c r="G220" s="7" t="s">
        <v>146</v>
      </c>
      <c r="H220" s="7" t="s">
        <v>920</v>
      </c>
      <c r="I220" s="7" t="s">
        <v>921</v>
      </c>
      <c r="J220" s="7" t="s">
        <v>175</v>
      </c>
      <c r="K220" s="7" t="s">
        <v>36</v>
      </c>
      <c r="L220" s="8">
        <v>33</v>
      </c>
      <c r="M220" s="7" t="s">
        <v>77</v>
      </c>
      <c r="N220" s="8">
        <v>161</v>
      </c>
      <c r="O220" s="8">
        <v>1</v>
      </c>
      <c r="P220" s="5">
        <v>5140.93</v>
      </c>
      <c r="Q220" s="4">
        <v>45600</v>
      </c>
      <c r="R220" s="9">
        <v>0.33856481481481482</v>
      </c>
      <c r="S220" s="8">
        <v>18</v>
      </c>
      <c r="T220" s="7" t="s">
        <v>4456</v>
      </c>
      <c r="U220" s="7" t="s">
        <v>4455</v>
      </c>
      <c r="V2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1" spans="1:22" x14ac:dyDescent="0.35">
      <c r="A221" s="7" t="s">
        <v>922</v>
      </c>
      <c r="B221" s="7" t="s">
        <v>923</v>
      </c>
      <c r="C221" s="5">
        <v>361.27</v>
      </c>
      <c r="D221" s="2">
        <v>0.70964120370626915</v>
      </c>
      <c r="E221" s="4">
        <v>44932</v>
      </c>
      <c r="F221" s="7" t="s">
        <v>17</v>
      </c>
      <c r="G221" s="7" t="s">
        <v>296</v>
      </c>
      <c r="H221" s="7" t="s">
        <v>924</v>
      </c>
      <c r="I221" s="7" t="s">
        <v>925</v>
      </c>
      <c r="J221" s="7" t="s">
        <v>769</v>
      </c>
      <c r="K221" s="7" t="s">
        <v>22</v>
      </c>
      <c r="L221" s="8">
        <v>63</v>
      </c>
      <c r="M221" s="7" t="s">
        <v>23</v>
      </c>
      <c r="N221" s="8">
        <v>180</v>
      </c>
      <c r="O221" s="8">
        <v>1</v>
      </c>
      <c r="P221" s="5">
        <v>7945.57</v>
      </c>
      <c r="Q221" s="4">
        <v>45600</v>
      </c>
      <c r="R221" s="9">
        <v>0.34035879629629628</v>
      </c>
      <c r="S221" s="8">
        <v>17</v>
      </c>
      <c r="T221" s="7" t="s">
        <v>4454</v>
      </c>
      <c r="U221" s="7" t="s">
        <v>4455</v>
      </c>
      <c r="V2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2" spans="1:22" x14ac:dyDescent="0.35">
      <c r="A222" s="7" t="s">
        <v>926</v>
      </c>
      <c r="B222" s="7" t="s">
        <v>927</v>
      </c>
      <c r="C222" s="5">
        <v>131.56</v>
      </c>
      <c r="D222" s="2">
        <v>0.69626157407765277</v>
      </c>
      <c r="E222" s="4">
        <v>45218</v>
      </c>
      <c r="F222" s="7" t="s">
        <v>17</v>
      </c>
      <c r="G222" s="7" t="s">
        <v>249</v>
      </c>
      <c r="H222" s="7" t="s">
        <v>928</v>
      </c>
      <c r="I222" s="7" t="s">
        <v>929</v>
      </c>
      <c r="J222" s="7" t="s">
        <v>240</v>
      </c>
      <c r="K222" s="7" t="s">
        <v>69</v>
      </c>
      <c r="L222" s="8">
        <v>44</v>
      </c>
      <c r="M222" s="7" t="s">
        <v>23</v>
      </c>
      <c r="N222" s="8">
        <v>42</v>
      </c>
      <c r="O222" s="8">
        <v>1</v>
      </c>
      <c r="P222" s="5">
        <v>5873.54</v>
      </c>
      <c r="Q222" s="4">
        <v>45600</v>
      </c>
      <c r="R222" s="9">
        <v>0.33833333333333332</v>
      </c>
      <c r="S222" s="8">
        <v>16</v>
      </c>
      <c r="T222" s="7" t="s">
        <v>4457</v>
      </c>
      <c r="U222" s="7" t="s">
        <v>4455</v>
      </c>
      <c r="V2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3" spans="1:22" x14ac:dyDescent="0.35">
      <c r="A223" s="7" t="s">
        <v>930</v>
      </c>
      <c r="B223" s="7" t="s">
        <v>931</v>
      </c>
      <c r="C223" s="5">
        <v>485.51</v>
      </c>
      <c r="D223" s="2">
        <v>0.70100694444408873</v>
      </c>
      <c r="E223" s="4">
        <v>45258</v>
      </c>
      <c r="F223" s="7" t="s">
        <v>46</v>
      </c>
      <c r="G223" s="7" t="s">
        <v>178</v>
      </c>
      <c r="H223" s="7" t="s">
        <v>932</v>
      </c>
      <c r="I223" s="7" t="s">
        <v>933</v>
      </c>
      <c r="J223" s="7" t="s">
        <v>348</v>
      </c>
      <c r="K223" s="7" t="s">
        <v>36</v>
      </c>
      <c r="L223" s="8">
        <v>76</v>
      </c>
      <c r="M223" s="7" t="s">
        <v>70</v>
      </c>
      <c r="N223" s="8">
        <v>37</v>
      </c>
      <c r="O223" s="8">
        <v>1</v>
      </c>
      <c r="P223" s="5">
        <v>3074.45</v>
      </c>
      <c r="Q223" s="4">
        <v>45600</v>
      </c>
      <c r="R223" s="9">
        <v>0.33891203703703704</v>
      </c>
      <c r="S223" s="8">
        <v>16</v>
      </c>
      <c r="T223" s="7" t="s">
        <v>4454</v>
      </c>
      <c r="U223" s="7" t="s">
        <v>4455</v>
      </c>
      <c r="V2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4" spans="1:22" x14ac:dyDescent="0.35">
      <c r="A224" s="7" t="s">
        <v>934</v>
      </c>
      <c r="B224" s="7" t="s">
        <v>935</v>
      </c>
      <c r="C224" s="5">
        <v>547.87</v>
      </c>
      <c r="D224" s="2">
        <v>0.71906250000029104</v>
      </c>
      <c r="E224" s="4">
        <v>45117</v>
      </c>
      <c r="F224" s="7" t="s">
        <v>17</v>
      </c>
      <c r="G224" s="7" t="s">
        <v>125</v>
      </c>
      <c r="H224" s="7" t="s">
        <v>936</v>
      </c>
      <c r="I224" s="7" t="s">
        <v>937</v>
      </c>
      <c r="J224" s="7" t="s">
        <v>331</v>
      </c>
      <c r="K224" s="7" t="s">
        <v>22</v>
      </c>
      <c r="L224" s="8">
        <v>64</v>
      </c>
      <c r="M224" s="7" t="s">
        <v>70</v>
      </c>
      <c r="N224" s="8">
        <v>131</v>
      </c>
      <c r="O224" s="8">
        <v>1</v>
      </c>
      <c r="P224" s="5">
        <v>6155.76</v>
      </c>
      <c r="Q224" s="4">
        <v>45600</v>
      </c>
      <c r="R224" s="9">
        <v>0.34063657407407405</v>
      </c>
      <c r="S224" s="8">
        <v>17</v>
      </c>
      <c r="T224" s="7" t="s">
        <v>4454</v>
      </c>
      <c r="U224" s="7" t="s">
        <v>4455</v>
      </c>
      <c r="V2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5" spans="1:22" x14ac:dyDescent="0.35">
      <c r="A225" s="7" t="s">
        <v>938</v>
      </c>
      <c r="B225" s="7" t="s">
        <v>839</v>
      </c>
      <c r="C225" s="5">
        <v>457.3</v>
      </c>
      <c r="D225" s="2">
        <v>0.76760416666365927</v>
      </c>
      <c r="E225" s="4">
        <v>45103</v>
      </c>
      <c r="F225" s="7" t="s">
        <v>17</v>
      </c>
      <c r="G225" s="7" t="s">
        <v>301</v>
      </c>
      <c r="H225" s="7" t="s">
        <v>939</v>
      </c>
      <c r="I225" s="7" t="s">
        <v>940</v>
      </c>
      <c r="J225" s="7" t="s">
        <v>564</v>
      </c>
      <c r="K225" s="7" t="s">
        <v>36</v>
      </c>
      <c r="L225" s="8">
        <v>28</v>
      </c>
      <c r="M225" s="7" t="s">
        <v>77</v>
      </c>
      <c r="N225" s="8">
        <v>15</v>
      </c>
      <c r="O225" s="8">
        <v>1</v>
      </c>
      <c r="P225" s="5">
        <v>8318.2900000000009</v>
      </c>
      <c r="Q225" s="4">
        <v>45600</v>
      </c>
      <c r="R225" s="9">
        <v>0.33880787037037036</v>
      </c>
      <c r="S225" s="8">
        <v>18</v>
      </c>
      <c r="T225" s="7" t="s">
        <v>4456</v>
      </c>
      <c r="U225" s="7" t="s">
        <v>4455</v>
      </c>
      <c r="V2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6" spans="1:22" x14ac:dyDescent="0.35">
      <c r="A226" s="7" t="s">
        <v>941</v>
      </c>
      <c r="B226" s="7" t="s">
        <v>942</v>
      </c>
      <c r="C226" s="5">
        <v>506.24</v>
      </c>
      <c r="D226" s="2">
        <v>0.69752314814832062</v>
      </c>
      <c r="E226" s="4">
        <v>44939</v>
      </c>
      <c r="F226" s="7" t="s">
        <v>17</v>
      </c>
      <c r="G226" s="7" t="s">
        <v>265</v>
      </c>
      <c r="H226" s="7" t="s">
        <v>943</v>
      </c>
      <c r="I226" s="7" t="s">
        <v>944</v>
      </c>
      <c r="J226" s="7" t="s">
        <v>543</v>
      </c>
      <c r="K226" s="7" t="s">
        <v>22</v>
      </c>
      <c r="L226" s="8">
        <v>58</v>
      </c>
      <c r="M226" s="7" t="s">
        <v>77</v>
      </c>
      <c r="N226" s="8">
        <v>64</v>
      </c>
      <c r="O226" s="8">
        <v>1</v>
      </c>
      <c r="P226" s="5">
        <v>230.09</v>
      </c>
      <c r="Q226" s="4">
        <v>45600</v>
      </c>
      <c r="R226" s="9">
        <v>0.34143518518518517</v>
      </c>
      <c r="S226" s="8">
        <v>16</v>
      </c>
      <c r="T226" s="7" t="s">
        <v>4454</v>
      </c>
      <c r="U226" s="7" t="s">
        <v>4455</v>
      </c>
      <c r="V2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7" spans="1:22" x14ac:dyDescent="0.35">
      <c r="A227" s="7" t="s">
        <v>945</v>
      </c>
      <c r="B227" s="7" t="s">
        <v>946</v>
      </c>
      <c r="C227" s="5">
        <v>486.59</v>
      </c>
      <c r="D227" s="2">
        <v>0.70505787037109258</v>
      </c>
      <c r="E227" s="4">
        <v>45279</v>
      </c>
      <c r="F227" s="7" t="s">
        <v>17</v>
      </c>
      <c r="G227" s="7" t="s">
        <v>65</v>
      </c>
      <c r="H227" s="7" t="s">
        <v>947</v>
      </c>
      <c r="I227" s="7" t="s">
        <v>948</v>
      </c>
      <c r="J227" s="7" t="s">
        <v>111</v>
      </c>
      <c r="K227" s="7" t="s">
        <v>69</v>
      </c>
      <c r="L227" s="8">
        <v>57</v>
      </c>
      <c r="M227" s="7" t="s">
        <v>70</v>
      </c>
      <c r="N227" s="8">
        <v>119</v>
      </c>
      <c r="O227" s="8">
        <v>1</v>
      </c>
      <c r="P227" s="5">
        <v>2513.56</v>
      </c>
      <c r="Q227" s="4">
        <v>45600</v>
      </c>
      <c r="R227" s="9">
        <v>0.34030092592592592</v>
      </c>
      <c r="S227" s="8">
        <v>16</v>
      </c>
      <c r="T227" s="7" t="s">
        <v>4454</v>
      </c>
      <c r="U227" s="7" t="s">
        <v>4455</v>
      </c>
      <c r="V2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8" spans="1:22" x14ac:dyDescent="0.35">
      <c r="A228" s="7" t="s">
        <v>949</v>
      </c>
      <c r="B228" s="7" t="s">
        <v>950</v>
      </c>
      <c r="C228" s="5">
        <v>163.68</v>
      </c>
      <c r="D228" s="2">
        <v>0.68121527777839219</v>
      </c>
      <c r="E228" s="4">
        <v>45197</v>
      </c>
      <c r="F228" s="7" t="s">
        <v>17</v>
      </c>
      <c r="G228" s="7" t="s">
        <v>18</v>
      </c>
      <c r="H228" s="7" t="s">
        <v>951</v>
      </c>
      <c r="I228" s="7" t="s">
        <v>194</v>
      </c>
      <c r="J228" s="7" t="s">
        <v>343</v>
      </c>
      <c r="K228" s="7" t="s">
        <v>69</v>
      </c>
      <c r="L228" s="8">
        <v>41</v>
      </c>
      <c r="M228" s="7" t="s">
        <v>23</v>
      </c>
      <c r="N228" s="8">
        <v>292</v>
      </c>
      <c r="O228" s="8">
        <v>1</v>
      </c>
      <c r="P228" s="5">
        <v>10090.049999999999</v>
      </c>
      <c r="Q228" s="4">
        <v>45600</v>
      </c>
      <c r="R228" s="9">
        <v>0.34098379629629627</v>
      </c>
      <c r="S228" s="8">
        <v>16</v>
      </c>
      <c r="T228" s="7" t="s">
        <v>4457</v>
      </c>
      <c r="U228" s="7" t="s">
        <v>4455</v>
      </c>
      <c r="V2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9" spans="1:22" x14ac:dyDescent="0.35">
      <c r="A229" s="7" t="s">
        <v>952</v>
      </c>
      <c r="B229" s="7" t="s">
        <v>300</v>
      </c>
      <c r="C229" s="5">
        <v>581.65</v>
      </c>
      <c r="D229" s="2">
        <v>0.70483796296321088</v>
      </c>
      <c r="E229" s="4">
        <v>44935</v>
      </c>
      <c r="F229" s="7" t="s">
        <v>17</v>
      </c>
      <c r="G229" s="7" t="s">
        <v>388</v>
      </c>
      <c r="H229" s="7" t="s">
        <v>768</v>
      </c>
      <c r="I229" s="7" t="s">
        <v>953</v>
      </c>
      <c r="J229" s="7" t="s">
        <v>35</v>
      </c>
      <c r="K229" s="7" t="s">
        <v>22</v>
      </c>
      <c r="L229" s="8">
        <v>22</v>
      </c>
      <c r="M229" s="7" t="s">
        <v>37</v>
      </c>
      <c r="N229" s="8">
        <v>176</v>
      </c>
      <c r="O229" s="8">
        <v>1</v>
      </c>
      <c r="P229" s="5">
        <v>480.19</v>
      </c>
      <c r="Q229" s="4">
        <v>45600</v>
      </c>
      <c r="R229" s="9">
        <v>0.3400347222222222</v>
      </c>
      <c r="S229" s="8">
        <v>16</v>
      </c>
      <c r="T229" s="7" t="s">
        <v>4456</v>
      </c>
      <c r="U229" s="7" t="s">
        <v>4455</v>
      </c>
      <c r="V2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0" spans="1:22" x14ac:dyDescent="0.35">
      <c r="A230" s="7" t="s">
        <v>954</v>
      </c>
      <c r="B230" s="7" t="s">
        <v>305</v>
      </c>
      <c r="C230" s="5">
        <v>52.01</v>
      </c>
      <c r="D230" s="2">
        <v>0.69865740741079208</v>
      </c>
      <c r="E230" s="4">
        <v>45237</v>
      </c>
      <c r="F230" s="7" t="s">
        <v>17</v>
      </c>
      <c r="G230" s="7" t="s">
        <v>32</v>
      </c>
      <c r="H230" s="7" t="s">
        <v>955</v>
      </c>
      <c r="I230" s="7" t="s">
        <v>956</v>
      </c>
      <c r="J230" s="7" t="s">
        <v>62</v>
      </c>
      <c r="K230" s="7" t="s">
        <v>22</v>
      </c>
      <c r="L230" s="8">
        <v>48</v>
      </c>
      <c r="M230" s="7" t="s">
        <v>23</v>
      </c>
      <c r="N230" s="8">
        <v>85</v>
      </c>
      <c r="O230" s="8">
        <v>1</v>
      </c>
      <c r="P230" s="5">
        <v>1120.8800000000001</v>
      </c>
      <c r="Q230" s="4">
        <v>45600</v>
      </c>
      <c r="R230" s="9">
        <v>0.34128472222222223</v>
      </c>
      <c r="S230" s="8">
        <v>16</v>
      </c>
      <c r="T230" s="7" t="s">
        <v>4457</v>
      </c>
      <c r="U230" s="7" t="s">
        <v>4455</v>
      </c>
      <c r="V2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1" spans="1:22" x14ac:dyDescent="0.35">
      <c r="A231" s="7" t="s">
        <v>957</v>
      </c>
      <c r="B231" s="7" t="s">
        <v>333</v>
      </c>
      <c r="C231" s="5">
        <v>630.24</v>
      </c>
      <c r="D231" s="2">
        <v>0.75729166666860692</v>
      </c>
      <c r="E231" s="4">
        <v>45259</v>
      </c>
      <c r="F231" s="7" t="s">
        <v>17</v>
      </c>
      <c r="G231" s="7" t="s">
        <v>388</v>
      </c>
      <c r="H231" s="7" t="s">
        <v>351</v>
      </c>
      <c r="I231" s="7" t="s">
        <v>958</v>
      </c>
      <c r="J231" s="7" t="s">
        <v>56</v>
      </c>
      <c r="K231" s="7" t="s">
        <v>22</v>
      </c>
      <c r="L231" s="8">
        <v>21</v>
      </c>
      <c r="M231" s="7" t="s">
        <v>37</v>
      </c>
      <c r="N231" s="8">
        <v>62</v>
      </c>
      <c r="O231" s="8">
        <v>1</v>
      </c>
      <c r="P231" s="5">
        <v>370.81</v>
      </c>
      <c r="Q231" s="4">
        <v>45600</v>
      </c>
      <c r="R231" s="9">
        <v>0.34157407407407409</v>
      </c>
      <c r="S231" s="8">
        <v>18</v>
      </c>
      <c r="T231" s="7" t="s">
        <v>4456</v>
      </c>
      <c r="U231" s="7" t="s">
        <v>4455</v>
      </c>
      <c r="V2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2" spans="1:22" x14ac:dyDescent="0.35">
      <c r="A232" s="7" t="s">
        <v>959</v>
      </c>
      <c r="B232" s="7" t="s">
        <v>264</v>
      </c>
      <c r="C232" s="5">
        <v>523.74</v>
      </c>
      <c r="D232" s="2">
        <v>0.69209490740468027</v>
      </c>
      <c r="E232" s="4">
        <v>45232</v>
      </c>
      <c r="F232" s="7" t="s">
        <v>17</v>
      </c>
      <c r="G232" s="7" t="s">
        <v>53</v>
      </c>
      <c r="H232" s="7" t="s">
        <v>960</v>
      </c>
      <c r="I232" s="7" t="s">
        <v>535</v>
      </c>
      <c r="J232" s="7" t="s">
        <v>514</v>
      </c>
      <c r="K232" s="7" t="s">
        <v>22</v>
      </c>
      <c r="L232" s="8">
        <v>43</v>
      </c>
      <c r="M232" s="7" t="s">
        <v>23</v>
      </c>
      <c r="N232" s="8">
        <v>159</v>
      </c>
      <c r="O232" s="8">
        <v>1</v>
      </c>
      <c r="P232" s="5">
        <v>13498.55</v>
      </c>
      <c r="Q232" s="4">
        <v>45600</v>
      </c>
      <c r="R232" s="9">
        <v>0.33810185185185188</v>
      </c>
      <c r="S232" s="8">
        <v>16</v>
      </c>
      <c r="T232" s="7" t="s">
        <v>4457</v>
      </c>
      <c r="U232" s="7" t="s">
        <v>4455</v>
      </c>
      <c r="V2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3" spans="1:22" x14ac:dyDescent="0.35">
      <c r="A233" s="7" t="s">
        <v>961</v>
      </c>
      <c r="B233" s="7" t="s">
        <v>962</v>
      </c>
      <c r="C233" s="5">
        <v>705.6</v>
      </c>
      <c r="D233" s="2">
        <v>0.77896990740555339</v>
      </c>
      <c r="E233" s="4">
        <v>44977</v>
      </c>
      <c r="F233" s="7" t="s">
        <v>17</v>
      </c>
      <c r="G233" s="7" t="s">
        <v>425</v>
      </c>
      <c r="H233" s="7" t="s">
        <v>270</v>
      </c>
      <c r="I233" s="7" t="s">
        <v>963</v>
      </c>
      <c r="J233" s="7" t="s">
        <v>358</v>
      </c>
      <c r="K233" s="7" t="s">
        <v>69</v>
      </c>
      <c r="L233" s="8">
        <v>40</v>
      </c>
      <c r="M233" s="7" t="s">
        <v>23</v>
      </c>
      <c r="N233" s="8">
        <v>124</v>
      </c>
      <c r="O233" s="8">
        <v>3</v>
      </c>
      <c r="P233" s="5">
        <v>14804.7</v>
      </c>
      <c r="Q233" s="4">
        <v>45600</v>
      </c>
      <c r="R233" s="9">
        <v>0.33962962962962961</v>
      </c>
      <c r="S233" s="8">
        <v>18</v>
      </c>
      <c r="T233" s="7" t="s">
        <v>4457</v>
      </c>
      <c r="U233" s="7" t="s">
        <v>4458</v>
      </c>
      <c r="V2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4" spans="1:22" x14ac:dyDescent="0.35">
      <c r="A234" s="7" t="s">
        <v>964</v>
      </c>
      <c r="B234" s="7" t="s">
        <v>965</v>
      </c>
      <c r="C234" s="5">
        <v>217.5</v>
      </c>
      <c r="D234" s="2">
        <v>0.78805555555300089</v>
      </c>
      <c r="E234" s="4">
        <v>45222</v>
      </c>
      <c r="F234" s="7" t="s">
        <v>46</v>
      </c>
      <c r="G234" s="7" t="s">
        <v>114</v>
      </c>
      <c r="H234" s="7" t="s">
        <v>966</v>
      </c>
      <c r="I234" s="7" t="s">
        <v>571</v>
      </c>
      <c r="J234" s="7" t="s">
        <v>169</v>
      </c>
      <c r="K234" s="7" t="s">
        <v>69</v>
      </c>
      <c r="L234" s="8">
        <v>46</v>
      </c>
      <c r="M234" s="7" t="s">
        <v>77</v>
      </c>
      <c r="N234" s="8">
        <v>35</v>
      </c>
      <c r="O234" s="8">
        <v>1</v>
      </c>
      <c r="P234" s="5">
        <v>3057.4</v>
      </c>
      <c r="Q234" s="4">
        <v>45600</v>
      </c>
      <c r="R234" s="9">
        <v>0.33817129629629628</v>
      </c>
      <c r="S234" s="8">
        <v>18</v>
      </c>
      <c r="T234" s="7" t="s">
        <v>4457</v>
      </c>
      <c r="U234" s="7" t="s">
        <v>4455</v>
      </c>
      <c r="V2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5" spans="1:22" x14ac:dyDescent="0.35">
      <c r="A235" s="7" t="s">
        <v>967</v>
      </c>
      <c r="B235" s="7" t="s">
        <v>968</v>
      </c>
      <c r="C235" s="5">
        <v>91.48</v>
      </c>
      <c r="D235" s="2">
        <v>0.7017476851833635</v>
      </c>
      <c r="E235" s="4">
        <v>44949</v>
      </c>
      <c r="F235" s="7" t="s">
        <v>17</v>
      </c>
      <c r="G235" s="7" t="s">
        <v>157</v>
      </c>
      <c r="H235" s="7" t="s">
        <v>393</v>
      </c>
      <c r="I235" s="7" t="s">
        <v>969</v>
      </c>
      <c r="J235" s="7" t="s">
        <v>427</v>
      </c>
      <c r="K235" s="7" t="s">
        <v>22</v>
      </c>
      <c r="L235" s="8">
        <v>51</v>
      </c>
      <c r="M235" s="7" t="s">
        <v>23</v>
      </c>
      <c r="N235" s="8">
        <v>141</v>
      </c>
      <c r="O235" s="8">
        <v>1</v>
      </c>
      <c r="P235" s="5">
        <v>14942.78</v>
      </c>
      <c r="Q235" s="4">
        <v>45600</v>
      </c>
      <c r="R235" s="9">
        <v>0.33978009259259262</v>
      </c>
      <c r="S235" s="8">
        <v>16</v>
      </c>
      <c r="T235" s="7" t="s">
        <v>4457</v>
      </c>
      <c r="U235" s="7" t="s">
        <v>4455</v>
      </c>
      <c r="V2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6" spans="1:22" x14ac:dyDescent="0.35">
      <c r="A236" s="7" t="s">
        <v>970</v>
      </c>
      <c r="B236" s="7" t="s">
        <v>962</v>
      </c>
      <c r="C236" s="5">
        <v>5.25</v>
      </c>
      <c r="D236" s="2">
        <v>0.76833333333343035</v>
      </c>
      <c r="E236" s="4">
        <v>45243</v>
      </c>
      <c r="F236" s="7" t="s">
        <v>17</v>
      </c>
      <c r="G236" s="7" t="s">
        <v>223</v>
      </c>
      <c r="H236" s="7" t="s">
        <v>971</v>
      </c>
      <c r="I236" s="7" t="s">
        <v>972</v>
      </c>
      <c r="J236" s="7" t="s">
        <v>752</v>
      </c>
      <c r="K236" s="7" t="s">
        <v>22</v>
      </c>
      <c r="L236" s="8">
        <v>39</v>
      </c>
      <c r="M236" s="7" t="s">
        <v>23</v>
      </c>
      <c r="N236" s="8">
        <v>49</v>
      </c>
      <c r="O236" s="8">
        <v>1</v>
      </c>
      <c r="P236" s="5">
        <v>14143.32</v>
      </c>
      <c r="Q236" s="4">
        <v>45600</v>
      </c>
      <c r="R236" s="9">
        <v>0.34192129629629631</v>
      </c>
      <c r="S236" s="8">
        <v>18</v>
      </c>
      <c r="T236" s="7" t="s">
        <v>4457</v>
      </c>
      <c r="U236" s="7" t="s">
        <v>4455</v>
      </c>
      <c r="V2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7" spans="1:22" x14ac:dyDescent="0.35">
      <c r="A237" s="7" t="s">
        <v>973</v>
      </c>
      <c r="B237" s="7" t="s">
        <v>974</v>
      </c>
      <c r="C237" s="5">
        <v>54.03</v>
      </c>
      <c r="D237" s="2">
        <v>0.71997685185488081</v>
      </c>
      <c r="E237" s="4">
        <v>45188</v>
      </c>
      <c r="F237" s="7" t="s">
        <v>46</v>
      </c>
      <c r="G237" s="7" t="s">
        <v>178</v>
      </c>
      <c r="H237" s="7" t="s">
        <v>975</v>
      </c>
      <c r="I237" s="7" t="s">
        <v>976</v>
      </c>
      <c r="J237" s="7" t="s">
        <v>343</v>
      </c>
      <c r="K237" s="7" t="s">
        <v>22</v>
      </c>
      <c r="L237" s="8">
        <v>56</v>
      </c>
      <c r="M237" s="7" t="s">
        <v>70</v>
      </c>
      <c r="N237" s="8">
        <v>161</v>
      </c>
      <c r="O237" s="8">
        <v>1</v>
      </c>
      <c r="P237" s="5">
        <v>6736.3</v>
      </c>
      <c r="Q237" s="4">
        <v>45600</v>
      </c>
      <c r="R237" s="9">
        <v>0.33861111111111108</v>
      </c>
      <c r="S237" s="8">
        <v>17</v>
      </c>
      <c r="T237" s="7" t="s">
        <v>4454</v>
      </c>
      <c r="U237" s="7" t="s">
        <v>4455</v>
      </c>
      <c r="V2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" spans="1:22" x14ac:dyDescent="0.35">
      <c r="A238" s="7" t="s">
        <v>977</v>
      </c>
      <c r="B238" s="7" t="s">
        <v>641</v>
      </c>
      <c r="C238" s="5">
        <v>736.73</v>
      </c>
      <c r="D238" s="2">
        <v>0.67045138889079681</v>
      </c>
      <c r="E238" s="4">
        <v>45257</v>
      </c>
      <c r="F238" s="7" t="s">
        <v>17</v>
      </c>
      <c r="G238" s="7" t="s">
        <v>92</v>
      </c>
      <c r="H238" s="7" t="s">
        <v>978</v>
      </c>
      <c r="I238" s="7" t="s">
        <v>979</v>
      </c>
      <c r="J238" s="7" t="s">
        <v>980</v>
      </c>
      <c r="K238" s="7" t="s">
        <v>69</v>
      </c>
      <c r="L238" s="8">
        <v>48</v>
      </c>
      <c r="M238" s="7" t="s">
        <v>77</v>
      </c>
      <c r="N238" s="8">
        <v>10</v>
      </c>
      <c r="O238" s="8">
        <v>1</v>
      </c>
      <c r="P238" s="5">
        <v>3313.07</v>
      </c>
      <c r="Q238" s="4">
        <v>45600</v>
      </c>
      <c r="R238" s="9">
        <v>0.34090277777777778</v>
      </c>
      <c r="S238" s="8">
        <v>16</v>
      </c>
      <c r="T238" s="7" t="s">
        <v>4457</v>
      </c>
      <c r="U238" s="7" t="s">
        <v>4455</v>
      </c>
      <c r="V2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9" spans="1:22" x14ac:dyDescent="0.35">
      <c r="A239" s="7" t="s">
        <v>981</v>
      </c>
      <c r="B239" s="7" t="s">
        <v>801</v>
      </c>
      <c r="C239" s="5">
        <v>368.91</v>
      </c>
      <c r="D239" s="2">
        <v>0.74302083333168412</v>
      </c>
      <c r="E239" s="4">
        <v>44995</v>
      </c>
      <c r="F239" s="7" t="s">
        <v>17</v>
      </c>
      <c r="G239" s="7" t="s">
        <v>301</v>
      </c>
      <c r="H239" s="7" t="s">
        <v>982</v>
      </c>
      <c r="I239" s="7" t="s">
        <v>983</v>
      </c>
      <c r="J239" s="7" t="s">
        <v>984</v>
      </c>
      <c r="K239" s="7" t="s">
        <v>69</v>
      </c>
      <c r="L239" s="8">
        <v>54</v>
      </c>
      <c r="M239" s="7" t="s">
        <v>23</v>
      </c>
      <c r="N239" s="8">
        <v>14</v>
      </c>
      <c r="O239" s="8">
        <v>1</v>
      </c>
      <c r="P239" s="5">
        <v>829.71</v>
      </c>
      <c r="Q239" s="4">
        <v>45600</v>
      </c>
      <c r="R239" s="9">
        <v>0.34060185185185188</v>
      </c>
      <c r="S239" s="8">
        <v>17</v>
      </c>
      <c r="T239" s="7" t="s">
        <v>4457</v>
      </c>
      <c r="U239" s="7" t="s">
        <v>4455</v>
      </c>
      <c r="V2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" spans="1:22" x14ac:dyDescent="0.35">
      <c r="A240" s="7" t="s">
        <v>985</v>
      </c>
      <c r="B240" s="7" t="s">
        <v>986</v>
      </c>
      <c r="C240" s="5">
        <v>33.06</v>
      </c>
      <c r="D240" s="2">
        <v>0.669224537035916</v>
      </c>
      <c r="E240" s="4">
        <v>44943</v>
      </c>
      <c r="F240" s="7" t="s">
        <v>46</v>
      </c>
      <c r="G240" s="7" t="s">
        <v>157</v>
      </c>
      <c r="H240" s="7" t="s">
        <v>987</v>
      </c>
      <c r="I240" s="7" t="s">
        <v>602</v>
      </c>
      <c r="J240" s="7" t="s">
        <v>414</v>
      </c>
      <c r="K240" s="7" t="s">
        <v>36</v>
      </c>
      <c r="L240" s="8">
        <v>53</v>
      </c>
      <c r="M240" s="7" t="s">
        <v>70</v>
      </c>
      <c r="N240" s="8">
        <v>170</v>
      </c>
      <c r="O240" s="8">
        <v>1</v>
      </c>
      <c r="P240" s="5">
        <v>1540.87</v>
      </c>
      <c r="Q240" s="4">
        <v>45600</v>
      </c>
      <c r="R240" s="9">
        <v>0.33799768518518519</v>
      </c>
      <c r="S240" s="8">
        <v>16</v>
      </c>
      <c r="T240" s="7" t="s">
        <v>4457</v>
      </c>
      <c r="U240" s="7" t="s">
        <v>4455</v>
      </c>
      <c r="V2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1" spans="1:22" x14ac:dyDescent="0.35">
      <c r="A241" s="7" t="s">
        <v>988</v>
      </c>
      <c r="B241" s="7" t="s">
        <v>989</v>
      </c>
      <c r="C241" s="5">
        <v>66.5</v>
      </c>
      <c r="D241" s="2">
        <v>0.69787037037167465</v>
      </c>
      <c r="E241" s="4">
        <v>45050</v>
      </c>
      <c r="F241" s="7" t="s">
        <v>46</v>
      </c>
      <c r="G241" s="7" t="s">
        <v>108</v>
      </c>
      <c r="H241" s="7" t="s">
        <v>990</v>
      </c>
      <c r="I241" s="7" t="s">
        <v>991</v>
      </c>
      <c r="J241" s="7" t="s">
        <v>634</v>
      </c>
      <c r="K241" s="7" t="s">
        <v>36</v>
      </c>
      <c r="L241" s="8">
        <v>32</v>
      </c>
      <c r="M241" s="7" t="s">
        <v>77</v>
      </c>
      <c r="N241" s="8">
        <v>144</v>
      </c>
      <c r="O241" s="8">
        <v>1</v>
      </c>
      <c r="P241" s="5">
        <v>6820.23</v>
      </c>
      <c r="Q241" s="4">
        <v>45600</v>
      </c>
      <c r="R241" s="9">
        <v>0.33895833333333331</v>
      </c>
      <c r="S241" s="8">
        <v>16</v>
      </c>
      <c r="T241" s="7" t="s">
        <v>4456</v>
      </c>
      <c r="U241" s="7" t="s">
        <v>4455</v>
      </c>
      <c r="V2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2" spans="1:22" x14ac:dyDescent="0.35">
      <c r="A242" s="7" t="s">
        <v>992</v>
      </c>
      <c r="B242" s="7" t="s">
        <v>993</v>
      </c>
      <c r="C242" s="5">
        <v>177.08</v>
      </c>
      <c r="D242" s="2">
        <v>0.7199537037013215</v>
      </c>
      <c r="E242" s="4">
        <v>44932</v>
      </c>
      <c r="F242" s="7" t="s">
        <v>17</v>
      </c>
      <c r="G242" s="7" t="s">
        <v>146</v>
      </c>
      <c r="H242" s="7" t="s">
        <v>994</v>
      </c>
      <c r="I242" s="7" t="s">
        <v>995</v>
      </c>
      <c r="J242" s="7" t="s">
        <v>240</v>
      </c>
      <c r="K242" s="7" t="s">
        <v>36</v>
      </c>
      <c r="L242" s="8">
        <v>35</v>
      </c>
      <c r="M242" s="7" t="s">
        <v>23</v>
      </c>
      <c r="N242" s="8">
        <v>85</v>
      </c>
      <c r="O242" s="8">
        <v>1</v>
      </c>
      <c r="P242" s="5">
        <v>13475.14</v>
      </c>
      <c r="Q242" s="4">
        <v>45600</v>
      </c>
      <c r="R242" s="9">
        <v>0.34190972222222221</v>
      </c>
      <c r="S242" s="8">
        <v>17</v>
      </c>
      <c r="T242" s="7" t="s">
        <v>4457</v>
      </c>
      <c r="U242" s="7" t="s">
        <v>4455</v>
      </c>
      <c r="V2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3" spans="1:22" x14ac:dyDescent="0.35">
      <c r="A243" s="7" t="s">
        <v>996</v>
      </c>
      <c r="B243" s="7" t="s">
        <v>997</v>
      </c>
      <c r="C243" s="5">
        <v>588.54</v>
      </c>
      <c r="D243" s="2">
        <v>0.74824074074422242</v>
      </c>
      <c r="E243" s="4">
        <v>44963</v>
      </c>
      <c r="F243" s="7" t="s">
        <v>17</v>
      </c>
      <c r="G243" s="7" t="s">
        <v>595</v>
      </c>
      <c r="H243" s="7" t="s">
        <v>998</v>
      </c>
      <c r="I243" s="7" t="s">
        <v>999</v>
      </c>
      <c r="J243" s="7" t="s">
        <v>1000</v>
      </c>
      <c r="K243" s="7" t="s">
        <v>69</v>
      </c>
      <c r="L243" s="8">
        <v>32</v>
      </c>
      <c r="M243" s="7" t="s">
        <v>77</v>
      </c>
      <c r="N243" s="8">
        <v>130</v>
      </c>
      <c r="O243" s="8">
        <v>1</v>
      </c>
      <c r="P243" s="5">
        <v>714.45</v>
      </c>
      <c r="Q243" s="4">
        <v>45600</v>
      </c>
      <c r="R243" s="9">
        <v>0.34070601851851851</v>
      </c>
      <c r="S243" s="8">
        <v>17</v>
      </c>
      <c r="T243" s="7" t="s">
        <v>4456</v>
      </c>
      <c r="U243" s="7" t="s">
        <v>4455</v>
      </c>
      <c r="V2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4" spans="1:22" x14ac:dyDescent="0.35">
      <c r="A244" s="7" t="s">
        <v>1001</v>
      </c>
      <c r="B244" s="7" t="s">
        <v>222</v>
      </c>
      <c r="C244" s="5">
        <v>173.5</v>
      </c>
      <c r="D244" s="2">
        <v>0.71967592592409346</v>
      </c>
      <c r="E244" s="4">
        <v>45222</v>
      </c>
      <c r="F244" s="7" t="s">
        <v>17</v>
      </c>
      <c r="G244" s="7" t="s">
        <v>80</v>
      </c>
      <c r="H244" s="7" t="s">
        <v>33</v>
      </c>
      <c r="I244" s="7" t="s">
        <v>1002</v>
      </c>
      <c r="J244" s="7" t="s">
        <v>29</v>
      </c>
      <c r="K244" s="7" t="s">
        <v>22</v>
      </c>
      <c r="L244" s="8">
        <v>21</v>
      </c>
      <c r="M244" s="7" t="s">
        <v>37</v>
      </c>
      <c r="N244" s="8">
        <v>282</v>
      </c>
      <c r="O244" s="8">
        <v>1</v>
      </c>
      <c r="P244" s="5">
        <v>1306.9100000000001</v>
      </c>
      <c r="Q244" s="4">
        <v>45600</v>
      </c>
      <c r="R244" s="9">
        <v>0.34157407407407409</v>
      </c>
      <c r="S244" s="8">
        <v>17</v>
      </c>
      <c r="T244" s="7" t="s">
        <v>4456</v>
      </c>
      <c r="U244" s="7" t="s">
        <v>4455</v>
      </c>
      <c r="V2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5" spans="1:22" x14ac:dyDescent="0.35">
      <c r="A245" s="7" t="s">
        <v>1003</v>
      </c>
      <c r="B245" s="7" t="s">
        <v>1004</v>
      </c>
      <c r="C245" s="5">
        <v>78.33</v>
      </c>
      <c r="D245" s="2">
        <v>0.6758333333345945</v>
      </c>
      <c r="E245" s="4">
        <v>45138</v>
      </c>
      <c r="F245" s="7" t="s">
        <v>46</v>
      </c>
      <c r="G245" s="7" t="s">
        <v>92</v>
      </c>
      <c r="H245" s="7" t="s">
        <v>1005</v>
      </c>
      <c r="I245" s="7" t="s">
        <v>567</v>
      </c>
      <c r="J245" s="7" t="s">
        <v>853</v>
      </c>
      <c r="K245" s="7" t="s">
        <v>36</v>
      </c>
      <c r="L245" s="8">
        <v>56</v>
      </c>
      <c r="M245" s="7" t="s">
        <v>77</v>
      </c>
      <c r="N245" s="8">
        <v>189</v>
      </c>
      <c r="O245" s="8">
        <v>1</v>
      </c>
      <c r="P245" s="5">
        <v>7255.33</v>
      </c>
      <c r="Q245" s="4">
        <v>45600</v>
      </c>
      <c r="R245" s="9">
        <v>0.33909722222222222</v>
      </c>
      <c r="S245" s="8">
        <v>16</v>
      </c>
      <c r="T245" s="7" t="s">
        <v>4454</v>
      </c>
      <c r="U245" s="7" t="s">
        <v>4455</v>
      </c>
      <c r="V2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6" spans="1:22" x14ac:dyDescent="0.35">
      <c r="A246" s="7" t="s">
        <v>1006</v>
      </c>
      <c r="B246" s="7" t="s">
        <v>935</v>
      </c>
      <c r="C246" s="5">
        <v>40.659999999999997</v>
      </c>
      <c r="D246" s="2">
        <v>0.67278935185458977</v>
      </c>
      <c r="E246" s="4">
        <v>45292</v>
      </c>
      <c r="F246" s="7" t="s">
        <v>17</v>
      </c>
      <c r="G246" s="7" t="s">
        <v>108</v>
      </c>
      <c r="H246" s="7" t="s">
        <v>939</v>
      </c>
      <c r="I246" s="7" t="s">
        <v>1007</v>
      </c>
      <c r="J246" s="7" t="s">
        <v>885</v>
      </c>
      <c r="K246" s="7" t="s">
        <v>69</v>
      </c>
      <c r="L246" s="8">
        <v>59</v>
      </c>
      <c r="M246" s="7" t="s">
        <v>70</v>
      </c>
      <c r="N246" s="8">
        <v>156</v>
      </c>
      <c r="O246" s="8">
        <v>1</v>
      </c>
      <c r="P246" s="5">
        <v>1153.8399999999999</v>
      </c>
      <c r="Q246" s="4">
        <v>45600</v>
      </c>
      <c r="R246" s="9">
        <v>0.34129629629629632</v>
      </c>
      <c r="S246" s="8">
        <v>16</v>
      </c>
      <c r="T246" s="7" t="s">
        <v>4454</v>
      </c>
      <c r="U246" s="7" t="s">
        <v>4455</v>
      </c>
      <c r="V2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7" spans="1:22" x14ac:dyDescent="0.35">
      <c r="A247" s="7" t="s">
        <v>1008</v>
      </c>
      <c r="B247" s="7" t="s">
        <v>1009</v>
      </c>
      <c r="C247" s="5">
        <v>97.22</v>
      </c>
      <c r="D247" s="2">
        <v>0.72938657407212304</v>
      </c>
      <c r="E247" s="4">
        <v>44977</v>
      </c>
      <c r="F247" s="7" t="s">
        <v>46</v>
      </c>
      <c r="G247" s="7" t="s">
        <v>47</v>
      </c>
      <c r="H247" s="7" t="s">
        <v>1010</v>
      </c>
      <c r="I247" s="7" t="s">
        <v>937</v>
      </c>
      <c r="J247" s="7" t="s">
        <v>370</v>
      </c>
      <c r="K247" s="7" t="s">
        <v>69</v>
      </c>
      <c r="L247" s="8">
        <v>77</v>
      </c>
      <c r="M247" s="7" t="s">
        <v>70</v>
      </c>
      <c r="N247" s="8">
        <v>55</v>
      </c>
      <c r="O247" s="8">
        <v>1</v>
      </c>
      <c r="P247" s="5">
        <v>6647.73</v>
      </c>
      <c r="Q247" s="4">
        <v>45600</v>
      </c>
      <c r="R247" s="9">
        <v>0.3411689814814815</v>
      </c>
      <c r="S247" s="8">
        <v>17</v>
      </c>
      <c r="T247" s="7" t="s">
        <v>4454</v>
      </c>
      <c r="U247" s="7" t="s">
        <v>4455</v>
      </c>
      <c r="V2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8" spans="1:22" x14ac:dyDescent="0.35">
      <c r="A248" s="7" t="s">
        <v>1011</v>
      </c>
      <c r="B248" s="7" t="s">
        <v>1012</v>
      </c>
      <c r="C248" s="5">
        <v>34.07</v>
      </c>
      <c r="D248" s="2">
        <v>0.72428240740555339</v>
      </c>
      <c r="E248" s="4">
        <v>45236</v>
      </c>
      <c r="F248" s="7" t="s">
        <v>17</v>
      </c>
      <c r="G248" s="7" t="s">
        <v>243</v>
      </c>
      <c r="H248" s="7" t="s">
        <v>688</v>
      </c>
      <c r="I248" s="7" t="s">
        <v>1013</v>
      </c>
      <c r="J248" s="7" t="s">
        <v>1014</v>
      </c>
      <c r="K248" s="7" t="s">
        <v>69</v>
      </c>
      <c r="L248" s="8">
        <v>22</v>
      </c>
      <c r="M248" s="7" t="s">
        <v>37</v>
      </c>
      <c r="N248" s="8">
        <v>81</v>
      </c>
      <c r="O248" s="8">
        <v>1</v>
      </c>
      <c r="P248" s="5">
        <v>8709.77</v>
      </c>
      <c r="Q248" s="4">
        <v>45600</v>
      </c>
      <c r="R248" s="9">
        <v>0.3384375</v>
      </c>
      <c r="S248" s="8">
        <v>17</v>
      </c>
      <c r="T248" s="7" t="s">
        <v>4456</v>
      </c>
      <c r="U248" s="7" t="s">
        <v>4455</v>
      </c>
      <c r="V2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9" spans="1:22" x14ac:dyDescent="0.35">
      <c r="A249" s="7" t="s">
        <v>1015</v>
      </c>
      <c r="B249" s="7" t="s">
        <v>1016</v>
      </c>
      <c r="C249" s="5">
        <v>492.06</v>
      </c>
      <c r="D249" s="2">
        <v>0.67656249999708962</v>
      </c>
      <c r="E249" s="4">
        <v>45218</v>
      </c>
      <c r="F249" s="7" t="s">
        <v>17</v>
      </c>
      <c r="G249" s="7" t="s">
        <v>558</v>
      </c>
      <c r="H249" s="7" t="s">
        <v>1017</v>
      </c>
      <c r="I249" s="7" t="s">
        <v>1018</v>
      </c>
      <c r="J249" s="7" t="s">
        <v>445</v>
      </c>
      <c r="K249" s="7" t="s">
        <v>36</v>
      </c>
      <c r="L249" s="8">
        <v>23</v>
      </c>
      <c r="M249" s="7" t="s">
        <v>37</v>
      </c>
      <c r="N249" s="8">
        <v>74</v>
      </c>
      <c r="O249" s="8">
        <v>1</v>
      </c>
      <c r="P249" s="5">
        <v>857.9</v>
      </c>
      <c r="Q249" s="4">
        <v>45600</v>
      </c>
      <c r="R249" s="9">
        <v>0.34023148148148147</v>
      </c>
      <c r="S249" s="8">
        <v>16</v>
      </c>
      <c r="T249" s="7" t="s">
        <v>4456</v>
      </c>
      <c r="U249" s="7" t="s">
        <v>4455</v>
      </c>
      <c r="V2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0" spans="1:22" x14ac:dyDescent="0.35">
      <c r="A250" s="7" t="s">
        <v>1019</v>
      </c>
      <c r="B250" s="7" t="s">
        <v>1020</v>
      </c>
      <c r="C250" s="5">
        <v>842.01</v>
      </c>
      <c r="D250" s="2">
        <v>0.69684027777839219</v>
      </c>
      <c r="E250" s="4">
        <v>45181</v>
      </c>
      <c r="F250" s="7" t="s">
        <v>46</v>
      </c>
      <c r="G250" s="7" t="s">
        <v>301</v>
      </c>
      <c r="H250" s="7" t="s">
        <v>1021</v>
      </c>
      <c r="I250" s="7" t="s">
        <v>493</v>
      </c>
      <c r="J250" s="7" t="s">
        <v>21</v>
      </c>
      <c r="K250" s="7" t="s">
        <v>36</v>
      </c>
      <c r="L250" s="8">
        <v>53</v>
      </c>
      <c r="M250" s="7" t="s">
        <v>23</v>
      </c>
      <c r="N250" s="8">
        <v>185</v>
      </c>
      <c r="O250" s="8">
        <v>1</v>
      </c>
      <c r="P250" s="5">
        <v>509.45</v>
      </c>
      <c r="Q250" s="4">
        <v>45600</v>
      </c>
      <c r="R250" s="9">
        <v>0.33927083333333335</v>
      </c>
      <c r="S250" s="8">
        <v>16</v>
      </c>
      <c r="T250" s="7" t="s">
        <v>4457</v>
      </c>
      <c r="U250" s="7" t="s">
        <v>4455</v>
      </c>
      <c r="V2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1" spans="1:22" x14ac:dyDescent="0.35">
      <c r="A251" s="7" t="s">
        <v>1022</v>
      </c>
      <c r="B251" s="7" t="s">
        <v>1023</v>
      </c>
      <c r="C251" s="5">
        <v>73.55</v>
      </c>
      <c r="D251" s="2">
        <v>0.67347222222451819</v>
      </c>
      <c r="E251" s="4">
        <v>44935</v>
      </c>
      <c r="F251" s="7" t="s">
        <v>17</v>
      </c>
      <c r="G251" s="7" t="s">
        <v>47</v>
      </c>
      <c r="H251" s="7" t="s">
        <v>1024</v>
      </c>
      <c r="I251" s="7" t="s">
        <v>1025</v>
      </c>
      <c r="J251" s="7" t="s">
        <v>572</v>
      </c>
      <c r="K251" s="7" t="s">
        <v>22</v>
      </c>
      <c r="L251" s="8">
        <v>51</v>
      </c>
      <c r="M251" s="7" t="s">
        <v>77</v>
      </c>
      <c r="N251" s="8">
        <v>158</v>
      </c>
      <c r="O251" s="8">
        <v>1</v>
      </c>
      <c r="P251" s="5">
        <v>2812.06</v>
      </c>
      <c r="Q251" s="4">
        <v>45600</v>
      </c>
      <c r="R251" s="9">
        <v>0.34121527777777777</v>
      </c>
      <c r="S251" s="8">
        <v>16</v>
      </c>
      <c r="T251" s="7" t="s">
        <v>4457</v>
      </c>
      <c r="U251" s="7" t="s">
        <v>4455</v>
      </c>
      <c r="V2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2" spans="1:22" x14ac:dyDescent="0.35">
      <c r="A252" s="7" t="s">
        <v>1026</v>
      </c>
      <c r="B252" s="7" t="s">
        <v>1027</v>
      </c>
      <c r="C252" s="5">
        <v>760.53</v>
      </c>
      <c r="D252" s="2">
        <v>0.75931712963210884</v>
      </c>
      <c r="E252" s="4">
        <v>45173</v>
      </c>
      <c r="F252" s="7" t="s">
        <v>17</v>
      </c>
      <c r="G252" s="7" t="s">
        <v>425</v>
      </c>
      <c r="H252" s="7" t="s">
        <v>1028</v>
      </c>
      <c r="I252" s="7" t="s">
        <v>793</v>
      </c>
      <c r="J252" s="7" t="s">
        <v>262</v>
      </c>
      <c r="K252" s="7" t="s">
        <v>36</v>
      </c>
      <c r="L252" s="8">
        <v>57</v>
      </c>
      <c r="M252" s="7" t="s">
        <v>77</v>
      </c>
      <c r="N252" s="8">
        <v>118</v>
      </c>
      <c r="O252" s="8">
        <v>1</v>
      </c>
      <c r="P252" s="5">
        <v>6179.91</v>
      </c>
      <c r="Q252" s="4">
        <v>45600</v>
      </c>
      <c r="R252" s="9">
        <v>0.33998842592592593</v>
      </c>
      <c r="S252" s="8">
        <v>18</v>
      </c>
      <c r="T252" s="7" t="s">
        <v>4454</v>
      </c>
      <c r="U252" s="7" t="s">
        <v>4455</v>
      </c>
      <c r="V2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3" spans="1:22" x14ac:dyDescent="0.35">
      <c r="A253" s="7" t="s">
        <v>1029</v>
      </c>
      <c r="B253" s="7" t="s">
        <v>1030</v>
      </c>
      <c r="C253" s="5">
        <v>273.08</v>
      </c>
      <c r="D253" s="2">
        <v>0.67300925926247146</v>
      </c>
      <c r="E253" s="4">
        <v>44956</v>
      </c>
      <c r="F253" s="7" t="s">
        <v>46</v>
      </c>
      <c r="G253" s="7" t="s">
        <v>26</v>
      </c>
      <c r="H253" s="7" t="s">
        <v>1031</v>
      </c>
      <c r="I253" s="7" t="s">
        <v>1032</v>
      </c>
      <c r="J253" s="7" t="s">
        <v>83</v>
      </c>
      <c r="K253" s="7" t="s">
        <v>69</v>
      </c>
      <c r="L253" s="8">
        <v>26</v>
      </c>
      <c r="M253" s="7" t="s">
        <v>77</v>
      </c>
      <c r="N253" s="8">
        <v>134</v>
      </c>
      <c r="O253" s="8">
        <v>1</v>
      </c>
      <c r="P253" s="5">
        <v>6609.3</v>
      </c>
      <c r="Q253" s="4">
        <v>45600</v>
      </c>
      <c r="R253" s="9">
        <v>0.33885416666666668</v>
      </c>
      <c r="S253" s="8">
        <v>16</v>
      </c>
      <c r="T253" s="7" t="s">
        <v>4456</v>
      </c>
      <c r="U253" s="7" t="s">
        <v>4455</v>
      </c>
      <c r="V2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4" spans="1:22" x14ac:dyDescent="0.35">
      <c r="A254" s="7" t="s">
        <v>1033</v>
      </c>
      <c r="B254" s="7" t="s">
        <v>167</v>
      </c>
      <c r="C254" s="5">
        <v>371.69</v>
      </c>
      <c r="D254" s="2">
        <v>0.68598379629838746</v>
      </c>
      <c r="E254" s="4">
        <v>45282</v>
      </c>
      <c r="F254" s="7" t="s">
        <v>17</v>
      </c>
      <c r="G254" s="7" t="s">
        <v>212</v>
      </c>
      <c r="H254" s="7" t="s">
        <v>873</v>
      </c>
      <c r="I254" s="7" t="s">
        <v>1034</v>
      </c>
      <c r="J254" s="7" t="s">
        <v>68</v>
      </c>
      <c r="K254" s="7" t="s">
        <v>69</v>
      </c>
      <c r="L254" s="8">
        <v>67</v>
      </c>
      <c r="M254" s="7" t="s">
        <v>70</v>
      </c>
      <c r="N254" s="8">
        <v>143</v>
      </c>
      <c r="O254" s="8">
        <v>1</v>
      </c>
      <c r="P254" s="5">
        <v>3484.32</v>
      </c>
      <c r="Q254" s="4">
        <v>45600</v>
      </c>
      <c r="R254" s="9">
        <v>0.3402662037037037</v>
      </c>
      <c r="S254" s="8">
        <v>16</v>
      </c>
      <c r="T254" s="7" t="s">
        <v>4454</v>
      </c>
      <c r="U254" s="7" t="s">
        <v>4455</v>
      </c>
      <c r="V2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5" spans="1:22" x14ac:dyDescent="0.35">
      <c r="A255" s="7" t="s">
        <v>1035</v>
      </c>
      <c r="B255" s="7" t="s">
        <v>698</v>
      </c>
      <c r="C255" s="5">
        <v>218.96</v>
      </c>
      <c r="D255" s="2">
        <v>0.67484953703387873</v>
      </c>
      <c r="E255" s="4">
        <v>45168</v>
      </c>
      <c r="F255" s="7" t="s">
        <v>17</v>
      </c>
      <c r="G255" s="7" t="s">
        <v>59</v>
      </c>
      <c r="H255" s="7" t="s">
        <v>658</v>
      </c>
      <c r="I255" s="7" t="s">
        <v>1036</v>
      </c>
      <c r="J255" s="7" t="s">
        <v>1037</v>
      </c>
      <c r="K255" s="7" t="s">
        <v>22</v>
      </c>
      <c r="L255" s="8">
        <v>18</v>
      </c>
      <c r="M255" s="7" t="s">
        <v>37</v>
      </c>
      <c r="N255" s="8">
        <v>13</v>
      </c>
      <c r="O255" s="8">
        <v>1</v>
      </c>
      <c r="P255" s="5">
        <v>754.21</v>
      </c>
      <c r="Q255" s="4">
        <v>45600</v>
      </c>
      <c r="R255" s="9">
        <v>0.34068287037037037</v>
      </c>
      <c r="S255" s="8">
        <v>16</v>
      </c>
      <c r="T255" s="7" t="s">
        <v>4456</v>
      </c>
      <c r="U255" s="7" t="s">
        <v>4455</v>
      </c>
      <c r="V2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6" spans="1:22" x14ac:dyDescent="0.35">
      <c r="A256" s="7" t="s">
        <v>1038</v>
      </c>
      <c r="B256" s="7" t="s">
        <v>962</v>
      </c>
      <c r="C256" s="5">
        <v>227.39</v>
      </c>
      <c r="D256" s="2">
        <v>0.70716435185022419</v>
      </c>
      <c r="E256" s="4">
        <v>45285</v>
      </c>
      <c r="F256" s="7" t="s">
        <v>17</v>
      </c>
      <c r="G256" s="7" t="s">
        <v>47</v>
      </c>
      <c r="H256" s="7" t="s">
        <v>1039</v>
      </c>
      <c r="I256" s="7" t="s">
        <v>523</v>
      </c>
      <c r="J256" s="7" t="s">
        <v>752</v>
      </c>
      <c r="K256" s="7" t="s">
        <v>36</v>
      </c>
      <c r="L256" s="8">
        <v>18</v>
      </c>
      <c r="M256" s="7" t="s">
        <v>37</v>
      </c>
      <c r="N256" s="8">
        <v>65</v>
      </c>
      <c r="O256" s="8">
        <v>1</v>
      </c>
      <c r="P256" s="5">
        <v>751.09</v>
      </c>
      <c r="Q256" s="4">
        <v>45600</v>
      </c>
      <c r="R256" s="9">
        <v>0.34138888888888891</v>
      </c>
      <c r="S256" s="8">
        <v>16</v>
      </c>
      <c r="T256" s="7" t="s">
        <v>4456</v>
      </c>
      <c r="U256" s="7" t="s">
        <v>4455</v>
      </c>
      <c r="V2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7" spans="1:22" x14ac:dyDescent="0.35">
      <c r="A257" s="7" t="s">
        <v>1040</v>
      </c>
      <c r="B257" s="7" t="s">
        <v>817</v>
      </c>
      <c r="C257" s="5">
        <v>237.99</v>
      </c>
      <c r="D257" s="2">
        <v>0.69804398147971369</v>
      </c>
      <c r="E257" s="4">
        <v>45054</v>
      </c>
      <c r="F257" s="7" t="s">
        <v>46</v>
      </c>
      <c r="G257" s="7" t="s">
        <v>291</v>
      </c>
      <c r="H257" s="7" t="s">
        <v>1041</v>
      </c>
      <c r="I257" s="7" t="s">
        <v>1042</v>
      </c>
      <c r="J257" s="7" t="s">
        <v>169</v>
      </c>
      <c r="K257" s="7" t="s">
        <v>69</v>
      </c>
      <c r="L257" s="8">
        <v>39</v>
      </c>
      <c r="M257" s="7" t="s">
        <v>23</v>
      </c>
      <c r="N257" s="8">
        <v>86</v>
      </c>
      <c r="O257" s="8">
        <v>1</v>
      </c>
      <c r="P257" s="5">
        <v>8510.09</v>
      </c>
      <c r="Q257" s="4">
        <v>45600</v>
      </c>
      <c r="R257" s="9">
        <v>0.34138888888888891</v>
      </c>
      <c r="S257" s="8">
        <v>16</v>
      </c>
      <c r="T257" s="7" t="s">
        <v>4457</v>
      </c>
      <c r="U257" s="7" t="s">
        <v>4455</v>
      </c>
      <c r="V2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8" spans="1:22" x14ac:dyDescent="0.35">
      <c r="A258" s="7" t="s">
        <v>1043</v>
      </c>
      <c r="B258" s="7" t="s">
        <v>1044</v>
      </c>
      <c r="C258" s="5">
        <v>186.6</v>
      </c>
      <c r="D258" s="2">
        <v>0.68568287036760012</v>
      </c>
      <c r="E258" s="4">
        <v>45111</v>
      </c>
      <c r="F258" s="7" t="s">
        <v>17</v>
      </c>
      <c r="G258" s="7" t="s">
        <v>453</v>
      </c>
      <c r="H258" s="7" t="s">
        <v>1045</v>
      </c>
      <c r="I258" s="7" t="s">
        <v>1046</v>
      </c>
      <c r="J258" s="7" t="s">
        <v>980</v>
      </c>
      <c r="K258" s="7" t="s">
        <v>36</v>
      </c>
      <c r="L258" s="8">
        <v>58</v>
      </c>
      <c r="M258" s="7" t="s">
        <v>23</v>
      </c>
      <c r="N258" s="8">
        <v>13</v>
      </c>
      <c r="O258" s="8">
        <v>1</v>
      </c>
      <c r="P258" s="5">
        <v>1508.72</v>
      </c>
      <c r="Q258" s="4">
        <v>45600</v>
      </c>
      <c r="R258" s="9">
        <v>0.33777777777777779</v>
      </c>
      <c r="S258" s="8">
        <v>16</v>
      </c>
      <c r="T258" s="7" t="s">
        <v>4454</v>
      </c>
      <c r="U258" s="7" t="s">
        <v>4455</v>
      </c>
      <c r="V2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9" spans="1:22" x14ac:dyDescent="0.35">
      <c r="A259" s="7" t="s">
        <v>1047</v>
      </c>
      <c r="B259" s="7" t="s">
        <v>962</v>
      </c>
      <c r="C259" s="5">
        <v>341.15</v>
      </c>
      <c r="D259" s="2">
        <v>0.72100694444088731</v>
      </c>
      <c r="E259" s="4">
        <v>44970</v>
      </c>
      <c r="F259" s="7" t="s">
        <v>17</v>
      </c>
      <c r="G259" s="7" t="s">
        <v>223</v>
      </c>
      <c r="H259" s="7" t="s">
        <v>457</v>
      </c>
      <c r="I259" s="7" t="s">
        <v>1048</v>
      </c>
      <c r="J259" s="7" t="s">
        <v>564</v>
      </c>
      <c r="K259" s="7" t="s">
        <v>36</v>
      </c>
      <c r="L259" s="8">
        <v>18</v>
      </c>
      <c r="M259" s="7" t="s">
        <v>37</v>
      </c>
      <c r="N259" s="8">
        <v>148</v>
      </c>
      <c r="O259" s="8">
        <v>1</v>
      </c>
      <c r="P259" s="5">
        <v>511.37</v>
      </c>
      <c r="Q259" s="4">
        <v>45600</v>
      </c>
      <c r="R259" s="9">
        <v>0.34038194444444442</v>
      </c>
      <c r="S259" s="8">
        <v>17</v>
      </c>
      <c r="T259" s="7" t="s">
        <v>4456</v>
      </c>
      <c r="U259" s="7" t="s">
        <v>4455</v>
      </c>
      <c r="V2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60" spans="1:22" x14ac:dyDescent="0.35">
      <c r="A260" s="7" t="s">
        <v>1049</v>
      </c>
      <c r="B260" s="7" t="s">
        <v>781</v>
      </c>
      <c r="C260" s="5">
        <v>434.58</v>
      </c>
      <c r="D260" s="2">
        <v>0.68655092592234723</v>
      </c>
      <c r="E260" s="4">
        <v>45175</v>
      </c>
      <c r="F260" s="7" t="s">
        <v>17</v>
      </c>
      <c r="G260" s="7" t="s">
        <v>92</v>
      </c>
      <c r="H260" s="7" t="s">
        <v>1050</v>
      </c>
      <c r="I260" s="7" t="s">
        <v>953</v>
      </c>
      <c r="J260" s="7" t="s">
        <v>50</v>
      </c>
      <c r="K260" s="7" t="s">
        <v>22</v>
      </c>
      <c r="L260" s="8">
        <v>59</v>
      </c>
      <c r="M260" s="7" t="s">
        <v>23</v>
      </c>
      <c r="N260" s="8">
        <v>215</v>
      </c>
      <c r="O260" s="8">
        <v>1</v>
      </c>
      <c r="P260" s="5">
        <v>12648.32</v>
      </c>
      <c r="Q260" s="4">
        <v>45600</v>
      </c>
      <c r="R260" s="9">
        <v>0.33906249999999999</v>
      </c>
      <c r="S260" s="8">
        <v>16</v>
      </c>
      <c r="T260" s="7" t="s">
        <v>4454</v>
      </c>
      <c r="U260" s="7" t="s">
        <v>4455</v>
      </c>
      <c r="V2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61" spans="1:22" x14ac:dyDescent="0.35">
      <c r="A261" s="7" t="s">
        <v>1051</v>
      </c>
      <c r="B261" s="7" t="s">
        <v>1052</v>
      </c>
      <c r="C261" s="5">
        <v>312.88</v>
      </c>
      <c r="D261" s="2">
        <v>0.75891203703940846</v>
      </c>
      <c r="E261" s="4">
        <v>45072</v>
      </c>
      <c r="F261" s="7" t="s">
        <v>46</v>
      </c>
      <c r="G261" s="7" t="s">
        <v>595</v>
      </c>
      <c r="H261" s="7" t="s">
        <v>823</v>
      </c>
      <c r="I261" s="7" t="s">
        <v>1053</v>
      </c>
      <c r="J261" s="7" t="s">
        <v>143</v>
      </c>
      <c r="K261" s="7" t="s">
        <v>69</v>
      </c>
      <c r="L261" s="8">
        <v>54</v>
      </c>
      <c r="M261" s="7" t="s">
        <v>77</v>
      </c>
      <c r="N261" s="8">
        <v>44</v>
      </c>
      <c r="O261" s="8">
        <v>1</v>
      </c>
      <c r="P261" s="5">
        <v>233.21</v>
      </c>
      <c r="Q261" s="4">
        <v>45600</v>
      </c>
      <c r="R261" s="9">
        <v>0.33846064814814814</v>
      </c>
      <c r="S261" s="8">
        <v>18</v>
      </c>
      <c r="T261" s="7" t="s">
        <v>4457</v>
      </c>
      <c r="U261" s="7" t="s">
        <v>4455</v>
      </c>
      <c r="V2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62" spans="1:22" x14ac:dyDescent="0.35">
      <c r="A262" s="7" t="s">
        <v>1054</v>
      </c>
      <c r="B262" s="7" t="s">
        <v>107</v>
      </c>
      <c r="C262" s="5">
        <v>75.150000000000006</v>
      </c>
      <c r="D262" s="2">
        <v>0.73012731481139781</v>
      </c>
      <c r="E262" s="4">
        <v>45187</v>
      </c>
      <c r="F262" s="7" t="s">
        <v>17</v>
      </c>
      <c r="G262" s="7" t="s">
        <v>388</v>
      </c>
      <c r="H262" s="7" t="s">
        <v>862</v>
      </c>
      <c r="I262" s="7" t="s">
        <v>1055</v>
      </c>
      <c r="J262" s="7" t="s">
        <v>209</v>
      </c>
      <c r="K262" s="7" t="s">
        <v>22</v>
      </c>
      <c r="L262" s="8">
        <v>23</v>
      </c>
      <c r="M262" s="7" t="s">
        <v>37</v>
      </c>
      <c r="N262" s="8">
        <v>154</v>
      </c>
      <c r="O262" s="8">
        <v>1</v>
      </c>
      <c r="P262" s="5">
        <v>1092.92</v>
      </c>
      <c r="Q262" s="4">
        <v>45600</v>
      </c>
      <c r="R262" s="9">
        <v>0.34097222222222223</v>
      </c>
      <c r="S262" s="8">
        <v>17</v>
      </c>
      <c r="T262" s="7" t="s">
        <v>4456</v>
      </c>
      <c r="U262" s="7" t="s">
        <v>4455</v>
      </c>
      <c r="V2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63" spans="1:22" x14ac:dyDescent="0.35">
      <c r="A263" s="7" t="s">
        <v>1056</v>
      </c>
      <c r="B263" s="7" t="s">
        <v>1057</v>
      </c>
      <c r="C263" s="5">
        <v>23.3</v>
      </c>
      <c r="D263" s="2">
        <v>0.75946759259386454</v>
      </c>
      <c r="E263" s="4">
        <v>45152</v>
      </c>
      <c r="F263" s="7" t="s">
        <v>17</v>
      </c>
      <c r="G263" s="7" t="s">
        <v>140</v>
      </c>
      <c r="H263" s="7" t="s">
        <v>1058</v>
      </c>
      <c r="I263" s="7" t="s">
        <v>518</v>
      </c>
      <c r="J263" s="7" t="s">
        <v>885</v>
      </c>
      <c r="K263" s="7" t="s">
        <v>22</v>
      </c>
      <c r="L263" s="8">
        <v>59</v>
      </c>
      <c r="M263" s="7" t="s">
        <v>77</v>
      </c>
      <c r="N263" s="8">
        <v>161</v>
      </c>
      <c r="O263" s="8">
        <v>1</v>
      </c>
      <c r="P263" s="5">
        <v>6711.15</v>
      </c>
      <c r="Q263" s="4">
        <v>45600</v>
      </c>
      <c r="R263" s="9">
        <v>0.33895833333333331</v>
      </c>
      <c r="S263" s="8">
        <v>18</v>
      </c>
      <c r="T263" s="7" t="s">
        <v>4454</v>
      </c>
      <c r="U263" s="7" t="s">
        <v>4455</v>
      </c>
      <c r="V2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64" spans="1:22" x14ac:dyDescent="0.35">
      <c r="A264" s="7" t="s">
        <v>1059</v>
      </c>
      <c r="B264" s="7" t="s">
        <v>1060</v>
      </c>
      <c r="C264" s="5">
        <v>47.38</v>
      </c>
      <c r="D264" s="2">
        <v>0.76258101851999527</v>
      </c>
      <c r="E264" s="4">
        <v>44965</v>
      </c>
      <c r="F264" s="7" t="s">
        <v>46</v>
      </c>
      <c r="G264" s="7" t="s">
        <v>59</v>
      </c>
      <c r="H264" s="7" t="s">
        <v>1061</v>
      </c>
      <c r="I264" s="7" t="s">
        <v>1032</v>
      </c>
      <c r="J264" s="7" t="s">
        <v>885</v>
      </c>
      <c r="K264" s="7" t="s">
        <v>36</v>
      </c>
      <c r="L264" s="8">
        <v>25</v>
      </c>
      <c r="M264" s="7" t="s">
        <v>37</v>
      </c>
      <c r="N264" s="8">
        <v>61</v>
      </c>
      <c r="O264" s="8">
        <v>1</v>
      </c>
      <c r="P264" s="5">
        <v>459.37</v>
      </c>
      <c r="Q264" s="4">
        <v>45600</v>
      </c>
      <c r="R264" s="9">
        <v>0.33825231481481483</v>
      </c>
      <c r="S264" s="8">
        <v>18</v>
      </c>
      <c r="T264" s="7" t="s">
        <v>4456</v>
      </c>
      <c r="U264" s="7" t="s">
        <v>4455</v>
      </c>
      <c r="V2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65" spans="1:22" x14ac:dyDescent="0.35">
      <c r="A265" s="7" t="s">
        <v>1062</v>
      </c>
      <c r="B265" s="7" t="s">
        <v>364</v>
      </c>
      <c r="C265" s="5">
        <v>512.80999999999995</v>
      </c>
      <c r="D265" s="2">
        <v>0.70626157407241408</v>
      </c>
      <c r="E265" s="4">
        <v>45126</v>
      </c>
      <c r="F265" s="7" t="s">
        <v>17</v>
      </c>
      <c r="G265" s="7" t="s">
        <v>285</v>
      </c>
      <c r="H265" s="7" t="s">
        <v>1063</v>
      </c>
      <c r="I265" s="7" t="s">
        <v>1064</v>
      </c>
      <c r="J265" s="7" t="s">
        <v>432</v>
      </c>
      <c r="K265" s="7" t="s">
        <v>69</v>
      </c>
      <c r="L265" s="8">
        <v>79</v>
      </c>
      <c r="M265" s="7" t="s">
        <v>70</v>
      </c>
      <c r="N265" s="8">
        <v>30</v>
      </c>
      <c r="O265" s="8">
        <v>1</v>
      </c>
      <c r="P265" s="5">
        <v>6994.34</v>
      </c>
      <c r="Q265" s="4">
        <v>45600</v>
      </c>
      <c r="R265" s="9">
        <v>0.34164351851851854</v>
      </c>
      <c r="S265" s="8">
        <v>16</v>
      </c>
      <c r="T265" s="7" t="s">
        <v>4454</v>
      </c>
      <c r="U265" s="7" t="s">
        <v>4455</v>
      </c>
      <c r="V2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66" spans="1:22" x14ac:dyDescent="0.35">
      <c r="A266" s="7" t="s">
        <v>1065</v>
      </c>
      <c r="B266" s="7" t="s">
        <v>1066</v>
      </c>
      <c r="C266" s="5">
        <v>488.15</v>
      </c>
      <c r="D266" s="2">
        <v>0.66736111111094942</v>
      </c>
      <c r="E266" s="4">
        <v>45138</v>
      </c>
      <c r="F266" s="7" t="s">
        <v>17</v>
      </c>
      <c r="G266" s="7" t="s">
        <v>108</v>
      </c>
      <c r="H266" s="7" t="s">
        <v>1067</v>
      </c>
      <c r="I266" s="7" t="s">
        <v>316</v>
      </c>
      <c r="J266" s="7" t="s">
        <v>634</v>
      </c>
      <c r="K266" s="7" t="s">
        <v>69</v>
      </c>
      <c r="L266" s="8">
        <v>43</v>
      </c>
      <c r="M266" s="7" t="s">
        <v>77</v>
      </c>
      <c r="N266" s="8">
        <v>168</v>
      </c>
      <c r="O266" s="8">
        <v>1</v>
      </c>
      <c r="P266" s="5">
        <v>7071.09</v>
      </c>
      <c r="Q266" s="4">
        <v>45600</v>
      </c>
      <c r="R266" s="9">
        <v>0.34112268518518518</v>
      </c>
      <c r="S266" s="8">
        <v>16</v>
      </c>
      <c r="T266" s="7" t="s">
        <v>4457</v>
      </c>
      <c r="U266" s="7" t="s">
        <v>4455</v>
      </c>
      <c r="V2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67" spans="1:22" x14ac:dyDescent="0.35">
      <c r="A267" s="7" t="s">
        <v>1068</v>
      </c>
      <c r="B267" s="7" t="s">
        <v>1069</v>
      </c>
      <c r="C267" s="5">
        <v>12.82</v>
      </c>
      <c r="D267" s="2">
        <v>0.77581018518685596</v>
      </c>
      <c r="E267" s="4">
        <v>45021</v>
      </c>
      <c r="F267" s="7" t="s">
        <v>17</v>
      </c>
      <c r="G267" s="7" t="s">
        <v>157</v>
      </c>
      <c r="H267" s="7" t="s">
        <v>1070</v>
      </c>
      <c r="I267" s="7" t="s">
        <v>185</v>
      </c>
      <c r="J267" s="7" t="s">
        <v>288</v>
      </c>
      <c r="K267" s="7" t="s">
        <v>22</v>
      </c>
      <c r="L267" s="8">
        <v>44</v>
      </c>
      <c r="M267" s="7" t="s">
        <v>77</v>
      </c>
      <c r="N267" s="8">
        <v>156</v>
      </c>
      <c r="O267" s="8">
        <v>1</v>
      </c>
      <c r="P267" s="5">
        <v>9045.19</v>
      </c>
      <c r="Q267" s="4">
        <v>45600</v>
      </c>
      <c r="R267" s="9">
        <v>0.33917824074074077</v>
      </c>
      <c r="S267" s="8">
        <v>18</v>
      </c>
      <c r="T267" s="7" t="s">
        <v>4457</v>
      </c>
      <c r="U267" s="7" t="s">
        <v>4455</v>
      </c>
      <c r="V2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68" spans="1:22" x14ac:dyDescent="0.35">
      <c r="A268" s="7" t="s">
        <v>1071</v>
      </c>
      <c r="B268" s="7" t="s">
        <v>498</v>
      </c>
      <c r="C268" s="5">
        <v>66.900000000000006</v>
      </c>
      <c r="D268" s="2">
        <v>0.70190972222189885</v>
      </c>
      <c r="E268" s="4">
        <v>45033</v>
      </c>
      <c r="F268" s="7" t="s">
        <v>46</v>
      </c>
      <c r="G268" s="7" t="s">
        <v>249</v>
      </c>
      <c r="H268" s="7" t="s">
        <v>982</v>
      </c>
      <c r="I268" s="7" t="s">
        <v>1072</v>
      </c>
      <c r="J268" s="7" t="s">
        <v>1037</v>
      </c>
      <c r="K268" s="7" t="s">
        <v>36</v>
      </c>
      <c r="L268" s="8">
        <v>79</v>
      </c>
      <c r="M268" s="7" t="s">
        <v>70</v>
      </c>
      <c r="N268" s="8">
        <v>129</v>
      </c>
      <c r="O268" s="8">
        <v>4</v>
      </c>
      <c r="P268" s="5">
        <v>5238.71</v>
      </c>
      <c r="Q268" s="4">
        <v>45600</v>
      </c>
      <c r="R268" s="9">
        <v>0.34072916666666669</v>
      </c>
      <c r="S268" s="8">
        <v>16</v>
      </c>
      <c r="T268" s="7" t="s">
        <v>4454</v>
      </c>
      <c r="U268" s="7" t="s">
        <v>4458</v>
      </c>
      <c r="V2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69" spans="1:22" x14ac:dyDescent="0.35">
      <c r="A269" s="7" t="s">
        <v>1073</v>
      </c>
      <c r="B269" s="7" t="s">
        <v>1074</v>
      </c>
      <c r="C269" s="5">
        <v>535.91</v>
      </c>
      <c r="D269" s="2">
        <v>0.69319444444408873</v>
      </c>
      <c r="E269" s="4">
        <v>45114</v>
      </c>
      <c r="F269" s="7" t="s">
        <v>17</v>
      </c>
      <c r="G269" s="7" t="s">
        <v>146</v>
      </c>
      <c r="H269" s="7" t="s">
        <v>1075</v>
      </c>
      <c r="I269" s="7" t="s">
        <v>1076</v>
      </c>
      <c r="J269" s="7" t="s">
        <v>348</v>
      </c>
      <c r="K269" s="7" t="s">
        <v>36</v>
      </c>
      <c r="L269" s="8">
        <v>43</v>
      </c>
      <c r="M269" s="7" t="s">
        <v>77</v>
      </c>
      <c r="N269" s="8">
        <v>22</v>
      </c>
      <c r="O269" s="8">
        <v>1</v>
      </c>
      <c r="P269" s="5">
        <v>9642.1200000000008</v>
      </c>
      <c r="Q269" s="4">
        <v>45600</v>
      </c>
      <c r="R269" s="9">
        <v>0.34084490740740742</v>
      </c>
      <c r="S269" s="8">
        <v>16</v>
      </c>
      <c r="T269" s="7" t="s">
        <v>4457</v>
      </c>
      <c r="U269" s="7" t="s">
        <v>4455</v>
      </c>
      <c r="V2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70" spans="1:22" x14ac:dyDescent="0.35">
      <c r="A270" s="7" t="s">
        <v>1077</v>
      </c>
      <c r="B270" s="7" t="s">
        <v>1078</v>
      </c>
      <c r="C270" s="5">
        <v>270.72000000000003</v>
      </c>
      <c r="D270" s="2">
        <v>0.75069444444670808</v>
      </c>
      <c r="E270" s="4">
        <v>45110</v>
      </c>
      <c r="F270" s="7" t="s">
        <v>46</v>
      </c>
      <c r="G270" s="7" t="s">
        <v>453</v>
      </c>
      <c r="H270" s="7" t="s">
        <v>1079</v>
      </c>
      <c r="I270" s="7" t="s">
        <v>597</v>
      </c>
      <c r="J270" s="7" t="s">
        <v>209</v>
      </c>
      <c r="K270" s="7" t="s">
        <v>36</v>
      </c>
      <c r="L270" s="8">
        <v>26</v>
      </c>
      <c r="M270" s="7" t="s">
        <v>77</v>
      </c>
      <c r="N270" s="8">
        <v>53</v>
      </c>
      <c r="O270" s="8">
        <v>1</v>
      </c>
      <c r="P270" s="5">
        <v>6263.96</v>
      </c>
      <c r="Q270" s="4">
        <v>45600</v>
      </c>
      <c r="R270" s="9">
        <v>0.34103009259259259</v>
      </c>
      <c r="S270" s="8">
        <v>18</v>
      </c>
      <c r="T270" s="7" t="s">
        <v>4456</v>
      </c>
      <c r="U270" s="7" t="s">
        <v>4455</v>
      </c>
      <c r="V2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71" spans="1:22" x14ac:dyDescent="0.35">
      <c r="A271" s="7" t="s">
        <v>1080</v>
      </c>
      <c r="B271" s="7" t="s">
        <v>1081</v>
      </c>
      <c r="C271" s="5">
        <v>97.98</v>
      </c>
      <c r="D271" s="2">
        <v>0.67347222222451819</v>
      </c>
      <c r="E271" s="4">
        <v>44963</v>
      </c>
      <c r="F271" s="7" t="s">
        <v>17</v>
      </c>
      <c r="G271" s="7" t="s">
        <v>114</v>
      </c>
      <c r="H271" s="7" t="s">
        <v>1082</v>
      </c>
      <c r="I271" s="7" t="s">
        <v>1083</v>
      </c>
      <c r="J271" s="7" t="s">
        <v>450</v>
      </c>
      <c r="K271" s="7" t="s">
        <v>69</v>
      </c>
      <c r="L271" s="8">
        <v>72</v>
      </c>
      <c r="M271" s="7" t="s">
        <v>70</v>
      </c>
      <c r="N271" s="8">
        <v>18</v>
      </c>
      <c r="O271" s="8">
        <v>1</v>
      </c>
      <c r="P271" s="5">
        <v>7460.33</v>
      </c>
      <c r="Q271" s="4">
        <v>45600</v>
      </c>
      <c r="R271" s="9">
        <v>0.33938657407407408</v>
      </c>
      <c r="S271" s="8">
        <v>16</v>
      </c>
      <c r="T271" s="7" t="s">
        <v>4454</v>
      </c>
      <c r="U271" s="7" t="s">
        <v>4455</v>
      </c>
      <c r="V2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72" spans="1:22" x14ac:dyDescent="0.35">
      <c r="A272" s="7" t="s">
        <v>1084</v>
      </c>
      <c r="B272" s="7" t="s">
        <v>1085</v>
      </c>
      <c r="C272" s="5">
        <v>196.08</v>
      </c>
      <c r="D272" s="2">
        <v>0.70310185185371665</v>
      </c>
      <c r="E272" s="4">
        <v>45163</v>
      </c>
      <c r="F272" s="7" t="s">
        <v>17</v>
      </c>
      <c r="G272" s="7" t="s">
        <v>212</v>
      </c>
      <c r="H272" s="7" t="s">
        <v>1086</v>
      </c>
      <c r="I272" s="7" t="s">
        <v>325</v>
      </c>
      <c r="J272" s="7" t="s">
        <v>769</v>
      </c>
      <c r="K272" s="7" t="s">
        <v>36</v>
      </c>
      <c r="L272" s="8">
        <v>61</v>
      </c>
      <c r="M272" s="7" t="s">
        <v>70</v>
      </c>
      <c r="N272" s="8">
        <v>98</v>
      </c>
      <c r="O272" s="8">
        <v>1</v>
      </c>
      <c r="P272" s="5">
        <v>4233.82</v>
      </c>
      <c r="Q272" s="4">
        <v>45600</v>
      </c>
      <c r="R272" s="9">
        <v>0.33785879629629628</v>
      </c>
      <c r="S272" s="8">
        <v>16</v>
      </c>
      <c r="T272" s="7" t="s">
        <v>4454</v>
      </c>
      <c r="U272" s="7" t="s">
        <v>4455</v>
      </c>
      <c r="V2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73" spans="1:22" x14ac:dyDescent="0.35">
      <c r="A273" s="7" t="s">
        <v>1087</v>
      </c>
      <c r="B273" s="7" t="s">
        <v>1088</v>
      </c>
      <c r="C273" s="5">
        <v>251.18</v>
      </c>
      <c r="D273" s="2">
        <v>0.70221064814541023</v>
      </c>
      <c r="E273" s="4">
        <v>45078</v>
      </c>
      <c r="F273" s="7" t="s">
        <v>17</v>
      </c>
      <c r="G273" s="7" t="s">
        <v>223</v>
      </c>
      <c r="H273" s="7" t="s">
        <v>1089</v>
      </c>
      <c r="I273" s="7" t="s">
        <v>500</v>
      </c>
      <c r="J273" s="7" t="s">
        <v>707</v>
      </c>
      <c r="K273" s="7" t="s">
        <v>22</v>
      </c>
      <c r="L273" s="8">
        <v>42</v>
      </c>
      <c r="M273" s="7" t="s">
        <v>77</v>
      </c>
      <c r="N273" s="8">
        <v>246</v>
      </c>
      <c r="O273" s="8">
        <v>1</v>
      </c>
      <c r="P273" s="5">
        <v>8303.9</v>
      </c>
      <c r="Q273" s="4">
        <v>45600</v>
      </c>
      <c r="R273" s="9">
        <v>0.33883101851851855</v>
      </c>
      <c r="S273" s="8">
        <v>16</v>
      </c>
      <c r="T273" s="7" t="s">
        <v>4457</v>
      </c>
      <c r="U273" s="7" t="s">
        <v>4455</v>
      </c>
      <c r="V2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74" spans="1:22" x14ac:dyDescent="0.35">
      <c r="A274" s="7" t="s">
        <v>1090</v>
      </c>
      <c r="B274" s="7" t="s">
        <v>533</v>
      </c>
      <c r="C274" s="5">
        <v>44.52</v>
      </c>
      <c r="D274" s="2">
        <v>0.77112268518249039</v>
      </c>
      <c r="E274" s="4">
        <v>45013</v>
      </c>
      <c r="F274" s="7" t="s">
        <v>17</v>
      </c>
      <c r="G274" s="7" t="s">
        <v>506</v>
      </c>
      <c r="H274" s="7" t="s">
        <v>1091</v>
      </c>
      <c r="I274" s="7" t="s">
        <v>1092</v>
      </c>
      <c r="J274" s="7" t="s">
        <v>427</v>
      </c>
      <c r="K274" s="7" t="s">
        <v>36</v>
      </c>
      <c r="L274" s="8">
        <v>28</v>
      </c>
      <c r="M274" s="7" t="s">
        <v>37</v>
      </c>
      <c r="N274" s="8">
        <v>205</v>
      </c>
      <c r="O274" s="8">
        <v>1</v>
      </c>
      <c r="P274" s="5">
        <v>314.27999999999997</v>
      </c>
      <c r="Q274" s="4">
        <v>45600</v>
      </c>
      <c r="R274" s="9">
        <v>0.34060185185185188</v>
      </c>
      <c r="S274" s="8">
        <v>18</v>
      </c>
      <c r="T274" s="7" t="s">
        <v>4456</v>
      </c>
      <c r="U274" s="7" t="s">
        <v>4455</v>
      </c>
      <c r="V2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75" spans="1:22" x14ac:dyDescent="0.35">
      <c r="A275" s="7" t="s">
        <v>1093</v>
      </c>
      <c r="B275" s="7" t="s">
        <v>25</v>
      </c>
      <c r="C275" s="5">
        <v>178.87</v>
      </c>
      <c r="D275" s="2">
        <v>0.66937499999767169</v>
      </c>
      <c r="E275" s="4">
        <v>45069</v>
      </c>
      <c r="F275" s="7" t="s">
        <v>17</v>
      </c>
      <c r="G275" s="7" t="s">
        <v>197</v>
      </c>
      <c r="H275" s="7" t="s">
        <v>579</v>
      </c>
      <c r="I275" s="7" t="s">
        <v>1094</v>
      </c>
      <c r="J275" s="7" t="s">
        <v>353</v>
      </c>
      <c r="K275" s="7" t="s">
        <v>36</v>
      </c>
      <c r="L275" s="8">
        <v>35</v>
      </c>
      <c r="M275" s="7" t="s">
        <v>23</v>
      </c>
      <c r="N275" s="8">
        <v>180</v>
      </c>
      <c r="O275" s="8">
        <v>1</v>
      </c>
      <c r="P275" s="5">
        <v>5241.2299999999996</v>
      </c>
      <c r="Q275" s="4">
        <v>45600</v>
      </c>
      <c r="R275" s="9">
        <v>0.34046296296296297</v>
      </c>
      <c r="S275" s="8">
        <v>16</v>
      </c>
      <c r="T275" s="7" t="s">
        <v>4457</v>
      </c>
      <c r="U275" s="7" t="s">
        <v>4455</v>
      </c>
      <c r="V2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76" spans="1:22" x14ac:dyDescent="0.35">
      <c r="A276" s="7" t="s">
        <v>1095</v>
      </c>
      <c r="B276" s="7" t="s">
        <v>1096</v>
      </c>
      <c r="C276" s="5">
        <v>1176.28</v>
      </c>
      <c r="D276" s="2">
        <v>0.67224537036963739</v>
      </c>
      <c r="E276" s="4">
        <v>45280</v>
      </c>
      <c r="F276" s="7" t="s">
        <v>46</v>
      </c>
      <c r="G276" s="7" t="s">
        <v>291</v>
      </c>
      <c r="H276" s="7" t="s">
        <v>1097</v>
      </c>
      <c r="I276" s="7" t="s">
        <v>1098</v>
      </c>
      <c r="J276" s="7" t="s">
        <v>226</v>
      </c>
      <c r="K276" s="7" t="s">
        <v>22</v>
      </c>
      <c r="L276" s="8">
        <v>54</v>
      </c>
      <c r="M276" s="7" t="s">
        <v>77</v>
      </c>
      <c r="N276" s="8">
        <v>174</v>
      </c>
      <c r="O276" s="8">
        <v>5</v>
      </c>
      <c r="P276" s="5">
        <v>323.69</v>
      </c>
      <c r="Q276" s="4">
        <v>45600</v>
      </c>
      <c r="R276" s="9">
        <v>0.3414814814814815</v>
      </c>
      <c r="S276" s="8">
        <v>16</v>
      </c>
      <c r="T276" s="7" t="s">
        <v>4457</v>
      </c>
      <c r="U276" s="7" t="s">
        <v>4458</v>
      </c>
      <c r="V2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77" spans="1:22" x14ac:dyDescent="0.35">
      <c r="A277" s="7" t="s">
        <v>1099</v>
      </c>
      <c r="B277" s="7" t="s">
        <v>305</v>
      </c>
      <c r="C277" s="5">
        <v>386.68</v>
      </c>
      <c r="D277" s="2">
        <v>0.70001157407386927</v>
      </c>
      <c r="E277" s="4">
        <v>45230</v>
      </c>
      <c r="F277" s="7" t="s">
        <v>17</v>
      </c>
      <c r="G277" s="7" t="s">
        <v>203</v>
      </c>
      <c r="H277" s="7" t="s">
        <v>457</v>
      </c>
      <c r="I277" s="7" t="s">
        <v>1100</v>
      </c>
      <c r="J277" s="7" t="s">
        <v>62</v>
      </c>
      <c r="K277" s="7" t="s">
        <v>69</v>
      </c>
      <c r="L277" s="8">
        <v>46</v>
      </c>
      <c r="M277" s="7" t="s">
        <v>23</v>
      </c>
      <c r="N277" s="8">
        <v>128</v>
      </c>
      <c r="O277" s="8">
        <v>1</v>
      </c>
      <c r="P277" s="5">
        <v>6863.06</v>
      </c>
      <c r="Q277" s="4">
        <v>45600</v>
      </c>
      <c r="R277" s="9">
        <v>0.33782407407407405</v>
      </c>
      <c r="S277" s="8">
        <v>16</v>
      </c>
      <c r="T277" s="7" t="s">
        <v>4457</v>
      </c>
      <c r="U277" s="7" t="s">
        <v>4455</v>
      </c>
      <c r="V2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78" spans="1:22" x14ac:dyDescent="0.35">
      <c r="A278" s="7" t="s">
        <v>1101</v>
      </c>
      <c r="B278" s="7" t="s">
        <v>657</v>
      </c>
      <c r="C278" s="5">
        <v>167.14</v>
      </c>
      <c r="D278" s="2">
        <v>0.77325231481518131</v>
      </c>
      <c r="E278" s="4">
        <v>45040</v>
      </c>
      <c r="F278" s="7" t="s">
        <v>17</v>
      </c>
      <c r="G278" s="7" t="s">
        <v>114</v>
      </c>
      <c r="H278" s="7" t="s">
        <v>397</v>
      </c>
      <c r="I278" s="7" t="s">
        <v>378</v>
      </c>
      <c r="J278" s="7" t="s">
        <v>474</v>
      </c>
      <c r="K278" s="7" t="s">
        <v>36</v>
      </c>
      <c r="L278" s="8">
        <v>76</v>
      </c>
      <c r="M278" s="7" t="s">
        <v>70</v>
      </c>
      <c r="N278" s="8">
        <v>20</v>
      </c>
      <c r="O278" s="8">
        <v>1</v>
      </c>
      <c r="P278" s="5">
        <v>3877.73</v>
      </c>
      <c r="Q278" s="4">
        <v>45600</v>
      </c>
      <c r="R278" s="9">
        <v>0.33780092592592592</v>
      </c>
      <c r="S278" s="8">
        <v>18</v>
      </c>
      <c r="T278" s="7" t="s">
        <v>4454</v>
      </c>
      <c r="U278" s="7" t="s">
        <v>4455</v>
      </c>
      <c r="V2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79" spans="1:22" x14ac:dyDescent="0.35">
      <c r="A279" s="7" t="s">
        <v>1102</v>
      </c>
      <c r="B279" s="7" t="s">
        <v>434</v>
      </c>
      <c r="C279" s="5">
        <v>345.22</v>
      </c>
      <c r="D279" s="2">
        <v>0.70540509259444661</v>
      </c>
      <c r="E279" s="4">
        <v>45174</v>
      </c>
      <c r="F279" s="7" t="s">
        <v>17</v>
      </c>
      <c r="G279" s="7" t="s">
        <v>558</v>
      </c>
      <c r="H279" s="7" t="s">
        <v>1103</v>
      </c>
      <c r="I279" s="7" t="s">
        <v>1104</v>
      </c>
      <c r="J279" s="7" t="s">
        <v>105</v>
      </c>
      <c r="K279" s="7" t="s">
        <v>69</v>
      </c>
      <c r="L279" s="8">
        <v>69</v>
      </c>
      <c r="M279" s="7" t="s">
        <v>70</v>
      </c>
      <c r="N279" s="8">
        <v>253</v>
      </c>
      <c r="O279" s="8">
        <v>1</v>
      </c>
      <c r="P279" s="5">
        <v>4046.58</v>
      </c>
      <c r="Q279" s="4">
        <v>45600</v>
      </c>
      <c r="R279" s="9">
        <v>0.33861111111111108</v>
      </c>
      <c r="S279" s="8">
        <v>16</v>
      </c>
      <c r="T279" s="7" t="s">
        <v>4454</v>
      </c>
      <c r="U279" s="7" t="s">
        <v>4455</v>
      </c>
      <c r="V2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80" spans="1:22" x14ac:dyDescent="0.35">
      <c r="A280" s="7" t="s">
        <v>1105</v>
      </c>
      <c r="B280" s="7" t="s">
        <v>1106</v>
      </c>
      <c r="C280" s="5">
        <v>74.849999999999994</v>
      </c>
      <c r="D280" s="2">
        <v>0.72162037037196569</v>
      </c>
      <c r="E280" s="4">
        <v>45285</v>
      </c>
      <c r="F280" s="7" t="s">
        <v>17</v>
      </c>
      <c r="G280" s="7" t="s">
        <v>40</v>
      </c>
      <c r="H280" s="7" t="s">
        <v>472</v>
      </c>
      <c r="I280" s="7" t="s">
        <v>159</v>
      </c>
      <c r="J280" s="7" t="s">
        <v>50</v>
      </c>
      <c r="K280" s="7" t="s">
        <v>22</v>
      </c>
      <c r="L280" s="8">
        <v>72</v>
      </c>
      <c r="M280" s="7" t="s">
        <v>70</v>
      </c>
      <c r="N280" s="8">
        <v>117</v>
      </c>
      <c r="O280" s="8">
        <v>1</v>
      </c>
      <c r="P280" s="5">
        <v>2409.73</v>
      </c>
      <c r="Q280" s="4">
        <v>45600</v>
      </c>
      <c r="R280" s="9">
        <v>0.34153935185185186</v>
      </c>
      <c r="S280" s="8">
        <v>17</v>
      </c>
      <c r="T280" s="7" t="s">
        <v>4454</v>
      </c>
      <c r="U280" s="7" t="s">
        <v>4455</v>
      </c>
      <c r="V2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81" spans="1:22" x14ac:dyDescent="0.35">
      <c r="A281" s="7" t="s">
        <v>1107</v>
      </c>
      <c r="B281" s="7" t="s">
        <v>424</v>
      </c>
      <c r="C281" s="5">
        <v>671.73</v>
      </c>
      <c r="D281" s="2">
        <v>0.67770833333634073</v>
      </c>
      <c r="E281" s="4">
        <v>45215</v>
      </c>
      <c r="F281" s="7" t="s">
        <v>17</v>
      </c>
      <c r="G281" s="7" t="s">
        <v>453</v>
      </c>
      <c r="H281" s="7" t="s">
        <v>1108</v>
      </c>
      <c r="I281" s="7" t="s">
        <v>1109</v>
      </c>
      <c r="J281" s="7" t="s">
        <v>358</v>
      </c>
      <c r="K281" s="7" t="s">
        <v>69</v>
      </c>
      <c r="L281" s="8">
        <v>58</v>
      </c>
      <c r="M281" s="7" t="s">
        <v>77</v>
      </c>
      <c r="N281" s="8">
        <v>54</v>
      </c>
      <c r="O281" s="8">
        <v>1</v>
      </c>
      <c r="P281" s="5">
        <v>5211.88</v>
      </c>
      <c r="Q281" s="4">
        <v>45600</v>
      </c>
      <c r="R281" s="9">
        <v>0.34171296296296294</v>
      </c>
      <c r="S281" s="8">
        <v>16</v>
      </c>
      <c r="T281" s="7" t="s">
        <v>4454</v>
      </c>
      <c r="U281" s="7" t="s">
        <v>4455</v>
      </c>
      <c r="V2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82" spans="1:22" x14ac:dyDescent="0.35">
      <c r="A282" s="7" t="s">
        <v>1110</v>
      </c>
      <c r="B282" s="7" t="s">
        <v>1111</v>
      </c>
      <c r="C282" s="5">
        <v>255.04</v>
      </c>
      <c r="D282" s="2">
        <v>0.67776620370568708</v>
      </c>
      <c r="E282" s="4">
        <v>45253</v>
      </c>
      <c r="F282" s="7" t="s">
        <v>17</v>
      </c>
      <c r="G282" s="7" t="s">
        <v>59</v>
      </c>
      <c r="H282" s="7" t="s">
        <v>430</v>
      </c>
      <c r="I282" s="7" t="s">
        <v>1112</v>
      </c>
      <c r="J282" s="7" t="s">
        <v>820</v>
      </c>
      <c r="K282" s="7" t="s">
        <v>22</v>
      </c>
      <c r="L282" s="8">
        <v>45</v>
      </c>
      <c r="M282" s="7" t="s">
        <v>77</v>
      </c>
      <c r="N282" s="8">
        <v>152</v>
      </c>
      <c r="O282" s="8">
        <v>1</v>
      </c>
      <c r="P282" s="5">
        <v>6217.86</v>
      </c>
      <c r="Q282" s="4">
        <v>45600</v>
      </c>
      <c r="R282" s="9">
        <v>0.34141203703703704</v>
      </c>
      <c r="S282" s="8">
        <v>16</v>
      </c>
      <c r="T282" s="7" t="s">
        <v>4457</v>
      </c>
      <c r="U282" s="7" t="s">
        <v>4455</v>
      </c>
      <c r="V2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83" spans="1:22" x14ac:dyDescent="0.35">
      <c r="A283" s="7" t="s">
        <v>1113</v>
      </c>
      <c r="B283" s="7" t="s">
        <v>1114</v>
      </c>
      <c r="C283" s="5">
        <v>45.77</v>
      </c>
      <c r="D283" s="2">
        <v>0.74332175926247146</v>
      </c>
      <c r="E283" s="4">
        <v>44966</v>
      </c>
      <c r="F283" s="7" t="s">
        <v>17</v>
      </c>
      <c r="G283" s="7" t="s">
        <v>243</v>
      </c>
      <c r="H283" s="7" t="s">
        <v>1115</v>
      </c>
      <c r="I283" s="7" t="s">
        <v>1116</v>
      </c>
      <c r="J283" s="7" t="s">
        <v>386</v>
      </c>
      <c r="K283" s="7" t="s">
        <v>36</v>
      </c>
      <c r="L283" s="8">
        <v>25</v>
      </c>
      <c r="M283" s="7" t="s">
        <v>37</v>
      </c>
      <c r="N283" s="8">
        <v>109</v>
      </c>
      <c r="O283" s="8">
        <v>1</v>
      </c>
      <c r="P283" s="5">
        <v>5978.12</v>
      </c>
      <c r="Q283" s="4">
        <v>45600</v>
      </c>
      <c r="R283" s="9">
        <v>0.33890046296296295</v>
      </c>
      <c r="S283" s="8">
        <v>17</v>
      </c>
      <c r="T283" s="7" t="s">
        <v>4456</v>
      </c>
      <c r="U283" s="7" t="s">
        <v>4455</v>
      </c>
      <c r="V2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84" spans="1:22" x14ac:dyDescent="0.35">
      <c r="A284" s="7" t="s">
        <v>1117</v>
      </c>
      <c r="B284" s="7" t="s">
        <v>989</v>
      </c>
      <c r="C284" s="5">
        <v>329.69</v>
      </c>
      <c r="D284" s="2">
        <v>0.70451388888614019</v>
      </c>
      <c r="E284" s="4">
        <v>44935</v>
      </c>
      <c r="F284" s="7" t="s">
        <v>46</v>
      </c>
      <c r="G284" s="7" t="s">
        <v>237</v>
      </c>
      <c r="H284" s="7" t="s">
        <v>1118</v>
      </c>
      <c r="I284" s="7" t="s">
        <v>1119</v>
      </c>
      <c r="J284" s="7" t="s">
        <v>769</v>
      </c>
      <c r="K284" s="7" t="s">
        <v>36</v>
      </c>
      <c r="L284" s="8">
        <v>26</v>
      </c>
      <c r="M284" s="7" t="s">
        <v>37</v>
      </c>
      <c r="N284" s="8">
        <v>66</v>
      </c>
      <c r="O284" s="8">
        <v>1</v>
      </c>
      <c r="P284" s="5">
        <v>1671.66</v>
      </c>
      <c r="Q284" s="4">
        <v>45600</v>
      </c>
      <c r="R284" s="9">
        <v>0.34015046296296297</v>
      </c>
      <c r="S284" s="8">
        <v>16</v>
      </c>
      <c r="T284" s="7" t="s">
        <v>4456</v>
      </c>
      <c r="U284" s="7" t="s">
        <v>4455</v>
      </c>
      <c r="V2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85" spans="1:22" x14ac:dyDescent="0.35">
      <c r="A285" s="7" t="s">
        <v>1120</v>
      </c>
      <c r="B285" s="7" t="s">
        <v>1121</v>
      </c>
      <c r="C285" s="5">
        <v>362.04</v>
      </c>
      <c r="D285" s="2">
        <v>0.69248842592787696</v>
      </c>
      <c r="E285" s="4">
        <v>45117</v>
      </c>
      <c r="F285" s="7" t="s">
        <v>46</v>
      </c>
      <c r="G285" s="7" t="s">
        <v>243</v>
      </c>
      <c r="H285" s="7" t="s">
        <v>329</v>
      </c>
      <c r="I285" s="7" t="s">
        <v>1046</v>
      </c>
      <c r="J285" s="7" t="s">
        <v>128</v>
      </c>
      <c r="K285" s="7" t="s">
        <v>69</v>
      </c>
      <c r="L285" s="8">
        <v>58</v>
      </c>
      <c r="M285" s="7" t="s">
        <v>23</v>
      </c>
      <c r="N285" s="8">
        <v>198</v>
      </c>
      <c r="O285" s="8">
        <v>2</v>
      </c>
      <c r="P285" s="5">
        <v>8421.8799999999992</v>
      </c>
      <c r="Q285" s="4">
        <v>45600</v>
      </c>
      <c r="R285" s="9">
        <v>0.33943287037037034</v>
      </c>
      <c r="S285" s="8">
        <v>16</v>
      </c>
      <c r="T285" s="7" t="s">
        <v>4454</v>
      </c>
      <c r="U285" s="7" t="s">
        <v>4458</v>
      </c>
      <c r="V2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86" spans="1:22" x14ac:dyDescent="0.35">
      <c r="A286" s="7" t="s">
        <v>1122</v>
      </c>
      <c r="B286" s="7" t="s">
        <v>1123</v>
      </c>
      <c r="C286" s="5">
        <v>11.92</v>
      </c>
      <c r="D286" s="2">
        <v>0.74230324073869269</v>
      </c>
      <c r="E286" s="4">
        <v>45208</v>
      </c>
      <c r="F286" s="7" t="s">
        <v>17</v>
      </c>
      <c r="G286" s="7" t="s">
        <v>18</v>
      </c>
      <c r="H286" s="7" t="s">
        <v>717</v>
      </c>
      <c r="I286" s="7" t="s">
        <v>874</v>
      </c>
      <c r="J286" s="7" t="s">
        <v>370</v>
      </c>
      <c r="K286" s="7" t="s">
        <v>69</v>
      </c>
      <c r="L286" s="8">
        <v>53</v>
      </c>
      <c r="M286" s="7" t="s">
        <v>23</v>
      </c>
      <c r="N286" s="8">
        <v>52</v>
      </c>
      <c r="O286" s="8">
        <v>1</v>
      </c>
      <c r="P286" s="5">
        <v>14611.9</v>
      </c>
      <c r="Q286" s="4">
        <v>45600</v>
      </c>
      <c r="R286" s="9">
        <v>0.34122685185185186</v>
      </c>
      <c r="S286" s="8">
        <v>17</v>
      </c>
      <c r="T286" s="7" t="s">
        <v>4457</v>
      </c>
      <c r="U286" s="7" t="s">
        <v>4455</v>
      </c>
      <c r="V2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87" spans="1:22" x14ac:dyDescent="0.35">
      <c r="A287" s="7" t="s">
        <v>1124</v>
      </c>
      <c r="B287" s="7" t="s">
        <v>1125</v>
      </c>
      <c r="C287" s="5">
        <v>47.42</v>
      </c>
      <c r="D287" s="2">
        <v>0.69870370370335877</v>
      </c>
      <c r="E287" s="4">
        <v>45279</v>
      </c>
      <c r="F287" s="7" t="s">
        <v>17</v>
      </c>
      <c r="G287" s="7" t="s">
        <v>18</v>
      </c>
      <c r="H287" s="7" t="s">
        <v>1126</v>
      </c>
      <c r="I287" s="7" t="s">
        <v>1127</v>
      </c>
      <c r="J287" s="7" t="s">
        <v>445</v>
      </c>
      <c r="K287" s="7" t="s">
        <v>22</v>
      </c>
      <c r="L287" s="8">
        <v>64</v>
      </c>
      <c r="M287" s="7" t="s">
        <v>23</v>
      </c>
      <c r="N287" s="8">
        <v>28</v>
      </c>
      <c r="O287" s="8">
        <v>1</v>
      </c>
      <c r="P287" s="5">
        <v>8253.52</v>
      </c>
      <c r="Q287" s="4">
        <v>45600</v>
      </c>
      <c r="R287" s="9">
        <v>0.33953703703703703</v>
      </c>
      <c r="S287" s="8">
        <v>16</v>
      </c>
      <c r="T287" s="7" t="s">
        <v>4454</v>
      </c>
      <c r="U287" s="7" t="s">
        <v>4455</v>
      </c>
      <c r="V2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88" spans="1:22" x14ac:dyDescent="0.35">
      <c r="A288" s="7" t="s">
        <v>1128</v>
      </c>
      <c r="B288" s="7" t="s">
        <v>701</v>
      </c>
      <c r="C288" s="5">
        <v>35.99</v>
      </c>
      <c r="D288" s="2">
        <v>0.67652777778130258</v>
      </c>
      <c r="E288" s="4">
        <v>44945</v>
      </c>
      <c r="F288" s="7" t="s">
        <v>17</v>
      </c>
      <c r="G288" s="7" t="s">
        <v>172</v>
      </c>
      <c r="H288" s="7" t="s">
        <v>1129</v>
      </c>
      <c r="I288" s="7" t="s">
        <v>1130</v>
      </c>
      <c r="J288" s="7" t="s">
        <v>282</v>
      </c>
      <c r="K288" s="7" t="s">
        <v>69</v>
      </c>
      <c r="L288" s="8">
        <v>63</v>
      </c>
      <c r="M288" s="7" t="s">
        <v>70</v>
      </c>
      <c r="N288" s="8">
        <v>129</v>
      </c>
      <c r="O288" s="8">
        <v>1</v>
      </c>
      <c r="P288" s="5">
        <v>4489.79</v>
      </c>
      <c r="Q288" s="4">
        <v>45600</v>
      </c>
      <c r="R288" s="9">
        <v>0.33978009259259262</v>
      </c>
      <c r="S288" s="8">
        <v>16</v>
      </c>
      <c r="T288" s="7" t="s">
        <v>4454</v>
      </c>
      <c r="U288" s="7" t="s">
        <v>4455</v>
      </c>
      <c r="V2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89" spans="1:22" x14ac:dyDescent="0.35">
      <c r="A289" s="7" t="s">
        <v>1131</v>
      </c>
      <c r="B289" s="7" t="s">
        <v>290</v>
      </c>
      <c r="C289" s="5">
        <v>151.19</v>
      </c>
      <c r="D289" s="2">
        <v>0.66986111111327773</v>
      </c>
      <c r="E289" s="4">
        <v>45051</v>
      </c>
      <c r="F289" s="7" t="s">
        <v>46</v>
      </c>
      <c r="G289" s="7" t="s">
        <v>203</v>
      </c>
      <c r="H289" s="7" t="s">
        <v>1132</v>
      </c>
      <c r="I289" s="7" t="s">
        <v>1133</v>
      </c>
      <c r="J289" s="7" t="s">
        <v>885</v>
      </c>
      <c r="K289" s="7" t="s">
        <v>69</v>
      </c>
      <c r="L289" s="8">
        <v>37</v>
      </c>
      <c r="M289" s="7" t="s">
        <v>23</v>
      </c>
      <c r="N289" s="8">
        <v>96</v>
      </c>
      <c r="O289" s="8">
        <v>1</v>
      </c>
      <c r="P289" s="5">
        <v>11903.82</v>
      </c>
      <c r="Q289" s="4">
        <v>45600</v>
      </c>
      <c r="R289" s="9">
        <v>0.34115740740740741</v>
      </c>
      <c r="S289" s="8">
        <v>16</v>
      </c>
      <c r="T289" s="7" t="s">
        <v>4457</v>
      </c>
      <c r="U289" s="7" t="s">
        <v>4455</v>
      </c>
      <c r="V2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90" spans="1:22" x14ac:dyDescent="0.35">
      <c r="A290" s="7" t="s">
        <v>1134</v>
      </c>
      <c r="B290" s="7" t="s">
        <v>641</v>
      </c>
      <c r="C290" s="5">
        <v>242.62</v>
      </c>
      <c r="D290" s="2">
        <v>0.69461805555329192</v>
      </c>
      <c r="E290" s="4">
        <v>45117</v>
      </c>
      <c r="F290" s="7" t="s">
        <v>46</v>
      </c>
      <c r="G290" s="7" t="s">
        <v>212</v>
      </c>
      <c r="H290" s="7" t="s">
        <v>1135</v>
      </c>
      <c r="I290" s="7" t="s">
        <v>646</v>
      </c>
      <c r="J290" s="7" t="s">
        <v>209</v>
      </c>
      <c r="K290" s="7" t="s">
        <v>36</v>
      </c>
      <c r="L290" s="8">
        <v>22</v>
      </c>
      <c r="M290" s="7" t="s">
        <v>37</v>
      </c>
      <c r="N290" s="8">
        <v>234</v>
      </c>
      <c r="O290" s="8">
        <v>1</v>
      </c>
      <c r="P290" s="5">
        <v>483.02</v>
      </c>
      <c r="Q290" s="4">
        <v>45600</v>
      </c>
      <c r="R290" s="9">
        <v>0.33829861111111109</v>
      </c>
      <c r="S290" s="8">
        <v>16</v>
      </c>
      <c r="T290" s="7" t="s">
        <v>4456</v>
      </c>
      <c r="U290" s="7" t="s">
        <v>4455</v>
      </c>
      <c r="V2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91" spans="1:22" x14ac:dyDescent="0.35">
      <c r="A291" s="7" t="s">
        <v>1136</v>
      </c>
      <c r="B291" s="7" t="s">
        <v>1137</v>
      </c>
      <c r="C291" s="5">
        <v>48.72</v>
      </c>
      <c r="D291" s="2">
        <v>0.7878240740756155</v>
      </c>
      <c r="E291" s="4">
        <v>45198</v>
      </c>
      <c r="F291" s="7" t="s">
        <v>17</v>
      </c>
      <c r="G291" s="7" t="s">
        <v>301</v>
      </c>
      <c r="H291" s="7" t="s">
        <v>1138</v>
      </c>
      <c r="I291" s="7" t="s">
        <v>1139</v>
      </c>
      <c r="J291" s="7" t="s">
        <v>370</v>
      </c>
      <c r="K291" s="7" t="s">
        <v>69</v>
      </c>
      <c r="L291" s="8">
        <v>21</v>
      </c>
      <c r="M291" s="7" t="s">
        <v>37</v>
      </c>
      <c r="N291" s="8">
        <v>17</v>
      </c>
      <c r="O291" s="8">
        <v>1</v>
      </c>
      <c r="P291" s="5">
        <v>816.08</v>
      </c>
      <c r="Q291" s="4">
        <v>45600</v>
      </c>
      <c r="R291" s="9">
        <v>0.33850694444444446</v>
      </c>
      <c r="S291" s="8">
        <v>18</v>
      </c>
      <c r="T291" s="7" t="s">
        <v>4456</v>
      </c>
      <c r="U291" s="7" t="s">
        <v>4455</v>
      </c>
      <c r="V2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92" spans="1:22" x14ac:dyDescent="0.35">
      <c r="A292" s="7" t="s">
        <v>1140</v>
      </c>
      <c r="B292" s="7" t="s">
        <v>333</v>
      </c>
      <c r="C292" s="5">
        <v>43.46</v>
      </c>
      <c r="D292" s="2">
        <v>0.71020833333022892</v>
      </c>
      <c r="E292" s="4">
        <v>45128</v>
      </c>
      <c r="F292" s="7" t="s">
        <v>17</v>
      </c>
      <c r="G292" s="7" t="s">
        <v>388</v>
      </c>
      <c r="H292" s="7" t="s">
        <v>1141</v>
      </c>
      <c r="I292" s="7" t="s">
        <v>894</v>
      </c>
      <c r="J292" s="7" t="s">
        <v>68</v>
      </c>
      <c r="K292" s="7" t="s">
        <v>22</v>
      </c>
      <c r="L292" s="8">
        <v>25</v>
      </c>
      <c r="M292" s="7" t="s">
        <v>37</v>
      </c>
      <c r="N292" s="8">
        <v>80</v>
      </c>
      <c r="O292" s="8">
        <v>1</v>
      </c>
      <c r="P292" s="5">
        <v>578.05999999999995</v>
      </c>
      <c r="Q292" s="4">
        <v>45600</v>
      </c>
      <c r="R292" s="9">
        <v>0.34079861111111109</v>
      </c>
      <c r="S292" s="8">
        <v>17</v>
      </c>
      <c r="T292" s="7" t="s">
        <v>4456</v>
      </c>
      <c r="U292" s="7" t="s">
        <v>4455</v>
      </c>
      <c r="V2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93" spans="1:22" x14ac:dyDescent="0.35">
      <c r="A293" s="7" t="s">
        <v>1142</v>
      </c>
      <c r="B293" s="7" t="s">
        <v>604</v>
      </c>
      <c r="C293" s="5">
        <v>1036.21</v>
      </c>
      <c r="D293" s="2">
        <v>0.78766203703708015</v>
      </c>
      <c r="E293" s="4">
        <v>45128</v>
      </c>
      <c r="F293" s="7" t="s">
        <v>17</v>
      </c>
      <c r="G293" s="7" t="s">
        <v>296</v>
      </c>
      <c r="H293" s="7" t="s">
        <v>865</v>
      </c>
      <c r="I293" s="7" t="s">
        <v>132</v>
      </c>
      <c r="J293" s="7" t="s">
        <v>652</v>
      </c>
      <c r="K293" s="7" t="s">
        <v>36</v>
      </c>
      <c r="L293" s="8">
        <v>25</v>
      </c>
      <c r="M293" s="7" t="s">
        <v>37</v>
      </c>
      <c r="N293" s="8">
        <v>126</v>
      </c>
      <c r="O293" s="8">
        <v>1</v>
      </c>
      <c r="P293" s="5">
        <v>477.3</v>
      </c>
      <c r="Q293" s="4">
        <v>45600</v>
      </c>
      <c r="R293" s="9">
        <v>0.34192129629629631</v>
      </c>
      <c r="S293" s="8">
        <v>18</v>
      </c>
      <c r="T293" s="7" t="s">
        <v>4456</v>
      </c>
      <c r="U293" s="7" t="s">
        <v>4455</v>
      </c>
      <c r="V2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94" spans="1:22" x14ac:dyDescent="0.35">
      <c r="A294" s="7" t="s">
        <v>1143</v>
      </c>
      <c r="B294" s="7" t="s">
        <v>1144</v>
      </c>
      <c r="C294" s="5">
        <v>443.79</v>
      </c>
      <c r="D294" s="2">
        <v>0.76949074074218515</v>
      </c>
      <c r="E294" s="4">
        <v>45208</v>
      </c>
      <c r="F294" s="7" t="s">
        <v>17</v>
      </c>
      <c r="G294" s="7" t="s">
        <v>146</v>
      </c>
      <c r="H294" s="7" t="s">
        <v>1145</v>
      </c>
      <c r="I294" s="7" t="s">
        <v>739</v>
      </c>
      <c r="J294" s="7" t="s">
        <v>514</v>
      </c>
      <c r="K294" s="7" t="s">
        <v>22</v>
      </c>
      <c r="L294" s="8">
        <v>53</v>
      </c>
      <c r="M294" s="7" t="s">
        <v>70</v>
      </c>
      <c r="N294" s="8">
        <v>87</v>
      </c>
      <c r="O294" s="8">
        <v>1</v>
      </c>
      <c r="P294" s="5">
        <v>3133.85</v>
      </c>
      <c r="Q294" s="4">
        <v>45600</v>
      </c>
      <c r="R294" s="9">
        <v>0.34115740740740741</v>
      </c>
      <c r="S294" s="8">
        <v>18</v>
      </c>
      <c r="T294" s="7" t="s">
        <v>4457</v>
      </c>
      <c r="U294" s="7" t="s">
        <v>4455</v>
      </c>
      <c r="V2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95" spans="1:22" x14ac:dyDescent="0.35">
      <c r="A295" s="7" t="s">
        <v>1146</v>
      </c>
      <c r="B295" s="7" t="s">
        <v>1147</v>
      </c>
      <c r="C295" s="5">
        <v>365.14</v>
      </c>
      <c r="D295" s="2">
        <v>0.78226851851650281</v>
      </c>
      <c r="E295" s="4">
        <v>45261</v>
      </c>
      <c r="F295" s="7" t="s">
        <v>17</v>
      </c>
      <c r="G295" s="7" t="s">
        <v>323</v>
      </c>
      <c r="H295" s="7" t="s">
        <v>1148</v>
      </c>
      <c r="I295" s="7" t="s">
        <v>1149</v>
      </c>
      <c r="J295" s="7" t="s">
        <v>43</v>
      </c>
      <c r="K295" s="7" t="s">
        <v>36</v>
      </c>
      <c r="L295" s="8">
        <v>68</v>
      </c>
      <c r="M295" s="7" t="s">
        <v>70</v>
      </c>
      <c r="N295" s="8">
        <v>57</v>
      </c>
      <c r="O295" s="8">
        <v>1</v>
      </c>
      <c r="P295" s="5">
        <v>5894.09</v>
      </c>
      <c r="Q295" s="4">
        <v>45600</v>
      </c>
      <c r="R295" s="9">
        <v>0.33848379629629627</v>
      </c>
      <c r="S295" s="8">
        <v>18</v>
      </c>
      <c r="T295" s="7" t="s">
        <v>4454</v>
      </c>
      <c r="U295" s="7" t="s">
        <v>4455</v>
      </c>
      <c r="V2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96" spans="1:22" x14ac:dyDescent="0.35">
      <c r="A296" s="7" t="s">
        <v>1150</v>
      </c>
      <c r="B296" s="7" t="s">
        <v>1151</v>
      </c>
      <c r="C296" s="5">
        <v>757.41</v>
      </c>
      <c r="D296" s="2">
        <v>0.6888078703705105</v>
      </c>
      <c r="E296" s="4">
        <v>45051</v>
      </c>
      <c r="F296" s="7" t="s">
        <v>17</v>
      </c>
      <c r="G296" s="7" t="s">
        <v>140</v>
      </c>
      <c r="H296" s="7" t="s">
        <v>1152</v>
      </c>
      <c r="I296" s="7" t="s">
        <v>378</v>
      </c>
      <c r="J296" s="7" t="s">
        <v>122</v>
      </c>
      <c r="K296" s="7" t="s">
        <v>22</v>
      </c>
      <c r="L296" s="8">
        <v>22</v>
      </c>
      <c r="M296" s="7" t="s">
        <v>37</v>
      </c>
      <c r="N296" s="8">
        <v>37</v>
      </c>
      <c r="O296" s="8">
        <v>1</v>
      </c>
      <c r="P296" s="5">
        <v>9532.42</v>
      </c>
      <c r="Q296" s="4">
        <v>45600</v>
      </c>
      <c r="R296" s="9">
        <v>0.33961805555555558</v>
      </c>
      <c r="S296" s="8">
        <v>16</v>
      </c>
      <c r="T296" s="7" t="s">
        <v>4456</v>
      </c>
      <c r="U296" s="7" t="s">
        <v>4455</v>
      </c>
      <c r="V2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97" spans="1:22" x14ac:dyDescent="0.35">
      <c r="A297" s="7" t="s">
        <v>1153</v>
      </c>
      <c r="B297" s="7" t="s">
        <v>648</v>
      </c>
      <c r="C297" s="5">
        <v>20.54</v>
      </c>
      <c r="D297" s="2">
        <v>0.75652777777577285</v>
      </c>
      <c r="E297" s="4">
        <v>45159</v>
      </c>
      <c r="F297" s="7" t="s">
        <v>17</v>
      </c>
      <c r="G297" s="7" t="s">
        <v>157</v>
      </c>
      <c r="H297" s="7" t="s">
        <v>1154</v>
      </c>
      <c r="I297" s="7" t="s">
        <v>1155</v>
      </c>
      <c r="J297" s="7" t="s">
        <v>288</v>
      </c>
      <c r="K297" s="7" t="s">
        <v>69</v>
      </c>
      <c r="L297" s="8">
        <v>51</v>
      </c>
      <c r="M297" s="7" t="s">
        <v>77</v>
      </c>
      <c r="N297" s="8">
        <v>72</v>
      </c>
      <c r="O297" s="8">
        <v>1</v>
      </c>
      <c r="P297" s="5">
        <v>5327.03</v>
      </c>
      <c r="Q297" s="4">
        <v>45600</v>
      </c>
      <c r="R297" s="9">
        <v>0.3385185185185185</v>
      </c>
      <c r="S297" s="8">
        <v>18</v>
      </c>
      <c r="T297" s="7" t="s">
        <v>4457</v>
      </c>
      <c r="U297" s="7" t="s">
        <v>4455</v>
      </c>
      <c r="V2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98" spans="1:22" x14ac:dyDescent="0.35">
      <c r="A298" s="7" t="s">
        <v>1156</v>
      </c>
      <c r="B298" s="7" t="s">
        <v>1157</v>
      </c>
      <c r="C298" s="5">
        <v>475.36</v>
      </c>
      <c r="D298" s="2">
        <v>0.66885416666627862</v>
      </c>
      <c r="E298" s="4">
        <v>45201</v>
      </c>
      <c r="F298" s="7" t="s">
        <v>17</v>
      </c>
      <c r="G298" s="7" t="s">
        <v>425</v>
      </c>
      <c r="H298" s="7" t="s">
        <v>1158</v>
      </c>
      <c r="I298" s="7" t="s">
        <v>458</v>
      </c>
      <c r="J298" s="7" t="s">
        <v>762</v>
      </c>
      <c r="K298" s="7" t="s">
        <v>22</v>
      </c>
      <c r="L298" s="8">
        <v>34</v>
      </c>
      <c r="M298" s="7" t="s">
        <v>77</v>
      </c>
      <c r="N298" s="8">
        <v>105</v>
      </c>
      <c r="O298" s="8">
        <v>1</v>
      </c>
      <c r="P298" s="5">
        <v>2000.6</v>
      </c>
      <c r="Q298" s="4">
        <v>45600</v>
      </c>
      <c r="R298" s="9">
        <v>0.33818287037037037</v>
      </c>
      <c r="S298" s="8">
        <v>16</v>
      </c>
      <c r="T298" s="7" t="s">
        <v>4456</v>
      </c>
      <c r="U298" s="7" t="s">
        <v>4455</v>
      </c>
      <c r="V2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99" spans="1:22" x14ac:dyDescent="0.35">
      <c r="A299" s="7" t="s">
        <v>1159</v>
      </c>
      <c r="B299" s="7" t="s">
        <v>391</v>
      </c>
      <c r="C299" s="5">
        <v>34.74</v>
      </c>
      <c r="D299" s="2">
        <v>0.69468749999941792</v>
      </c>
      <c r="E299" s="4">
        <v>45103</v>
      </c>
      <c r="F299" s="7" t="s">
        <v>17</v>
      </c>
      <c r="G299" s="7" t="s">
        <v>212</v>
      </c>
      <c r="H299" s="7" t="s">
        <v>1160</v>
      </c>
      <c r="I299" s="7" t="s">
        <v>702</v>
      </c>
      <c r="J299" s="7" t="s">
        <v>831</v>
      </c>
      <c r="K299" s="7" t="s">
        <v>22</v>
      </c>
      <c r="L299" s="8">
        <v>56</v>
      </c>
      <c r="M299" s="7" t="s">
        <v>70</v>
      </c>
      <c r="N299" s="8">
        <v>24</v>
      </c>
      <c r="O299" s="8">
        <v>1</v>
      </c>
      <c r="P299" s="5">
        <v>6827.57</v>
      </c>
      <c r="Q299" s="4">
        <v>45600</v>
      </c>
      <c r="R299" s="9">
        <v>0.34100694444444446</v>
      </c>
      <c r="S299" s="8">
        <v>16</v>
      </c>
      <c r="T299" s="7" t="s">
        <v>4454</v>
      </c>
      <c r="U299" s="7" t="s">
        <v>4455</v>
      </c>
      <c r="V2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0" spans="1:22" x14ac:dyDescent="0.35">
      <c r="A300" s="7" t="s">
        <v>1161</v>
      </c>
      <c r="B300" s="7" t="s">
        <v>1147</v>
      </c>
      <c r="C300" s="5">
        <v>689.54</v>
      </c>
      <c r="D300" s="2">
        <v>0.6992708333345945</v>
      </c>
      <c r="E300" s="4">
        <v>44991</v>
      </c>
      <c r="F300" s="7" t="s">
        <v>17</v>
      </c>
      <c r="G300" s="7" t="s">
        <v>53</v>
      </c>
      <c r="H300" s="7" t="s">
        <v>1162</v>
      </c>
      <c r="I300" s="7" t="s">
        <v>1163</v>
      </c>
      <c r="J300" s="7" t="s">
        <v>858</v>
      </c>
      <c r="K300" s="7" t="s">
        <v>69</v>
      </c>
      <c r="L300" s="8">
        <v>27</v>
      </c>
      <c r="M300" s="7" t="s">
        <v>37</v>
      </c>
      <c r="N300" s="8">
        <v>93</v>
      </c>
      <c r="O300" s="8">
        <v>1</v>
      </c>
      <c r="P300" s="5">
        <v>1633.76</v>
      </c>
      <c r="Q300" s="4">
        <v>45600</v>
      </c>
      <c r="R300" s="9">
        <v>0.3395023148148148</v>
      </c>
      <c r="S300" s="8">
        <v>16</v>
      </c>
      <c r="T300" s="7" t="s">
        <v>4456</v>
      </c>
      <c r="U300" s="7" t="s">
        <v>4455</v>
      </c>
      <c r="V3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1" spans="1:22" x14ac:dyDescent="0.35">
      <c r="A301" s="7" t="s">
        <v>1164</v>
      </c>
      <c r="B301" s="7" t="s">
        <v>777</v>
      </c>
      <c r="C301" s="5">
        <v>211.18</v>
      </c>
      <c r="D301" s="2">
        <v>0.67346064814773854</v>
      </c>
      <c r="E301" s="4">
        <v>45215</v>
      </c>
      <c r="F301" s="7" t="s">
        <v>17</v>
      </c>
      <c r="G301" s="7" t="s">
        <v>453</v>
      </c>
      <c r="H301" s="7" t="s">
        <v>448</v>
      </c>
      <c r="I301" s="7" t="s">
        <v>1165</v>
      </c>
      <c r="J301" s="7" t="s">
        <v>128</v>
      </c>
      <c r="K301" s="7" t="s">
        <v>22</v>
      </c>
      <c r="L301" s="8">
        <v>73</v>
      </c>
      <c r="M301" s="7" t="s">
        <v>70</v>
      </c>
      <c r="N301" s="8">
        <v>90</v>
      </c>
      <c r="O301" s="8">
        <v>1</v>
      </c>
      <c r="P301" s="5">
        <v>4069.17</v>
      </c>
      <c r="Q301" s="4">
        <v>45600</v>
      </c>
      <c r="R301" s="9">
        <v>0.34155092592592595</v>
      </c>
      <c r="S301" s="8">
        <v>16</v>
      </c>
      <c r="T301" s="7" t="s">
        <v>4454</v>
      </c>
      <c r="U301" s="7" t="s">
        <v>4455</v>
      </c>
      <c r="V3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2" spans="1:22" x14ac:dyDescent="0.35">
      <c r="A302" s="7" t="s">
        <v>1166</v>
      </c>
      <c r="B302" s="7" t="s">
        <v>1167</v>
      </c>
      <c r="C302" s="5">
        <v>211.36</v>
      </c>
      <c r="D302" s="2">
        <v>0.68311342592642177</v>
      </c>
      <c r="E302" s="4">
        <v>45251</v>
      </c>
      <c r="F302" s="7" t="s">
        <v>46</v>
      </c>
      <c r="G302" s="7" t="s">
        <v>157</v>
      </c>
      <c r="H302" s="7" t="s">
        <v>893</v>
      </c>
      <c r="I302" s="7" t="s">
        <v>602</v>
      </c>
      <c r="J302" s="7" t="s">
        <v>576</v>
      </c>
      <c r="K302" s="7" t="s">
        <v>69</v>
      </c>
      <c r="L302" s="8">
        <v>51</v>
      </c>
      <c r="M302" s="7" t="s">
        <v>77</v>
      </c>
      <c r="N302" s="8">
        <v>286</v>
      </c>
      <c r="O302" s="8">
        <v>1</v>
      </c>
      <c r="P302" s="5">
        <v>7943.47</v>
      </c>
      <c r="Q302" s="4">
        <v>45600</v>
      </c>
      <c r="R302" s="9">
        <v>0.34108796296296295</v>
      </c>
      <c r="S302" s="8">
        <v>16</v>
      </c>
      <c r="T302" s="7" t="s">
        <v>4457</v>
      </c>
      <c r="U302" s="7" t="s">
        <v>4455</v>
      </c>
      <c r="V3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3" spans="1:22" x14ac:dyDescent="0.35">
      <c r="A303" s="7" t="s">
        <v>1168</v>
      </c>
      <c r="B303" s="7" t="s">
        <v>1169</v>
      </c>
      <c r="C303" s="5">
        <v>744.41</v>
      </c>
      <c r="D303" s="2">
        <v>0.69165509259619284</v>
      </c>
      <c r="E303" s="4">
        <v>45138</v>
      </c>
      <c r="F303" s="7" t="s">
        <v>46</v>
      </c>
      <c r="G303" s="7" t="s">
        <v>26</v>
      </c>
      <c r="H303" s="7" t="s">
        <v>734</v>
      </c>
      <c r="I303" s="7" t="s">
        <v>1170</v>
      </c>
      <c r="J303" s="7" t="s">
        <v>312</v>
      </c>
      <c r="K303" s="7" t="s">
        <v>36</v>
      </c>
      <c r="L303" s="8">
        <v>39</v>
      </c>
      <c r="M303" s="7" t="s">
        <v>77</v>
      </c>
      <c r="N303" s="8">
        <v>107</v>
      </c>
      <c r="O303" s="8">
        <v>1</v>
      </c>
      <c r="P303" s="5">
        <v>8842.4699999999993</v>
      </c>
      <c r="Q303" s="4">
        <v>45600</v>
      </c>
      <c r="R303" s="9">
        <v>0.34128472222222223</v>
      </c>
      <c r="S303" s="8">
        <v>16</v>
      </c>
      <c r="T303" s="7" t="s">
        <v>4457</v>
      </c>
      <c r="U303" s="7" t="s">
        <v>4455</v>
      </c>
      <c r="V3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4" spans="1:22" x14ac:dyDescent="0.35">
      <c r="A304" s="7" t="s">
        <v>1171</v>
      </c>
      <c r="B304" s="7" t="s">
        <v>1172</v>
      </c>
      <c r="C304" s="5">
        <v>61.43</v>
      </c>
      <c r="D304" s="2">
        <v>0.67820601852145046</v>
      </c>
      <c r="E304" s="4">
        <v>45106</v>
      </c>
      <c r="F304" s="7" t="s">
        <v>17</v>
      </c>
      <c r="G304" s="7" t="s">
        <v>425</v>
      </c>
      <c r="H304" s="7" t="s">
        <v>1173</v>
      </c>
      <c r="I304" s="7" t="s">
        <v>1174</v>
      </c>
      <c r="J304" s="7" t="s">
        <v>76</v>
      </c>
      <c r="K304" s="7" t="s">
        <v>36</v>
      </c>
      <c r="L304" s="8">
        <v>24</v>
      </c>
      <c r="M304" s="7" t="s">
        <v>37</v>
      </c>
      <c r="N304" s="8">
        <v>170</v>
      </c>
      <c r="O304" s="8">
        <v>1</v>
      </c>
      <c r="P304" s="5">
        <v>1882.77</v>
      </c>
      <c r="Q304" s="4">
        <v>45600</v>
      </c>
      <c r="R304" s="9">
        <v>0.33909722222222222</v>
      </c>
      <c r="S304" s="8">
        <v>16</v>
      </c>
      <c r="T304" s="7" t="s">
        <v>4456</v>
      </c>
      <c r="U304" s="7" t="s">
        <v>4455</v>
      </c>
      <c r="V3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5" spans="1:22" x14ac:dyDescent="0.35">
      <c r="A305" s="7" t="s">
        <v>1175</v>
      </c>
      <c r="B305" s="7" t="s">
        <v>1176</v>
      </c>
      <c r="C305" s="5">
        <v>167.44</v>
      </c>
      <c r="D305" s="2">
        <v>0.67451388888730435</v>
      </c>
      <c r="E305" s="4">
        <v>45194</v>
      </c>
      <c r="F305" s="7" t="s">
        <v>17</v>
      </c>
      <c r="G305" s="7" t="s">
        <v>32</v>
      </c>
      <c r="H305" s="7" t="s">
        <v>1177</v>
      </c>
      <c r="I305" s="7" t="s">
        <v>887</v>
      </c>
      <c r="J305" s="7" t="s">
        <v>343</v>
      </c>
      <c r="K305" s="7" t="s">
        <v>69</v>
      </c>
      <c r="L305" s="8">
        <v>37</v>
      </c>
      <c r="M305" s="7" t="s">
        <v>23</v>
      </c>
      <c r="N305" s="8">
        <v>82</v>
      </c>
      <c r="O305" s="8">
        <v>1</v>
      </c>
      <c r="P305" s="5">
        <v>12526.71</v>
      </c>
      <c r="Q305" s="4">
        <v>45600</v>
      </c>
      <c r="R305" s="9">
        <v>0.34084490740740742</v>
      </c>
      <c r="S305" s="8">
        <v>16</v>
      </c>
      <c r="T305" s="7" t="s">
        <v>4457</v>
      </c>
      <c r="U305" s="7" t="s">
        <v>4455</v>
      </c>
      <c r="V3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6" spans="1:22" x14ac:dyDescent="0.35">
      <c r="A306" s="7" t="s">
        <v>1178</v>
      </c>
      <c r="B306" s="7" t="s">
        <v>1179</v>
      </c>
      <c r="C306" s="5">
        <v>361.46</v>
      </c>
      <c r="D306" s="2">
        <v>0.72436342592845904</v>
      </c>
      <c r="E306" s="4">
        <v>45023</v>
      </c>
      <c r="F306" s="7" t="s">
        <v>17</v>
      </c>
      <c r="G306" s="7" t="s">
        <v>80</v>
      </c>
      <c r="H306" s="7" t="s">
        <v>1180</v>
      </c>
      <c r="I306" s="7" t="s">
        <v>1181</v>
      </c>
      <c r="J306" s="7" t="s">
        <v>482</v>
      </c>
      <c r="K306" s="7" t="s">
        <v>36</v>
      </c>
      <c r="L306" s="8">
        <v>21</v>
      </c>
      <c r="M306" s="7" t="s">
        <v>37</v>
      </c>
      <c r="N306" s="8">
        <v>83</v>
      </c>
      <c r="O306" s="8">
        <v>1</v>
      </c>
      <c r="P306" s="5">
        <v>4737.84</v>
      </c>
      <c r="Q306" s="4">
        <v>45600</v>
      </c>
      <c r="R306" s="9">
        <v>0.34076388888888887</v>
      </c>
      <c r="S306" s="8">
        <v>17</v>
      </c>
      <c r="T306" s="7" t="s">
        <v>4456</v>
      </c>
      <c r="U306" s="7" t="s">
        <v>4455</v>
      </c>
      <c r="V3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07" spans="1:22" x14ac:dyDescent="0.35">
      <c r="A307" s="7" t="s">
        <v>1182</v>
      </c>
      <c r="B307" s="7" t="s">
        <v>1183</v>
      </c>
      <c r="C307" s="5">
        <v>378.85</v>
      </c>
      <c r="D307" s="2">
        <v>0.72309027778101154</v>
      </c>
      <c r="E307" s="4">
        <v>45093</v>
      </c>
      <c r="F307" s="7" t="s">
        <v>17</v>
      </c>
      <c r="G307" s="7" t="s">
        <v>301</v>
      </c>
      <c r="H307" s="7" t="s">
        <v>1184</v>
      </c>
      <c r="I307" s="7" t="s">
        <v>874</v>
      </c>
      <c r="J307" s="7" t="s">
        <v>548</v>
      </c>
      <c r="K307" s="7" t="s">
        <v>69</v>
      </c>
      <c r="L307" s="8">
        <v>78</v>
      </c>
      <c r="M307" s="7" t="s">
        <v>70</v>
      </c>
      <c r="N307" s="8">
        <v>126</v>
      </c>
      <c r="O307" s="8">
        <v>1</v>
      </c>
      <c r="P307" s="5">
        <v>2300.5300000000002</v>
      </c>
      <c r="Q307" s="4">
        <v>45600</v>
      </c>
      <c r="R307" s="9">
        <v>0.33966435185185184</v>
      </c>
      <c r="S307" s="8">
        <v>17</v>
      </c>
      <c r="T307" s="7" t="s">
        <v>4454</v>
      </c>
      <c r="U307" s="7" t="s">
        <v>4455</v>
      </c>
      <c r="V3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08" spans="1:22" x14ac:dyDescent="0.35">
      <c r="A308" s="7" t="s">
        <v>1185</v>
      </c>
      <c r="B308" s="7" t="s">
        <v>1186</v>
      </c>
      <c r="C308" s="5">
        <v>241.11</v>
      </c>
      <c r="D308" s="2">
        <v>0.69540509259240935</v>
      </c>
      <c r="E308" s="4">
        <v>45093</v>
      </c>
      <c r="F308" s="7" t="s">
        <v>17</v>
      </c>
      <c r="G308" s="7" t="s">
        <v>125</v>
      </c>
      <c r="H308" s="7" t="s">
        <v>1187</v>
      </c>
      <c r="I308" s="7" t="s">
        <v>1188</v>
      </c>
      <c r="J308" s="7" t="s">
        <v>370</v>
      </c>
      <c r="K308" s="7" t="s">
        <v>69</v>
      </c>
      <c r="L308" s="8">
        <v>30</v>
      </c>
      <c r="M308" s="7" t="s">
        <v>23</v>
      </c>
      <c r="N308" s="8">
        <v>55</v>
      </c>
      <c r="O308" s="8">
        <v>1</v>
      </c>
      <c r="P308" s="5">
        <v>12385.05</v>
      </c>
      <c r="Q308" s="4">
        <v>45600</v>
      </c>
      <c r="R308" s="9">
        <v>0.34084490740740742</v>
      </c>
      <c r="S308" s="8">
        <v>16</v>
      </c>
      <c r="T308" s="7" t="s">
        <v>4456</v>
      </c>
      <c r="U308" s="7" t="s">
        <v>4455</v>
      </c>
      <c r="V3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09" spans="1:22" x14ac:dyDescent="0.35">
      <c r="A309" s="7" t="s">
        <v>1189</v>
      </c>
      <c r="B309" s="7" t="s">
        <v>1190</v>
      </c>
      <c r="C309" s="5">
        <v>131.93</v>
      </c>
      <c r="D309" s="2">
        <v>0.72997685184964212</v>
      </c>
      <c r="E309" s="4">
        <v>45180</v>
      </c>
      <c r="F309" s="7" t="s">
        <v>46</v>
      </c>
      <c r="G309" s="7" t="s">
        <v>157</v>
      </c>
      <c r="H309" s="7" t="s">
        <v>1191</v>
      </c>
      <c r="I309" s="7" t="s">
        <v>696</v>
      </c>
      <c r="J309" s="7" t="s">
        <v>474</v>
      </c>
      <c r="K309" s="7" t="s">
        <v>69</v>
      </c>
      <c r="L309" s="8">
        <v>31</v>
      </c>
      <c r="M309" s="7" t="s">
        <v>77</v>
      </c>
      <c r="N309" s="8">
        <v>13</v>
      </c>
      <c r="O309" s="8">
        <v>1</v>
      </c>
      <c r="P309" s="5">
        <v>4547.0600000000004</v>
      </c>
      <c r="Q309" s="4">
        <v>45600</v>
      </c>
      <c r="R309" s="9">
        <v>0.33807870370370369</v>
      </c>
      <c r="S309" s="8">
        <v>17</v>
      </c>
      <c r="T309" s="7" t="s">
        <v>4456</v>
      </c>
      <c r="U309" s="7" t="s">
        <v>4455</v>
      </c>
      <c r="V3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10" spans="1:22" x14ac:dyDescent="0.35">
      <c r="A310" s="7" t="s">
        <v>1192</v>
      </c>
      <c r="B310" s="7" t="s">
        <v>1193</v>
      </c>
      <c r="C310" s="5">
        <v>20.28</v>
      </c>
      <c r="D310" s="2">
        <v>0.73793981481139781</v>
      </c>
      <c r="E310" s="4">
        <v>45126</v>
      </c>
      <c r="F310" s="7" t="s">
        <v>17</v>
      </c>
      <c r="G310" s="7" t="s">
        <v>53</v>
      </c>
      <c r="H310" s="7" t="s">
        <v>1194</v>
      </c>
      <c r="I310" s="7" t="s">
        <v>1195</v>
      </c>
      <c r="J310" s="7" t="s">
        <v>478</v>
      </c>
      <c r="K310" s="7" t="s">
        <v>36</v>
      </c>
      <c r="L310" s="8">
        <v>36</v>
      </c>
      <c r="M310" s="7" t="s">
        <v>77</v>
      </c>
      <c r="N310" s="8">
        <v>213</v>
      </c>
      <c r="O310" s="8">
        <v>1</v>
      </c>
      <c r="P310" s="5">
        <v>2047.83</v>
      </c>
      <c r="Q310" s="4">
        <v>45600</v>
      </c>
      <c r="R310" s="9">
        <v>0.34030092592592592</v>
      </c>
      <c r="S310" s="8">
        <v>17</v>
      </c>
      <c r="T310" s="7" t="s">
        <v>4457</v>
      </c>
      <c r="U310" s="7" t="s">
        <v>4455</v>
      </c>
      <c r="V3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11" spans="1:22" x14ac:dyDescent="0.35">
      <c r="A311" s="7" t="s">
        <v>1196</v>
      </c>
      <c r="B311" s="7" t="s">
        <v>1197</v>
      </c>
      <c r="C311" s="5">
        <v>415.88</v>
      </c>
      <c r="D311" s="2">
        <v>0.72935185184906004</v>
      </c>
      <c r="E311" s="4">
        <v>45043</v>
      </c>
      <c r="F311" s="7" t="s">
        <v>17</v>
      </c>
      <c r="G311" s="7" t="s">
        <v>18</v>
      </c>
      <c r="H311" s="7" t="s">
        <v>1198</v>
      </c>
      <c r="I311" s="7" t="s">
        <v>394</v>
      </c>
      <c r="J311" s="7" t="s">
        <v>262</v>
      </c>
      <c r="K311" s="7" t="s">
        <v>69</v>
      </c>
      <c r="L311" s="8">
        <v>70</v>
      </c>
      <c r="M311" s="7" t="s">
        <v>23</v>
      </c>
      <c r="N311" s="8">
        <v>170</v>
      </c>
      <c r="O311" s="8">
        <v>1</v>
      </c>
      <c r="P311" s="5">
        <v>10008.33</v>
      </c>
      <c r="Q311" s="4">
        <v>45600</v>
      </c>
      <c r="R311" s="9">
        <v>0.33890046296296295</v>
      </c>
      <c r="S311" s="8">
        <v>17</v>
      </c>
      <c r="T311" s="7" t="s">
        <v>4454</v>
      </c>
      <c r="U311" s="7" t="s">
        <v>4455</v>
      </c>
      <c r="V3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12" spans="1:22" x14ac:dyDescent="0.35">
      <c r="A312" s="7" t="s">
        <v>1199</v>
      </c>
      <c r="B312" s="7" t="s">
        <v>1200</v>
      </c>
      <c r="C312" s="5">
        <v>49.99</v>
      </c>
      <c r="D312" s="2">
        <v>0.74582175925752381</v>
      </c>
      <c r="E312" s="4">
        <v>44966</v>
      </c>
      <c r="F312" s="7" t="s">
        <v>17</v>
      </c>
      <c r="G312" s="7" t="s">
        <v>296</v>
      </c>
      <c r="H312" s="7" t="s">
        <v>1201</v>
      </c>
      <c r="I312" s="7" t="s">
        <v>1202</v>
      </c>
      <c r="J312" s="7" t="s">
        <v>619</v>
      </c>
      <c r="K312" s="7" t="s">
        <v>22</v>
      </c>
      <c r="L312" s="8">
        <v>62</v>
      </c>
      <c r="M312" s="7" t="s">
        <v>70</v>
      </c>
      <c r="N312" s="8">
        <v>139</v>
      </c>
      <c r="O312" s="8">
        <v>1</v>
      </c>
      <c r="P312" s="5">
        <v>2299.64</v>
      </c>
      <c r="Q312" s="4">
        <v>45600</v>
      </c>
      <c r="R312" s="9">
        <v>0.33906249999999999</v>
      </c>
      <c r="S312" s="8">
        <v>17</v>
      </c>
      <c r="T312" s="7" t="s">
        <v>4454</v>
      </c>
      <c r="U312" s="7" t="s">
        <v>4455</v>
      </c>
      <c r="V3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13" spans="1:22" x14ac:dyDescent="0.35">
      <c r="A313" s="7" t="s">
        <v>1203</v>
      </c>
      <c r="B313" s="7" t="s">
        <v>134</v>
      </c>
      <c r="C313" s="5">
        <v>1221.6500000000001</v>
      </c>
      <c r="D313" s="2">
        <v>0.70526620370219462</v>
      </c>
      <c r="E313" s="4">
        <v>45196</v>
      </c>
      <c r="F313" s="7" t="s">
        <v>17</v>
      </c>
      <c r="G313" s="7" t="s">
        <v>114</v>
      </c>
      <c r="H313" s="7" t="s">
        <v>360</v>
      </c>
      <c r="I313" s="7" t="s">
        <v>1204</v>
      </c>
      <c r="J313" s="7" t="s">
        <v>50</v>
      </c>
      <c r="K313" s="7" t="s">
        <v>36</v>
      </c>
      <c r="L313" s="8">
        <v>27</v>
      </c>
      <c r="M313" s="7" t="s">
        <v>37</v>
      </c>
      <c r="N313" s="8">
        <v>153</v>
      </c>
      <c r="O313" s="8">
        <v>1</v>
      </c>
      <c r="P313" s="5">
        <v>243.92</v>
      </c>
      <c r="Q313" s="4">
        <v>45600</v>
      </c>
      <c r="R313" s="9">
        <v>0.34075231481481483</v>
      </c>
      <c r="S313" s="8">
        <v>16</v>
      </c>
      <c r="T313" s="7" t="s">
        <v>4456</v>
      </c>
      <c r="U313" s="7" t="s">
        <v>4455</v>
      </c>
      <c r="V3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14" spans="1:22" x14ac:dyDescent="0.35">
      <c r="A314" s="7" t="s">
        <v>1205</v>
      </c>
      <c r="B314" s="7" t="s">
        <v>1206</v>
      </c>
      <c r="C314" s="5">
        <v>100.66</v>
      </c>
      <c r="D314" s="2">
        <v>0.79085648147884058</v>
      </c>
      <c r="E314" s="4">
        <v>45093</v>
      </c>
      <c r="F314" s="7" t="s">
        <v>17</v>
      </c>
      <c r="G314" s="7" t="s">
        <v>323</v>
      </c>
      <c r="H314" s="7" t="s">
        <v>1207</v>
      </c>
      <c r="I314" s="7" t="s">
        <v>1208</v>
      </c>
      <c r="J314" s="7" t="s">
        <v>1209</v>
      </c>
      <c r="K314" s="7" t="s">
        <v>69</v>
      </c>
      <c r="L314" s="8">
        <v>50</v>
      </c>
      <c r="M314" s="7" t="s">
        <v>23</v>
      </c>
      <c r="N314" s="8">
        <v>144</v>
      </c>
      <c r="O314" s="8">
        <v>1</v>
      </c>
      <c r="P314" s="5">
        <v>14473.33</v>
      </c>
      <c r="Q314" s="4">
        <v>45600</v>
      </c>
      <c r="R314" s="9">
        <v>0.34159722222222222</v>
      </c>
      <c r="S314" s="8">
        <v>18</v>
      </c>
      <c r="T314" s="7" t="s">
        <v>4457</v>
      </c>
      <c r="U314" s="7" t="s">
        <v>4455</v>
      </c>
      <c r="V3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15" spans="1:22" x14ac:dyDescent="0.35">
      <c r="A315" s="7" t="s">
        <v>1210</v>
      </c>
      <c r="B315" s="7" t="s">
        <v>424</v>
      </c>
      <c r="C315" s="5">
        <v>485.54</v>
      </c>
      <c r="D315" s="2">
        <v>0.69986111111211358</v>
      </c>
      <c r="E315" s="4">
        <v>45268</v>
      </c>
      <c r="F315" s="7" t="s">
        <v>17</v>
      </c>
      <c r="G315" s="7" t="s">
        <v>108</v>
      </c>
      <c r="H315" s="7" t="s">
        <v>1211</v>
      </c>
      <c r="I315" s="7" t="s">
        <v>662</v>
      </c>
      <c r="J315" s="7" t="s">
        <v>1014</v>
      </c>
      <c r="K315" s="7" t="s">
        <v>36</v>
      </c>
      <c r="L315" s="8">
        <v>19</v>
      </c>
      <c r="M315" s="7" t="s">
        <v>37</v>
      </c>
      <c r="N315" s="8">
        <v>148</v>
      </c>
      <c r="O315" s="8">
        <v>1</v>
      </c>
      <c r="P315" s="5">
        <v>1533.32</v>
      </c>
      <c r="Q315" s="4">
        <v>45600</v>
      </c>
      <c r="R315" s="9">
        <v>0.34107638888888892</v>
      </c>
      <c r="S315" s="8">
        <v>16</v>
      </c>
      <c r="T315" s="7" t="s">
        <v>4456</v>
      </c>
      <c r="U315" s="7" t="s">
        <v>4455</v>
      </c>
      <c r="V3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16" spans="1:22" x14ac:dyDescent="0.35">
      <c r="A316" s="7" t="s">
        <v>1212</v>
      </c>
      <c r="B316" s="7" t="s">
        <v>1213</v>
      </c>
      <c r="C316" s="5">
        <v>321.14999999999998</v>
      </c>
      <c r="D316" s="2">
        <v>0.71296296296350192</v>
      </c>
      <c r="E316" s="4">
        <v>44967</v>
      </c>
      <c r="F316" s="7" t="s">
        <v>17</v>
      </c>
      <c r="G316" s="7" t="s">
        <v>140</v>
      </c>
      <c r="H316" s="7" t="s">
        <v>1214</v>
      </c>
      <c r="I316" s="7" t="s">
        <v>1215</v>
      </c>
      <c r="J316" s="7" t="s">
        <v>980</v>
      </c>
      <c r="K316" s="7" t="s">
        <v>69</v>
      </c>
      <c r="L316" s="8">
        <v>46</v>
      </c>
      <c r="M316" s="7" t="s">
        <v>23</v>
      </c>
      <c r="N316" s="8">
        <v>179</v>
      </c>
      <c r="O316" s="8">
        <v>1</v>
      </c>
      <c r="P316" s="5">
        <v>7005.05</v>
      </c>
      <c r="Q316" s="4">
        <v>45600</v>
      </c>
      <c r="R316" s="9">
        <v>0.33788194444444447</v>
      </c>
      <c r="S316" s="8">
        <v>17</v>
      </c>
      <c r="T316" s="7" t="s">
        <v>4457</v>
      </c>
      <c r="U316" s="7" t="s">
        <v>4455</v>
      </c>
      <c r="V3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17" spans="1:22" x14ac:dyDescent="0.35">
      <c r="A317" s="7" t="s">
        <v>1216</v>
      </c>
      <c r="B317" s="7" t="s">
        <v>1217</v>
      </c>
      <c r="C317" s="5">
        <v>711.3</v>
      </c>
      <c r="D317" s="2">
        <v>0.79001157407765277</v>
      </c>
      <c r="E317" s="4">
        <v>45103</v>
      </c>
      <c r="F317" s="7" t="s">
        <v>17</v>
      </c>
      <c r="G317" s="7" t="s">
        <v>223</v>
      </c>
      <c r="H317" s="7" t="s">
        <v>1218</v>
      </c>
      <c r="I317" s="7" t="s">
        <v>1219</v>
      </c>
      <c r="J317" s="7" t="s">
        <v>592</v>
      </c>
      <c r="K317" s="7" t="s">
        <v>69</v>
      </c>
      <c r="L317" s="8">
        <v>21</v>
      </c>
      <c r="M317" s="7" t="s">
        <v>37</v>
      </c>
      <c r="N317" s="8">
        <v>51</v>
      </c>
      <c r="O317" s="8">
        <v>1</v>
      </c>
      <c r="P317" s="5">
        <v>955.4</v>
      </c>
      <c r="Q317" s="4">
        <v>45600</v>
      </c>
      <c r="R317" s="9">
        <v>0.3399537037037037</v>
      </c>
      <c r="S317" s="8">
        <v>18</v>
      </c>
      <c r="T317" s="7" t="s">
        <v>4456</v>
      </c>
      <c r="U317" s="7" t="s">
        <v>4455</v>
      </c>
      <c r="V3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18" spans="1:22" x14ac:dyDescent="0.35">
      <c r="A318" s="7" t="s">
        <v>1220</v>
      </c>
      <c r="B318" s="7" t="s">
        <v>1221</v>
      </c>
      <c r="C318" s="5">
        <v>12.23</v>
      </c>
      <c r="D318" s="2">
        <v>0.66820601851941319</v>
      </c>
      <c r="E318" s="4">
        <v>45211</v>
      </c>
      <c r="F318" s="7" t="s">
        <v>17</v>
      </c>
      <c r="G318" s="7" t="s">
        <v>26</v>
      </c>
      <c r="H318" s="7" t="s">
        <v>1222</v>
      </c>
      <c r="I318" s="7" t="s">
        <v>681</v>
      </c>
      <c r="J318" s="7" t="s">
        <v>149</v>
      </c>
      <c r="K318" s="7" t="s">
        <v>22</v>
      </c>
      <c r="L318" s="8">
        <v>42</v>
      </c>
      <c r="M318" s="7" t="s">
        <v>77</v>
      </c>
      <c r="N318" s="8">
        <v>139</v>
      </c>
      <c r="O318" s="8">
        <v>1</v>
      </c>
      <c r="P318" s="5">
        <v>7844.88</v>
      </c>
      <c r="Q318" s="4">
        <v>45600</v>
      </c>
      <c r="R318" s="9">
        <v>0.33853009259259259</v>
      </c>
      <c r="S318" s="8">
        <v>16</v>
      </c>
      <c r="T318" s="7" t="s">
        <v>4457</v>
      </c>
      <c r="U318" s="7" t="s">
        <v>4455</v>
      </c>
      <c r="V3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19" spans="1:22" x14ac:dyDescent="0.35">
      <c r="A319" s="7" t="s">
        <v>1223</v>
      </c>
      <c r="B319" s="7" t="s">
        <v>467</v>
      </c>
      <c r="C319" s="5">
        <v>350.94</v>
      </c>
      <c r="D319" s="2">
        <v>0.72072916666365927</v>
      </c>
      <c r="E319" s="4">
        <v>45229</v>
      </c>
      <c r="F319" s="7" t="s">
        <v>17</v>
      </c>
      <c r="G319" s="7" t="s">
        <v>521</v>
      </c>
      <c r="H319" s="7" t="s">
        <v>1224</v>
      </c>
      <c r="I319" s="7" t="s">
        <v>1225</v>
      </c>
      <c r="J319" s="7" t="s">
        <v>759</v>
      </c>
      <c r="K319" s="7" t="s">
        <v>22</v>
      </c>
      <c r="L319" s="8">
        <v>20</v>
      </c>
      <c r="M319" s="7" t="s">
        <v>37</v>
      </c>
      <c r="N319" s="8">
        <v>64</v>
      </c>
      <c r="O319" s="8">
        <v>1</v>
      </c>
      <c r="P319" s="5">
        <v>221.56</v>
      </c>
      <c r="Q319" s="4">
        <v>45600</v>
      </c>
      <c r="R319" s="9">
        <v>0.34068287037037037</v>
      </c>
      <c r="S319" s="8">
        <v>17</v>
      </c>
      <c r="T319" s="7" t="s">
        <v>4456</v>
      </c>
      <c r="U319" s="7" t="s">
        <v>4455</v>
      </c>
      <c r="V3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20" spans="1:22" x14ac:dyDescent="0.35">
      <c r="A320" s="7" t="s">
        <v>1226</v>
      </c>
      <c r="B320" s="7" t="s">
        <v>463</v>
      </c>
      <c r="C320" s="5">
        <v>301.85000000000002</v>
      </c>
      <c r="D320" s="2">
        <v>0.73877314815035788</v>
      </c>
      <c r="E320" s="4">
        <v>45034</v>
      </c>
      <c r="F320" s="7" t="s">
        <v>17</v>
      </c>
      <c r="G320" s="7" t="s">
        <v>125</v>
      </c>
      <c r="H320" s="7" t="s">
        <v>1227</v>
      </c>
      <c r="I320" s="7" t="s">
        <v>174</v>
      </c>
      <c r="J320" s="7" t="s">
        <v>619</v>
      </c>
      <c r="K320" s="7" t="s">
        <v>36</v>
      </c>
      <c r="L320" s="8">
        <v>54</v>
      </c>
      <c r="M320" s="7" t="s">
        <v>77</v>
      </c>
      <c r="N320" s="8">
        <v>25</v>
      </c>
      <c r="O320" s="8">
        <v>1</v>
      </c>
      <c r="P320" s="5">
        <v>6586.19</v>
      </c>
      <c r="Q320" s="4">
        <v>45600</v>
      </c>
      <c r="R320" s="9">
        <v>0.34033564814814815</v>
      </c>
      <c r="S320" s="8">
        <v>17</v>
      </c>
      <c r="T320" s="7" t="s">
        <v>4457</v>
      </c>
      <c r="U320" s="7" t="s">
        <v>4455</v>
      </c>
      <c r="V3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21" spans="1:22" x14ac:dyDescent="0.35">
      <c r="A321" s="7" t="s">
        <v>1228</v>
      </c>
      <c r="B321" s="7" t="s">
        <v>1229</v>
      </c>
      <c r="C321" s="5">
        <v>29.34</v>
      </c>
      <c r="D321" s="2">
        <v>0.73412037036905531</v>
      </c>
      <c r="E321" s="4">
        <v>44994</v>
      </c>
      <c r="F321" s="7" t="s">
        <v>17</v>
      </c>
      <c r="G321" s="7" t="s">
        <v>108</v>
      </c>
      <c r="H321" s="7" t="s">
        <v>947</v>
      </c>
      <c r="I321" s="7" t="s">
        <v>1230</v>
      </c>
      <c r="J321" s="7" t="s">
        <v>343</v>
      </c>
      <c r="K321" s="7" t="s">
        <v>36</v>
      </c>
      <c r="L321" s="8">
        <v>65</v>
      </c>
      <c r="M321" s="7" t="s">
        <v>70</v>
      </c>
      <c r="N321" s="8">
        <v>30</v>
      </c>
      <c r="O321" s="8">
        <v>1</v>
      </c>
      <c r="P321" s="5">
        <v>3944.82</v>
      </c>
      <c r="Q321" s="4">
        <v>45600</v>
      </c>
      <c r="R321" s="9">
        <v>0.34145833333333331</v>
      </c>
      <c r="S321" s="8">
        <v>17</v>
      </c>
      <c r="T321" s="7" t="s">
        <v>4454</v>
      </c>
      <c r="U321" s="7" t="s">
        <v>4455</v>
      </c>
      <c r="V3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22" spans="1:22" x14ac:dyDescent="0.35">
      <c r="A322" s="7" t="s">
        <v>1231</v>
      </c>
      <c r="B322" s="7" t="s">
        <v>171</v>
      </c>
      <c r="C322" s="5">
        <v>231.71</v>
      </c>
      <c r="D322" s="2">
        <v>0.70912037036760012</v>
      </c>
      <c r="E322" s="4">
        <v>45040</v>
      </c>
      <c r="F322" s="7" t="s">
        <v>17</v>
      </c>
      <c r="G322" s="7" t="s">
        <v>40</v>
      </c>
      <c r="H322" s="7" t="s">
        <v>943</v>
      </c>
      <c r="I322" s="7" t="s">
        <v>1232</v>
      </c>
      <c r="J322" s="7" t="s">
        <v>406</v>
      </c>
      <c r="K322" s="7" t="s">
        <v>69</v>
      </c>
      <c r="L322" s="8">
        <v>27</v>
      </c>
      <c r="M322" s="7" t="s">
        <v>37</v>
      </c>
      <c r="N322" s="8">
        <v>148</v>
      </c>
      <c r="O322" s="8">
        <v>1</v>
      </c>
      <c r="P322" s="5">
        <v>1127.98</v>
      </c>
      <c r="Q322" s="4">
        <v>45600</v>
      </c>
      <c r="R322" s="9">
        <v>0.3382175925925926</v>
      </c>
      <c r="S322" s="8">
        <v>17</v>
      </c>
      <c r="T322" s="7" t="s">
        <v>4456</v>
      </c>
      <c r="U322" s="7" t="s">
        <v>4455</v>
      </c>
      <c r="V3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23" spans="1:22" x14ac:dyDescent="0.35">
      <c r="A323" s="7" t="s">
        <v>1233</v>
      </c>
      <c r="B323" s="7" t="s">
        <v>1197</v>
      </c>
      <c r="C323" s="5">
        <v>179.43</v>
      </c>
      <c r="D323" s="2">
        <v>0.76444444444496185</v>
      </c>
      <c r="E323" s="4">
        <v>45149</v>
      </c>
      <c r="F323" s="7" t="s">
        <v>17</v>
      </c>
      <c r="G323" s="7" t="s">
        <v>53</v>
      </c>
      <c r="H323" s="7" t="s">
        <v>1234</v>
      </c>
      <c r="I323" s="7" t="s">
        <v>1235</v>
      </c>
      <c r="J323" s="7" t="s">
        <v>432</v>
      </c>
      <c r="K323" s="7" t="s">
        <v>22</v>
      </c>
      <c r="L323" s="8">
        <v>58</v>
      </c>
      <c r="M323" s="7" t="s">
        <v>70</v>
      </c>
      <c r="N323" s="8">
        <v>244</v>
      </c>
      <c r="O323" s="8">
        <v>1</v>
      </c>
      <c r="P323" s="5">
        <v>2626.63</v>
      </c>
      <c r="Q323" s="4">
        <v>45600</v>
      </c>
      <c r="R323" s="9">
        <v>0.34027777777777779</v>
      </c>
      <c r="S323" s="8">
        <v>18</v>
      </c>
      <c r="T323" s="7" t="s">
        <v>4454</v>
      </c>
      <c r="U323" s="7" t="s">
        <v>4455</v>
      </c>
      <c r="V3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24" spans="1:22" x14ac:dyDescent="0.35">
      <c r="A324" s="7" t="s">
        <v>1236</v>
      </c>
      <c r="B324" s="7" t="s">
        <v>1060</v>
      </c>
      <c r="C324" s="5">
        <v>36.71</v>
      </c>
      <c r="D324" s="2">
        <v>0.71658564815152204</v>
      </c>
      <c r="E324" s="4">
        <v>44956</v>
      </c>
      <c r="F324" s="7" t="s">
        <v>17</v>
      </c>
      <c r="G324" s="7" t="s">
        <v>392</v>
      </c>
      <c r="H324" s="7" t="s">
        <v>120</v>
      </c>
      <c r="I324" s="7" t="s">
        <v>887</v>
      </c>
      <c r="J324" s="7" t="s">
        <v>312</v>
      </c>
      <c r="K324" s="7" t="s">
        <v>69</v>
      </c>
      <c r="L324" s="8">
        <v>48</v>
      </c>
      <c r="M324" s="7" t="s">
        <v>23</v>
      </c>
      <c r="N324" s="8">
        <v>55</v>
      </c>
      <c r="O324" s="8">
        <v>1</v>
      </c>
      <c r="P324" s="5">
        <v>6459.38</v>
      </c>
      <c r="Q324" s="4">
        <v>45600</v>
      </c>
      <c r="R324" s="9">
        <v>0.3414814814814815</v>
      </c>
      <c r="S324" s="8">
        <v>17</v>
      </c>
      <c r="T324" s="7" t="s">
        <v>4457</v>
      </c>
      <c r="U324" s="7" t="s">
        <v>4455</v>
      </c>
      <c r="V3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25" spans="1:22" x14ac:dyDescent="0.35">
      <c r="A325" s="7" t="s">
        <v>1237</v>
      </c>
      <c r="B325" s="7" t="s">
        <v>1238</v>
      </c>
      <c r="C325" s="5">
        <v>138.12</v>
      </c>
      <c r="D325" s="2">
        <v>0.72141203703358769</v>
      </c>
      <c r="E325" s="4">
        <v>45027</v>
      </c>
      <c r="F325" s="7" t="s">
        <v>46</v>
      </c>
      <c r="G325" s="7" t="s">
        <v>140</v>
      </c>
      <c r="H325" s="7" t="s">
        <v>526</v>
      </c>
      <c r="I325" s="7" t="s">
        <v>655</v>
      </c>
      <c r="J325" s="7" t="s">
        <v>652</v>
      </c>
      <c r="K325" s="7" t="s">
        <v>69</v>
      </c>
      <c r="L325" s="8">
        <v>53</v>
      </c>
      <c r="M325" s="7" t="s">
        <v>23</v>
      </c>
      <c r="N325" s="8">
        <v>281</v>
      </c>
      <c r="O325" s="8">
        <v>1</v>
      </c>
      <c r="P325" s="5">
        <v>1649.69</v>
      </c>
      <c r="Q325" s="4">
        <v>45600</v>
      </c>
      <c r="R325" s="9">
        <v>0.3412384259259259</v>
      </c>
      <c r="S325" s="8">
        <v>17</v>
      </c>
      <c r="T325" s="7" t="s">
        <v>4457</v>
      </c>
      <c r="U325" s="7" t="s">
        <v>4455</v>
      </c>
      <c r="V3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26" spans="1:22" x14ac:dyDescent="0.35">
      <c r="A326" s="7" t="s">
        <v>1239</v>
      </c>
      <c r="B326" s="7" t="s">
        <v>1240</v>
      </c>
      <c r="C326" s="5">
        <v>233.24</v>
      </c>
      <c r="D326" s="2">
        <v>0.70562500000232831</v>
      </c>
      <c r="E326" s="4">
        <v>45033</v>
      </c>
      <c r="F326" s="7" t="s">
        <v>17</v>
      </c>
      <c r="G326" s="7" t="s">
        <v>108</v>
      </c>
      <c r="H326" s="7" t="s">
        <v>1241</v>
      </c>
      <c r="I326" s="7" t="s">
        <v>1242</v>
      </c>
      <c r="J326" s="7" t="s">
        <v>272</v>
      </c>
      <c r="K326" s="7" t="s">
        <v>22</v>
      </c>
      <c r="L326" s="8">
        <v>33</v>
      </c>
      <c r="M326" s="7" t="s">
        <v>77</v>
      </c>
      <c r="N326" s="8">
        <v>72</v>
      </c>
      <c r="O326" s="8">
        <v>1</v>
      </c>
      <c r="P326" s="5">
        <v>6939.23</v>
      </c>
      <c r="Q326" s="4">
        <v>45600</v>
      </c>
      <c r="R326" s="9">
        <v>0.33864583333333331</v>
      </c>
      <c r="S326" s="8">
        <v>16</v>
      </c>
      <c r="T326" s="7" t="s">
        <v>4456</v>
      </c>
      <c r="U326" s="7" t="s">
        <v>4455</v>
      </c>
      <c r="V3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27" spans="1:22" x14ac:dyDescent="0.35">
      <c r="A327" s="7" t="s">
        <v>1243</v>
      </c>
      <c r="B327" s="7" t="s">
        <v>1244</v>
      </c>
      <c r="C327" s="5">
        <v>609.14</v>
      </c>
      <c r="D327" s="2">
        <v>0.67336805555532919</v>
      </c>
      <c r="E327" s="4">
        <v>45253</v>
      </c>
      <c r="F327" s="7" t="s">
        <v>17</v>
      </c>
      <c r="G327" s="7" t="s">
        <v>255</v>
      </c>
      <c r="H327" s="7" t="s">
        <v>1245</v>
      </c>
      <c r="I327" s="7" t="s">
        <v>1246</v>
      </c>
      <c r="J327" s="7" t="s">
        <v>572</v>
      </c>
      <c r="K327" s="7" t="s">
        <v>22</v>
      </c>
      <c r="L327" s="8">
        <v>39</v>
      </c>
      <c r="M327" s="7" t="s">
        <v>77</v>
      </c>
      <c r="N327" s="8">
        <v>177</v>
      </c>
      <c r="O327" s="8">
        <v>1</v>
      </c>
      <c r="P327" s="5">
        <v>9033.8700000000008</v>
      </c>
      <c r="Q327" s="4">
        <v>45600</v>
      </c>
      <c r="R327" s="9">
        <v>0.34135416666666668</v>
      </c>
      <c r="S327" s="8">
        <v>16</v>
      </c>
      <c r="T327" s="7" t="s">
        <v>4457</v>
      </c>
      <c r="U327" s="7" t="s">
        <v>4455</v>
      </c>
      <c r="V3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28" spans="1:22" x14ac:dyDescent="0.35">
      <c r="A328" s="7" t="s">
        <v>1247</v>
      </c>
      <c r="B328" s="7" t="s">
        <v>284</v>
      </c>
      <c r="C328" s="5">
        <v>436.64</v>
      </c>
      <c r="D328" s="2">
        <v>0.74055555555241881</v>
      </c>
      <c r="E328" s="4">
        <v>45285</v>
      </c>
      <c r="F328" s="7" t="s">
        <v>17</v>
      </c>
      <c r="G328" s="7" t="s">
        <v>140</v>
      </c>
      <c r="H328" s="7" t="s">
        <v>1248</v>
      </c>
      <c r="I328" s="7" t="s">
        <v>1249</v>
      </c>
      <c r="J328" s="7" t="s">
        <v>450</v>
      </c>
      <c r="K328" s="7" t="s">
        <v>69</v>
      </c>
      <c r="L328" s="8">
        <v>31</v>
      </c>
      <c r="M328" s="7" t="s">
        <v>23</v>
      </c>
      <c r="N328" s="8">
        <v>111</v>
      </c>
      <c r="O328" s="8">
        <v>1</v>
      </c>
      <c r="P328" s="5">
        <v>14365.18</v>
      </c>
      <c r="Q328" s="4">
        <v>45600</v>
      </c>
      <c r="R328" s="9">
        <v>0.33915509259259258</v>
      </c>
      <c r="S328" s="8">
        <v>17</v>
      </c>
      <c r="T328" s="7" t="s">
        <v>4456</v>
      </c>
      <c r="U328" s="7" t="s">
        <v>4455</v>
      </c>
      <c r="V3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29" spans="1:22" x14ac:dyDescent="0.35">
      <c r="A329" s="7" t="s">
        <v>1250</v>
      </c>
      <c r="B329" s="7" t="s">
        <v>355</v>
      </c>
      <c r="C329" s="5">
        <v>870.43</v>
      </c>
      <c r="D329" s="2">
        <v>0.7043981481474475</v>
      </c>
      <c r="E329" s="4">
        <v>45077</v>
      </c>
      <c r="F329" s="7" t="s">
        <v>17</v>
      </c>
      <c r="G329" s="7" t="s">
        <v>140</v>
      </c>
      <c r="H329" s="7" t="s">
        <v>1251</v>
      </c>
      <c r="I329" s="7" t="s">
        <v>956</v>
      </c>
      <c r="J329" s="7" t="s">
        <v>980</v>
      </c>
      <c r="K329" s="7" t="s">
        <v>69</v>
      </c>
      <c r="L329" s="8">
        <v>29</v>
      </c>
      <c r="M329" s="7" t="s">
        <v>23</v>
      </c>
      <c r="N329" s="8">
        <v>55</v>
      </c>
      <c r="O329" s="8">
        <v>1</v>
      </c>
      <c r="P329" s="5">
        <v>10115.18</v>
      </c>
      <c r="Q329" s="4">
        <v>45600</v>
      </c>
      <c r="R329" s="9">
        <v>0.33879629629629632</v>
      </c>
      <c r="S329" s="8">
        <v>16</v>
      </c>
      <c r="T329" s="7" t="s">
        <v>4456</v>
      </c>
      <c r="U329" s="7" t="s">
        <v>4455</v>
      </c>
      <c r="V3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30" spans="1:22" x14ac:dyDescent="0.35">
      <c r="A330" s="7" t="s">
        <v>1252</v>
      </c>
      <c r="B330" s="7" t="s">
        <v>102</v>
      </c>
      <c r="C330" s="5">
        <v>354.4</v>
      </c>
      <c r="D330" s="2">
        <v>0.72439814815152204</v>
      </c>
      <c r="E330" s="4">
        <v>45236</v>
      </c>
      <c r="F330" s="7" t="s">
        <v>17</v>
      </c>
      <c r="G330" s="7" t="s">
        <v>265</v>
      </c>
      <c r="H330" s="7" t="s">
        <v>1253</v>
      </c>
      <c r="I330" s="7" t="s">
        <v>1254</v>
      </c>
      <c r="J330" s="7" t="s">
        <v>246</v>
      </c>
      <c r="K330" s="7" t="s">
        <v>22</v>
      </c>
      <c r="L330" s="8">
        <v>74</v>
      </c>
      <c r="M330" s="7" t="s">
        <v>70</v>
      </c>
      <c r="N330" s="8">
        <v>128</v>
      </c>
      <c r="O330" s="8">
        <v>1</v>
      </c>
      <c r="P330" s="5">
        <v>7358.65</v>
      </c>
      <c r="Q330" s="4">
        <v>45600</v>
      </c>
      <c r="R330" s="9">
        <v>0.34027777777777779</v>
      </c>
      <c r="S330" s="8">
        <v>17</v>
      </c>
      <c r="T330" s="7" t="s">
        <v>4454</v>
      </c>
      <c r="U330" s="7" t="s">
        <v>4455</v>
      </c>
      <c r="V3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31" spans="1:22" x14ac:dyDescent="0.35">
      <c r="A331" s="7" t="s">
        <v>1255</v>
      </c>
      <c r="B331" s="7" t="s">
        <v>1256</v>
      </c>
      <c r="C331" s="5">
        <v>22.63</v>
      </c>
      <c r="D331" s="2">
        <v>0.72795138888614019</v>
      </c>
      <c r="E331" s="4">
        <v>44977</v>
      </c>
      <c r="F331" s="7" t="s">
        <v>17</v>
      </c>
      <c r="G331" s="7" t="s">
        <v>291</v>
      </c>
      <c r="H331" s="7" t="s">
        <v>421</v>
      </c>
      <c r="I331" s="7" t="s">
        <v>444</v>
      </c>
      <c r="J331" s="7" t="s">
        <v>29</v>
      </c>
      <c r="K331" s="7" t="s">
        <v>36</v>
      </c>
      <c r="L331" s="8">
        <v>53</v>
      </c>
      <c r="M331" s="7" t="s">
        <v>77</v>
      </c>
      <c r="N331" s="8">
        <v>112</v>
      </c>
      <c r="O331" s="8">
        <v>1</v>
      </c>
      <c r="P331" s="5">
        <v>4438.03</v>
      </c>
      <c r="Q331" s="4">
        <v>45600</v>
      </c>
      <c r="R331" s="9">
        <v>0.34092592592592591</v>
      </c>
      <c r="S331" s="8">
        <v>17</v>
      </c>
      <c r="T331" s="7" t="s">
        <v>4457</v>
      </c>
      <c r="U331" s="7" t="s">
        <v>4455</v>
      </c>
      <c r="V3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32" spans="1:22" x14ac:dyDescent="0.35">
      <c r="A332" s="7" t="s">
        <v>1257</v>
      </c>
      <c r="B332" s="7" t="s">
        <v>701</v>
      </c>
      <c r="C332" s="5">
        <v>182.19</v>
      </c>
      <c r="D332" s="2">
        <v>0.69195601851970423</v>
      </c>
      <c r="E332" s="4">
        <v>45096</v>
      </c>
      <c r="F332" s="7" t="s">
        <v>17</v>
      </c>
      <c r="G332" s="7" t="s">
        <v>32</v>
      </c>
      <c r="H332" s="7" t="s">
        <v>1258</v>
      </c>
      <c r="I332" s="7" t="s">
        <v>1259</v>
      </c>
      <c r="J332" s="7" t="s">
        <v>83</v>
      </c>
      <c r="K332" s="7" t="s">
        <v>69</v>
      </c>
      <c r="L332" s="8">
        <v>26</v>
      </c>
      <c r="M332" s="7" t="s">
        <v>37</v>
      </c>
      <c r="N332" s="8">
        <v>53</v>
      </c>
      <c r="O332" s="8">
        <v>1</v>
      </c>
      <c r="P332" s="5">
        <v>1176.0999999999999</v>
      </c>
      <c r="Q332" s="4">
        <v>45600</v>
      </c>
      <c r="R332" s="9">
        <v>0.33781250000000002</v>
      </c>
      <c r="S332" s="8">
        <v>16</v>
      </c>
      <c r="T332" s="7" t="s">
        <v>4456</v>
      </c>
      <c r="U332" s="7" t="s">
        <v>4455</v>
      </c>
      <c r="V3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33" spans="1:22" x14ac:dyDescent="0.35">
      <c r="A333" s="7" t="s">
        <v>1260</v>
      </c>
      <c r="B333" s="7" t="s">
        <v>438</v>
      </c>
      <c r="C333" s="5">
        <v>126.81</v>
      </c>
      <c r="D333" s="2">
        <v>0.70695601851912215</v>
      </c>
      <c r="E333" s="4">
        <v>45229</v>
      </c>
      <c r="F333" s="7" t="s">
        <v>17</v>
      </c>
      <c r="G333" s="7" t="s">
        <v>243</v>
      </c>
      <c r="H333" s="7" t="s">
        <v>1261</v>
      </c>
      <c r="I333" s="7" t="s">
        <v>1262</v>
      </c>
      <c r="J333" s="7" t="s">
        <v>308</v>
      </c>
      <c r="K333" s="7" t="s">
        <v>69</v>
      </c>
      <c r="L333" s="8">
        <v>26</v>
      </c>
      <c r="M333" s="7" t="s">
        <v>77</v>
      </c>
      <c r="N333" s="8">
        <v>290</v>
      </c>
      <c r="O333" s="8">
        <v>1</v>
      </c>
      <c r="P333" s="5">
        <v>5427.98</v>
      </c>
      <c r="Q333" s="4">
        <v>45600</v>
      </c>
      <c r="R333" s="9">
        <v>0.34192129629629631</v>
      </c>
      <c r="S333" s="8">
        <v>16</v>
      </c>
      <c r="T333" s="7" t="s">
        <v>4456</v>
      </c>
      <c r="U333" s="7" t="s">
        <v>4455</v>
      </c>
      <c r="V3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34" spans="1:22" x14ac:dyDescent="0.35">
      <c r="A334" s="7" t="s">
        <v>1263</v>
      </c>
      <c r="B334" s="7" t="s">
        <v>1264</v>
      </c>
      <c r="C334" s="5">
        <v>288.17</v>
      </c>
      <c r="D334" s="2">
        <v>0.70059027777460869</v>
      </c>
      <c r="E334" s="4">
        <v>45177</v>
      </c>
      <c r="F334" s="7" t="s">
        <v>17</v>
      </c>
      <c r="G334" s="7" t="s">
        <v>301</v>
      </c>
      <c r="H334" s="7" t="s">
        <v>1265</v>
      </c>
      <c r="I334" s="7" t="s">
        <v>552</v>
      </c>
      <c r="J334" s="7" t="s">
        <v>445</v>
      </c>
      <c r="K334" s="7" t="s">
        <v>36</v>
      </c>
      <c r="L334" s="8">
        <v>37</v>
      </c>
      <c r="M334" s="7" t="s">
        <v>77</v>
      </c>
      <c r="N334" s="8">
        <v>50</v>
      </c>
      <c r="O334" s="8">
        <v>1</v>
      </c>
      <c r="P334" s="5">
        <v>3653.11</v>
      </c>
      <c r="Q334" s="4">
        <v>45600</v>
      </c>
      <c r="R334" s="9">
        <v>0.34046296296296297</v>
      </c>
      <c r="S334" s="8">
        <v>16</v>
      </c>
      <c r="T334" s="7" t="s">
        <v>4457</v>
      </c>
      <c r="U334" s="7" t="s">
        <v>4455</v>
      </c>
      <c r="V3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35" spans="1:22" x14ac:dyDescent="0.35">
      <c r="A335" s="7" t="s">
        <v>1266</v>
      </c>
      <c r="B335" s="7" t="s">
        <v>1267</v>
      </c>
      <c r="C335" s="5">
        <v>118.77</v>
      </c>
      <c r="D335" s="2">
        <v>0.73894675925839692</v>
      </c>
      <c r="E335" s="4">
        <v>45201</v>
      </c>
      <c r="F335" s="7" t="s">
        <v>17</v>
      </c>
      <c r="G335" s="7" t="s">
        <v>47</v>
      </c>
      <c r="H335" s="7" t="s">
        <v>179</v>
      </c>
      <c r="I335" s="7" t="s">
        <v>1076</v>
      </c>
      <c r="J335" s="7" t="s">
        <v>386</v>
      </c>
      <c r="K335" s="7" t="s">
        <v>69</v>
      </c>
      <c r="L335" s="8">
        <v>55</v>
      </c>
      <c r="M335" s="7" t="s">
        <v>77</v>
      </c>
      <c r="N335" s="8">
        <v>123</v>
      </c>
      <c r="O335" s="8">
        <v>1</v>
      </c>
      <c r="P335" s="5">
        <v>2104.8200000000002</v>
      </c>
      <c r="Q335" s="4">
        <v>45600</v>
      </c>
      <c r="R335" s="9">
        <v>0.34061342592592592</v>
      </c>
      <c r="S335" s="8">
        <v>17</v>
      </c>
      <c r="T335" s="7" t="s">
        <v>4454</v>
      </c>
      <c r="U335" s="7" t="s">
        <v>4455</v>
      </c>
      <c r="V3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36" spans="1:22" x14ac:dyDescent="0.35">
      <c r="A336" s="7" t="s">
        <v>1268</v>
      </c>
      <c r="B336" s="7" t="s">
        <v>804</v>
      </c>
      <c r="C336" s="5">
        <v>651.82000000000005</v>
      </c>
      <c r="D336" s="2">
        <v>0.74980324073840166</v>
      </c>
      <c r="E336" s="4">
        <v>45030</v>
      </c>
      <c r="F336" s="7" t="s">
        <v>17</v>
      </c>
      <c r="G336" s="7" t="s">
        <v>65</v>
      </c>
      <c r="H336" s="7" t="s">
        <v>1269</v>
      </c>
      <c r="I336" s="7" t="s">
        <v>1270</v>
      </c>
      <c r="J336" s="7" t="s">
        <v>209</v>
      </c>
      <c r="K336" s="7" t="s">
        <v>22</v>
      </c>
      <c r="L336" s="8">
        <v>21</v>
      </c>
      <c r="M336" s="7" t="s">
        <v>37</v>
      </c>
      <c r="N336" s="8">
        <v>166</v>
      </c>
      <c r="O336" s="8">
        <v>1</v>
      </c>
      <c r="P336" s="5">
        <v>1802.77</v>
      </c>
      <c r="Q336" s="4">
        <v>45600</v>
      </c>
      <c r="R336" s="9">
        <v>0.3382175925925926</v>
      </c>
      <c r="S336" s="8">
        <v>17</v>
      </c>
      <c r="T336" s="7" t="s">
        <v>4456</v>
      </c>
      <c r="U336" s="7" t="s">
        <v>4455</v>
      </c>
      <c r="V3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37" spans="1:22" x14ac:dyDescent="0.35">
      <c r="A337" s="7" t="s">
        <v>1271</v>
      </c>
      <c r="B337" s="7" t="s">
        <v>1272</v>
      </c>
      <c r="C337" s="5">
        <v>66.650000000000006</v>
      </c>
      <c r="D337" s="2">
        <v>0.70762731481227092</v>
      </c>
      <c r="E337" s="4">
        <v>45216</v>
      </c>
      <c r="F337" s="7" t="s">
        <v>17</v>
      </c>
      <c r="G337" s="7" t="s">
        <v>73</v>
      </c>
      <c r="H337" s="7" t="s">
        <v>1273</v>
      </c>
      <c r="I337" s="7" t="s">
        <v>136</v>
      </c>
      <c r="J337" s="7" t="s">
        <v>740</v>
      </c>
      <c r="K337" s="7" t="s">
        <v>22</v>
      </c>
      <c r="L337" s="8">
        <v>37</v>
      </c>
      <c r="M337" s="7" t="s">
        <v>77</v>
      </c>
      <c r="N337" s="8">
        <v>33</v>
      </c>
      <c r="O337" s="8">
        <v>1</v>
      </c>
      <c r="P337" s="5">
        <v>3559.96</v>
      </c>
      <c r="Q337" s="4">
        <v>45600</v>
      </c>
      <c r="R337" s="9">
        <v>0.34097222222222223</v>
      </c>
      <c r="S337" s="8">
        <v>16</v>
      </c>
      <c r="T337" s="7" t="s">
        <v>4457</v>
      </c>
      <c r="U337" s="7" t="s">
        <v>4455</v>
      </c>
      <c r="V3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38" spans="1:22" x14ac:dyDescent="0.35">
      <c r="A338" s="7" t="s">
        <v>1274</v>
      </c>
      <c r="B338" s="7" t="s">
        <v>749</v>
      </c>
      <c r="C338" s="5">
        <v>98.53</v>
      </c>
      <c r="D338" s="2">
        <v>0.68875000000116415</v>
      </c>
      <c r="E338" s="4">
        <v>44942</v>
      </c>
      <c r="F338" s="7" t="s">
        <v>17</v>
      </c>
      <c r="G338" s="7" t="s">
        <v>114</v>
      </c>
      <c r="H338" s="7" t="s">
        <v>377</v>
      </c>
      <c r="I338" s="7" t="s">
        <v>915</v>
      </c>
      <c r="J338" s="7" t="s">
        <v>674</v>
      </c>
      <c r="K338" s="7" t="s">
        <v>69</v>
      </c>
      <c r="L338" s="8">
        <v>69</v>
      </c>
      <c r="M338" s="7" t="s">
        <v>70</v>
      </c>
      <c r="N338" s="8">
        <v>166</v>
      </c>
      <c r="O338" s="8">
        <v>1</v>
      </c>
      <c r="P338" s="5">
        <v>3564.8</v>
      </c>
      <c r="Q338" s="4">
        <v>45600</v>
      </c>
      <c r="R338" s="9">
        <v>0.34119212962962964</v>
      </c>
      <c r="S338" s="8">
        <v>16</v>
      </c>
      <c r="T338" s="7" t="s">
        <v>4454</v>
      </c>
      <c r="U338" s="7" t="s">
        <v>4455</v>
      </c>
      <c r="V3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39" spans="1:22" x14ac:dyDescent="0.35">
      <c r="A339" s="7" t="s">
        <v>1275</v>
      </c>
      <c r="B339" s="7" t="s">
        <v>274</v>
      </c>
      <c r="C339" s="5">
        <v>138.94999999999999</v>
      </c>
      <c r="D339" s="2">
        <v>0.70049768518219935</v>
      </c>
      <c r="E339" s="4">
        <v>45079</v>
      </c>
      <c r="F339" s="7" t="s">
        <v>17</v>
      </c>
      <c r="G339" s="7" t="s">
        <v>453</v>
      </c>
      <c r="H339" s="7" t="s">
        <v>1276</v>
      </c>
      <c r="I339" s="7" t="s">
        <v>1277</v>
      </c>
      <c r="J339" s="7" t="s">
        <v>277</v>
      </c>
      <c r="K339" s="7" t="s">
        <v>36</v>
      </c>
      <c r="L339" s="8">
        <v>71</v>
      </c>
      <c r="M339" s="7" t="s">
        <v>70</v>
      </c>
      <c r="N339" s="8">
        <v>30</v>
      </c>
      <c r="O339" s="8">
        <v>1</v>
      </c>
      <c r="P339" s="5">
        <v>6752.92</v>
      </c>
      <c r="Q339" s="4">
        <v>45600</v>
      </c>
      <c r="R339" s="9">
        <v>0.33931712962962962</v>
      </c>
      <c r="S339" s="8">
        <v>16</v>
      </c>
      <c r="T339" s="7" t="s">
        <v>4454</v>
      </c>
      <c r="U339" s="7" t="s">
        <v>4455</v>
      </c>
      <c r="V3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40" spans="1:22" x14ac:dyDescent="0.35">
      <c r="A340" s="7" t="s">
        <v>1278</v>
      </c>
      <c r="B340" s="7" t="s">
        <v>305</v>
      </c>
      <c r="C340" s="5">
        <v>33.89</v>
      </c>
      <c r="D340" s="2">
        <v>0.67400462963269092</v>
      </c>
      <c r="E340" s="4">
        <v>45240</v>
      </c>
      <c r="F340" s="7" t="s">
        <v>17</v>
      </c>
      <c r="G340" s="7" t="s">
        <v>80</v>
      </c>
      <c r="H340" s="7" t="s">
        <v>1279</v>
      </c>
      <c r="I340" s="7" t="s">
        <v>1280</v>
      </c>
      <c r="J340" s="7" t="s">
        <v>1281</v>
      </c>
      <c r="K340" s="7" t="s">
        <v>69</v>
      </c>
      <c r="L340" s="8">
        <v>26</v>
      </c>
      <c r="M340" s="7" t="s">
        <v>37</v>
      </c>
      <c r="N340" s="8">
        <v>177</v>
      </c>
      <c r="O340" s="8">
        <v>1</v>
      </c>
      <c r="P340" s="5">
        <v>1444.75</v>
      </c>
      <c r="Q340" s="4">
        <v>45600</v>
      </c>
      <c r="R340" s="9">
        <v>0.34138888888888891</v>
      </c>
      <c r="S340" s="8">
        <v>16</v>
      </c>
      <c r="T340" s="7" t="s">
        <v>4456</v>
      </c>
      <c r="U340" s="7" t="s">
        <v>4455</v>
      </c>
      <c r="V3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41" spans="1:22" x14ac:dyDescent="0.35">
      <c r="A341" s="7" t="s">
        <v>1282</v>
      </c>
      <c r="B341" s="7" t="s">
        <v>965</v>
      </c>
      <c r="C341" s="5">
        <v>23.71</v>
      </c>
      <c r="D341" s="2">
        <v>0.67004629629809642</v>
      </c>
      <c r="E341" s="4">
        <v>45187</v>
      </c>
      <c r="F341" s="7" t="s">
        <v>17</v>
      </c>
      <c r="G341" s="7" t="s">
        <v>47</v>
      </c>
      <c r="H341" s="7" t="s">
        <v>280</v>
      </c>
      <c r="I341" s="7" t="s">
        <v>1283</v>
      </c>
      <c r="J341" s="7" t="s">
        <v>262</v>
      </c>
      <c r="K341" s="7" t="s">
        <v>69</v>
      </c>
      <c r="L341" s="8">
        <v>58</v>
      </c>
      <c r="M341" s="7" t="s">
        <v>23</v>
      </c>
      <c r="N341" s="8">
        <v>164</v>
      </c>
      <c r="O341" s="8">
        <v>1</v>
      </c>
      <c r="P341" s="5">
        <v>10788.89</v>
      </c>
      <c r="Q341" s="4">
        <v>45600</v>
      </c>
      <c r="R341" s="9">
        <v>0.33976851851851853</v>
      </c>
      <c r="S341" s="8">
        <v>16</v>
      </c>
      <c r="T341" s="7" t="s">
        <v>4454</v>
      </c>
      <c r="U341" s="7" t="s">
        <v>4455</v>
      </c>
      <c r="V3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42" spans="1:22" x14ac:dyDescent="0.35">
      <c r="A342" s="7" t="s">
        <v>1284</v>
      </c>
      <c r="B342" s="7" t="s">
        <v>851</v>
      </c>
      <c r="C342" s="5">
        <v>1830</v>
      </c>
      <c r="D342" s="2">
        <v>0.68886574073985685</v>
      </c>
      <c r="E342" s="4">
        <v>44986</v>
      </c>
      <c r="F342" s="7" t="s">
        <v>17</v>
      </c>
      <c r="G342" s="7" t="s">
        <v>237</v>
      </c>
      <c r="H342" s="7" t="s">
        <v>709</v>
      </c>
      <c r="I342" s="7" t="s">
        <v>940</v>
      </c>
      <c r="J342" s="7" t="s">
        <v>984</v>
      </c>
      <c r="K342" s="7" t="s">
        <v>36</v>
      </c>
      <c r="L342" s="8">
        <v>55</v>
      </c>
      <c r="M342" s="7" t="s">
        <v>77</v>
      </c>
      <c r="N342" s="8">
        <v>238</v>
      </c>
      <c r="O342" s="8">
        <v>1</v>
      </c>
      <c r="P342" s="5">
        <v>2235.6999999999998</v>
      </c>
      <c r="Q342" s="4">
        <v>45600</v>
      </c>
      <c r="R342" s="9">
        <v>0.34165509259259258</v>
      </c>
      <c r="S342" s="8">
        <v>16</v>
      </c>
      <c r="T342" s="7" t="s">
        <v>4454</v>
      </c>
      <c r="U342" s="7" t="s">
        <v>4455</v>
      </c>
      <c r="V3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43" spans="1:22" x14ac:dyDescent="0.35">
      <c r="A343" s="7" t="s">
        <v>1285</v>
      </c>
      <c r="B343" s="7" t="s">
        <v>1081</v>
      </c>
      <c r="C343" s="5">
        <v>26.06</v>
      </c>
      <c r="D343" s="2">
        <v>0.70930555555241881</v>
      </c>
      <c r="E343" s="4">
        <v>45281</v>
      </c>
      <c r="F343" s="7" t="s">
        <v>17</v>
      </c>
      <c r="G343" s="7" t="s">
        <v>18</v>
      </c>
      <c r="H343" s="7" t="s">
        <v>1286</v>
      </c>
      <c r="I343" s="7" t="s">
        <v>61</v>
      </c>
      <c r="J343" s="7" t="s">
        <v>1287</v>
      </c>
      <c r="K343" s="7" t="s">
        <v>22</v>
      </c>
      <c r="L343" s="8">
        <v>65</v>
      </c>
      <c r="M343" s="7" t="s">
        <v>23</v>
      </c>
      <c r="N343" s="8">
        <v>283</v>
      </c>
      <c r="O343" s="8">
        <v>1</v>
      </c>
      <c r="P343" s="5">
        <v>12893.63</v>
      </c>
      <c r="Q343" s="4">
        <v>45600</v>
      </c>
      <c r="R343" s="9">
        <v>0.34166666666666667</v>
      </c>
      <c r="S343" s="8">
        <v>17</v>
      </c>
      <c r="T343" s="7" t="s">
        <v>4454</v>
      </c>
      <c r="U343" s="7" t="s">
        <v>4455</v>
      </c>
      <c r="V3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44" spans="1:22" x14ac:dyDescent="0.35">
      <c r="A344" s="7" t="s">
        <v>1288</v>
      </c>
      <c r="B344" s="7" t="s">
        <v>1289</v>
      </c>
      <c r="C344" s="5">
        <v>17.07</v>
      </c>
      <c r="D344" s="2">
        <v>0.72027777777839219</v>
      </c>
      <c r="E344" s="4">
        <v>45047</v>
      </c>
      <c r="F344" s="7" t="s">
        <v>17</v>
      </c>
      <c r="G344" s="7" t="s">
        <v>140</v>
      </c>
      <c r="H344" s="7" t="s">
        <v>1290</v>
      </c>
      <c r="I344" s="7" t="s">
        <v>1291</v>
      </c>
      <c r="J344" s="7" t="s">
        <v>282</v>
      </c>
      <c r="K344" s="7" t="s">
        <v>69</v>
      </c>
      <c r="L344" s="8">
        <v>27</v>
      </c>
      <c r="M344" s="7" t="s">
        <v>77</v>
      </c>
      <c r="N344" s="8">
        <v>44</v>
      </c>
      <c r="O344" s="8">
        <v>1</v>
      </c>
      <c r="P344" s="5">
        <v>2798.15</v>
      </c>
      <c r="Q344" s="4">
        <v>45600</v>
      </c>
      <c r="R344" s="9">
        <v>0.34126157407407409</v>
      </c>
      <c r="S344" s="8">
        <v>17</v>
      </c>
      <c r="T344" s="7" t="s">
        <v>4456</v>
      </c>
      <c r="U344" s="7" t="s">
        <v>4455</v>
      </c>
      <c r="V3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45" spans="1:22" x14ac:dyDescent="0.35">
      <c r="A345" s="7" t="s">
        <v>1292</v>
      </c>
      <c r="B345" s="7" t="s">
        <v>1293</v>
      </c>
      <c r="C345" s="5">
        <v>703.89</v>
      </c>
      <c r="D345" s="2">
        <v>0.69600694444670808</v>
      </c>
      <c r="E345" s="4">
        <v>45191</v>
      </c>
      <c r="F345" s="7" t="s">
        <v>17</v>
      </c>
      <c r="G345" s="7" t="s">
        <v>237</v>
      </c>
      <c r="H345" s="7" t="s">
        <v>1294</v>
      </c>
      <c r="I345" s="7" t="s">
        <v>1295</v>
      </c>
      <c r="J345" s="7" t="s">
        <v>226</v>
      </c>
      <c r="K345" s="7" t="s">
        <v>36</v>
      </c>
      <c r="L345" s="8">
        <v>46</v>
      </c>
      <c r="M345" s="7" t="s">
        <v>77</v>
      </c>
      <c r="N345" s="8">
        <v>62</v>
      </c>
      <c r="O345" s="8">
        <v>1</v>
      </c>
      <c r="P345" s="5">
        <v>3583.67</v>
      </c>
      <c r="Q345" s="4">
        <v>45600</v>
      </c>
      <c r="R345" s="9">
        <v>0.33800925925925923</v>
      </c>
      <c r="S345" s="8">
        <v>16</v>
      </c>
      <c r="T345" s="7" t="s">
        <v>4457</v>
      </c>
      <c r="U345" s="7" t="s">
        <v>4455</v>
      </c>
      <c r="V3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46" spans="1:22" x14ac:dyDescent="0.35">
      <c r="A346" s="7" t="s">
        <v>1296</v>
      </c>
      <c r="B346" s="7" t="s">
        <v>789</v>
      </c>
      <c r="C346" s="5">
        <v>1271.9000000000001</v>
      </c>
      <c r="D346" s="2">
        <v>0.69670138888614019</v>
      </c>
      <c r="E346" s="4">
        <v>45166</v>
      </c>
      <c r="F346" s="7" t="s">
        <v>17</v>
      </c>
      <c r="G346" s="7" t="s">
        <v>26</v>
      </c>
      <c r="H346" s="7" t="s">
        <v>1297</v>
      </c>
      <c r="I346" s="7" t="s">
        <v>1298</v>
      </c>
      <c r="J346" s="7" t="s">
        <v>89</v>
      </c>
      <c r="K346" s="7" t="s">
        <v>22</v>
      </c>
      <c r="L346" s="8">
        <v>47</v>
      </c>
      <c r="M346" s="7" t="s">
        <v>77</v>
      </c>
      <c r="N346" s="8">
        <v>155</v>
      </c>
      <c r="O346" s="8">
        <v>1</v>
      </c>
      <c r="P346" s="5">
        <v>2120.8000000000002</v>
      </c>
      <c r="Q346" s="4">
        <v>45600</v>
      </c>
      <c r="R346" s="9">
        <v>0.33989583333333334</v>
      </c>
      <c r="S346" s="8">
        <v>16</v>
      </c>
      <c r="T346" s="7" t="s">
        <v>4457</v>
      </c>
      <c r="U346" s="7" t="s">
        <v>4455</v>
      </c>
      <c r="V3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47" spans="1:22" x14ac:dyDescent="0.35">
      <c r="A347" s="7" t="s">
        <v>1299</v>
      </c>
      <c r="B347" s="7" t="s">
        <v>698</v>
      </c>
      <c r="C347" s="5">
        <v>26.55</v>
      </c>
      <c r="D347" s="2">
        <v>0.72599537036876427</v>
      </c>
      <c r="E347" s="4">
        <v>45189</v>
      </c>
      <c r="F347" s="7" t="s">
        <v>17</v>
      </c>
      <c r="G347" s="7" t="s">
        <v>26</v>
      </c>
      <c r="H347" s="7" t="s">
        <v>605</v>
      </c>
      <c r="I347" s="7" t="s">
        <v>933</v>
      </c>
      <c r="J347" s="7" t="s">
        <v>514</v>
      </c>
      <c r="K347" s="7" t="s">
        <v>22</v>
      </c>
      <c r="L347" s="8">
        <v>77</v>
      </c>
      <c r="M347" s="7" t="s">
        <v>70</v>
      </c>
      <c r="N347" s="8">
        <v>228</v>
      </c>
      <c r="O347" s="8">
        <v>1</v>
      </c>
      <c r="P347" s="5">
        <v>3085.38</v>
      </c>
      <c r="Q347" s="4">
        <v>45600</v>
      </c>
      <c r="R347" s="9">
        <v>0.33846064814814814</v>
      </c>
      <c r="S347" s="8">
        <v>17</v>
      </c>
      <c r="T347" s="7" t="s">
        <v>4454</v>
      </c>
      <c r="U347" s="7" t="s">
        <v>4455</v>
      </c>
      <c r="V3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48" spans="1:22" x14ac:dyDescent="0.35">
      <c r="A348" s="7" t="s">
        <v>1300</v>
      </c>
      <c r="B348" s="7" t="s">
        <v>1301</v>
      </c>
      <c r="C348" s="5">
        <v>147.4</v>
      </c>
      <c r="D348" s="2">
        <v>0.67420138888701331</v>
      </c>
      <c r="E348" s="4">
        <v>45086</v>
      </c>
      <c r="F348" s="7" t="s">
        <v>17</v>
      </c>
      <c r="G348" s="7" t="s">
        <v>223</v>
      </c>
      <c r="H348" s="7" t="s">
        <v>1302</v>
      </c>
      <c r="I348" s="7" t="s">
        <v>67</v>
      </c>
      <c r="J348" s="7" t="s">
        <v>652</v>
      </c>
      <c r="K348" s="7" t="s">
        <v>69</v>
      </c>
      <c r="L348" s="8">
        <v>42</v>
      </c>
      <c r="M348" s="7" t="s">
        <v>77</v>
      </c>
      <c r="N348" s="8">
        <v>259</v>
      </c>
      <c r="O348" s="8">
        <v>1</v>
      </c>
      <c r="P348" s="5">
        <v>6797.71</v>
      </c>
      <c r="Q348" s="4">
        <v>45600</v>
      </c>
      <c r="R348" s="9">
        <v>0.33840277777777777</v>
      </c>
      <c r="S348" s="8">
        <v>16</v>
      </c>
      <c r="T348" s="7" t="s">
        <v>4457</v>
      </c>
      <c r="U348" s="7" t="s">
        <v>4455</v>
      </c>
      <c r="V3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49" spans="1:22" x14ac:dyDescent="0.35">
      <c r="A349" s="7" t="s">
        <v>1303</v>
      </c>
      <c r="B349" s="7" t="s">
        <v>1304</v>
      </c>
      <c r="C349" s="5">
        <v>202.11</v>
      </c>
      <c r="D349" s="2">
        <v>0.6732175925935735</v>
      </c>
      <c r="E349" s="4">
        <v>45015</v>
      </c>
      <c r="F349" s="7" t="s">
        <v>17</v>
      </c>
      <c r="G349" s="7" t="s">
        <v>92</v>
      </c>
      <c r="H349" s="7" t="s">
        <v>1305</v>
      </c>
      <c r="I349" s="7" t="s">
        <v>1306</v>
      </c>
      <c r="J349" s="7" t="s">
        <v>262</v>
      </c>
      <c r="K349" s="7" t="s">
        <v>22</v>
      </c>
      <c r="L349" s="8">
        <v>27</v>
      </c>
      <c r="M349" s="7" t="s">
        <v>37</v>
      </c>
      <c r="N349" s="8">
        <v>18</v>
      </c>
      <c r="O349" s="8">
        <v>1</v>
      </c>
      <c r="P349" s="5">
        <v>746.47</v>
      </c>
      <c r="Q349" s="4">
        <v>45600</v>
      </c>
      <c r="R349" s="9">
        <v>0.34028935185185183</v>
      </c>
      <c r="S349" s="8">
        <v>16</v>
      </c>
      <c r="T349" s="7" t="s">
        <v>4456</v>
      </c>
      <c r="U349" s="7" t="s">
        <v>4455</v>
      </c>
      <c r="V3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50" spans="1:22" x14ac:dyDescent="0.35">
      <c r="A350" s="7" t="s">
        <v>1307</v>
      </c>
      <c r="B350" s="7" t="s">
        <v>1308</v>
      </c>
      <c r="C350" s="5">
        <v>308.42</v>
      </c>
      <c r="D350" s="2">
        <v>0.67664351851999527</v>
      </c>
      <c r="E350" s="4">
        <v>45048</v>
      </c>
      <c r="F350" s="7" t="s">
        <v>17</v>
      </c>
      <c r="G350" s="7" t="s">
        <v>80</v>
      </c>
      <c r="H350" s="7" t="s">
        <v>612</v>
      </c>
      <c r="I350" s="7" t="s">
        <v>1309</v>
      </c>
      <c r="J350" s="7" t="s">
        <v>543</v>
      </c>
      <c r="K350" s="7" t="s">
        <v>69</v>
      </c>
      <c r="L350" s="8">
        <v>75</v>
      </c>
      <c r="M350" s="7" t="s">
        <v>70</v>
      </c>
      <c r="N350" s="8">
        <v>39</v>
      </c>
      <c r="O350" s="8">
        <v>1</v>
      </c>
      <c r="P350" s="5">
        <v>5427.81</v>
      </c>
      <c r="Q350" s="4">
        <v>45600</v>
      </c>
      <c r="R350" s="9">
        <v>0.33789351851851851</v>
      </c>
      <c r="S350" s="8">
        <v>16</v>
      </c>
      <c r="T350" s="7" t="s">
        <v>4454</v>
      </c>
      <c r="U350" s="7" t="s">
        <v>4455</v>
      </c>
      <c r="V3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51" spans="1:22" x14ac:dyDescent="0.35">
      <c r="A351" s="7" t="s">
        <v>1310</v>
      </c>
      <c r="B351" s="7" t="s">
        <v>1311</v>
      </c>
      <c r="C351" s="5">
        <v>11.18</v>
      </c>
      <c r="D351" s="2">
        <v>0.6940740740756155</v>
      </c>
      <c r="E351" s="4">
        <v>44984</v>
      </c>
      <c r="F351" s="7" t="s">
        <v>17</v>
      </c>
      <c r="G351" s="7" t="s">
        <v>172</v>
      </c>
      <c r="H351" s="7" t="s">
        <v>998</v>
      </c>
      <c r="I351" s="7" t="s">
        <v>995</v>
      </c>
      <c r="J351" s="7" t="s">
        <v>76</v>
      </c>
      <c r="K351" s="7" t="s">
        <v>22</v>
      </c>
      <c r="L351" s="8">
        <v>53</v>
      </c>
      <c r="M351" s="7" t="s">
        <v>77</v>
      </c>
      <c r="N351" s="8">
        <v>144</v>
      </c>
      <c r="O351" s="8">
        <v>1</v>
      </c>
      <c r="P351" s="5">
        <v>7467.3</v>
      </c>
      <c r="Q351" s="4">
        <v>45600</v>
      </c>
      <c r="R351" s="9">
        <v>0.3409375</v>
      </c>
      <c r="S351" s="8">
        <v>16</v>
      </c>
      <c r="T351" s="7" t="s">
        <v>4457</v>
      </c>
      <c r="U351" s="7" t="s">
        <v>4455</v>
      </c>
      <c r="V3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52" spans="1:22" x14ac:dyDescent="0.35">
      <c r="A352" s="7" t="s">
        <v>1312</v>
      </c>
      <c r="B352" s="7" t="s">
        <v>1313</v>
      </c>
      <c r="C352" s="5">
        <v>294.14999999999998</v>
      </c>
      <c r="D352" s="2">
        <v>0.68021990740817273</v>
      </c>
      <c r="E352" s="4">
        <v>44959</v>
      </c>
      <c r="F352" s="7" t="s">
        <v>17</v>
      </c>
      <c r="G352" s="7" t="s">
        <v>558</v>
      </c>
      <c r="H352" s="7" t="s">
        <v>1314</v>
      </c>
      <c r="I352" s="7" t="s">
        <v>1315</v>
      </c>
      <c r="J352" s="7" t="s">
        <v>68</v>
      </c>
      <c r="K352" s="7" t="s">
        <v>36</v>
      </c>
      <c r="L352" s="8">
        <v>38</v>
      </c>
      <c r="M352" s="7" t="s">
        <v>77</v>
      </c>
      <c r="N352" s="8">
        <v>136</v>
      </c>
      <c r="O352" s="8">
        <v>1</v>
      </c>
      <c r="P352" s="5">
        <v>6362.16</v>
      </c>
      <c r="Q352" s="4">
        <v>45600</v>
      </c>
      <c r="R352" s="9">
        <v>0.33842592592592591</v>
      </c>
      <c r="S352" s="8">
        <v>16</v>
      </c>
      <c r="T352" s="7" t="s">
        <v>4457</v>
      </c>
      <c r="U352" s="7" t="s">
        <v>4455</v>
      </c>
      <c r="V3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53" spans="1:22" x14ac:dyDescent="0.35">
      <c r="A353" s="7" t="s">
        <v>1316</v>
      </c>
      <c r="B353" s="7" t="s">
        <v>295</v>
      </c>
      <c r="C353" s="5">
        <v>29.58</v>
      </c>
      <c r="D353" s="2">
        <v>0.74605324074218515</v>
      </c>
      <c r="E353" s="4">
        <v>45229</v>
      </c>
      <c r="F353" s="7" t="s">
        <v>17</v>
      </c>
      <c r="G353" s="7" t="s">
        <v>521</v>
      </c>
      <c r="H353" s="7" t="s">
        <v>1317</v>
      </c>
      <c r="I353" s="7" t="s">
        <v>1318</v>
      </c>
      <c r="J353" s="7" t="s">
        <v>386</v>
      </c>
      <c r="K353" s="7" t="s">
        <v>69</v>
      </c>
      <c r="L353" s="8">
        <v>54</v>
      </c>
      <c r="M353" s="7" t="s">
        <v>77</v>
      </c>
      <c r="N353" s="8">
        <v>121</v>
      </c>
      <c r="O353" s="8">
        <v>1</v>
      </c>
      <c r="P353" s="5">
        <v>8345.26</v>
      </c>
      <c r="Q353" s="4">
        <v>45600</v>
      </c>
      <c r="R353" s="9">
        <v>0.34098379629629627</v>
      </c>
      <c r="S353" s="8">
        <v>17</v>
      </c>
      <c r="T353" s="7" t="s">
        <v>4457</v>
      </c>
      <c r="U353" s="7" t="s">
        <v>4455</v>
      </c>
      <c r="V3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54" spans="1:22" x14ac:dyDescent="0.35">
      <c r="A354" s="7" t="s">
        <v>1319</v>
      </c>
      <c r="B354" s="7" t="s">
        <v>211</v>
      </c>
      <c r="C354" s="5">
        <v>139.44999999999999</v>
      </c>
      <c r="D354" s="2">
        <v>0.6965856481474475</v>
      </c>
      <c r="E354" s="4">
        <v>45117</v>
      </c>
      <c r="F354" s="7" t="s">
        <v>17</v>
      </c>
      <c r="G354" s="7" t="s">
        <v>388</v>
      </c>
      <c r="H354" s="7" t="s">
        <v>910</v>
      </c>
      <c r="I354" s="7" t="s">
        <v>542</v>
      </c>
      <c r="J354" s="7" t="s">
        <v>432</v>
      </c>
      <c r="K354" s="7" t="s">
        <v>36</v>
      </c>
      <c r="L354" s="8">
        <v>27</v>
      </c>
      <c r="M354" s="7" t="s">
        <v>37</v>
      </c>
      <c r="N354" s="8">
        <v>31</v>
      </c>
      <c r="O354" s="8">
        <v>1</v>
      </c>
      <c r="P354" s="5">
        <v>1305.76</v>
      </c>
      <c r="Q354" s="4">
        <v>45600</v>
      </c>
      <c r="R354" s="9">
        <v>0.34037037037037038</v>
      </c>
      <c r="S354" s="8">
        <v>16</v>
      </c>
      <c r="T354" s="7" t="s">
        <v>4456</v>
      </c>
      <c r="U354" s="7" t="s">
        <v>4455</v>
      </c>
      <c r="V3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55" spans="1:22" x14ac:dyDescent="0.35">
      <c r="A355" s="7" t="s">
        <v>1320</v>
      </c>
      <c r="B355" s="7" t="s">
        <v>600</v>
      </c>
      <c r="C355" s="5">
        <v>432.63</v>
      </c>
      <c r="D355" s="2">
        <v>0.71571759258949896</v>
      </c>
      <c r="E355" s="4">
        <v>45107</v>
      </c>
      <c r="F355" s="7" t="s">
        <v>17</v>
      </c>
      <c r="G355" s="7" t="s">
        <v>521</v>
      </c>
      <c r="H355" s="7" t="s">
        <v>538</v>
      </c>
      <c r="I355" s="7" t="s">
        <v>1321</v>
      </c>
      <c r="J355" s="7" t="s">
        <v>1209</v>
      </c>
      <c r="K355" s="7" t="s">
        <v>22</v>
      </c>
      <c r="L355" s="8">
        <v>29</v>
      </c>
      <c r="M355" s="7" t="s">
        <v>23</v>
      </c>
      <c r="N355" s="8">
        <v>137</v>
      </c>
      <c r="O355" s="8">
        <v>1</v>
      </c>
      <c r="P355" s="5">
        <v>13648.36</v>
      </c>
      <c r="Q355" s="4">
        <v>45600</v>
      </c>
      <c r="R355" s="9">
        <v>0.34055555555555556</v>
      </c>
      <c r="S355" s="8">
        <v>17</v>
      </c>
      <c r="T355" s="7" t="s">
        <v>4456</v>
      </c>
      <c r="U355" s="7" t="s">
        <v>4455</v>
      </c>
      <c r="V3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56" spans="1:22" x14ac:dyDescent="0.35">
      <c r="A356" s="7" t="s">
        <v>1322</v>
      </c>
      <c r="B356" s="7" t="s">
        <v>636</v>
      </c>
      <c r="C356" s="5">
        <v>131.43</v>
      </c>
      <c r="D356" s="2">
        <v>0.78287037037080154</v>
      </c>
      <c r="E356" s="4">
        <v>44958</v>
      </c>
      <c r="F356" s="7" t="s">
        <v>17</v>
      </c>
      <c r="G356" s="7" t="s">
        <v>249</v>
      </c>
      <c r="H356" s="7" t="s">
        <v>1323</v>
      </c>
      <c r="I356" s="7" t="s">
        <v>542</v>
      </c>
      <c r="J356" s="7" t="s">
        <v>200</v>
      </c>
      <c r="K356" s="7" t="s">
        <v>36</v>
      </c>
      <c r="L356" s="8">
        <v>43</v>
      </c>
      <c r="M356" s="7" t="s">
        <v>23</v>
      </c>
      <c r="N356" s="8">
        <v>65</v>
      </c>
      <c r="O356" s="8">
        <v>1</v>
      </c>
      <c r="P356" s="5">
        <v>1337.5</v>
      </c>
      <c r="Q356" s="4">
        <v>45600</v>
      </c>
      <c r="R356" s="9">
        <v>0.34180555555555553</v>
      </c>
      <c r="S356" s="8">
        <v>18</v>
      </c>
      <c r="T356" s="7" t="s">
        <v>4457</v>
      </c>
      <c r="U356" s="7" t="s">
        <v>4455</v>
      </c>
      <c r="V3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57" spans="1:22" x14ac:dyDescent="0.35">
      <c r="A357" s="7" t="s">
        <v>1324</v>
      </c>
      <c r="B357" s="7" t="s">
        <v>314</v>
      </c>
      <c r="C357" s="5">
        <v>516.72</v>
      </c>
      <c r="D357" s="2">
        <v>0.7799074074064265</v>
      </c>
      <c r="E357" s="4">
        <v>45208</v>
      </c>
      <c r="F357" s="7" t="s">
        <v>17</v>
      </c>
      <c r="G357" s="7" t="s">
        <v>32</v>
      </c>
      <c r="H357" s="7" t="s">
        <v>582</v>
      </c>
      <c r="I357" s="7" t="s">
        <v>1325</v>
      </c>
      <c r="J357" s="7" t="s">
        <v>105</v>
      </c>
      <c r="K357" s="7" t="s">
        <v>22</v>
      </c>
      <c r="L357" s="8">
        <v>42</v>
      </c>
      <c r="M357" s="7" t="s">
        <v>77</v>
      </c>
      <c r="N357" s="8">
        <v>128</v>
      </c>
      <c r="O357" s="8">
        <v>1</v>
      </c>
      <c r="P357" s="5">
        <v>2015.69</v>
      </c>
      <c r="Q357" s="4">
        <v>45600</v>
      </c>
      <c r="R357" s="9">
        <v>0.34137731481481481</v>
      </c>
      <c r="S357" s="8">
        <v>18</v>
      </c>
      <c r="T357" s="7" t="s">
        <v>4457</v>
      </c>
      <c r="U357" s="7" t="s">
        <v>4455</v>
      </c>
      <c r="V3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58" spans="1:22" x14ac:dyDescent="0.35">
      <c r="A358" s="7" t="s">
        <v>1326</v>
      </c>
      <c r="B358" s="7" t="s">
        <v>1327</v>
      </c>
      <c r="C358" s="5">
        <v>121.82</v>
      </c>
      <c r="D358" s="2">
        <v>0.72250000000349246</v>
      </c>
      <c r="E358" s="4">
        <v>44964</v>
      </c>
      <c r="F358" s="7" t="s">
        <v>17</v>
      </c>
      <c r="G358" s="7" t="s">
        <v>521</v>
      </c>
      <c r="H358" s="7" t="s">
        <v>1328</v>
      </c>
      <c r="I358" s="7" t="s">
        <v>330</v>
      </c>
      <c r="J358" s="7" t="s">
        <v>209</v>
      </c>
      <c r="K358" s="7" t="s">
        <v>36</v>
      </c>
      <c r="L358" s="8">
        <v>69</v>
      </c>
      <c r="M358" s="7" t="s">
        <v>23</v>
      </c>
      <c r="N358" s="8">
        <v>123</v>
      </c>
      <c r="O358" s="8">
        <v>3</v>
      </c>
      <c r="P358" s="5">
        <v>8354.5400000000009</v>
      </c>
      <c r="Q358" s="4">
        <v>45600</v>
      </c>
      <c r="R358" s="9">
        <v>0.3389699074074074</v>
      </c>
      <c r="S358" s="8">
        <v>17</v>
      </c>
      <c r="T358" s="7" t="s">
        <v>4454</v>
      </c>
      <c r="U358" s="7" t="s">
        <v>4458</v>
      </c>
      <c r="V3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59" spans="1:22" x14ac:dyDescent="0.35">
      <c r="A359" s="7" t="s">
        <v>1329</v>
      </c>
      <c r="B359" s="7" t="s">
        <v>91</v>
      </c>
      <c r="C359" s="5">
        <v>374.5</v>
      </c>
      <c r="D359" s="2">
        <v>0.69827546296437504</v>
      </c>
      <c r="E359" s="4">
        <v>45131</v>
      </c>
      <c r="F359" s="7" t="s">
        <v>46</v>
      </c>
      <c r="G359" s="7" t="s">
        <v>212</v>
      </c>
      <c r="H359" s="7" t="s">
        <v>1330</v>
      </c>
      <c r="I359" s="7" t="s">
        <v>347</v>
      </c>
      <c r="J359" s="7" t="s">
        <v>43</v>
      </c>
      <c r="K359" s="7" t="s">
        <v>69</v>
      </c>
      <c r="L359" s="8">
        <v>26</v>
      </c>
      <c r="M359" s="7" t="s">
        <v>37</v>
      </c>
      <c r="N359" s="8">
        <v>178</v>
      </c>
      <c r="O359" s="8">
        <v>1</v>
      </c>
      <c r="P359" s="5">
        <v>1671.51</v>
      </c>
      <c r="Q359" s="4">
        <v>45600</v>
      </c>
      <c r="R359" s="9">
        <v>0.33931712962962962</v>
      </c>
      <c r="S359" s="8">
        <v>16</v>
      </c>
      <c r="T359" s="7" t="s">
        <v>4456</v>
      </c>
      <c r="U359" s="7" t="s">
        <v>4455</v>
      </c>
      <c r="V3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60" spans="1:22" x14ac:dyDescent="0.35">
      <c r="A360" s="7" t="s">
        <v>1331</v>
      </c>
      <c r="B360" s="7" t="s">
        <v>756</v>
      </c>
      <c r="C360" s="5">
        <v>166.13</v>
      </c>
      <c r="D360" s="2">
        <v>0.70960648148320615</v>
      </c>
      <c r="E360" s="4">
        <v>45175</v>
      </c>
      <c r="F360" s="7" t="s">
        <v>17</v>
      </c>
      <c r="G360" s="7" t="s">
        <v>296</v>
      </c>
      <c r="H360" s="7" t="s">
        <v>1294</v>
      </c>
      <c r="I360" s="7" t="s">
        <v>1013</v>
      </c>
      <c r="J360" s="7" t="s">
        <v>759</v>
      </c>
      <c r="K360" s="7" t="s">
        <v>22</v>
      </c>
      <c r="L360" s="8">
        <v>68</v>
      </c>
      <c r="M360" s="7" t="s">
        <v>23</v>
      </c>
      <c r="N360" s="8">
        <v>227</v>
      </c>
      <c r="O360" s="8">
        <v>1</v>
      </c>
      <c r="P360" s="5">
        <v>11822.53</v>
      </c>
      <c r="Q360" s="4">
        <v>45600</v>
      </c>
      <c r="R360" s="9">
        <v>0.34175925925925926</v>
      </c>
      <c r="S360" s="8">
        <v>17</v>
      </c>
      <c r="T360" s="7" t="s">
        <v>4454</v>
      </c>
      <c r="U360" s="7" t="s">
        <v>4455</v>
      </c>
      <c r="V3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61" spans="1:22" x14ac:dyDescent="0.35">
      <c r="A361" s="7" t="s">
        <v>1332</v>
      </c>
      <c r="B361" s="7" t="s">
        <v>1333</v>
      </c>
      <c r="C361" s="5">
        <v>626.9</v>
      </c>
      <c r="D361" s="2">
        <v>0.69593750000058208</v>
      </c>
      <c r="E361" s="4">
        <v>45209</v>
      </c>
      <c r="F361" s="7" t="s">
        <v>17</v>
      </c>
      <c r="G361" s="7" t="s">
        <v>265</v>
      </c>
      <c r="H361" s="7" t="s">
        <v>1334</v>
      </c>
      <c r="I361" s="7" t="s">
        <v>1335</v>
      </c>
      <c r="J361" s="7" t="s">
        <v>111</v>
      </c>
      <c r="K361" s="7" t="s">
        <v>22</v>
      </c>
      <c r="L361" s="8">
        <v>23</v>
      </c>
      <c r="M361" s="7" t="s">
        <v>37</v>
      </c>
      <c r="N361" s="8">
        <v>146</v>
      </c>
      <c r="O361" s="8">
        <v>1</v>
      </c>
      <c r="P361" s="5">
        <v>587.11</v>
      </c>
      <c r="Q361" s="4">
        <v>45600</v>
      </c>
      <c r="R361" s="9">
        <v>0.34131944444444445</v>
      </c>
      <c r="S361" s="8">
        <v>16</v>
      </c>
      <c r="T361" s="7" t="s">
        <v>4456</v>
      </c>
      <c r="U361" s="7" t="s">
        <v>4455</v>
      </c>
      <c r="V3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62" spans="1:22" x14ac:dyDescent="0.35">
      <c r="A362" s="7" t="s">
        <v>1336</v>
      </c>
      <c r="B362" s="7" t="s">
        <v>529</v>
      </c>
      <c r="C362" s="5">
        <v>466.85</v>
      </c>
      <c r="D362" s="2">
        <v>0.70641203703416977</v>
      </c>
      <c r="E362" s="4">
        <v>45124</v>
      </c>
      <c r="F362" s="7" t="s">
        <v>17</v>
      </c>
      <c r="G362" s="7" t="s">
        <v>119</v>
      </c>
      <c r="H362" s="7" t="s">
        <v>1337</v>
      </c>
      <c r="I362" s="7" t="s">
        <v>944</v>
      </c>
      <c r="J362" s="7" t="s">
        <v>83</v>
      </c>
      <c r="K362" s="7" t="s">
        <v>69</v>
      </c>
      <c r="L362" s="8">
        <v>56</v>
      </c>
      <c r="M362" s="7" t="s">
        <v>70</v>
      </c>
      <c r="N362" s="8">
        <v>165</v>
      </c>
      <c r="O362" s="8">
        <v>1</v>
      </c>
      <c r="P362" s="5">
        <v>5422.53</v>
      </c>
      <c r="Q362" s="4">
        <v>45600</v>
      </c>
      <c r="R362" s="9">
        <v>0.33998842592592593</v>
      </c>
      <c r="S362" s="8">
        <v>16</v>
      </c>
      <c r="T362" s="7" t="s">
        <v>4454</v>
      </c>
      <c r="U362" s="7" t="s">
        <v>4455</v>
      </c>
      <c r="V3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63" spans="1:22" x14ac:dyDescent="0.35">
      <c r="A363" s="7" t="s">
        <v>1338</v>
      </c>
      <c r="B363" s="7" t="s">
        <v>1339</v>
      </c>
      <c r="C363" s="5">
        <v>788.84</v>
      </c>
      <c r="D363" s="2">
        <v>0.70872685185167938</v>
      </c>
      <c r="E363" s="4">
        <v>45063</v>
      </c>
      <c r="F363" s="7" t="s">
        <v>17</v>
      </c>
      <c r="G363" s="7" t="s">
        <v>425</v>
      </c>
      <c r="H363" s="7" t="s">
        <v>1340</v>
      </c>
      <c r="I363" s="7" t="s">
        <v>1341</v>
      </c>
      <c r="J363" s="7" t="s">
        <v>288</v>
      </c>
      <c r="K363" s="7" t="s">
        <v>36</v>
      </c>
      <c r="L363" s="8">
        <v>58</v>
      </c>
      <c r="M363" s="7" t="s">
        <v>70</v>
      </c>
      <c r="N363" s="8">
        <v>231</v>
      </c>
      <c r="O363" s="8">
        <v>1</v>
      </c>
      <c r="P363" s="5">
        <v>1913.73</v>
      </c>
      <c r="Q363" s="4">
        <v>45600</v>
      </c>
      <c r="R363" s="9">
        <v>0.34006944444444442</v>
      </c>
      <c r="S363" s="8">
        <v>17</v>
      </c>
      <c r="T363" s="7" t="s">
        <v>4454</v>
      </c>
      <c r="U363" s="7" t="s">
        <v>4455</v>
      </c>
      <c r="V3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64" spans="1:22" x14ac:dyDescent="0.35">
      <c r="A364" s="7" t="s">
        <v>1342</v>
      </c>
      <c r="B364" s="7" t="s">
        <v>1343</v>
      </c>
      <c r="C364" s="5">
        <v>873.65</v>
      </c>
      <c r="D364" s="2">
        <v>0.69351851852115942</v>
      </c>
      <c r="E364" s="4">
        <v>45008</v>
      </c>
      <c r="F364" s="7" t="s">
        <v>46</v>
      </c>
      <c r="G364" s="7" t="s">
        <v>53</v>
      </c>
      <c r="H364" s="7" t="s">
        <v>827</v>
      </c>
      <c r="I364" s="7" t="s">
        <v>1344</v>
      </c>
      <c r="J364" s="7" t="s">
        <v>1345</v>
      </c>
      <c r="K364" s="7" t="s">
        <v>36</v>
      </c>
      <c r="L364" s="8">
        <v>37</v>
      </c>
      <c r="M364" s="7" t="s">
        <v>23</v>
      </c>
      <c r="N364" s="8">
        <v>59</v>
      </c>
      <c r="O364" s="8">
        <v>1</v>
      </c>
      <c r="P364" s="5">
        <v>12139.83</v>
      </c>
      <c r="Q364" s="4">
        <v>45600</v>
      </c>
      <c r="R364" s="9">
        <v>0.34024305555555556</v>
      </c>
      <c r="S364" s="8">
        <v>16</v>
      </c>
      <c r="T364" s="7" t="s">
        <v>4457</v>
      </c>
      <c r="U364" s="7" t="s">
        <v>4455</v>
      </c>
      <c r="V3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65" spans="1:22" x14ac:dyDescent="0.35">
      <c r="A365" s="7" t="s">
        <v>1346</v>
      </c>
      <c r="B365" s="7" t="s">
        <v>228</v>
      </c>
      <c r="C365" s="5">
        <v>525.28</v>
      </c>
      <c r="D365" s="2">
        <v>0.69263888888963265</v>
      </c>
      <c r="E365" s="4">
        <v>45019</v>
      </c>
      <c r="F365" s="7" t="s">
        <v>17</v>
      </c>
      <c r="G365" s="7" t="s">
        <v>521</v>
      </c>
      <c r="H365" s="7" t="s">
        <v>1347</v>
      </c>
      <c r="I365" s="7" t="s">
        <v>1348</v>
      </c>
      <c r="J365" s="7" t="s">
        <v>1349</v>
      </c>
      <c r="K365" s="7" t="s">
        <v>22</v>
      </c>
      <c r="L365" s="8">
        <v>69</v>
      </c>
      <c r="M365" s="7" t="s">
        <v>70</v>
      </c>
      <c r="N365" s="8">
        <v>134</v>
      </c>
      <c r="O365" s="8">
        <v>1</v>
      </c>
      <c r="P365" s="5">
        <v>4693.6000000000004</v>
      </c>
      <c r="Q365" s="4">
        <v>45600</v>
      </c>
      <c r="R365" s="9">
        <v>0.3400347222222222</v>
      </c>
      <c r="S365" s="8">
        <v>16</v>
      </c>
      <c r="T365" s="7" t="s">
        <v>4454</v>
      </c>
      <c r="U365" s="7" t="s">
        <v>4455</v>
      </c>
      <c r="V3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66" spans="1:22" x14ac:dyDescent="0.35">
      <c r="A366" s="7" t="s">
        <v>1350</v>
      </c>
      <c r="B366" s="7" t="s">
        <v>648</v>
      </c>
      <c r="C366" s="5">
        <v>110.17</v>
      </c>
      <c r="D366" s="2">
        <v>0.67236111110833008</v>
      </c>
      <c r="E366" s="4">
        <v>45176</v>
      </c>
      <c r="F366" s="7" t="s">
        <v>17</v>
      </c>
      <c r="G366" s="7" t="s">
        <v>40</v>
      </c>
      <c r="H366" s="7" t="s">
        <v>173</v>
      </c>
      <c r="I366" s="7" t="s">
        <v>1351</v>
      </c>
      <c r="J366" s="7" t="s">
        <v>56</v>
      </c>
      <c r="K366" s="7" t="s">
        <v>22</v>
      </c>
      <c r="L366" s="8">
        <v>30</v>
      </c>
      <c r="M366" s="7" t="s">
        <v>77</v>
      </c>
      <c r="N366" s="8">
        <v>137</v>
      </c>
      <c r="O366" s="8">
        <v>1</v>
      </c>
      <c r="P366" s="5">
        <v>464.2</v>
      </c>
      <c r="Q366" s="4">
        <v>45600</v>
      </c>
      <c r="R366" s="9">
        <v>0.34179398148148149</v>
      </c>
      <c r="S366" s="8">
        <v>16</v>
      </c>
      <c r="T366" s="7" t="s">
        <v>4456</v>
      </c>
      <c r="U366" s="7" t="s">
        <v>4455</v>
      </c>
      <c r="V3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67" spans="1:22" x14ac:dyDescent="0.35">
      <c r="A367" s="7" t="s">
        <v>1352</v>
      </c>
      <c r="B367" s="7" t="s">
        <v>578</v>
      </c>
      <c r="C367" s="5">
        <v>632.69000000000005</v>
      </c>
      <c r="D367" s="2">
        <v>0.68655092592234723</v>
      </c>
      <c r="E367" s="4">
        <v>45181</v>
      </c>
      <c r="F367" s="7" t="s">
        <v>17</v>
      </c>
      <c r="G367" s="7" t="s">
        <v>114</v>
      </c>
      <c r="H367" s="7" t="s">
        <v>790</v>
      </c>
      <c r="I367" s="7" t="s">
        <v>999</v>
      </c>
      <c r="J367" s="7" t="s">
        <v>478</v>
      </c>
      <c r="K367" s="7" t="s">
        <v>22</v>
      </c>
      <c r="L367" s="8">
        <v>80</v>
      </c>
      <c r="M367" s="7" t="s">
        <v>70</v>
      </c>
      <c r="N367" s="8">
        <v>76</v>
      </c>
      <c r="O367" s="8">
        <v>1</v>
      </c>
      <c r="P367" s="5">
        <v>4363.74</v>
      </c>
      <c r="Q367" s="4">
        <v>45600</v>
      </c>
      <c r="R367" s="9">
        <v>0.33988425925925925</v>
      </c>
      <c r="S367" s="8">
        <v>16</v>
      </c>
      <c r="T367" s="7" t="s">
        <v>4454</v>
      </c>
      <c r="U367" s="7" t="s">
        <v>4455</v>
      </c>
      <c r="V3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68" spans="1:22" x14ac:dyDescent="0.35">
      <c r="A368" s="7" t="s">
        <v>1353</v>
      </c>
      <c r="B368" s="7" t="s">
        <v>749</v>
      </c>
      <c r="C368" s="5">
        <v>124.35</v>
      </c>
      <c r="D368" s="2">
        <v>0.69392361111385981</v>
      </c>
      <c r="E368" s="4">
        <v>45268</v>
      </c>
      <c r="F368" s="7" t="s">
        <v>17</v>
      </c>
      <c r="G368" s="7" t="s">
        <v>53</v>
      </c>
      <c r="H368" s="7" t="s">
        <v>852</v>
      </c>
      <c r="I368" s="7" t="s">
        <v>234</v>
      </c>
      <c r="J368" s="7" t="s">
        <v>21</v>
      </c>
      <c r="K368" s="7" t="s">
        <v>22</v>
      </c>
      <c r="L368" s="8">
        <v>72</v>
      </c>
      <c r="M368" s="7" t="s">
        <v>70</v>
      </c>
      <c r="N368" s="8">
        <v>90</v>
      </c>
      <c r="O368" s="8">
        <v>1</v>
      </c>
      <c r="P368" s="5">
        <v>3319.76</v>
      </c>
      <c r="Q368" s="4">
        <v>45600</v>
      </c>
      <c r="R368" s="9">
        <v>0.34137731481481481</v>
      </c>
      <c r="S368" s="8">
        <v>16</v>
      </c>
      <c r="T368" s="7" t="s">
        <v>4454</v>
      </c>
      <c r="U368" s="7" t="s">
        <v>4455</v>
      </c>
      <c r="V3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69" spans="1:22" x14ac:dyDescent="0.35">
      <c r="A369" s="7" t="s">
        <v>1354</v>
      </c>
      <c r="B369" s="7" t="s">
        <v>701</v>
      </c>
      <c r="C369" s="5">
        <v>43.85</v>
      </c>
      <c r="D369" s="2">
        <v>0.68442129629693227</v>
      </c>
      <c r="E369" s="4">
        <v>44998</v>
      </c>
      <c r="F369" s="7" t="s">
        <v>17</v>
      </c>
      <c r="G369" s="7" t="s">
        <v>558</v>
      </c>
      <c r="H369" s="7" t="s">
        <v>1355</v>
      </c>
      <c r="I369" s="7" t="s">
        <v>55</v>
      </c>
      <c r="J369" s="7" t="s">
        <v>759</v>
      </c>
      <c r="K369" s="7" t="s">
        <v>22</v>
      </c>
      <c r="L369" s="8">
        <v>62</v>
      </c>
      <c r="M369" s="7" t="s">
        <v>70</v>
      </c>
      <c r="N369" s="8">
        <v>122</v>
      </c>
      <c r="O369" s="8">
        <v>1</v>
      </c>
      <c r="P369" s="5">
        <v>4356.9799999999996</v>
      </c>
      <c r="Q369" s="4">
        <v>45600</v>
      </c>
      <c r="R369" s="9">
        <v>0.33840277777777777</v>
      </c>
      <c r="S369" s="8">
        <v>16</v>
      </c>
      <c r="T369" s="7" t="s">
        <v>4454</v>
      </c>
      <c r="U369" s="7" t="s">
        <v>4455</v>
      </c>
      <c r="V3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0" spans="1:22" x14ac:dyDescent="0.35">
      <c r="A370" s="7" t="s">
        <v>1356</v>
      </c>
      <c r="B370" s="7" t="s">
        <v>1357</v>
      </c>
      <c r="C370" s="5">
        <v>283.81</v>
      </c>
      <c r="D370" s="2">
        <v>0.68881944444729015</v>
      </c>
      <c r="E370" s="4">
        <v>44994</v>
      </c>
      <c r="F370" s="7" t="s">
        <v>17</v>
      </c>
      <c r="G370" s="7" t="s">
        <v>18</v>
      </c>
      <c r="H370" s="7" t="s">
        <v>1358</v>
      </c>
      <c r="I370" s="7" t="s">
        <v>1359</v>
      </c>
      <c r="J370" s="7" t="s">
        <v>246</v>
      </c>
      <c r="K370" s="7" t="s">
        <v>69</v>
      </c>
      <c r="L370" s="8">
        <v>28</v>
      </c>
      <c r="M370" s="7" t="s">
        <v>37</v>
      </c>
      <c r="N370" s="8">
        <v>29</v>
      </c>
      <c r="O370" s="8">
        <v>1</v>
      </c>
      <c r="P370" s="5">
        <v>1519.35</v>
      </c>
      <c r="Q370" s="4">
        <v>45600</v>
      </c>
      <c r="R370" s="9">
        <v>0.34081018518518519</v>
      </c>
      <c r="S370" s="8">
        <v>16</v>
      </c>
      <c r="T370" s="7" t="s">
        <v>4456</v>
      </c>
      <c r="U370" s="7" t="s">
        <v>4455</v>
      </c>
      <c r="V3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1" spans="1:22" x14ac:dyDescent="0.35">
      <c r="A371" s="7" t="s">
        <v>1360</v>
      </c>
      <c r="B371" s="7" t="s">
        <v>1361</v>
      </c>
      <c r="C371" s="5">
        <v>168.53</v>
      </c>
      <c r="D371" s="2">
        <v>0.68798611110833008</v>
      </c>
      <c r="E371" s="4">
        <v>45091</v>
      </c>
      <c r="F371" s="7" t="s">
        <v>17</v>
      </c>
      <c r="G371" s="7" t="s">
        <v>212</v>
      </c>
      <c r="H371" s="7" t="s">
        <v>1362</v>
      </c>
      <c r="I371" s="7" t="s">
        <v>1363</v>
      </c>
      <c r="J371" s="7" t="s">
        <v>740</v>
      </c>
      <c r="K371" s="7" t="s">
        <v>22</v>
      </c>
      <c r="L371" s="8">
        <v>71</v>
      </c>
      <c r="M371" s="7" t="s">
        <v>70</v>
      </c>
      <c r="N371" s="8">
        <v>112</v>
      </c>
      <c r="O371" s="8">
        <v>1</v>
      </c>
      <c r="P371" s="5">
        <v>5962.58</v>
      </c>
      <c r="Q371" s="4">
        <v>45600</v>
      </c>
      <c r="R371" s="9">
        <v>0.34177083333333336</v>
      </c>
      <c r="S371" s="8">
        <v>16</v>
      </c>
      <c r="T371" s="7" t="s">
        <v>4454</v>
      </c>
      <c r="U371" s="7" t="s">
        <v>4455</v>
      </c>
      <c r="V3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2" spans="1:22" x14ac:dyDescent="0.35">
      <c r="A372" s="7" t="s">
        <v>1364</v>
      </c>
      <c r="B372" s="7" t="s">
        <v>641</v>
      </c>
      <c r="C372" s="5">
        <v>218.59</v>
      </c>
      <c r="D372" s="2">
        <v>0.69685185185517184</v>
      </c>
      <c r="E372" s="4">
        <v>45257</v>
      </c>
      <c r="F372" s="7" t="s">
        <v>46</v>
      </c>
      <c r="G372" s="7" t="s">
        <v>114</v>
      </c>
      <c r="H372" s="7" t="s">
        <v>1365</v>
      </c>
      <c r="I372" s="7" t="s">
        <v>1366</v>
      </c>
      <c r="J372" s="7" t="s">
        <v>769</v>
      </c>
      <c r="K372" s="7" t="s">
        <v>69</v>
      </c>
      <c r="L372" s="8">
        <v>40</v>
      </c>
      <c r="M372" s="7" t="s">
        <v>77</v>
      </c>
      <c r="N372" s="8">
        <v>123</v>
      </c>
      <c r="O372" s="8">
        <v>1</v>
      </c>
      <c r="P372" s="5">
        <v>6699.23</v>
      </c>
      <c r="Q372" s="4">
        <v>45600</v>
      </c>
      <c r="R372" s="9">
        <v>0.33833333333333332</v>
      </c>
      <c r="S372" s="8">
        <v>16</v>
      </c>
      <c r="T372" s="7" t="s">
        <v>4457</v>
      </c>
      <c r="U372" s="7" t="s">
        <v>4455</v>
      </c>
      <c r="V3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3" spans="1:22" x14ac:dyDescent="0.35">
      <c r="A373" s="7" t="s">
        <v>1367</v>
      </c>
      <c r="B373" s="7" t="s">
        <v>1368</v>
      </c>
      <c r="C373" s="5">
        <v>132.84</v>
      </c>
      <c r="D373" s="2">
        <v>0.68630787036818219</v>
      </c>
      <c r="E373" s="4">
        <v>45159</v>
      </c>
      <c r="F373" s="7" t="s">
        <v>17</v>
      </c>
      <c r="G373" s="7" t="s">
        <v>53</v>
      </c>
      <c r="H373" s="7" t="s">
        <v>1369</v>
      </c>
      <c r="I373" s="7" t="s">
        <v>1370</v>
      </c>
      <c r="J373" s="7" t="s">
        <v>406</v>
      </c>
      <c r="K373" s="7" t="s">
        <v>22</v>
      </c>
      <c r="L373" s="8">
        <v>21</v>
      </c>
      <c r="M373" s="7" t="s">
        <v>37</v>
      </c>
      <c r="N373" s="8">
        <v>143</v>
      </c>
      <c r="O373" s="8">
        <v>1</v>
      </c>
      <c r="P373" s="5">
        <v>822.73</v>
      </c>
      <c r="Q373" s="4">
        <v>45600</v>
      </c>
      <c r="R373" s="9">
        <v>0.33935185185185185</v>
      </c>
      <c r="S373" s="8">
        <v>16</v>
      </c>
      <c r="T373" s="7" t="s">
        <v>4456</v>
      </c>
      <c r="U373" s="7" t="s">
        <v>4455</v>
      </c>
      <c r="V3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4" spans="1:22" x14ac:dyDescent="0.35">
      <c r="A374" s="7" t="s">
        <v>1371</v>
      </c>
      <c r="B374" s="7" t="s">
        <v>64</v>
      </c>
      <c r="C374" s="5">
        <v>157.37</v>
      </c>
      <c r="D374" s="2">
        <v>0.70467592592467554</v>
      </c>
      <c r="E374" s="4">
        <v>45245</v>
      </c>
      <c r="F374" s="7" t="s">
        <v>46</v>
      </c>
      <c r="G374" s="7" t="s">
        <v>323</v>
      </c>
      <c r="H374" s="7" t="s">
        <v>746</v>
      </c>
      <c r="I374" s="7" t="s">
        <v>1372</v>
      </c>
      <c r="J374" s="7" t="s">
        <v>240</v>
      </c>
      <c r="K374" s="7" t="s">
        <v>69</v>
      </c>
      <c r="L374" s="8">
        <v>42</v>
      </c>
      <c r="M374" s="7" t="s">
        <v>23</v>
      </c>
      <c r="N374" s="8">
        <v>289</v>
      </c>
      <c r="O374" s="8">
        <v>1</v>
      </c>
      <c r="P374" s="5">
        <v>13964.31</v>
      </c>
      <c r="Q374" s="4">
        <v>45600</v>
      </c>
      <c r="R374" s="9">
        <v>0.34062500000000001</v>
      </c>
      <c r="S374" s="8">
        <v>16</v>
      </c>
      <c r="T374" s="7" t="s">
        <v>4457</v>
      </c>
      <c r="U374" s="7" t="s">
        <v>4455</v>
      </c>
      <c r="V3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5" spans="1:22" x14ac:dyDescent="0.35">
      <c r="A375" s="7" t="s">
        <v>1373</v>
      </c>
      <c r="B375" s="7" t="s">
        <v>102</v>
      </c>
      <c r="C375" s="5">
        <v>144.77000000000001</v>
      </c>
      <c r="D375" s="2">
        <v>0.70026620370481396</v>
      </c>
      <c r="E375" s="4">
        <v>45124</v>
      </c>
      <c r="F375" s="7" t="s">
        <v>17</v>
      </c>
      <c r="G375" s="7" t="s">
        <v>86</v>
      </c>
      <c r="H375" s="7" t="s">
        <v>1374</v>
      </c>
      <c r="I375" s="7" t="s">
        <v>1375</v>
      </c>
      <c r="J375" s="7" t="s">
        <v>83</v>
      </c>
      <c r="K375" s="7" t="s">
        <v>36</v>
      </c>
      <c r="L375" s="8">
        <v>20</v>
      </c>
      <c r="M375" s="7" t="s">
        <v>37</v>
      </c>
      <c r="N375" s="8">
        <v>159</v>
      </c>
      <c r="O375" s="8">
        <v>1</v>
      </c>
      <c r="P375" s="5">
        <v>867.32</v>
      </c>
      <c r="Q375" s="4">
        <v>45600</v>
      </c>
      <c r="R375" s="9">
        <v>0.34090277777777778</v>
      </c>
      <c r="S375" s="8">
        <v>16</v>
      </c>
      <c r="T375" s="7" t="s">
        <v>4456</v>
      </c>
      <c r="U375" s="7" t="s">
        <v>4455</v>
      </c>
      <c r="V3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6" spans="1:22" x14ac:dyDescent="0.35">
      <c r="A376" s="7" t="s">
        <v>1376</v>
      </c>
      <c r="B376" s="7" t="s">
        <v>145</v>
      </c>
      <c r="C376" s="5">
        <v>643.22</v>
      </c>
      <c r="D376" s="2">
        <v>0.71148148148495238</v>
      </c>
      <c r="E376" s="4">
        <v>45049</v>
      </c>
      <c r="F376" s="7" t="s">
        <v>17</v>
      </c>
      <c r="G376" s="7" t="s">
        <v>47</v>
      </c>
      <c r="H376" s="7" t="s">
        <v>906</v>
      </c>
      <c r="I376" s="7" t="s">
        <v>1377</v>
      </c>
      <c r="J376" s="7" t="s">
        <v>89</v>
      </c>
      <c r="K376" s="7" t="s">
        <v>22</v>
      </c>
      <c r="L376" s="8">
        <v>64</v>
      </c>
      <c r="M376" s="7" t="s">
        <v>23</v>
      </c>
      <c r="N376" s="8">
        <v>93</v>
      </c>
      <c r="O376" s="8">
        <v>1</v>
      </c>
      <c r="P376" s="5">
        <v>1035.8599999999999</v>
      </c>
      <c r="Q376" s="4">
        <v>45600</v>
      </c>
      <c r="R376" s="9">
        <v>0.33872685185185186</v>
      </c>
      <c r="S376" s="8">
        <v>17</v>
      </c>
      <c r="T376" s="7" t="s">
        <v>4454</v>
      </c>
      <c r="U376" s="7" t="s">
        <v>4455</v>
      </c>
      <c r="V3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77" spans="1:22" x14ac:dyDescent="0.35">
      <c r="A377" s="7" t="s">
        <v>1378</v>
      </c>
      <c r="B377" s="7" t="s">
        <v>1256</v>
      </c>
      <c r="C377" s="5">
        <v>1392.54</v>
      </c>
      <c r="D377" s="2">
        <v>0.70224537036847323</v>
      </c>
      <c r="E377" s="4">
        <v>45250</v>
      </c>
      <c r="F377" s="7" t="s">
        <v>17</v>
      </c>
      <c r="G377" s="7" t="s">
        <v>506</v>
      </c>
      <c r="H377" s="7" t="s">
        <v>1379</v>
      </c>
      <c r="I377" s="7" t="s">
        <v>602</v>
      </c>
      <c r="J377" s="7" t="s">
        <v>759</v>
      </c>
      <c r="K377" s="7" t="s">
        <v>69</v>
      </c>
      <c r="L377" s="8">
        <v>41</v>
      </c>
      <c r="M377" s="7" t="s">
        <v>23</v>
      </c>
      <c r="N377" s="8">
        <v>297</v>
      </c>
      <c r="O377" s="8">
        <v>1</v>
      </c>
      <c r="P377" s="5">
        <v>13347.69</v>
      </c>
      <c r="Q377" s="4">
        <v>45600</v>
      </c>
      <c r="R377" s="9">
        <v>0.33975694444444443</v>
      </c>
      <c r="S377" s="8">
        <v>16</v>
      </c>
      <c r="T377" s="7" t="s">
        <v>4457</v>
      </c>
      <c r="U377" s="7" t="s">
        <v>4455</v>
      </c>
      <c r="V3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8" spans="1:22" x14ac:dyDescent="0.35">
      <c r="A378" s="7" t="s">
        <v>1380</v>
      </c>
      <c r="B378" s="7" t="s">
        <v>1381</v>
      </c>
      <c r="C378" s="5">
        <v>208.07</v>
      </c>
      <c r="D378" s="2">
        <v>0.70222222222218988</v>
      </c>
      <c r="E378" s="4">
        <v>45117</v>
      </c>
      <c r="F378" s="7" t="s">
        <v>17</v>
      </c>
      <c r="G378" s="7" t="s">
        <v>53</v>
      </c>
      <c r="H378" s="7" t="s">
        <v>1173</v>
      </c>
      <c r="I378" s="7" t="s">
        <v>1363</v>
      </c>
      <c r="J378" s="7" t="s">
        <v>740</v>
      </c>
      <c r="K378" s="7" t="s">
        <v>36</v>
      </c>
      <c r="L378" s="8">
        <v>32</v>
      </c>
      <c r="M378" s="7" t="s">
        <v>23</v>
      </c>
      <c r="N378" s="8">
        <v>36</v>
      </c>
      <c r="O378" s="8">
        <v>1</v>
      </c>
      <c r="P378" s="5">
        <v>8478.9</v>
      </c>
      <c r="Q378" s="4">
        <v>45600</v>
      </c>
      <c r="R378" s="9">
        <v>0.3414699074074074</v>
      </c>
      <c r="S378" s="8">
        <v>16</v>
      </c>
      <c r="T378" s="7" t="s">
        <v>4456</v>
      </c>
      <c r="U378" s="7" t="s">
        <v>4455</v>
      </c>
      <c r="V3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79" spans="1:22" x14ac:dyDescent="0.35">
      <c r="A379" s="7" t="s">
        <v>1382</v>
      </c>
      <c r="B379" s="7" t="s">
        <v>1293</v>
      </c>
      <c r="C379" s="5">
        <v>94.3</v>
      </c>
      <c r="D379" s="2">
        <v>0.74578703703446081</v>
      </c>
      <c r="E379" s="4">
        <v>45285</v>
      </c>
      <c r="F379" s="7" t="s">
        <v>17</v>
      </c>
      <c r="G379" s="7" t="s">
        <v>425</v>
      </c>
      <c r="H379" s="7" t="s">
        <v>1383</v>
      </c>
      <c r="I379" s="7" t="s">
        <v>739</v>
      </c>
      <c r="J379" s="7" t="s">
        <v>564</v>
      </c>
      <c r="K379" s="7" t="s">
        <v>69</v>
      </c>
      <c r="L379" s="8">
        <v>57</v>
      </c>
      <c r="M379" s="7" t="s">
        <v>23</v>
      </c>
      <c r="N379" s="8">
        <v>57</v>
      </c>
      <c r="O379" s="8">
        <v>1</v>
      </c>
      <c r="P379" s="5">
        <v>11088.95</v>
      </c>
      <c r="Q379" s="4">
        <v>45600</v>
      </c>
      <c r="R379" s="9">
        <v>0.33905092592592595</v>
      </c>
      <c r="S379" s="8">
        <v>17</v>
      </c>
      <c r="T379" s="7" t="s">
        <v>4454</v>
      </c>
      <c r="U379" s="7" t="s">
        <v>4455</v>
      </c>
      <c r="V3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0" spans="1:22" x14ac:dyDescent="0.35">
      <c r="A380" s="7" t="s">
        <v>1384</v>
      </c>
      <c r="B380" s="7" t="s">
        <v>1385</v>
      </c>
      <c r="C380" s="5">
        <v>295.5</v>
      </c>
      <c r="D380" s="2">
        <v>0.75</v>
      </c>
      <c r="E380" s="4">
        <v>45253</v>
      </c>
      <c r="F380" s="7" t="s">
        <v>17</v>
      </c>
      <c r="G380" s="7" t="s">
        <v>32</v>
      </c>
      <c r="H380" s="7" t="s">
        <v>1386</v>
      </c>
      <c r="I380" s="7" t="s">
        <v>1387</v>
      </c>
      <c r="J380" s="7" t="s">
        <v>312</v>
      </c>
      <c r="K380" s="7" t="s">
        <v>22</v>
      </c>
      <c r="L380" s="8">
        <v>59</v>
      </c>
      <c r="M380" s="7" t="s">
        <v>70</v>
      </c>
      <c r="N380" s="8">
        <v>36</v>
      </c>
      <c r="O380" s="8">
        <v>1</v>
      </c>
      <c r="P380" s="5">
        <v>6280.66</v>
      </c>
      <c r="Q380" s="4">
        <v>45600</v>
      </c>
      <c r="R380" s="9">
        <v>0.33828703703703705</v>
      </c>
      <c r="S380" s="8">
        <v>18</v>
      </c>
      <c r="T380" s="7" t="s">
        <v>4454</v>
      </c>
      <c r="U380" s="7" t="s">
        <v>4455</v>
      </c>
      <c r="V3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1" spans="1:22" x14ac:dyDescent="0.35">
      <c r="A381" s="7" t="s">
        <v>1388</v>
      </c>
      <c r="B381" s="7" t="s">
        <v>1169</v>
      </c>
      <c r="C381" s="5">
        <v>30.23</v>
      </c>
      <c r="D381" s="2">
        <v>0.74542824074160308</v>
      </c>
      <c r="E381" s="4">
        <v>45236</v>
      </c>
      <c r="F381" s="7" t="s">
        <v>17</v>
      </c>
      <c r="G381" s="7" t="s">
        <v>119</v>
      </c>
      <c r="H381" s="7" t="s">
        <v>1389</v>
      </c>
      <c r="I381" s="7" t="s">
        <v>1094</v>
      </c>
      <c r="J381" s="7" t="s">
        <v>474</v>
      </c>
      <c r="K381" s="7" t="s">
        <v>22</v>
      </c>
      <c r="L381" s="8">
        <v>44</v>
      </c>
      <c r="M381" s="7" t="s">
        <v>23</v>
      </c>
      <c r="N381" s="8">
        <v>99</v>
      </c>
      <c r="O381" s="8">
        <v>1</v>
      </c>
      <c r="P381" s="5">
        <v>481.13</v>
      </c>
      <c r="Q381" s="4">
        <v>45600</v>
      </c>
      <c r="R381" s="9">
        <v>0.34173611111111113</v>
      </c>
      <c r="S381" s="8">
        <v>17</v>
      </c>
      <c r="T381" s="7" t="s">
        <v>4457</v>
      </c>
      <c r="U381" s="7" t="s">
        <v>4455</v>
      </c>
      <c r="V3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2" spans="1:22" x14ac:dyDescent="0.35">
      <c r="A382" s="7" t="s">
        <v>1390</v>
      </c>
      <c r="B382" s="7" t="s">
        <v>1391</v>
      </c>
      <c r="C382" s="5">
        <v>112.05</v>
      </c>
      <c r="D382" s="2">
        <v>0.67791666666744277</v>
      </c>
      <c r="E382" s="4">
        <v>45225</v>
      </c>
      <c r="F382" s="7" t="s">
        <v>46</v>
      </c>
      <c r="G382" s="7" t="s">
        <v>425</v>
      </c>
      <c r="H382" s="7" t="s">
        <v>1392</v>
      </c>
      <c r="I382" s="7" t="s">
        <v>142</v>
      </c>
      <c r="J382" s="7" t="s">
        <v>303</v>
      </c>
      <c r="K382" s="7" t="s">
        <v>22</v>
      </c>
      <c r="L382" s="8">
        <v>26</v>
      </c>
      <c r="M382" s="7" t="s">
        <v>37</v>
      </c>
      <c r="N382" s="8">
        <v>159</v>
      </c>
      <c r="O382" s="8">
        <v>1</v>
      </c>
      <c r="P382" s="5">
        <v>1122.8800000000001</v>
      </c>
      <c r="Q382" s="4">
        <v>45600</v>
      </c>
      <c r="R382" s="9">
        <v>0.33924768518518517</v>
      </c>
      <c r="S382" s="8">
        <v>16</v>
      </c>
      <c r="T382" s="7" t="s">
        <v>4456</v>
      </c>
      <c r="U382" s="7" t="s">
        <v>4455</v>
      </c>
      <c r="V3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83" spans="1:22" x14ac:dyDescent="0.35">
      <c r="A383" s="7" t="s">
        <v>1393</v>
      </c>
      <c r="B383" s="7" t="s">
        <v>1394</v>
      </c>
      <c r="C383" s="5">
        <v>180.24</v>
      </c>
      <c r="D383" s="2">
        <v>0.710972222223063</v>
      </c>
      <c r="E383" s="4">
        <v>45110</v>
      </c>
      <c r="F383" s="7" t="s">
        <v>17</v>
      </c>
      <c r="G383" s="7" t="s">
        <v>425</v>
      </c>
      <c r="H383" s="7" t="s">
        <v>1395</v>
      </c>
      <c r="I383" s="7" t="s">
        <v>1396</v>
      </c>
      <c r="J383" s="7" t="s">
        <v>634</v>
      </c>
      <c r="K383" s="7" t="s">
        <v>69</v>
      </c>
      <c r="L383" s="8">
        <v>58</v>
      </c>
      <c r="M383" s="7" t="s">
        <v>77</v>
      </c>
      <c r="N383" s="8">
        <v>144</v>
      </c>
      <c r="O383" s="8">
        <v>1</v>
      </c>
      <c r="P383" s="5">
        <v>8431.23</v>
      </c>
      <c r="Q383" s="4">
        <v>45600</v>
      </c>
      <c r="R383" s="9">
        <v>0.33978009259259262</v>
      </c>
      <c r="S383" s="8">
        <v>17</v>
      </c>
      <c r="T383" s="7" t="s">
        <v>4454</v>
      </c>
      <c r="U383" s="7" t="s">
        <v>4455</v>
      </c>
      <c r="V3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4" spans="1:22" x14ac:dyDescent="0.35">
      <c r="A384" s="7" t="s">
        <v>1397</v>
      </c>
      <c r="B384" s="7" t="s">
        <v>1398</v>
      </c>
      <c r="C384" s="5">
        <v>13.71</v>
      </c>
      <c r="D384" s="2">
        <v>0.74608796296524815</v>
      </c>
      <c r="E384" s="4">
        <v>45076</v>
      </c>
      <c r="F384" s="7" t="s">
        <v>46</v>
      </c>
      <c r="G384" s="7" t="s">
        <v>114</v>
      </c>
      <c r="H384" s="7" t="s">
        <v>1177</v>
      </c>
      <c r="I384" s="7" t="s">
        <v>1399</v>
      </c>
      <c r="J384" s="7" t="s">
        <v>820</v>
      </c>
      <c r="K384" s="7" t="s">
        <v>36</v>
      </c>
      <c r="L384" s="8">
        <v>38</v>
      </c>
      <c r="M384" s="7" t="s">
        <v>77</v>
      </c>
      <c r="N384" s="8">
        <v>148</v>
      </c>
      <c r="O384" s="8">
        <v>1</v>
      </c>
      <c r="P384" s="5">
        <v>8342.7900000000009</v>
      </c>
      <c r="Q384" s="4">
        <v>45600</v>
      </c>
      <c r="R384" s="9">
        <v>0.3411689814814815</v>
      </c>
      <c r="S384" s="8">
        <v>17</v>
      </c>
      <c r="T384" s="7" t="s">
        <v>4457</v>
      </c>
      <c r="U384" s="7" t="s">
        <v>4455</v>
      </c>
      <c r="V3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5" spans="1:22" x14ac:dyDescent="0.35">
      <c r="A385" s="7" t="s">
        <v>1400</v>
      </c>
      <c r="B385" s="7" t="s">
        <v>1401</v>
      </c>
      <c r="C385" s="5">
        <v>96.54</v>
      </c>
      <c r="D385" s="2">
        <v>0.72658564814628335</v>
      </c>
      <c r="E385" s="4">
        <v>44998</v>
      </c>
      <c r="F385" s="7" t="s">
        <v>17</v>
      </c>
      <c r="G385" s="7" t="s">
        <v>203</v>
      </c>
      <c r="H385" s="7" t="s">
        <v>1402</v>
      </c>
      <c r="I385" s="7" t="s">
        <v>1403</v>
      </c>
      <c r="J385" s="7" t="s">
        <v>68</v>
      </c>
      <c r="K385" s="7" t="s">
        <v>69</v>
      </c>
      <c r="L385" s="8">
        <v>58</v>
      </c>
      <c r="M385" s="7" t="s">
        <v>70</v>
      </c>
      <c r="N385" s="8">
        <v>95</v>
      </c>
      <c r="O385" s="8">
        <v>1</v>
      </c>
      <c r="P385" s="5">
        <v>7182.22</v>
      </c>
      <c r="Q385" s="4">
        <v>45600</v>
      </c>
      <c r="R385" s="9">
        <v>0.34063657407407405</v>
      </c>
      <c r="S385" s="8">
        <v>17</v>
      </c>
      <c r="T385" s="7" t="s">
        <v>4454</v>
      </c>
      <c r="U385" s="7" t="s">
        <v>4455</v>
      </c>
      <c r="V3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6" spans="1:22" x14ac:dyDescent="0.35">
      <c r="A386" s="7" t="s">
        <v>1404</v>
      </c>
      <c r="B386" s="7" t="s">
        <v>1405</v>
      </c>
      <c r="C386" s="5">
        <v>79.349999999999994</v>
      </c>
      <c r="D386" s="2">
        <v>0.71009259259153623</v>
      </c>
      <c r="E386" s="4">
        <v>45075</v>
      </c>
      <c r="F386" s="7" t="s">
        <v>17</v>
      </c>
      <c r="G386" s="7" t="s">
        <v>140</v>
      </c>
      <c r="H386" s="7" t="s">
        <v>1406</v>
      </c>
      <c r="I386" s="7" t="s">
        <v>911</v>
      </c>
      <c r="J386" s="7" t="s">
        <v>267</v>
      </c>
      <c r="K386" s="7" t="s">
        <v>36</v>
      </c>
      <c r="L386" s="8">
        <v>67</v>
      </c>
      <c r="M386" s="7" t="s">
        <v>70</v>
      </c>
      <c r="N386" s="8">
        <v>70</v>
      </c>
      <c r="O386" s="8">
        <v>1</v>
      </c>
      <c r="P386" s="5">
        <v>1692.15</v>
      </c>
      <c r="Q386" s="4">
        <v>45600</v>
      </c>
      <c r="R386" s="9">
        <v>0.34013888888888888</v>
      </c>
      <c r="S386" s="8">
        <v>17</v>
      </c>
      <c r="T386" s="7" t="s">
        <v>4454</v>
      </c>
      <c r="U386" s="7" t="s">
        <v>4455</v>
      </c>
      <c r="V3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7" spans="1:22" x14ac:dyDescent="0.35">
      <c r="A387" s="7" t="s">
        <v>1407</v>
      </c>
      <c r="B387" s="7" t="s">
        <v>322</v>
      </c>
      <c r="C387" s="5">
        <v>101.04</v>
      </c>
      <c r="D387" s="2">
        <v>0.76119212962657912</v>
      </c>
      <c r="E387" s="4">
        <v>45117</v>
      </c>
      <c r="F387" s="7" t="s">
        <v>17</v>
      </c>
      <c r="G387" s="7" t="s">
        <v>237</v>
      </c>
      <c r="H387" s="7" t="s">
        <v>1408</v>
      </c>
      <c r="I387" s="7" t="s">
        <v>552</v>
      </c>
      <c r="J387" s="7" t="s">
        <v>652</v>
      </c>
      <c r="K387" s="7" t="s">
        <v>22</v>
      </c>
      <c r="L387" s="8">
        <v>27</v>
      </c>
      <c r="M387" s="7" t="s">
        <v>37</v>
      </c>
      <c r="N387" s="8">
        <v>160</v>
      </c>
      <c r="O387" s="8">
        <v>1</v>
      </c>
      <c r="P387" s="5">
        <v>1695.57</v>
      </c>
      <c r="Q387" s="4">
        <v>45600</v>
      </c>
      <c r="R387" s="9">
        <v>0.33799768518518519</v>
      </c>
      <c r="S387" s="8">
        <v>18</v>
      </c>
      <c r="T387" s="7" t="s">
        <v>4456</v>
      </c>
      <c r="U387" s="7" t="s">
        <v>4455</v>
      </c>
      <c r="V3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8" spans="1:22" x14ac:dyDescent="0.35">
      <c r="A388" s="7" t="s">
        <v>1409</v>
      </c>
      <c r="B388" s="7" t="s">
        <v>1368</v>
      </c>
      <c r="C388" s="5">
        <v>74.42</v>
      </c>
      <c r="D388" s="2">
        <v>0.72449074074393138</v>
      </c>
      <c r="E388" s="4">
        <v>45253</v>
      </c>
      <c r="F388" s="7" t="s">
        <v>17</v>
      </c>
      <c r="G388" s="7" t="s">
        <v>506</v>
      </c>
      <c r="H388" s="7" t="s">
        <v>1410</v>
      </c>
      <c r="I388" s="7" t="s">
        <v>1411</v>
      </c>
      <c r="J388" s="7" t="s">
        <v>362</v>
      </c>
      <c r="K388" s="7" t="s">
        <v>36</v>
      </c>
      <c r="L388" s="8">
        <v>49</v>
      </c>
      <c r="M388" s="7" t="s">
        <v>77</v>
      </c>
      <c r="N388" s="8">
        <v>68</v>
      </c>
      <c r="O388" s="8">
        <v>1</v>
      </c>
      <c r="P388" s="5">
        <v>6264.21</v>
      </c>
      <c r="Q388" s="4">
        <v>45600</v>
      </c>
      <c r="R388" s="9">
        <v>0.3412384259259259</v>
      </c>
      <c r="S388" s="8">
        <v>17</v>
      </c>
      <c r="T388" s="7" t="s">
        <v>4457</v>
      </c>
      <c r="U388" s="7" t="s">
        <v>4455</v>
      </c>
      <c r="V3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89" spans="1:22" x14ac:dyDescent="0.35">
      <c r="A389" s="7" t="s">
        <v>1412</v>
      </c>
      <c r="B389" s="7" t="s">
        <v>72</v>
      </c>
      <c r="C389" s="5">
        <v>39.659999999999997</v>
      </c>
      <c r="D389" s="2">
        <v>0.67839120370626915</v>
      </c>
      <c r="E389" s="4">
        <v>45064</v>
      </c>
      <c r="F389" s="7" t="s">
        <v>17</v>
      </c>
      <c r="G389" s="7" t="s">
        <v>301</v>
      </c>
      <c r="H389" s="7" t="s">
        <v>1413</v>
      </c>
      <c r="I389" s="7" t="s">
        <v>1414</v>
      </c>
      <c r="J389" s="7" t="s">
        <v>414</v>
      </c>
      <c r="K389" s="7" t="s">
        <v>69</v>
      </c>
      <c r="L389" s="8">
        <v>52</v>
      </c>
      <c r="M389" s="7" t="s">
        <v>77</v>
      </c>
      <c r="N389" s="8">
        <v>169</v>
      </c>
      <c r="O389" s="8">
        <v>1</v>
      </c>
      <c r="P389" s="5">
        <v>8497.34</v>
      </c>
      <c r="Q389" s="4">
        <v>45600</v>
      </c>
      <c r="R389" s="9">
        <v>0.33842592592592591</v>
      </c>
      <c r="S389" s="8">
        <v>16</v>
      </c>
      <c r="T389" s="7" t="s">
        <v>4457</v>
      </c>
      <c r="U389" s="7" t="s">
        <v>4455</v>
      </c>
      <c r="V3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90" spans="1:22" x14ac:dyDescent="0.35">
      <c r="A390" s="7" t="s">
        <v>1415</v>
      </c>
      <c r="B390" s="7" t="s">
        <v>687</v>
      </c>
      <c r="C390" s="5">
        <v>99.36</v>
      </c>
      <c r="D390" s="2">
        <v>0.70548611111007631</v>
      </c>
      <c r="E390" s="4">
        <v>45055</v>
      </c>
      <c r="F390" s="7" t="s">
        <v>17</v>
      </c>
      <c r="G390" s="7" t="s">
        <v>59</v>
      </c>
      <c r="H390" s="7" t="s">
        <v>489</v>
      </c>
      <c r="I390" s="7" t="s">
        <v>1416</v>
      </c>
      <c r="J390" s="7" t="s">
        <v>432</v>
      </c>
      <c r="K390" s="7" t="s">
        <v>22</v>
      </c>
      <c r="L390" s="8">
        <v>40</v>
      </c>
      <c r="M390" s="7" t="s">
        <v>23</v>
      </c>
      <c r="N390" s="8">
        <v>46</v>
      </c>
      <c r="O390" s="8">
        <v>1</v>
      </c>
      <c r="P390" s="5">
        <v>1272.1199999999999</v>
      </c>
      <c r="Q390" s="4">
        <v>45600</v>
      </c>
      <c r="R390" s="9">
        <v>0.33975694444444443</v>
      </c>
      <c r="S390" s="8">
        <v>16</v>
      </c>
      <c r="T390" s="7" t="s">
        <v>4457</v>
      </c>
      <c r="U390" s="7" t="s">
        <v>4455</v>
      </c>
      <c r="V3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91" spans="1:22" x14ac:dyDescent="0.35">
      <c r="A391" s="7" t="s">
        <v>1417</v>
      </c>
      <c r="B391" s="7" t="s">
        <v>1418</v>
      </c>
      <c r="C391" s="5">
        <v>123.85</v>
      </c>
      <c r="D391" s="2">
        <v>0.78296296296321088</v>
      </c>
      <c r="E391" s="4">
        <v>45163</v>
      </c>
      <c r="F391" s="7" t="s">
        <v>17</v>
      </c>
      <c r="G391" s="7" t="s">
        <v>146</v>
      </c>
      <c r="H391" s="7" t="s">
        <v>1419</v>
      </c>
      <c r="I391" s="7" t="s">
        <v>1420</v>
      </c>
      <c r="J391" s="7" t="s">
        <v>478</v>
      </c>
      <c r="K391" s="7" t="s">
        <v>36</v>
      </c>
      <c r="L391" s="8">
        <v>56</v>
      </c>
      <c r="M391" s="7" t="s">
        <v>77</v>
      </c>
      <c r="N391" s="8">
        <v>244</v>
      </c>
      <c r="O391" s="8">
        <v>1</v>
      </c>
      <c r="P391" s="5">
        <v>3959.62</v>
      </c>
      <c r="Q391" s="4">
        <v>45600</v>
      </c>
      <c r="R391" s="9">
        <v>0.33791666666666664</v>
      </c>
      <c r="S391" s="8">
        <v>18</v>
      </c>
      <c r="T391" s="7" t="s">
        <v>4454</v>
      </c>
      <c r="U391" s="7" t="s">
        <v>4455</v>
      </c>
      <c r="V3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92" spans="1:22" x14ac:dyDescent="0.35">
      <c r="A392" s="7" t="s">
        <v>1421</v>
      </c>
      <c r="B392" s="7" t="s">
        <v>1422</v>
      </c>
      <c r="C392" s="5">
        <v>426.93</v>
      </c>
      <c r="D392" s="2">
        <v>0.71180555555474712</v>
      </c>
      <c r="E392" s="4">
        <v>45285</v>
      </c>
      <c r="F392" s="7" t="s">
        <v>17</v>
      </c>
      <c r="G392" s="7" t="s">
        <v>296</v>
      </c>
      <c r="H392" s="7" t="s">
        <v>865</v>
      </c>
      <c r="I392" s="7" t="s">
        <v>1423</v>
      </c>
      <c r="J392" s="7" t="s">
        <v>56</v>
      </c>
      <c r="K392" s="7" t="s">
        <v>22</v>
      </c>
      <c r="L392" s="8">
        <v>19</v>
      </c>
      <c r="M392" s="7" t="s">
        <v>37</v>
      </c>
      <c r="N392" s="8">
        <v>248</v>
      </c>
      <c r="O392" s="8">
        <v>1</v>
      </c>
      <c r="P392" s="5">
        <v>476.19</v>
      </c>
      <c r="Q392" s="4">
        <v>45600</v>
      </c>
      <c r="R392" s="9">
        <v>0.3397222222222222</v>
      </c>
      <c r="S392" s="8">
        <v>17</v>
      </c>
      <c r="T392" s="7" t="s">
        <v>4456</v>
      </c>
      <c r="U392" s="7" t="s">
        <v>4455</v>
      </c>
      <c r="V3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93" spans="1:22" x14ac:dyDescent="0.35">
      <c r="A393" s="7" t="s">
        <v>1424</v>
      </c>
      <c r="B393" s="7" t="s">
        <v>1425</v>
      </c>
      <c r="C393" s="5">
        <v>133.72999999999999</v>
      </c>
      <c r="D393" s="2">
        <v>0.68173611110978527</v>
      </c>
      <c r="E393" s="4">
        <v>45062</v>
      </c>
      <c r="F393" s="7" t="s">
        <v>46</v>
      </c>
      <c r="G393" s="7" t="s">
        <v>223</v>
      </c>
      <c r="H393" s="7" t="s">
        <v>1426</v>
      </c>
      <c r="I393" s="7" t="s">
        <v>1427</v>
      </c>
      <c r="J393" s="7" t="s">
        <v>353</v>
      </c>
      <c r="K393" s="7" t="s">
        <v>36</v>
      </c>
      <c r="L393" s="8">
        <v>25</v>
      </c>
      <c r="M393" s="7" t="s">
        <v>37</v>
      </c>
      <c r="N393" s="8">
        <v>123</v>
      </c>
      <c r="O393" s="8">
        <v>1</v>
      </c>
      <c r="P393" s="5">
        <v>1872.22</v>
      </c>
      <c r="Q393" s="4">
        <v>45600</v>
      </c>
      <c r="R393" s="9">
        <v>0.33983796296296298</v>
      </c>
      <c r="S393" s="8">
        <v>16</v>
      </c>
      <c r="T393" s="7" t="s">
        <v>4456</v>
      </c>
      <c r="U393" s="7" t="s">
        <v>4455</v>
      </c>
      <c r="V3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94" spans="1:22" x14ac:dyDescent="0.35">
      <c r="A394" s="7" t="s">
        <v>1428</v>
      </c>
      <c r="B394" s="7" t="s">
        <v>1381</v>
      </c>
      <c r="C394" s="5">
        <v>222.39</v>
      </c>
      <c r="D394" s="2">
        <v>0.68957175925606862</v>
      </c>
      <c r="E394" s="4">
        <v>45161</v>
      </c>
      <c r="F394" s="7" t="s">
        <v>17</v>
      </c>
      <c r="G394" s="7" t="s">
        <v>301</v>
      </c>
      <c r="H394" s="7" t="s">
        <v>1429</v>
      </c>
      <c r="I394" s="7" t="s">
        <v>1430</v>
      </c>
      <c r="J394" s="7" t="s">
        <v>769</v>
      </c>
      <c r="K394" s="7" t="s">
        <v>36</v>
      </c>
      <c r="L394" s="8">
        <v>49</v>
      </c>
      <c r="M394" s="7" t="s">
        <v>77</v>
      </c>
      <c r="N394" s="8">
        <v>73</v>
      </c>
      <c r="O394" s="8">
        <v>1</v>
      </c>
      <c r="P394" s="5">
        <v>3117.39</v>
      </c>
      <c r="Q394" s="4">
        <v>45600</v>
      </c>
      <c r="R394" s="9">
        <v>0.34087962962962964</v>
      </c>
      <c r="S394" s="8">
        <v>16</v>
      </c>
      <c r="T394" s="7" t="s">
        <v>4457</v>
      </c>
      <c r="U394" s="7" t="s">
        <v>4455</v>
      </c>
      <c r="V3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95" spans="1:22" x14ac:dyDescent="0.35">
      <c r="A395" s="7" t="s">
        <v>1431</v>
      </c>
      <c r="B395" s="7" t="s">
        <v>396</v>
      </c>
      <c r="C395" s="5">
        <v>215.94</v>
      </c>
      <c r="D395" s="2">
        <v>0.67133101851504762</v>
      </c>
      <c r="E395" s="4">
        <v>45082</v>
      </c>
      <c r="F395" s="7" t="s">
        <v>46</v>
      </c>
      <c r="G395" s="7" t="s">
        <v>301</v>
      </c>
      <c r="H395" s="7" t="s">
        <v>596</v>
      </c>
      <c r="I395" s="7" t="s">
        <v>121</v>
      </c>
      <c r="J395" s="7" t="s">
        <v>1037</v>
      </c>
      <c r="K395" s="7" t="s">
        <v>36</v>
      </c>
      <c r="L395" s="8">
        <v>22</v>
      </c>
      <c r="M395" s="7" t="s">
        <v>37</v>
      </c>
      <c r="N395" s="8">
        <v>140</v>
      </c>
      <c r="O395" s="8">
        <v>1</v>
      </c>
      <c r="P395" s="5">
        <v>1841.69</v>
      </c>
      <c r="Q395" s="4">
        <v>45600</v>
      </c>
      <c r="R395" s="9">
        <v>0.34079861111111109</v>
      </c>
      <c r="S395" s="8">
        <v>16</v>
      </c>
      <c r="T395" s="7" t="s">
        <v>4456</v>
      </c>
      <c r="U395" s="7" t="s">
        <v>4455</v>
      </c>
      <c r="V3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96" spans="1:22" x14ac:dyDescent="0.35">
      <c r="A396" s="7" t="s">
        <v>1432</v>
      </c>
      <c r="B396" s="7" t="s">
        <v>1433</v>
      </c>
      <c r="C396" s="5">
        <v>6.3</v>
      </c>
      <c r="D396" s="2">
        <v>0.78673611111298669</v>
      </c>
      <c r="E396" s="4">
        <v>45274</v>
      </c>
      <c r="F396" s="7" t="s">
        <v>17</v>
      </c>
      <c r="G396" s="7" t="s">
        <v>125</v>
      </c>
      <c r="H396" s="7" t="s">
        <v>1434</v>
      </c>
      <c r="I396" s="7" t="s">
        <v>699</v>
      </c>
      <c r="J396" s="7" t="s">
        <v>111</v>
      </c>
      <c r="K396" s="7" t="s">
        <v>69</v>
      </c>
      <c r="L396" s="8">
        <v>80</v>
      </c>
      <c r="M396" s="7" t="s">
        <v>70</v>
      </c>
      <c r="N396" s="8">
        <v>283</v>
      </c>
      <c r="O396" s="8">
        <v>5</v>
      </c>
      <c r="P396" s="5">
        <v>7697.68</v>
      </c>
      <c r="Q396" s="4">
        <v>45600</v>
      </c>
      <c r="R396" s="9">
        <v>0.34181712962962962</v>
      </c>
      <c r="S396" s="8">
        <v>18</v>
      </c>
      <c r="T396" s="7" t="s">
        <v>4454</v>
      </c>
      <c r="U396" s="7" t="s">
        <v>4458</v>
      </c>
      <c r="V3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397" spans="1:22" x14ac:dyDescent="0.35">
      <c r="A397" s="7" t="s">
        <v>1435</v>
      </c>
      <c r="B397" s="7" t="s">
        <v>45</v>
      </c>
      <c r="C397" s="5">
        <v>826.23</v>
      </c>
      <c r="D397" s="2">
        <v>0.68424768518161727</v>
      </c>
      <c r="E397" s="4">
        <v>45077</v>
      </c>
      <c r="F397" s="7" t="s">
        <v>17</v>
      </c>
      <c r="G397" s="7" t="s">
        <v>521</v>
      </c>
      <c r="H397" s="7" t="s">
        <v>1089</v>
      </c>
      <c r="I397" s="7" t="s">
        <v>1436</v>
      </c>
      <c r="J397" s="7" t="s">
        <v>564</v>
      </c>
      <c r="K397" s="7" t="s">
        <v>22</v>
      </c>
      <c r="L397" s="8">
        <v>29</v>
      </c>
      <c r="M397" s="7" t="s">
        <v>23</v>
      </c>
      <c r="N397" s="8">
        <v>209</v>
      </c>
      <c r="O397" s="8">
        <v>1</v>
      </c>
      <c r="P397" s="5">
        <v>7580.59</v>
      </c>
      <c r="Q397" s="4">
        <v>45600</v>
      </c>
      <c r="R397" s="9">
        <v>0.33856481481481482</v>
      </c>
      <c r="S397" s="8">
        <v>16</v>
      </c>
      <c r="T397" s="7" t="s">
        <v>4456</v>
      </c>
      <c r="U397" s="7" t="s">
        <v>4455</v>
      </c>
      <c r="V3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98" spans="1:22" x14ac:dyDescent="0.35">
      <c r="A398" s="7" t="s">
        <v>1437</v>
      </c>
      <c r="B398" s="7" t="s">
        <v>1438</v>
      </c>
      <c r="C398" s="5">
        <v>416.37</v>
      </c>
      <c r="D398" s="2">
        <v>0.67671296296612127</v>
      </c>
      <c r="E398" s="4">
        <v>45210</v>
      </c>
      <c r="F398" s="7" t="s">
        <v>17</v>
      </c>
      <c r="G398" s="7" t="s">
        <v>125</v>
      </c>
      <c r="H398" s="7" t="s">
        <v>1334</v>
      </c>
      <c r="I398" s="7" t="s">
        <v>844</v>
      </c>
      <c r="J398" s="7" t="s">
        <v>21</v>
      </c>
      <c r="K398" s="7" t="s">
        <v>36</v>
      </c>
      <c r="L398" s="8">
        <v>35</v>
      </c>
      <c r="M398" s="7" t="s">
        <v>77</v>
      </c>
      <c r="N398" s="8">
        <v>67</v>
      </c>
      <c r="O398" s="8">
        <v>1</v>
      </c>
      <c r="P398" s="5">
        <v>7936.91</v>
      </c>
      <c r="Q398" s="4">
        <v>45600</v>
      </c>
      <c r="R398" s="9">
        <v>0.33946759259259257</v>
      </c>
      <c r="S398" s="8">
        <v>16</v>
      </c>
      <c r="T398" s="7" t="s">
        <v>4457</v>
      </c>
      <c r="U398" s="7" t="s">
        <v>4455</v>
      </c>
      <c r="V3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399" spans="1:22" x14ac:dyDescent="0.35">
      <c r="A399" s="7" t="s">
        <v>1439</v>
      </c>
      <c r="B399" s="7" t="s">
        <v>1440</v>
      </c>
      <c r="C399" s="5">
        <v>131.46</v>
      </c>
      <c r="D399" s="2">
        <v>0.69249999999738066</v>
      </c>
      <c r="E399" s="4">
        <v>45061</v>
      </c>
      <c r="F399" s="7" t="s">
        <v>17</v>
      </c>
      <c r="G399" s="7" t="s">
        <v>249</v>
      </c>
      <c r="H399" s="7" t="s">
        <v>1441</v>
      </c>
      <c r="I399" s="7" t="s">
        <v>1119</v>
      </c>
      <c r="J399" s="7" t="s">
        <v>598</v>
      </c>
      <c r="K399" s="7" t="s">
        <v>69</v>
      </c>
      <c r="L399" s="8">
        <v>67</v>
      </c>
      <c r="M399" s="7" t="s">
        <v>70</v>
      </c>
      <c r="N399" s="8">
        <v>258</v>
      </c>
      <c r="O399" s="8">
        <v>1</v>
      </c>
      <c r="P399" s="5">
        <v>6642.33</v>
      </c>
      <c r="Q399" s="4">
        <v>45600</v>
      </c>
      <c r="R399" s="9">
        <v>0.34131944444444445</v>
      </c>
      <c r="S399" s="8">
        <v>16</v>
      </c>
      <c r="T399" s="7" t="s">
        <v>4454</v>
      </c>
      <c r="U399" s="7" t="s">
        <v>4455</v>
      </c>
      <c r="V3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00" spans="1:22" x14ac:dyDescent="0.35">
      <c r="A400" s="7" t="s">
        <v>1442</v>
      </c>
      <c r="B400" s="7" t="s">
        <v>1179</v>
      </c>
      <c r="C400" s="5">
        <v>202.86</v>
      </c>
      <c r="D400" s="2">
        <v>0.72553240740671754</v>
      </c>
      <c r="E400" s="4">
        <v>45068</v>
      </c>
      <c r="F400" s="7" t="s">
        <v>46</v>
      </c>
      <c r="G400" s="7" t="s">
        <v>92</v>
      </c>
      <c r="H400" s="7" t="s">
        <v>93</v>
      </c>
      <c r="I400" s="7" t="s">
        <v>1443</v>
      </c>
      <c r="J400" s="7" t="s">
        <v>769</v>
      </c>
      <c r="K400" s="7" t="s">
        <v>69</v>
      </c>
      <c r="L400" s="8">
        <v>61</v>
      </c>
      <c r="M400" s="7" t="s">
        <v>23</v>
      </c>
      <c r="N400" s="8">
        <v>149</v>
      </c>
      <c r="O400" s="8">
        <v>1</v>
      </c>
      <c r="P400" s="5">
        <v>7642.25</v>
      </c>
      <c r="Q400" s="4">
        <v>45600</v>
      </c>
      <c r="R400" s="9">
        <v>0.33951388888888889</v>
      </c>
      <c r="S400" s="8">
        <v>17</v>
      </c>
      <c r="T400" s="7" t="s">
        <v>4454</v>
      </c>
      <c r="U400" s="7" t="s">
        <v>4455</v>
      </c>
      <c r="V4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1" spans="1:22" x14ac:dyDescent="0.35">
      <c r="A401" s="7" t="s">
        <v>1444</v>
      </c>
      <c r="B401" s="7" t="s">
        <v>134</v>
      </c>
      <c r="C401" s="5">
        <v>268.39</v>
      </c>
      <c r="D401" s="2">
        <v>0.76752314814802958</v>
      </c>
      <c r="E401" s="4">
        <v>45103</v>
      </c>
      <c r="F401" s="7" t="s">
        <v>17</v>
      </c>
      <c r="G401" s="7" t="s">
        <v>172</v>
      </c>
      <c r="H401" s="7" t="s">
        <v>618</v>
      </c>
      <c r="I401" s="7" t="s">
        <v>49</v>
      </c>
      <c r="J401" s="7" t="s">
        <v>111</v>
      </c>
      <c r="K401" s="7" t="s">
        <v>22</v>
      </c>
      <c r="L401" s="8">
        <v>26</v>
      </c>
      <c r="M401" s="7" t="s">
        <v>37</v>
      </c>
      <c r="N401" s="8">
        <v>171</v>
      </c>
      <c r="O401" s="8">
        <v>1</v>
      </c>
      <c r="P401" s="5">
        <v>136.74</v>
      </c>
      <c r="Q401" s="4">
        <v>45600</v>
      </c>
      <c r="R401" s="9">
        <v>0.33796296296296297</v>
      </c>
      <c r="S401" s="8">
        <v>18</v>
      </c>
      <c r="T401" s="7" t="s">
        <v>4456</v>
      </c>
      <c r="U401" s="7" t="s">
        <v>4455</v>
      </c>
      <c r="V4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2" spans="1:22" x14ac:dyDescent="0.35">
      <c r="A402" s="7" t="s">
        <v>1445</v>
      </c>
      <c r="B402" s="7" t="s">
        <v>1446</v>
      </c>
      <c r="C402" s="5">
        <v>194.85</v>
      </c>
      <c r="D402" s="2">
        <v>0.70163194444467081</v>
      </c>
      <c r="E402" s="4">
        <v>45181</v>
      </c>
      <c r="F402" s="7" t="s">
        <v>17</v>
      </c>
      <c r="G402" s="7" t="s">
        <v>392</v>
      </c>
      <c r="H402" s="7" t="s">
        <v>1447</v>
      </c>
      <c r="I402" s="7" t="s">
        <v>1448</v>
      </c>
      <c r="J402" s="7" t="s">
        <v>1287</v>
      </c>
      <c r="K402" s="7" t="s">
        <v>36</v>
      </c>
      <c r="L402" s="8">
        <v>23</v>
      </c>
      <c r="M402" s="7" t="s">
        <v>37</v>
      </c>
      <c r="N402" s="8">
        <v>130</v>
      </c>
      <c r="O402" s="8">
        <v>4</v>
      </c>
      <c r="P402" s="5">
        <v>319.83999999999997</v>
      </c>
      <c r="Q402" s="4">
        <v>45600</v>
      </c>
      <c r="R402" s="9">
        <v>0.33890046296296295</v>
      </c>
      <c r="S402" s="8">
        <v>16</v>
      </c>
      <c r="T402" s="7" t="s">
        <v>4456</v>
      </c>
      <c r="U402" s="7" t="s">
        <v>4458</v>
      </c>
      <c r="V4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03" spans="1:22" x14ac:dyDescent="0.35">
      <c r="A403" s="7" t="s">
        <v>1449</v>
      </c>
      <c r="B403" s="7" t="s">
        <v>16</v>
      </c>
      <c r="C403" s="5">
        <v>137.35</v>
      </c>
      <c r="D403" s="2">
        <v>0.75853009259299142</v>
      </c>
      <c r="E403" s="4">
        <v>45014</v>
      </c>
      <c r="F403" s="7" t="s">
        <v>46</v>
      </c>
      <c r="G403" s="7" t="s">
        <v>285</v>
      </c>
      <c r="H403" s="7" t="s">
        <v>27</v>
      </c>
      <c r="I403" s="7" t="s">
        <v>1450</v>
      </c>
      <c r="J403" s="7" t="s">
        <v>165</v>
      </c>
      <c r="K403" s="7" t="s">
        <v>36</v>
      </c>
      <c r="L403" s="8">
        <v>40</v>
      </c>
      <c r="M403" s="7" t="s">
        <v>23</v>
      </c>
      <c r="N403" s="8">
        <v>220</v>
      </c>
      <c r="O403" s="8">
        <v>1</v>
      </c>
      <c r="P403" s="5">
        <v>12662.66</v>
      </c>
      <c r="Q403" s="4">
        <v>45600</v>
      </c>
      <c r="R403" s="9">
        <v>0.34054398148148146</v>
      </c>
      <c r="S403" s="8">
        <v>18</v>
      </c>
      <c r="T403" s="7" t="s">
        <v>4457</v>
      </c>
      <c r="U403" s="7" t="s">
        <v>4455</v>
      </c>
      <c r="V4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4" spans="1:22" x14ac:dyDescent="0.35">
      <c r="A404" s="7" t="s">
        <v>1451</v>
      </c>
      <c r="B404" s="7" t="s">
        <v>1452</v>
      </c>
      <c r="C404" s="5">
        <v>712.75</v>
      </c>
      <c r="D404" s="2">
        <v>0.71384259259502869</v>
      </c>
      <c r="E404" s="4">
        <v>45072</v>
      </c>
      <c r="F404" s="7" t="s">
        <v>17</v>
      </c>
      <c r="G404" s="7" t="s">
        <v>243</v>
      </c>
      <c r="H404" s="7" t="s">
        <v>1453</v>
      </c>
      <c r="I404" s="7" t="s">
        <v>1375</v>
      </c>
      <c r="J404" s="7" t="s">
        <v>226</v>
      </c>
      <c r="K404" s="7" t="s">
        <v>69</v>
      </c>
      <c r="L404" s="8">
        <v>44</v>
      </c>
      <c r="M404" s="7" t="s">
        <v>23</v>
      </c>
      <c r="N404" s="8">
        <v>25</v>
      </c>
      <c r="O404" s="8">
        <v>1</v>
      </c>
      <c r="P404" s="5">
        <v>8126.06</v>
      </c>
      <c r="Q404" s="4">
        <v>45600</v>
      </c>
      <c r="R404" s="9">
        <v>0.3401851851851852</v>
      </c>
      <c r="S404" s="8">
        <v>17</v>
      </c>
      <c r="T404" s="7" t="s">
        <v>4457</v>
      </c>
      <c r="U404" s="7" t="s">
        <v>4455</v>
      </c>
      <c r="V4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5" spans="1:22" x14ac:dyDescent="0.35">
      <c r="A405" s="7" t="s">
        <v>1454</v>
      </c>
      <c r="B405" s="7" t="s">
        <v>876</v>
      </c>
      <c r="C405" s="5">
        <v>353.82</v>
      </c>
      <c r="D405" s="2">
        <v>0.74859953703708015</v>
      </c>
      <c r="E405" s="4">
        <v>45026</v>
      </c>
      <c r="F405" s="7" t="s">
        <v>17</v>
      </c>
      <c r="G405" s="7" t="s">
        <v>178</v>
      </c>
      <c r="H405" s="7" t="s">
        <v>1184</v>
      </c>
      <c r="I405" s="7" t="s">
        <v>1455</v>
      </c>
      <c r="J405" s="7" t="s">
        <v>76</v>
      </c>
      <c r="K405" s="7" t="s">
        <v>22</v>
      </c>
      <c r="L405" s="8">
        <v>42</v>
      </c>
      <c r="M405" s="7" t="s">
        <v>23</v>
      </c>
      <c r="N405" s="8">
        <v>143</v>
      </c>
      <c r="O405" s="8">
        <v>1</v>
      </c>
      <c r="P405" s="5">
        <v>705.75</v>
      </c>
      <c r="Q405" s="4">
        <v>45600</v>
      </c>
      <c r="R405" s="9">
        <v>0.33796296296296297</v>
      </c>
      <c r="S405" s="8">
        <v>17</v>
      </c>
      <c r="T405" s="7" t="s">
        <v>4457</v>
      </c>
      <c r="U405" s="7" t="s">
        <v>4455</v>
      </c>
      <c r="V4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6" spans="1:22" x14ac:dyDescent="0.35">
      <c r="A406" s="7" t="s">
        <v>1456</v>
      </c>
      <c r="B406" s="7" t="s">
        <v>1457</v>
      </c>
      <c r="C406" s="5">
        <v>507.25</v>
      </c>
      <c r="D406" s="2">
        <v>0.72335648148145992</v>
      </c>
      <c r="E406" s="4">
        <v>45229</v>
      </c>
      <c r="F406" s="7" t="s">
        <v>17</v>
      </c>
      <c r="G406" s="7" t="s">
        <v>453</v>
      </c>
      <c r="H406" s="7" t="s">
        <v>1458</v>
      </c>
      <c r="I406" s="7" t="s">
        <v>1459</v>
      </c>
      <c r="J406" s="7" t="s">
        <v>370</v>
      </c>
      <c r="K406" s="7" t="s">
        <v>69</v>
      </c>
      <c r="L406" s="8">
        <v>73</v>
      </c>
      <c r="M406" s="7" t="s">
        <v>70</v>
      </c>
      <c r="N406" s="8">
        <v>143</v>
      </c>
      <c r="O406" s="8">
        <v>1</v>
      </c>
      <c r="P406" s="5">
        <v>5331.57</v>
      </c>
      <c r="Q406" s="4">
        <v>45600</v>
      </c>
      <c r="R406" s="9">
        <v>0.34108796296296295</v>
      </c>
      <c r="S406" s="8">
        <v>17</v>
      </c>
      <c r="T406" s="7" t="s">
        <v>4454</v>
      </c>
      <c r="U406" s="7" t="s">
        <v>4455</v>
      </c>
      <c r="V4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7" spans="1:22" x14ac:dyDescent="0.35">
      <c r="A407" s="7" t="s">
        <v>1460</v>
      </c>
      <c r="B407" s="7" t="s">
        <v>384</v>
      </c>
      <c r="C407" s="5">
        <v>212.74</v>
      </c>
      <c r="D407" s="2">
        <v>0.78719907407503342</v>
      </c>
      <c r="E407" s="4">
        <v>45274</v>
      </c>
      <c r="F407" s="7" t="s">
        <v>17</v>
      </c>
      <c r="G407" s="7" t="s">
        <v>59</v>
      </c>
      <c r="H407" s="7" t="s">
        <v>1461</v>
      </c>
      <c r="I407" s="7" t="s">
        <v>1462</v>
      </c>
      <c r="J407" s="7" t="s">
        <v>1345</v>
      </c>
      <c r="K407" s="7" t="s">
        <v>69</v>
      </c>
      <c r="L407" s="8">
        <v>27</v>
      </c>
      <c r="M407" s="7" t="s">
        <v>77</v>
      </c>
      <c r="N407" s="8">
        <v>128</v>
      </c>
      <c r="O407" s="8">
        <v>1</v>
      </c>
      <c r="P407" s="5">
        <v>7645.47</v>
      </c>
      <c r="Q407" s="4">
        <v>45600</v>
      </c>
      <c r="R407" s="9">
        <v>0.33876157407407409</v>
      </c>
      <c r="S407" s="8">
        <v>18</v>
      </c>
      <c r="T407" s="7" t="s">
        <v>4456</v>
      </c>
      <c r="U407" s="7" t="s">
        <v>4455</v>
      </c>
      <c r="V4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8" spans="1:22" x14ac:dyDescent="0.35">
      <c r="A408" s="7" t="s">
        <v>1463</v>
      </c>
      <c r="B408" s="7" t="s">
        <v>264</v>
      </c>
      <c r="C408" s="5">
        <v>364.42</v>
      </c>
      <c r="D408" s="2">
        <v>0.71350694444117835</v>
      </c>
      <c r="E408" s="4">
        <v>45209</v>
      </c>
      <c r="F408" s="7" t="s">
        <v>17</v>
      </c>
      <c r="G408" s="7" t="s">
        <v>521</v>
      </c>
      <c r="H408" s="7" t="s">
        <v>538</v>
      </c>
      <c r="I408" s="7" t="s">
        <v>1464</v>
      </c>
      <c r="J408" s="7" t="s">
        <v>303</v>
      </c>
      <c r="K408" s="7" t="s">
        <v>22</v>
      </c>
      <c r="L408" s="8">
        <v>51</v>
      </c>
      <c r="M408" s="7" t="s">
        <v>77</v>
      </c>
      <c r="N408" s="8">
        <v>146</v>
      </c>
      <c r="O408" s="8">
        <v>1</v>
      </c>
      <c r="P408" s="5">
        <v>8119.73</v>
      </c>
      <c r="Q408" s="4">
        <v>45600</v>
      </c>
      <c r="R408" s="9">
        <v>0.33976851851851853</v>
      </c>
      <c r="S408" s="8">
        <v>17</v>
      </c>
      <c r="T408" s="7" t="s">
        <v>4457</v>
      </c>
      <c r="U408" s="7" t="s">
        <v>4455</v>
      </c>
      <c r="V4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09" spans="1:22" x14ac:dyDescent="0.35">
      <c r="A409" s="7" t="s">
        <v>1465</v>
      </c>
      <c r="B409" s="7" t="s">
        <v>609</v>
      </c>
      <c r="C409" s="5">
        <v>195.12</v>
      </c>
      <c r="D409" s="2">
        <v>0.73802083333430346</v>
      </c>
      <c r="E409" s="4">
        <v>45132</v>
      </c>
      <c r="F409" s="7" t="s">
        <v>17</v>
      </c>
      <c r="G409" s="7" t="s">
        <v>108</v>
      </c>
      <c r="H409" s="7" t="s">
        <v>1466</v>
      </c>
      <c r="I409" s="7" t="s">
        <v>1467</v>
      </c>
      <c r="J409" s="7" t="s">
        <v>169</v>
      </c>
      <c r="K409" s="7" t="s">
        <v>22</v>
      </c>
      <c r="L409" s="8">
        <v>46</v>
      </c>
      <c r="M409" s="7" t="s">
        <v>23</v>
      </c>
      <c r="N409" s="8">
        <v>144</v>
      </c>
      <c r="O409" s="8">
        <v>1</v>
      </c>
      <c r="P409" s="5">
        <v>6101.15</v>
      </c>
      <c r="Q409" s="4">
        <v>45600</v>
      </c>
      <c r="R409" s="9">
        <v>0.34074074074074073</v>
      </c>
      <c r="S409" s="8">
        <v>17</v>
      </c>
      <c r="T409" s="7" t="s">
        <v>4457</v>
      </c>
      <c r="U409" s="7" t="s">
        <v>4455</v>
      </c>
      <c r="V4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10" spans="1:22" x14ac:dyDescent="0.35">
      <c r="A410" s="7" t="s">
        <v>1468</v>
      </c>
      <c r="B410" s="7" t="s">
        <v>641</v>
      </c>
      <c r="C410" s="5">
        <v>230.61</v>
      </c>
      <c r="D410" s="2">
        <v>0.69535879629984265</v>
      </c>
      <c r="E410" s="4">
        <v>45173</v>
      </c>
      <c r="F410" s="7" t="s">
        <v>17</v>
      </c>
      <c r="G410" s="7" t="s">
        <v>40</v>
      </c>
      <c r="H410" s="7" t="s">
        <v>1469</v>
      </c>
      <c r="I410" s="7" t="s">
        <v>1470</v>
      </c>
      <c r="J410" s="7" t="s">
        <v>592</v>
      </c>
      <c r="K410" s="7" t="s">
        <v>69</v>
      </c>
      <c r="L410" s="8">
        <v>80</v>
      </c>
      <c r="M410" s="7" t="s">
        <v>70</v>
      </c>
      <c r="N410" s="8">
        <v>204</v>
      </c>
      <c r="O410" s="8">
        <v>1</v>
      </c>
      <c r="P410" s="5">
        <v>2561.42</v>
      </c>
      <c r="Q410" s="4">
        <v>45600</v>
      </c>
      <c r="R410" s="9">
        <v>0.34011574074074075</v>
      </c>
      <c r="S410" s="8">
        <v>16</v>
      </c>
      <c r="T410" s="7" t="s">
        <v>4454</v>
      </c>
      <c r="U410" s="7" t="s">
        <v>4455</v>
      </c>
      <c r="V4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11" spans="1:22" x14ac:dyDescent="0.35">
      <c r="A411" s="7" t="s">
        <v>1471</v>
      </c>
      <c r="B411" s="7" t="s">
        <v>1472</v>
      </c>
      <c r="C411" s="5">
        <v>739.28</v>
      </c>
      <c r="D411" s="2">
        <v>0.69873842592642177</v>
      </c>
      <c r="E411" s="4">
        <v>45096</v>
      </c>
      <c r="F411" s="7" t="s">
        <v>46</v>
      </c>
      <c r="G411" s="7" t="s">
        <v>255</v>
      </c>
      <c r="H411" s="7" t="s">
        <v>1473</v>
      </c>
      <c r="I411" s="7" t="s">
        <v>1474</v>
      </c>
      <c r="J411" s="7" t="s">
        <v>607</v>
      </c>
      <c r="K411" s="7" t="s">
        <v>69</v>
      </c>
      <c r="L411" s="8">
        <v>58</v>
      </c>
      <c r="M411" s="7" t="s">
        <v>23</v>
      </c>
      <c r="N411" s="8">
        <v>47</v>
      </c>
      <c r="O411" s="8">
        <v>1</v>
      </c>
      <c r="P411" s="5">
        <v>11905.64</v>
      </c>
      <c r="Q411" s="4">
        <v>45600</v>
      </c>
      <c r="R411" s="9">
        <v>0.34112268518518518</v>
      </c>
      <c r="S411" s="8">
        <v>16</v>
      </c>
      <c r="T411" s="7" t="s">
        <v>4454</v>
      </c>
      <c r="U411" s="7" t="s">
        <v>4455</v>
      </c>
      <c r="V4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12" spans="1:22" x14ac:dyDescent="0.35">
      <c r="A412" s="7" t="s">
        <v>1475</v>
      </c>
      <c r="B412" s="7" t="s">
        <v>1311</v>
      </c>
      <c r="C412" s="5">
        <v>390.35</v>
      </c>
      <c r="D412" s="2">
        <v>0.77553240740962792</v>
      </c>
      <c r="E412" s="4">
        <v>45195</v>
      </c>
      <c r="F412" s="7" t="s">
        <v>46</v>
      </c>
      <c r="G412" s="7" t="s">
        <v>296</v>
      </c>
      <c r="H412" s="7" t="s">
        <v>1419</v>
      </c>
      <c r="I412" s="7" t="s">
        <v>465</v>
      </c>
      <c r="J412" s="7" t="s">
        <v>62</v>
      </c>
      <c r="K412" s="7" t="s">
        <v>22</v>
      </c>
      <c r="L412" s="8">
        <v>64</v>
      </c>
      <c r="M412" s="7" t="s">
        <v>23</v>
      </c>
      <c r="N412" s="8">
        <v>61</v>
      </c>
      <c r="O412" s="8">
        <v>1</v>
      </c>
      <c r="P412" s="5">
        <v>7095.88</v>
      </c>
      <c r="Q412" s="4">
        <v>45600</v>
      </c>
      <c r="R412" s="9">
        <v>0.34028935185185183</v>
      </c>
      <c r="S412" s="8">
        <v>18</v>
      </c>
      <c r="T412" s="7" t="s">
        <v>4454</v>
      </c>
      <c r="U412" s="7" t="s">
        <v>4455</v>
      </c>
      <c r="V4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13" spans="1:22" x14ac:dyDescent="0.35">
      <c r="A413" s="7" t="s">
        <v>1476</v>
      </c>
      <c r="B413" s="7" t="s">
        <v>1418</v>
      </c>
      <c r="C413" s="5">
        <v>242.03</v>
      </c>
      <c r="D413" s="2">
        <v>0.67269675926218042</v>
      </c>
      <c r="E413" s="4">
        <v>44998</v>
      </c>
      <c r="F413" s="7" t="s">
        <v>17</v>
      </c>
      <c r="G413" s="7" t="s">
        <v>323</v>
      </c>
      <c r="H413" s="7" t="s">
        <v>695</v>
      </c>
      <c r="I413" s="7" t="s">
        <v>1477</v>
      </c>
      <c r="J413" s="7" t="s">
        <v>240</v>
      </c>
      <c r="K413" s="7" t="s">
        <v>36</v>
      </c>
      <c r="L413" s="8">
        <v>58</v>
      </c>
      <c r="M413" s="7" t="s">
        <v>77</v>
      </c>
      <c r="N413" s="8">
        <v>124</v>
      </c>
      <c r="O413" s="8">
        <v>1</v>
      </c>
      <c r="P413" s="5">
        <v>4382.7299999999996</v>
      </c>
      <c r="Q413" s="4">
        <v>45600</v>
      </c>
      <c r="R413" s="9">
        <v>0.33833333333333332</v>
      </c>
      <c r="S413" s="8">
        <v>16</v>
      </c>
      <c r="T413" s="7" t="s">
        <v>4454</v>
      </c>
      <c r="U413" s="7" t="s">
        <v>4455</v>
      </c>
      <c r="V4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14" spans="1:22" x14ac:dyDescent="0.35">
      <c r="A414" s="7" t="s">
        <v>1478</v>
      </c>
      <c r="B414" s="7" t="s">
        <v>236</v>
      </c>
      <c r="C414" s="5">
        <v>242.39</v>
      </c>
      <c r="D414" s="2">
        <v>0.68712962963036261</v>
      </c>
      <c r="E414" s="4">
        <v>45250</v>
      </c>
      <c r="F414" s="7" t="s">
        <v>46</v>
      </c>
      <c r="G414" s="7" t="s">
        <v>237</v>
      </c>
      <c r="H414" s="7" t="s">
        <v>1479</v>
      </c>
      <c r="I414" s="7" t="s">
        <v>1232</v>
      </c>
      <c r="J414" s="7" t="s">
        <v>181</v>
      </c>
      <c r="K414" s="7" t="s">
        <v>22</v>
      </c>
      <c r="L414" s="8">
        <v>18</v>
      </c>
      <c r="M414" s="7" t="s">
        <v>37</v>
      </c>
      <c r="N414" s="8">
        <v>271</v>
      </c>
      <c r="O414" s="8">
        <v>1</v>
      </c>
      <c r="P414" s="5">
        <v>1328.73</v>
      </c>
      <c r="Q414" s="4">
        <v>45600</v>
      </c>
      <c r="R414" s="9">
        <v>0.33805555555555555</v>
      </c>
      <c r="S414" s="8">
        <v>16</v>
      </c>
      <c r="T414" s="7" t="s">
        <v>4456</v>
      </c>
      <c r="U414" s="7" t="s">
        <v>4455</v>
      </c>
      <c r="V4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15" spans="1:22" x14ac:dyDescent="0.35">
      <c r="A415" s="7" t="s">
        <v>1480</v>
      </c>
      <c r="B415" s="7" t="s">
        <v>1004</v>
      </c>
      <c r="C415" s="5">
        <v>135.03</v>
      </c>
      <c r="D415" s="2">
        <v>0.70863425925927004</v>
      </c>
      <c r="E415" s="4">
        <v>44981</v>
      </c>
      <c r="F415" s="7" t="s">
        <v>17</v>
      </c>
      <c r="G415" s="7" t="s">
        <v>212</v>
      </c>
      <c r="H415" s="7" t="s">
        <v>947</v>
      </c>
      <c r="I415" s="7" t="s">
        <v>1481</v>
      </c>
      <c r="J415" s="7" t="s">
        <v>348</v>
      </c>
      <c r="K415" s="7" t="s">
        <v>22</v>
      </c>
      <c r="L415" s="8">
        <v>23</v>
      </c>
      <c r="M415" s="7" t="s">
        <v>37</v>
      </c>
      <c r="N415" s="8">
        <v>180</v>
      </c>
      <c r="O415" s="8">
        <v>1</v>
      </c>
      <c r="P415" s="5">
        <v>1278</v>
      </c>
      <c r="Q415" s="4">
        <v>45600</v>
      </c>
      <c r="R415" s="9">
        <v>0.33909722222222222</v>
      </c>
      <c r="S415" s="8">
        <v>17</v>
      </c>
      <c r="T415" s="7" t="s">
        <v>4456</v>
      </c>
      <c r="U415" s="7" t="s">
        <v>4455</v>
      </c>
      <c r="V4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16" spans="1:22" x14ac:dyDescent="0.35">
      <c r="A416" s="7" t="s">
        <v>1482</v>
      </c>
      <c r="B416" s="7" t="s">
        <v>1147</v>
      </c>
      <c r="C416" s="5">
        <v>83.5</v>
      </c>
      <c r="D416" s="2">
        <v>0.78304398147884058</v>
      </c>
      <c r="E416" s="4">
        <v>45061</v>
      </c>
      <c r="F416" s="7" t="s">
        <v>17</v>
      </c>
      <c r="G416" s="7" t="s">
        <v>323</v>
      </c>
      <c r="H416" s="7" t="s">
        <v>1383</v>
      </c>
      <c r="I416" s="7" t="s">
        <v>706</v>
      </c>
      <c r="J416" s="7" t="s">
        <v>740</v>
      </c>
      <c r="K416" s="7" t="s">
        <v>69</v>
      </c>
      <c r="L416" s="8">
        <v>61</v>
      </c>
      <c r="M416" s="7" t="s">
        <v>70</v>
      </c>
      <c r="N416" s="8">
        <v>91</v>
      </c>
      <c r="O416" s="8">
        <v>5</v>
      </c>
      <c r="P416" s="5">
        <v>1749.79</v>
      </c>
      <c r="Q416" s="4">
        <v>45600</v>
      </c>
      <c r="R416" s="9">
        <v>0.3384490740740741</v>
      </c>
      <c r="S416" s="8">
        <v>18</v>
      </c>
      <c r="T416" s="7" t="s">
        <v>4454</v>
      </c>
      <c r="U416" s="7" t="s">
        <v>4458</v>
      </c>
      <c r="V4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17" spans="1:22" x14ac:dyDescent="0.35">
      <c r="A417" s="7" t="s">
        <v>1483</v>
      </c>
      <c r="B417" s="7" t="s">
        <v>899</v>
      </c>
      <c r="C417" s="5">
        <v>193.54</v>
      </c>
      <c r="D417" s="2">
        <v>0.69656250000116415</v>
      </c>
      <c r="E417" s="4">
        <v>45223</v>
      </c>
      <c r="F417" s="7" t="s">
        <v>17</v>
      </c>
      <c r="G417" s="7" t="s">
        <v>53</v>
      </c>
      <c r="H417" s="7" t="s">
        <v>798</v>
      </c>
      <c r="I417" s="7" t="s">
        <v>1484</v>
      </c>
      <c r="J417" s="7" t="s">
        <v>769</v>
      </c>
      <c r="K417" s="7" t="s">
        <v>69</v>
      </c>
      <c r="L417" s="8">
        <v>80</v>
      </c>
      <c r="M417" s="7" t="s">
        <v>70</v>
      </c>
      <c r="N417" s="8">
        <v>267</v>
      </c>
      <c r="O417" s="8">
        <v>1</v>
      </c>
      <c r="P417" s="5">
        <v>2929.51</v>
      </c>
      <c r="Q417" s="4">
        <v>45600</v>
      </c>
      <c r="R417" s="9">
        <v>0.33918981481481481</v>
      </c>
      <c r="S417" s="8">
        <v>16</v>
      </c>
      <c r="T417" s="7" t="s">
        <v>4454</v>
      </c>
      <c r="U417" s="7" t="s">
        <v>4455</v>
      </c>
      <c r="V4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18" spans="1:22" x14ac:dyDescent="0.35">
      <c r="A418" s="7" t="s">
        <v>1485</v>
      </c>
      <c r="B418" s="7" t="s">
        <v>355</v>
      </c>
      <c r="C418" s="5">
        <v>617.36</v>
      </c>
      <c r="D418" s="2">
        <v>0.71200231481634546</v>
      </c>
      <c r="E418" s="4">
        <v>45251</v>
      </c>
      <c r="F418" s="7" t="s">
        <v>17</v>
      </c>
      <c r="G418" s="7" t="s">
        <v>291</v>
      </c>
      <c r="H418" s="7" t="s">
        <v>1486</v>
      </c>
      <c r="I418" s="7" t="s">
        <v>307</v>
      </c>
      <c r="J418" s="7" t="s">
        <v>76</v>
      </c>
      <c r="K418" s="7" t="s">
        <v>69</v>
      </c>
      <c r="L418" s="8">
        <v>29</v>
      </c>
      <c r="M418" s="7" t="s">
        <v>77</v>
      </c>
      <c r="N418" s="8">
        <v>61</v>
      </c>
      <c r="O418" s="8">
        <v>1</v>
      </c>
      <c r="P418" s="5">
        <v>8926.3799999999992</v>
      </c>
      <c r="Q418" s="4">
        <v>45600</v>
      </c>
      <c r="R418" s="9">
        <v>0.33984953703703702</v>
      </c>
      <c r="S418" s="8">
        <v>17</v>
      </c>
      <c r="T418" s="7" t="s">
        <v>4456</v>
      </c>
      <c r="U418" s="7" t="s">
        <v>4455</v>
      </c>
      <c r="V4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19" spans="1:22" x14ac:dyDescent="0.35">
      <c r="A419" s="7" t="s">
        <v>1487</v>
      </c>
      <c r="B419" s="7" t="s">
        <v>1488</v>
      </c>
      <c r="C419" s="5">
        <v>775.23</v>
      </c>
      <c r="D419" s="2">
        <v>0.69446759259153623</v>
      </c>
      <c r="E419" s="4">
        <v>45145</v>
      </c>
      <c r="F419" s="7" t="s">
        <v>46</v>
      </c>
      <c r="G419" s="7" t="s">
        <v>86</v>
      </c>
      <c r="H419" s="7" t="s">
        <v>1489</v>
      </c>
      <c r="I419" s="7" t="s">
        <v>1490</v>
      </c>
      <c r="J419" s="7" t="s">
        <v>308</v>
      </c>
      <c r="K419" s="7" t="s">
        <v>36</v>
      </c>
      <c r="L419" s="8">
        <v>59</v>
      </c>
      <c r="M419" s="7" t="s">
        <v>23</v>
      </c>
      <c r="N419" s="8">
        <v>38</v>
      </c>
      <c r="O419" s="8">
        <v>1</v>
      </c>
      <c r="P419" s="5">
        <v>5977.59</v>
      </c>
      <c r="Q419" s="4">
        <v>45600</v>
      </c>
      <c r="R419" s="9">
        <v>0.3382060185185185</v>
      </c>
      <c r="S419" s="8">
        <v>16</v>
      </c>
      <c r="T419" s="7" t="s">
        <v>4454</v>
      </c>
      <c r="U419" s="7" t="s">
        <v>4455</v>
      </c>
      <c r="V4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20" spans="1:22" x14ac:dyDescent="0.35">
      <c r="A420" s="7" t="s">
        <v>1491</v>
      </c>
      <c r="B420" s="7" t="s">
        <v>211</v>
      </c>
      <c r="C420" s="5">
        <v>266.57</v>
      </c>
      <c r="D420" s="2">
        <v>0.71326388888701331</v>
      </c>
      <c r="E420" s="4">
        <v>45195</v>
      </c>
      <c r="F420" s="7" t="s">
        <v>17</v>
      </c>
      <c r="G420" s="7" t="s">
        <v>506</v>
      </c>
      <c r="H420" s="7" t="s">
        <v>920</v>
      </c>
      <c r="I420" s="7" t="s">
        <v>933</v>
      </c>
      <c r="J420" s="7" t="s">
        <v>1000</v>
      </c>
      <c r="K420" s="7" t="s">
        <v>22</v>
      </c>
      <c r="L420" s="8">
        <v>72</v>
      </c>
      <c r="M420" s="7" t="s">
        <v>70</v>
      </c>
      <c r="N420" s="8">
        <v>100</v>
      </c>
      <c r="O420" s="8">
        <v>1</v>
      </c>
      <c r="P420" s="5">
        <v>7676.92</v>
      </c>
      <c r="Q420" s="4">
        <v>45600</v>
      </c>
      <c r="R420" s="9">
        <v>0.33978009259259262</v>
      </c>
      <c r="S420" s="8">
        <v>17</v>
      </c>
      <c r="T420" s="7" t="s">
        <v>4454</v>
      </c>
      <c r="U420" s="7" t="s">
        <v>4455</v>
      </c>
      <c r="V4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21" spans="1:22" x14ac:dyDescent="0.35">
      <c r="A421" s="7" t="s">
        <v>1492</v>
      </c>
      <c r="B421" s="7" t="s">
        <v>242</v>
      </c>
      <c r="C421" s="5">
        <v>153.4</v>
      </c>
      <c r="D421" s="2">
        <v>0.73399305555358296</v>
      </c>
      <c r="E421" s="4">
        <v>45016</v>
      </c>
      <c r="F421" s="7" t="s">
        <v>17</v>
      </c>
      <c r="G421" s="7" t="s">
        <v>32</v>
      </c>
      <c r="H421" s="7" t="s">
        <v>1493</v>
      </c>
      <c r="I421" s="7" t="s">
        <v>1494</v>
      </c>
      <c r="J421" s="7" t="s">
        <v>100</v>
      </c>
      <c r="K421" s="7" t="s">
        <v>22</v>
      </c>
      <c r="L421" s="8">
        <v>45</v>
      </c>
      <c r="M421" s="7" t="s">
        <v>77</v>
      </c>
      <c r="N421" s="8">
        <v>144</v>
      </c>
      <c r="O421" s="8">
        <v>1</v>
      </c>
      <c r="P421" s="5">
        <v>4657.7</v>
      </c>
      <c r="Q421" s="4">
        <v>45600</v>
      </c>
      <c r="R421" s="9">
        <v>0.33898148148148149</v>
      </c>
      <c r="S421" s="8">
        <v>17</v>
      </c>
      <c r="T421" s="7" t="s">
        <v>4457</v>
      </c>
      <c r="U421" s="7" t="s">
        <v>4455</v>
      </c>
      <c r="V4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22" spans="1:22" x14ac:dyDescent="0.35">
      <c r="A422" s="7" t="s">
        <v>1495</v>
      </c>
      <c r="B422" s="7" t="s">
        <v>545</v>
      </c>
      <c r="C422" s="5">
        <v>946.94</v>
      </c>
      <c r="D422" s="2">
        <v>0.72160879629518604</v>
      </c>
      <c r="E422" s="4">
        <v>45271</v>
      </c>
      <c r="F422" s="7" t="s">
        <v>17</v>
      </c>
      <c r="G422" s="7" t="s">
        <v>249</v>
      </c>
      <c r="H422" s="7" t="s">
        <v>489</v>
      </c>
      <c r="I422" s="7" t="s">
        <v>1496</v>
      </c>
      <c r="J422" s="7" t="s">
        <v>762</v>
      </c>
      <c r="K422" s="7" t="s">
        <v>69</v>
      </c>
      <c r="L422" s="8">
        <v>53</v>
      </c>
      <c r="M422" s="7" t="s">
        <v>70</v>
      </c>
      <c r="N422" s="8">
        <v>251</v>
      </c>
      <c r="O422" s="8">
        <v>1</v>
      </c>
      <c r="P422" s="5">
        <v>5579.11</v>
      </c>
      <c r="Q422" s="4">
        <v>45600</v>
      </c>
      <c r="R422" s="9">
        <v>0.33832175925925928</v>
      </c>
      <c r="S422" s="8">
        <v>17</v>
      </c>
      <c r="T422" s="7" t="s">
        <v>4457</v>
      </c>
      <c r="U422" s="7" t="s">
        <v>4455</v>
      </c>
      <c r="V4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23" spans="1:22" x14ac:dyDescent="0.35">
      <c r="A423" s="7" t="s">
        <v>1497</v>
      </c>
      <c r="B423" s="7" t="s">
        <v>520</v>
      </c>
      <c r="C423" s="5">
        <v>5.12</v>
      </c>
      <c r="D423" s="2">
        <v>0.67252314814686542</v>
      </c>
      <c r="E423" s="4">
        <v>45212</v>
      </c>
      <c r="F423" s="7" t="s">
        <v>17</v>
      </c>
      <c r="G423" s="7" t="s">
        <v>203</v>
      </c>
      <c r="H423" s="7" t="s">
        <v>1498</v>
      </c>
      <c r="I423" s="7" t="s">
        <v>937</v>
      </c>
      <c r="J423" s="7" t="s">
        <v>43</v>
      </c>
      <c r="K423" s="7" t="s">
        <v>69</v>
      </c>
      <c r="L423" s="8">
        <v>34</v>
      </c>
      <c r="M423" s="7" t="s">
        <v>77</v>
      </c>
      <c r="N423" s="8">
        <v>90</v>
      </c>
      <c r="O423" s="8">
        <v>1</v>
      </c>
      <c r="P423" s="5">
        <v>3293.01</v>
      </c>
      <c r="Q423" s="4">
        <v>45600</v>
      </c>
      <c r="R423" s="9">
        <v>0.34063657407407405</v>
      </c>
      <c r="S423" s="8">
        <v>16</v>
      </c>
      <c r="T423" s="7" t="s">
        <v>4456</v>
      </c>
      <c r="U423" s="7" t="s">
        <v>4455</v>
      </c>
      <c r="V4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24" spans="1:22" x14ac:dyDescent="0.35">
      <c r="A424" s="7" t="s">
        <v>1499</v>
      </c>
      <c r="B424" s="7" t="s">
        <v>684</v>
      </c>
      <c r="C424" s="5">
        <v>119.11</v>
      </c>
      <c r="D424" s="2">
        <v>0.68872685185488081</v>
      </c>
      <c r="E424" s="4">
        <v>45107</v>
      </c>
      <c r="F424" s="7" t="s">
        <v>17</v>
      </c>
      <c r="G424" s="7" t="s">
        <v>73</v>
      </c>
      <c r="H424" s="7" t="s">
        <v>522</v>
      </c>
      <c r="I424" s="7" t="s">
        <v>42</v>
      </c>
      <c r="J424" s="7" t="s">
        <v>272</v>
      </c>
      <c r="K424" s="7" t="s">
        <v>22</v>
      </c>
      <c r="L424" s="8">
        <v>57</v>
      </c>
      <c r="M424" s="7" t="s">
        <v>77</v>
      </c>
      <c r="N424" s="8">
        <v>131</v>
      </c>
      <c r="O424" s="8">
        <v>1</v>
      </c>
      <c r="P424" s="5">
        <v>7998.25</v>
      </c>
      <c r="Q424" s="4">
        <v>45600</v>
      </c>
      <c r="R424" s="9">
        <v>0.34013888888888888</v>
      </c>
      <c r="S424" s="8">
        <v>16</v>
      </c>
      <c r="T424" s="7" t="s">
        <v>4454</v>
      </c>
      <c r="U424" s="7" t="s">
        <v>4455</v>
      </c>
      <c r="V4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25" spans="1:22" x14ac:dyDescent="0.35">
      <c r="A425" s="7" t="s">
        <v>1500</v>
      </c>
      <c r="B425" s="7" t="s">
        <v>1501</v>
      </c>
      <c r="C425" s="5">
        <v>1096.7</v>
      </c>
      <c r="D425" s="2">
        <v>0.70231481481459923</v>
      </c>
      <c r="E425" s="4">
        <v>45012</v>
      </c>
      <c r="F425" s="7" t="s">
        <v>17</v>
      </c>
      <c r="G425" s="7" t="s">
        <v>521</v>
      </c>
      <c r="H425" s="7" t="s">
        <v>1502</v>
      </c>
      <c r="I425" s="7" t="s">
        <v>1503</v>
      </c>
      <c r="J425" s="7" t="s">
        <v>262</v>
      </c>
      <c r="K425" s="7" t="s">
        <v>36</v>
      </c>
      <c r="L425" s="8">
        <v>24</v>
      </c>
      <c r="M425" s="7" t="s">
        <v>37</v>
      </c>
      <c r="N425" s="8">
        <v>147</v>
      </c>
      <c r="O425" s="8">
        <v>1</v>
      </c>
      <c r="P425" s="5">
        <v>1093.8900000000001</v>
      </c>
      <c r="Q425" s="4">
        <v>45600</v>
      </c>
      <c r="R425" s="9">
        <v>0.34129629629629632</v>
      </c>
      <c r="S425" s="8">
        <v>16</v>
      </c>
      <c r="T425" s="7" t="s">
        <v>4456</v>
      </c>
      <c r="U425" s="7" t="s">
        <v>4455</v>
      </c>
      <c r="V4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26" spans="1:22" x14ac:dyDescent="0.35">
      <c r="A426" s="7" t="s">
        <v>1504</v>
      </c>
      <c r="B426" s="7" t="s">
        <v>215</v>
      </c>
      <c r="C426" s="5">
        <v>119.72</v>
      </c>
      <c r="D426" s="2">
        <v>0.76059027777955635</v>
      </c>
      <c r="E426" s="4">
        <v>44960</v>
      </c>
      <c r="F426" s="7" t="s">
        <v>17</v>
      </c>
      <c r="G426" s="7" t="s">
        <v>255</v>
      </c>
      <c r="H426" s="7" t="s">
        <v>1386</v>
      </c>
      <c r="I426" s="7" t="s">
        <v>1505</v>
      </c>
      <c r="J426" s="7" t="s">
        <v>1349</v>
      </c>
      <c r="K426" s="7" t="s">
        <v>69</v>
      </c>
      <c r="L426" s="8">
        <v>30</v>
      </c>
      <c r="M426" s="7" t="s">
        <v>77</v>
      </c>
      <c r="N426" s="8">
        <v>123</v>
      </c>
      <c r="O426" s="8">
        <v>1</v>
      </c>
      <c r="P426" s="5">
        <v>3435.34</v>
      </c>
      <c r="Q426" s="4">
        <v>45600</v>
      </c>
      <c r="R426" s="9">
        <v>0.34050925925925923</v>
      </c>
      <c r="S426" s="8">
        <v>18</v>
      </c>
      <c r="T426" s="7" t="s">
        <v>4456</v>
      </c>
      <c r="U426" s="7" t="s">
        <v>4455</v>
      </c>
      <c r="V4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27" spans="1:22" x14ac:dyDescent="0.35">
      <c r="A427" s="7" t="s">
        <v>1506</v>
      </c>
      <c r="B427" s="7" t="s">
        <v>1507</v>
      </c>
      <c r="C427" s="5">
        <v>107.4</v>
      </c>
      <c r="D427" s="2">
        <v>0.69984953703533392</v>
      </c>
      <c r="E427" s="4">
        <v>45099</v>
      </c>
      <c r="F427" s="7" t="s">
        <v>17</v>
      </c>
      <c r="G427" s="7" t="s">
        <v>301</v>
      </c>
      <c r="H427" s="7" t="s">
        <v>1508</v>
      </c>
      <c r="I427" s="7" t="s">
        <v>1119</v>
      </c>
      <c r="J427" s="7" t="s">
        <v>1281</v>
      </c>
      <c r="K427" s="7" t="s">
        <v>36</v>
      </c>
      <c r="L427" s="8">
        <v>58</v>
      </c>
      <c r="M427" s="7" t="s">
        <v>23</v>
      </c>
      <c r="N427" s="8">
        <v>32</v>
      </c>
      <c r="O427" s="8">
        <v>1</v>
      </c>
      <c r="P427" s="5">
        <v>344.07</v>
      </c>
      <c r="Q427" s="4">
        <v>45600</v>
      </c>
      <c r="R427" s="9">
        <v>0.33892361111111113</v>
      </c>
      <c r="S427" s="8">
        <v>16</v>
      </c>
      <c r="T427" s="7" t="s">
        <v>4454</v>
      </c>
      <c r="U427" s="7" t="s">
        <v>4455</v>
      </c>
      <c r="V4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28" spans="1:22" x14ac:dyDescent="0.35">
      <c r="A428" s="7" t="s">
        <v>1509</v>
      </c>
      <c r="B428" s="7" t="s">
        <v>1457</v>
      </c>
      <c r="C428" s="5">
        <v>115.92</v>
      </c>
      <c r="D428" s="2">
        <v>0.77949074074422242</v>
      </c>
      <c r="E428" s="4">
        <v>44943</v>
      </c>
      <c r="F428" s="7" t="s">
        <v>17</v>
      </c>
      <c r="G428" s="7" t="s">
        <v>40</v>
      </c>
      <c r="H428" s="7" t="s">
        <v>1510</v>
      </c>
      <c r="I428" s="7" t="s">
        <v>513</v>
      </c>
      <c r="J428" s="7" t="s">
        <v>450</v>
      </c>
      <c r="K428" s="7" t="s">
        <v>22</v>
      </c>
      <c r="L428" s="8">
        <v>53</v>
      </c>
      <c r="M428" s="7" t="s">
        <v>70</v>
      </c>
      <c r="N428" s="8">
        <v>57</v>
      </c>
      <c r="O428" s="8">
        <v>1</v>
      </c>
      <c r="P428" s="5">
        <v>3897.17</v>
      </c>
      <c r="Q428" s="4">
        <v>45600</v>
      </c>
      <c r="R428" s="9">
        <v>0.33960648148148148</v>
      </c>
      <c r="S428" s="8">
        <v>18</v>
      </c>
      <c r="T428" s="7" t="s">
        <v>4457</v>
      </c>
      <c r="U428" s="7" t="s">
        <v>4455</v>
      </c>
      <c r="V4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29" spans="1:22" x14ac:dyDescent="0.35">
      <c r="A429" s="7" t="s">
        <v>1511</v>
      </c>
      <c r="B429" s="7" t="s">
        <v>1512</v>
      </c>
      <c r="C429" s="5">
        <v>438.04</v>
      </c>
      <c r="D429" s="2">
        <v>0.78756944444467081</v>
      </c>
      <c r="E429" s="4">
        <v>45162</v>
      </c>
      <c r="F429" s="7" t="s">
        <v>17</v>
      </c>
      <c r="G429" s="7" t="s">
        <v>243</v>
      </c>
      <c r="H429" s="7" t="s">
        <v>1513</v>
      </c>
      <c r="I429" s="7" t="s">
        <v>953</v>
      </c>
      <c r="J429" s="7" t="s">
        <v>105</v>
      </c>
      <c r="K429" s="7" t="s">
        <v>22</v>
      </c>
      <c r="L429" s="8">
        <v>67</v>
      </c>
      <c r="M429" s="7" t="s">
        <v>70</v>
      </c>
      <c r="N429" s="8">
        <v>247</v>
      </c>
      <c r="O429" s="8">
        <v>1</v>
      </c>
      <c r="P429" s="5">
        <v>5358.95</v>
      </c>
      <c r="Q429" s="4">
        <v>45600</v>
      </c>
      <c r="R429" s="9">
        <v>0.33788194444444447</v>
      </c>
      <c r="S429" s="8">
        <v>18</v>
      </c>
      <c r="T429" s="7" t="s">
        <v>4454</v>
      </c>
      <c r="U429" s="7" t="s">
        <v>4455</v>
      </c>
      <c r="V4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30" spans="1:22" x14ac:dyDescent="0.35">
      <c r="A430" s="7" t="s">
        <v>1514</v>
      </c>
      <c r="B430" s="7" t="s">
        <v>742</v>
      </c>
      <c r="C430" s="5">
        <v>677.29</v>
      </c>
      <c r="D430" s="2">
        <v>0.7694444444423425</v>
      </c>
      <c r="E430" s="4">
        <v>45047</v>
      </c>
      <c r="F430" s="7" t="s">
        <v>17</v>
      </c>
      <c r="G430" s="7" t="s">
        <v>26</v>
      </c>
      <c r="H430" s="7" t="s">
        <v>1337</v>
      </c>
      <c r="I430" s="7" t="s">
        <v>1515</v>
      </c>
      <c r="J430" s="7" t="s">
        <v>21</v>
      </c>
      <c r="K430" s="7" t="s">
        <v>36</v>
      </c>
      <c r="L430" s="8">
        <v>27</v>
      </c>
      <c r="M430" s="7" t="s">
        <v>77</v>
      </c>
      <c r="N430" s="8">
        <v>287</v>
      </c>
      <c r="O430" s="8">
        <v>1</v>
      </c>
      <c r="P430" s="5">
        <v>627.79</v>
      </c>
      <c r="Q430" s="4">
        <v>45600</v>
      </c>
      <c r="R430" s="9">
        <v>0.33837962962962964</v>
      </c>
      <c r="S430" s="8">
        <v>18</v>
      </c>
      <c r="T430" s="7" t="s">
        <v>4456</v>
      </c>
      <c r="U430" s="7" t="s">
        <v>4455</v>
      </c>
      <c r="V4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31" spans="1:22" x14ac:dyDescent="0.35">
      <c r="A431" s="7" t="s">
        <v>1516</v>
      </c>
      <c r="B431" s="7" t="s">
        <v>1517</v>
      </c>
      <c r="C431" s="5">
        <v>296</v>
      </c>
      <c r="D431" s="2">
        <v>0.68436342592758592</v>
      </c>
      <c r="E431" s="4">
        <v>45061</v>
      </c>
      <c r="F431" s="7" t="s">
        <v>17</v>
      </c>
      <c r="G431" s="7" t="s">
        <v>146</v>
      </c>
      <c r="H431" s="7" t="s">
        <v>1086</v>
      </c>
      <c r="I431" s="7" t="s">
        <v>1518</v>
      </c>
      <c r="J431" s="7" t="s">
        <v>674</v>
      </c>
      <c r="K431" s="7" t="s">
        <v>69</v>
      </c>
      <c r="L431" s="8">
        <v>35</v>
      </c>
      <c r="M431" s="7" t="s">
        <v>23</v>
      </c>
      <c r="N431" s="8">
        <v>248</v>
      </c>
      <c r="O431" s="8">
        <v>1</v>
      </c>
      <c r="P431" s="5">
        <v>7418.82</v>
      </c>
      <c r="Q431" s="4">
        <v>45600</v>
      </c>
      <c r="R431" s="9">
        <v>0.33812500000000001</v>
      </c>
      <c r="S431" s="8">
        <v>16</v>
      </c>
      <c r="T431" s="7" t="s">
        <v>4457</v>
      </c>
      <c r="U431" s="7" t="s">
        <v>4455</v>
      </c>
      <c r="V4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32" spans="1:22" x14ac:dyDescent="0.35">
      <c r="A432" s="7" t="s">
        <v>1519</v>
      </c>
      <c r="B432" s="7" t="s">
        <v>1520</v>
      </c>
      <c r="C432" s="5">
        <v>299.08999999999997</v>
      </c>
      <c r="D432" s="2">
        <v>0.67690972222044365</v>
      </c>
      <c r="E432" s="4">
        <v>44942</v>
      </c>
      <c r="F432" s="7" t="s">
        <v>46</v>
      </c>
      <c r="G432" s="7" t="s">
        <v>388</v>
      </c>
      <c r="H432" s="7" t="s">
        <v>1158</v>
      </c>
      <c r="I432" s="7" t="s">
        <v>271</v>
      </c>
      <c r="J432" s="7" t="s">
        <v>639</v>
      </c>
      <c r="K432" s="7" t="s">
        <v>69</v>
      </c>
      <c r="L432" s="8">
        <v>36</v>
      </c>
      <c r="M432" s="7" t="s">
        <v>77</v>
      </c>
      <c r="N432" s="8">
        <v>84</v>
      </c>
      <c r="O432" s="8">
        <v>1</v>
      </c>
      <c r="P432" s="5">
        <v>5615.26</v>
      </c>
      <c r="Q432" s="4">
        <v>45600</v>
      </c>
      <c r="R432" s="9">
        <v>0.33890046296296295</v>
      </c>
      <c r="S432" s="8">
        <v>16</v>
      </c>
      <c r="T432" s="7" t="s">
        <v>4457</v>
      </c>
      <c r="U432" s="7" t="s">
        <v>4455</v>
      </c>
      <c r="V4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33" spans="1:22" x14ac:dyDescent="0.35">
      <c r="A433" s="7" t="s">
        <v>1521</v>
      </c>
      <c r="B433" s="7" t="s">
        <v>868</v>
      </c>
      <c r="C433" s="5">
        <v>461.52</v>
      </c>
      <c r="D433" s="2">
        <v>0.69472222222248092</v>
      </c>
      <c r="E433" s="4">
        <v>45061</v>
      </c>
      <c r="F433" s="7" t="s">
        <v>46</v>
      </c>
      <c r="G433" s="7" t="s">
        <v>114</v>
      </c>
      <c r="H433" s="7" t="s">
        <v>1522</v>
      </c>
      <c r="I433" s="7" t="s">
        <v>1523</v>
      </c>
      <c r="J433" s="7" t="s">
        <v>1524</v>
      </c>
      <c r="K433" s="7" t="s">
        <v>69</v>
      </c>
      <c r="L433" s="8">
        <v>24</v>
      </c>
      <c r="M433" s="7" t="s">
        <v>37</v>
      </c>
      <c r="N433" s="8">
        <v>44</v>
      </c>
      <c r="O433" s="8">
        <v>1</v>
      </c>
      <c r="P433" s="5">
        <v>1995.18</v>
      </c>
      <c r="Q433" s="4">
        <v>45600</v>
      </c>
      <c r="R433" s="9">
        <v>0.3395023148148148</v>
      </c>
      <c r="S433" s="8">
        <v>16</v>
      </c>
      <c r="T433" s="7" t="s">
        <v>4456</v>
      </c>
      <c r="U433" s="7" t="s">
        <v>4455</v>
      </c>
      <c r="V4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34" spans="1:22" x14ac:dyDescent="0.35">
      <c r="A434" s="7" t="s">
        <v>1525</v>
      </c>
      <c r="B434" s="7" t="s">
        <v>134</v>
      </c>
      <c r="C434" s="5">
        <v>100.52</v>
      </c>
      <c r="D434" s="2">
        <v>0.72777777777810115</v>
      </c>
      <c r="E434" s="4">
        <v>44956</v>
      </c>
      <c r="F434" s="7" t="s">
        <v>17</v>
      </c>
      <c r="G434" s="7" t="s">
        <v>146</v>
      </c>
      <c r="H434" s="7" t="s">
        <v>1526</v>
      </c>
      <c r="I434" s="7" t="s">
        <v>271</v>
      </c>
      <c r="J434" s="7" t="s">
        <v>858</v>
      </c>
      <c r="K434" s="7" t="s">
        <v>22</v>
      </c>
      <c r="L434" s="8">
        <v>50</v>
      </c>
      <c r="M434" s="7" t="s">
        <v>77</v>
      </c>
      <c r="N434" s="8">
        <v>110</v>
      </c>
      <c r="O434" s="8">
        <v>1</v>
      </c>
      <c r="P434" s="5">
        <v>453.39</v>
      </c>
      <c r="Q434" s="4">
        <v>45600</v>
      </c>
      <c r="R434" s="9">
        <v>0.34129629629629632</v>
      </c>
      <c r="S434" s="8">
        <v>17</v>
      </c>
      <c r="T434" s="7" t="s">
        <v>4457</v>
      </c>
      <c r="U434" s="7" t="s">
        <v>4455</v>
      </c>
      <c r="V4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35" spans="1:22" x14ac:dyDescent="0.35">
      <c r="A435" s="7" t="s">
        <v>1527</v>
      </c>
      <c r="B435" s="7" t="s">
        <v>1528</v>
      </c>
      <c r="C435" s="5">
        <v>85.35</v>
      </c>
      <c r="D435" s="2">
        <v>0.67251157407736173</v>
      </c>
      <c r="E435" s="4">
        <v>45112</v>
      </c>
      <c r="F435" s="7" t="s">
        <v>17</v>
      </c>
      <c r="G435" s="7" t="s">
        <v>453</v>
      </c>
      <c r="H435" s="7" t="s">
        <v>1529</v>
      </c>
      <c r="I435" s="7" t="s">
        <v>651</v>
      </c>
      <c r="J435" s="7" t="s">
        <v>226</v>
      </c>
      <c r="K435" s="7" t="s">
        <v>22</v>
      </c>
      <c r="L435" s="8">
        <v>66</v>
      </c>
      <c r="M435" s="7" t="s">
        <v>70</v>
      </c>
      <c r="N435" s="8">
        <v>166</v>
      </c>
      <c r="O435" s="8">
        <v>1</v>
      </c>
      <c r="P435" s="5">
        <v>2173.7600000000002</v>
      </c>
      <c r="Q435" s="4">
        <v>45600</v>
      </c>
      <c r="R435" s="9">
        <v>0.33778935185185183</v>
      </c>
      <c r="S435" s="8">
        <v>16</v>
      </c>
      <c r="T435" s="7" t="s">
        <v>4454</v>
      </c>
      <c r="U435" s="7" t="s">
        <v>4455</v>
      </c>
      <c r="V4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36" spans="1:22" x14ac:dyDescent="0.35">
      <c r="A436" s="7" t="s">
        <v>1530</v>
      </c>
      <c r="B436" s="7" t="s">
        <v>380</v>
      </c>
      <c r="C436" s="5">
        <v>79.760000000000005</v>
      </c>
      <c r="D436" s="2">
        <v>0.68505787036701804</v>
      </c>
      <c r="E436" s="4">
        <v>44963</v>
      </c>
      <c r="F436" s="7" t="s">
        <v>17</v>
      </c>
      <c r="G436" s="7" t="s">
        <v>40</v>
      </c>
      <c r="H436" s="7" t="s">
        <v>147</v>
      </c>
      <c r="I436" s="7" t="s">
        <v>1259</v>
      </c>
      <c r="J436" s="7" t="s">
        <v>288</v>
      </c>
      <c r="K436" s="7" t="s">
        <v>69</v>
      </c>
      <c r="L436" s="8">
        <v>39</v>
      </c>
      <c r="M436" s="7" t="s">
        <v>77</v>
      </c>
      <c r="N436" s="8">
        <v>170</v>
      </c>
      <c r="O436" s="8">
        <v>1</v>
      </c>
      <c r="P436" s="5">
        <v>6452.14</v>
      </c>
      <c r="Q436" s="4">
        <v>45600</v>
      </c>
      <c r="R436" s="9">
        <v>0.33997685185185184</v>
      </c>
      <c r="S436" s="8">
        <v>16</v>
      </c>
      <c r="T436" s="7" t="s">
        <v>4457</v>
      </c>
      <c r="U436" s="7" t="s">
        <v>4455</v>
      </c>
      <c r="V4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37" spans="1:22" x14ac:dyDescent="0.35">
      <c r="A437" s="7" t="s">
        <v>1531</v>
      </c>
      <c r="B437" s="7" t="s">
        <v>872</v>
      </c>
      <c r="C437" s="5">
        <v>778.49</v>
      </c>
      <c r="D437" s="2">
        <v>0.70024305555853061</v>
      </c>
      <c r="E437" s="4">
        <v>45110</v>
      </c>
      <c r="F437" s="7" t="s">
        <v>46</v>
      </c>
      <c r="G437" s="7" t="s">
        <v>296</v>
      </c>
      <c r="H437" s="7" t="s">
        <v>1532</v>
      </c>
      <c r="I437" s="7" t="s">
        <v>744</v>
      </c>
      <c r="J437" s="7" t="s">
        <v>56</v>
      </c>
      <c r="K437" s="7" t="s">
        <v>36</v>
      </c>
      <c r="L437" s="8">
        <v>75</v>
      </c>
      <c r="M437" s="7" t="s">
        <v>70</v>
      </c>
      <c r="N437" s="8">
        <v>107</v>
      </c>
      <c r="O437" s="8">
        <v>1</v>
      </c>
      <c r="P437" s="5">
        <v>7713.67</v>
      </c>
      <c r="Q437" s="4">
        <v>45600</v>
      </c>
      <c r="R437" s="9">
        <v>0.33982638888888889</v>
      </c>
      <c r="S437" s="8">
        <v>16</v>
      </c>
      <c r="T437" s="7" t="s">
        <v>4454</v>
      </c>
      <c r="U437" s="7" t="s">
        <v>4455</v>
      </c>
      <c r="V4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38" spans="1:22" x14ac:dyDescent="0.35">
      <c r="A438" s="7" t="s">
        <v>1533</v>
      </c>
      <c r="B438" s="7" t="s">
        <v>1517</v>
      </c>
      <c r="C438" s="5">
        <v>386.38</v>
      </c>
      <c r="D438" s="2">
        <v>0.66682870370277669</v>
      </c>
      <c r="E438" s="4">
        <v>44950</v>
      </c>
      <c r="F438" s="7" t="s">
        <v>17</v>
      </c>
      <c r="G438" s="7" t="s">
        <v>425</v>
      </c>
      <c r="H438" s="7" t="s">
        <v>356</v>
      </c>
      <c r="I438" s="7" t="s">
        <v>1534</v>
      </c>
      <c r="J438" s="7" t="s">
        <v>707</v>
      </c>
      <c r="K438" s="7" t="s">
        <v>36</v>
      </c>
      <c r="L438" s="8">
        <v>42</v>
      </c>
      <c r="M438" s="7" t="s">
        <v>77</v>
      </c>
      <c r="N438" s="8">
        <v>135</v>
      </c>
      <c r="O438" s="8">
        <v>1</v>
      </c>
      <c r="P438" s="5">
        <v>5528.36</v>
      </c>
      <c r="Q438" s="4">
        <v>45600</v>
      </c>
      <c r="R438" s="9">
        <v>0.34034722222222225</v>
      </c>
      <c r="S438" s="8">
        <v>16</v>
      </c>
      <c r="T438" s="7" t="s">
        <v>4457</v>
      </c>
      <c r="U438" s="7" t="s">
        <v>4455</v>
      </c>
      <c r="V4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39" spans="1:22" x14ac:dyDescent="0.35">
      <c r="A439" s="7" t="s">
        <v>1535</v>
      </c>
      <c r="B439" s="7" t="s">
        <v>1536</v>
      </c>
      <c r="C439" s="5">
        <v>165.25</v>
      </c>
      <c r="D439" s="2">
        <v>0.71628472222073469</v>
      </c>
      <c r="E439" s="4">
        <v>45254</v>
      </c>
      <c r="F439" s="7" t="s">
        <v>17</v>
      </c>
      <c r="G439" s="7" t="s">
        <v>285</v>
      </c>
      <c r="H439" s="7" t="s">
        <v>1537</v>
      </c>
      <c r="I439" s="7" t="s">
        <v>1348</v>
      </c>
      <c r="J439" s="7" t="s">
        <v>105</v>
      </c>
      <c r="K439" s="7" t="s">
        <v>36</v>
      </c>
      <c r="L439" s="8">
        <v>35</v>
      </c>
      <c r="M439" s="7" t="s">
        <v>23</v>
      </c>
      <c r="N439" s="8">
        <v>106</v>
      </c>
      <c r="O439" s="8">
        <v>1</v>
      </c>
      <c r="P439" s="5">
        <v>9939.94</v>
      </c>
      <c r="Q439" s="4">
        <v>45600</v>
      </c>
      <c r="R439" s="9">
        <v>0.34137731481481481</v>
      </c>
      <c r="S439" s="8">
        <v>17</v>
      </c>
      <c r="T439" s="7" t="s">
        <v>4457</v>
      </c>
      <c r="U439" s="7" t="s">
        <v>4455</v>
      </c>
      <c r="V4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40" spans="1:22" x14ac:dyDescent="0.35">
      <c r="A440" s="7" t="s">
        <v>1538</v>
      </c>
      <c r="B440" s="7" t="s">
        <v>1289</v>
      </c>
      <c r="C440" s="5">
        <v>14.29</v>
      </c>
      <c r="D440" s="2">
        <v>0.68640046296059154</v>
      </c>
      <c r="E440" s="4">
        <v>44985</v>
      </c>
      <c r="F440" s="7" t="s">
        <v>17</v>
      </c>
      <c r="G440" s="7" t="s">
        <v>140</v>
      </c>
      <c r="H440" s="7" t="s">
        <v>1539</v>
      </c>
      <c r="I440" s="7" t="s">
        <v>1540</v>
      </c>
      <c r="J440" s="7" t="s">
        <v>272</v>
      </c>
      <c r="K440" s="7" t="s">
        <v>22</v>
      </c>
      <c r="L440" s="8">
        <v>34</v>
      </c>
      <c r="M440" s="7" t="s">
        <v>77</v>
      </c>
      <c r="N440" s="8">
        <v>150</v>
      </c>
      <c r="O440" s="8">
        <v>1</v>
      </c>
      <c r="P440" s="5">
        <v>7016.99</v>
      </c>
      <c r="Q440" s="4">
        <v>45600</v>
      </c>
      <c r="R440" s="9">
        <v>0.33949074074074076</v>
      </c>
      <c r="S440" s="8">
        <v>16</v>
      </c>
      <c r="T440" s="7" t="s">
        <v>4456</v>
      </c>
      <c r="U440" s="7" t="s">
        <v>4455</v>
      </c>
      <c r="V4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41" spans="1:22" x14ac:dyDescent="0.35">
      <c r="A441" s="7" t="s">
        <v>1541</v>
      </c>
      <c r="B441" s="7" t="s">
        <v>1542</v>
      </c>
      <c r="C441" s="5">
        <v>232.79</v>
      </c>
      <c r="D441" s="2">
        <v>0.73340277777606389</v>
      </c>
      <c r="E441" s="4">
        <v>45189</v>
      </c>
      <c r="F441" s="7" t="s">
        <v>46</v>
      </c>
      <c r="G441" s="7" t="s">
        <v>65</v>
      </c>
      <c r="H441" s="7" t="s">
        <v>1543</v>
      </c>
      <c r="I441" s="7" t="s">
        <v>239</v>
      </c>
      <c r="J441" s="7" t="s">
        <v>62</v>
      </c>
      <c r="K441" s="7" t="s">
        <v>69</v>
      </c>
      <c r="L441" s="8">
        <v>55</v>
      </c>
      <c r="M441" s="7" t="s">
        <v>70</v>
      </c>
      <c r="N441" s="8">
        <v>145</v>
      </c>
      <c r="O441" s="8">
        <v>1</v>
      </c>
      <c r="P441" s="5">
        <v>2661.3</v>
      </c>
      <c r="Q441" s="4">
        <v>45600</v>
      </c>
      <c r="R441" s="9">
        <v>0.34143518518518517</v>
      </c>
      <c r="S441" s="8">
        <v>17</v>
      </c>
      <c r="T441" s="7" t="s">
        <v>4454</v>
      </c>
      <c r="U441" s="7" t="s">
        <v>4455</v>
      </c>
      <c r="V4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42" spans="1:22" x14ac:dyDescent="0.35">
      <c r="A442" s="7" t="s">
        <v>1544</v>
      </c>
      <c r="B442" s="7" t="s">
        <v>1313</v>
      </c>
      <c r="C442" s="5">
        <v>1237.56</v>
      </c>
      <c r="D442" s="2">
        <v>0.74240740740788169</v>
      </c>
      <c r="E442" s="4">
        <v>45243</v>
      </c>
      <c r="F442" s="7" t="s">
        <v>46</v>
      </c>
      <c r="G442" s="7" t="s">
        <v>119</v>
      </c>
      <c r="H442" s="7" t="s">
        <v>229</v>
      </c>
      <c r="I442" s="7" t="s">
        <v>1545</v>
      </c>
      <c r="J442" s="7" t="s">
        <v>406</v>
      </c>
      <c r="K442" s="7" t="s">
        <v>69</v>
      </c>
      <c r="L442" s="8">
        <v>60</v>
      </c>
      <c r="M442" s="7" t="s">
        <v>77</v>
      </c>
      <c r="N442" s="8">
        <v>159</v>
      </c>
      <c r="O442" s="8">
        <v>1</v>
      </c>
      <c r="P442" s="5">
        <v>9410.17</v>
      </c>
      <c r="Q442" s="4">
        <v>45600</v>
      </c>
      <c r="R442" s="9">
        <v>0.34149305555555554</v>
      </c>
      <c r="S442" s="8">
        <v>17</v>
      </c>
      <c r="T442" s="7" t="s">
        <v>4454</v>
      </c>
      <c r="U442" s="7" t="s">
        <v>4455</v>
      </c>
      <c r="V4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43" spans="1:22" x14ac:dyDescent="0.35">
      <c r="A443" s="7" t="s">
        <v>1546</v>
      </c>
      <c r="B443" s="7" t="s">
        <v>1547</v>
      </c>
      <c r="C443" s="5">
        <v>92.29</v>
      </c>
      <c r="D443" s="2">
        <v>0.67915509259182727</v>
      </c>
      <c r="E443" s="4">
        <v>44972</v>
      </c>
      <c r="F443" s="7" t="s">
        <v>17</v>
      </c>
      <c r="G443" s="7" t="s">
        <v>86</v>
      </c>
      <c r="H443" s="7" t="s">
        <v>1548</v>
      </c>
      <c r="I443" s="7" t="s">
        <v>1298</v>
      </c>
      <c r="J443" s="7" t="s">
        <v>21</v>
      </c>
      <c r="K443" s="7" t="s">
        <v>69</v>
      </c>
      <c r="L443" s="8">
        <v>54</v>
      </c>
      <c r="M443" s="7" t="s">
        <v>77</v>
      </c>
      <c r="N443" s="8">
        <v>115</v>
      </c>
      <c r="O443" s="8">
        <v>1</v>
      </c>
      <c r="P443" s="5">
        <v>2026.32</v>
      </c>
      <c r="Q443" s="4">
        <v>45600</v>
      </c>
      <c r="R443" s="9">
        <v>0.34126157407407409</v>
      </c>
      <c r="S443" s="8">
        <v>16</v>
      </c>
      <c r="T443" s="7" t="s">
        <v>4457</v>
      </c>
      <c r="U443" s="7" t="s">
        <v>4455</v>
      </c>
      <c r="V4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44" spans="1:22" x14ac:dyDescent="0.35">
      <c r="A444" s="7" t="s">
        <v>1549</v>
      </c>
      <c r="B444" s="7" t="s">
        <v>39</v>
      </c>
      <c r="C444" s="5">
        <v>293.97000000000003</v>
      </c>
      <c r="D444" s="2">
        <v>0.73211805555911269</v>
      </c>
      <c r="E444" s="4">
        <v>45243</v>
      </c>
      <c r="F444" s="7" t="s">
        <v>17</v>
      </c>
      <c r="G444" s="7" t="s">
        <v>425</v>
      </c>
      <c r="H444" s="7" t="s">
        <v>1550</v>
      </c>
      <c r="I444" s="7" t="s">
        <v>1551</v>
      </c>
      <c r="J444" s="7" t="s">
        <v>478</v>
      </c>
      <c r="K444" s="7" t="s">
        <v>69</v>
      </c>
      <c r="L444" s="8">
        <v>68</v>
      </c>
      <c r="M444" s="7" t="s">
        <v>70</v>
      </c>
      <c r="N444" s="8">
        <v>153</v>
      </c>
      <c r="O444" s="8">
        <v>1</v>
      </c>
      <c r="P444" s="5">
        <v>7371.85</v>
      </c>
      <c r="Q444" s="4">
        <v>45600</v>
      </c>
      <c r="R444" s="9">
        <v>0.33954861111111112</v>
      </c>
      <c r="S444" s="8">
        <v>17</v>
      </c>
      <c r="T444" s="7" t="s">
        <v>4454</v>
      </c>
      <c r="U444" s="7" t="s">
        <v>4455</v>
      </c>
      <c r="V4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45" spans="1:22" x14ac:dyDescent="0.35">
      <c r="A445" s="7" t="s">
        <v>1552</v>
      </c>
      <c r="B445" s="7" t="s">
        <v>785</v>
      </c>
      <c r="C445" s="5">
        <v>136.32</v>
      </c>
      <c r="D445" s="2">
        <v>0.78500000000349246</v>
      </c>
      <c r="E445" s="4">
        <v>45210</v>
      </c>
      <c r="F445" s="7" t="s">
        <v>17</v>
      </c>
      <c r="G445" s="7" t="s">
        <v>172</v>
      </c>
      <c r="H445" s="7" t="s">
        <v>351</v>
      </c>
      <c r="I445" s="7" t="s">
        <v>1133</v>
      </c>
      <c r="J445" s="7" t="s">
        <v>406</v>
      </c>
      <c r="K445" s="7" t="s">
        <v>36</v>
      </c>
      <c r="L445" s="8">
        <v>19</v>
      </c>
      <c r="M445" s="7" t="s">
        <v>37</v>
      </c>
      <c r="N445" s="8">
        <v>113</v>
      </c>
      <c r="O445" s="8">
        <v>1</v>
      </c>
      <c r="P445" s="5">
        <v>264.83</v>
      </c>
      <c r="Q445" s="4">
        <v>45600</v>
      </c>
      <c r="R445" s="9">
        <v>0.33986111111111111</v>
      </c>
      <c r="S445" s="8">
        <v>18</v>
      </c>
      <c r="T445" s="7" t="s">
        <v>4456</v>
      </c>
      <c r="U445" s="7" t="s">
        <v>4455</v>
      </c>
      <c r="V4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46" spans="1:22" x14ac:dyDescent="0.35">
      <c r="A446" s="7" t="s">
        <v>1553</v>
      </c>
      <c r="B446" s="7" t="s">
        <v>1554</v>
      </c>
      <c r="C446" s="5">
        <v>251.06</v>
      </c>
      <c r="D446" s="2">
        <v>0.72724537036992842</v>
      </c>
      <c r="E446" s="4">
        <v>45266</v>
      </c>
      <c r="F446" s="7" t="s">
        <v>17</v>
      </c>
      <c r="G446" s="7" t="s">
        <v>521</v>
      </c>
      <c r="H446" s="7" t="s">
        <v>1555</v>
      </c>
      <c r="I446" s="7" t="s">
        <v>1556</v>
      </c>
      <c r="J446" s="7" t="s">
        <v>362</v>
      </c>
      <c r="K446" s="7" t="s">
        <v>36</v>
      </c>
      <c r="L446" s="8">
        <v>36</v>
      </c>
      <c r="M446" s="7" t="s">
        <v>23</v>
      </c>
      <c r="N446" s="8">
        <v>34</v>
      </c>
      <c r="O446" s="8">
        <v>1</v>
      </c>
      <c r="P446" s="5">
        <v>10001.66</v>
      </c>
      <c r="Q446" s="4">
        <v>45600</v>
      </c>
      <c r="R446" s="9">
        <v>0.34042824074074074</v>
      </c>
      <c r="S446" s="8">
        <v>17</v>
      </c>
      <c r="T446" s="7" t="s">
        <v>4457</v>
      </c>
      <c r="U446" s="7" t="s">
        <v>4455</v>
      </c>
      <c r="V4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47" spans="1:22" x14ac:dyDescent="0.35">
      <c r="A447" s="7" t="s">
        <v>1557</v>
      </c>
      <c r="B447" s="7" t="s">
        <v>242</v>
      </c>
      <c r="C447" s="5">
        <v>50.17</v>
      </c>
      <c r="D447" s="2">
        <v>0.70675925925752381</v>
      </c>
      <c r="E447" s="4">
        <v>45187</v>
      </c>
      <c r="F447" s="7" t="s">
        <v>46</v>
      </c>
      <c r="G447" s="7" t="s">
        <v>285</v>
      </c>
      <c r="H447" s="7" t="s">
        <v>1558</v>
      </c>
      <c r="I447" s="7" t="s">
        <v>1559</v>
      </c>
      <c r="J447" s="7" t="s">
        <v>137</v>
      </c>
      <c r="K447" s="7" t="s">
        <v>22</v>
      </c>
      <c r="L447" s="8">
        <v>77</v>
      </c>
      <c r="M447" s="7" t="s">
        <v>70</v>
      </c>
      <c r="N447" s="8">
        <v>35</v>
      </c>
      <c r="O447" s="8">
        <v>1</v>
      </c>
      <c r="P447" s="5">
        <v>7752.14</v>
      </c>
      <c r="Q447" s="4">
        <v>45600</v>
      </c>
      <c r="R447" s="9">
        <v>0.34096064814814814</v>
      </c>
      <c r="S447" s="8">
        <v>16</v>
      </c>
      <c r="T447" s="7" t="s">
        <v>4454</v>
      </c>
      <c r="U447" s="7" t="s">
        <v>4455</v>
      </c>
      <c r="V4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48" spans="1:22" x14ac:dyDescent="0.35">
      <c r="A448" s="7" t="s">
        <v>1560</v>
      </c>
      <c r="B448" s="7" t="s">
        <v>1561</v>
      </c>
      <c r="C448" s="5">
        <v>21.4</v>
      </c>
      <c r="D448" s="2">
        <v>0.67185185185371665</v>
      </c>
      <c r="E448" s="4">
        <v>45286</v>
      </c>
      <c r="F448" s="7" t="s">
        <v>17</v>
      </c>
      <c r="G448" s="7" t="s">
        <v>558</v>
      </c>
      <c r="H448" s="7" t="s">
        <v>890</v>
      </c>
      <c r="I448" s="7" t="s">
        <v>335</v>
      </c>
      <c r="J448" s="7" t="s">
        <v>1562</v>
      </c>
      <c r="K448" s="7" t="s">
        <v>69</v>
      </c>
      <c r="L448" s="8">
        <v>34</v>
      </c>
      <c r="M448" s="7" t="s">
        <v>77</v>
      </c>
      <c r="N448" s="8">
        <v>258</v>
      </c>
      <c r="O448" s="8">
        <v>1</v>
      </c>
      <c r="P448" s="5">
        <v>9594.11</v>
      </c>
      <c r="Q448" s="4">
        <v>45600</v>
      </c>
      <c r="R448" s="9">
        <v>0.34143518518518517</v>
      </c>
      <c r="S448" s="8">
        <v>16</v>
      </c>
      <c r="T448" s="7" t="s">
        <v>4456</v>
      </c>
      <c r="U448" s="7" t="s">
        <v>4455</v>
      </c>
      <c r="V4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49" spans="1:22" x14ac:dyDescent="0.35">
      <c r="A449" s="7" t="s">
        <v>1563</v>
      </c>
      <c r="B449" s="7" t="s">
        <v>691</v>
      </c>
      <c r="C449" s="5">
        <v>73.28</v>
      </c>
      <c r="D449" s="2">
        <v>0.73138888888934162</v>
      </c>
      <c r="E449" s="4">
        <v>44995</v>
      </c>
      <c r="F449" s="7" t="s">
        <v>17</v>
      </c>
      <c r="G449" s="7" t="s">
        <v>388</v>
      </c>
      <c r="H449" s="7" t="s">
        <v>1486</v>
      </c>
      <c r="I449" s="7" t="s">
        <v>1564</v>
      </c>
      <c r="J449" s="7" t="s">
        <v>1287</v>
      </c>
      <c r="K449" s="7" t="s">
        <v>69</v>
      </c>
      <c r="L449" s="8">
        <v>21</v>
      </c>
      <c r="M449" s="7" t="s">
        <v>37</v>
      </c>
      <c r="N449" s="8">
        <v>21</v>
      </c>
      <c r="O449" s="8">
        <v>1</v>
      </c>
      <c r="P449" s="5">
        <v>1329.41</v>
      </c>
      <c r="Q449" s="4">
        <v>45600</v>
      </c>
      <c r="R449" s="9">
        <v>0.3409375</v>
      </c>
      <c r="S449" s="8">
        <v>17</v>
      </c>
      <c r="T449" s="7" t="s">
        <v>4456</v>
      </c>
      <c r="U449" s="7" t="s">
        <v>4455</v>
      </c>
      <c r="V4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50" spans="1:22" x14ac:dyDescent="0.35">
      <c r="A450" s="7" t="s">
        <v>1565</v>
      </c>
      <c r="B450" s="7" t="s">
        <v>1137</v>
      </c>
      <c r="C450" s="5">
        <v>70.23</v>
      </c>
      <c r="D450" s="2">
        <v>0.67924768518423662</v>
      </c>
      <c r="E450" s="4">
        <v>45182</v>
      </c>
      <c r="F450" s="7" t="s">
        <v>17</v>
      </c>
      <c r="G450" s="7" t="s">
        <v>92</v>
      </c>
      <c r="H450" s="7" t="s">
        <v>1566</v>
      </c>
      <c r="I450" s="7" t="s">
        <v>1567</v>
      </c>
      <c r="J450" s="7" t="s">
        <v>386</v>
      </c>
      <c r="K450" s="7" t="s">
        <v>22</v>
      </c>
      <c r="L450" s="8">
        <v>38</v>
      </c>
      <c r="M450" s="7" t="s">
        <v>23</v>
      </c>
      <c r="N450" s="8">
        <v>260</v>
      </c>
      <c r="O450" s="8">
        <v>1</v>
      </c>
      <c r="P450" s="5">
        <v>11624.93</v>
      </c>
      <c r="Q450" s="4">
        <v>45600</v>
      </c>
      <c r="R450" s="9">
        <v>0.33837962962962964</v>
      </c>
      <c r="S450" s="8">
        <v>16</v>
      </c>
      <c r="T450" s="7" t="s">
        <v>4457</v>
      </c>
      <c r="U450" s="7" t="s">
        <v>4455</v>
      </c>
      <c r="V4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51" spans="1:22" x14ac:dyDescent="0.35">
      <c r="A451" s="7" t="s">
        <v>1568</v>
      </c>
      <c r="B451" s="7" t="s">
        <v>1569</v>
      </c>
      <c r="C451" s="5">
        <v>689.29</v>
      </c>
      <c r="D451" s="2">
        <v>0.729247685187147</v>
      </c>
      <c r="E451" s="4">
        <v>44932</v>
      </c>
      <c r="F451" s="7" t="s">
        <v>17</v>
      </c>
      <c r="G451" s="7" t="s">
        <v>506</v>
      </c>
      <c r="H451" s="7" t="s">
        <v>1570</v>
      </c>
      <c r="I451" s="7" t="s">
        <v>1571</v>
      </c>
      <c r="J451" s="7" t="s">
        <v>639</v>
      </c>
      <c r="K451" s="7" t="s">
        <v>22</v>
      </c>
      <c r="L451" s="8">
        <v>22</v>
      </c>
      <c r="M451" s="7" t="s">
        <v>37</v>
      </c>
      <c r="N451" s="8">
        <v>100</v>
      </c>
      <c r="O451" s="8">
        <v>1</v>
      </c>
      <c r="P451" s="5">
        <v>168.84</v>
      </c>
      <c r="Q451" s="4">
        <v>45600</v>
      </c>
      <c r="R451" s="9">
        <v>0.33876157407407409</v>
      </c>
      <c r="S451" s="8">
        <v>17</v>
      </c>
      <c r="T451" s="7" t="s">
        <v>4456</v>
      </c>
      <c r="U451" s="7" t="s">
        <v>4455</v>
      </c>
      <c r="V4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52" spans="1:22" x14ac:dyDescent="0.35">
      <c r="A452" s="7" t="s">
        <v>1572</v>
      </c>
      <c r="B452" s="7" t="s">
        <v>1147</v>
      </c>
      <c r="C452" s="5">
        <v>745.03</v>
      </c>
      <c r="D452" s="2">
        <v>0.73752314814919373</v>
      </c>
      <c r="E452" s="4">
        <v>45141</v>
      </c>
      <c r="F452" s="7" t="s">
        <v>17</v>
      </c>
      <c r="G452" s="7" t="s">
        <v>157</v>
      </c>
      <c r="H452" s="7" t="s">
        <v>1573</v>
      </c>
      <c r="I452" s="7" t="s">
        <v>1496</v>
      </c>
      <c r="J452" s="7" t="s">
        <v>326</v>
      </c>
      <c r="K452" s="7" t="s">
        <v>36</v>
      </c>
      <c r="L452" s="8">
        <v>28</v>
      </c>
      <c r="M452" s="7" t="s">
        <v>37</v>
      </c>
      <c r="N452" s="8">
        <v>231</v>
      </c>
      <c r="O452" s="8">
        <v>1</v>
      </c>
      <c r="P452" s="5">
        <v>160.57</v>
      </c>
      <c r="Q452" s="4">
        <v>45600</v>
      </c>
      <c r="R452" s="9">
        <v>0.33975694444444443</v>
      </c>
      <c r="S452" s="8">
        <v>17</v>
      </c>
      <c r="T452" s="7" t="s">
        <v>4456</v>
      </c>
      <c r="U452" s="7" t="s">
        <v>4455</v>
      </c>
      <c r="V4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53" spans="1:22" x14ac:dyDescent="0.35">
      <c r="A453" s="7" t="s">
        <v>1574</v>
      </c>
      <c r="B453" s="7" t="s">
        <v>1167</v>
      </c>
      <c r="C453" s="5">
        <v>54.61</v>
      </c>
      <c r="D453" s="2">
        <v>0.67365740740933688</v>
      </c>
      <c r="E453" s="4">
        <v>45264</v>
      </c>
      <c r="F453" s="7" t="s">
        <v>17</v>
      </c>
      <c r="G453" s="7" t="s">
        <v>178</v>
      </c>
      <c r="H453" s="7" t="s">
        <v>1575</v>
      </c>
      <c r="I453" s="7" t="s">
        <v>1576</v>
      </c>
      <c r="J453" s="7" t="s">
        <v>169</v>
      </c>
      <c r="K453" s="7" t="s">
        <v>22</v>
      </c>
      <c r="L453" s="8">
        <v>58</v>
      </c>
      <c r="M453" s="7" t="s">
        <v>77</v>
      </c>
      <c r="N453" s="8">
        <v>160</v>
      </c>
      <c r="O453" s="8">
        <v>1</v>
      </c>
      <c r="P453" s="5">
        <v>7135.64</v>
      </c>
      <c r="Q453" s="4">
        <v>45600</v>
      </c>
      <c r="R453" s="9">
        <v>0.33841435185185187</v>
      </c>
      <c r="S453" s="8">
        <v>16</v>
      </c>
      <c r="T453" s="7" t="s">
        <v>4454</v>
      </c>
      <c r="U453" s="7" t="s">
        <v>4455</v>
      </c>
      <c r="V4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54" spans="1:22" x14ac:dyDescent="0.35">
      <c r="A454" s="7" t="s">
        <v>1577</v>
      </c>
      <c r="B454" s="7" t="s">
        <v>318</v>
      </c>
      <c r="C454" s="5">
        <v>54.05</v>
      </c>
      <c r="D454" s="2">
        <v>0.70372685185429873</v>
      </c>
      <c r="E454" s="4">
        <v>45041</v>
      </c>
      <c r="F454" s="7" t="s">
        <v>17</v>
      </c>
      <c r="G454" s="7" t="s">
        <v>108</v>
      </c>
      <c r="H454" s="7" t="s">
        <v>1578</v>
      </c>
      <c r="I454" s="7" t="s">
        <v>440</v>
      </c>
      <c r="J454" s="7" t="s">
        <v>181</v>
      </c>
      <c r="K454" s="7" t="s">
        <v>69</v>
      </c>
      <c r="L454" s="8">
        <v>27</v>
      </c>
      <c r="M454" s="7" t="s">
        <v>37</v>
      </c>
      <c r="N454" s="8">
        <v>146</v>
      </c>
      <c r="O454" s="8">
        <v>1</v>
      </c>
      <c r="P454" s="5">
        <v>469.14</v>
      </c>
      <c r="Q454" s="4">
        <v>45600</v>
      </c>
      <c r="R454" s="9">
        <v>0.34136574074074072</v>
      </c>
      <c r="S454" s="8">
        <v>16</v>
      </c>
      <c r="T454" s="7" t="s">
        <v>4456</v>
      </c>
      <c r="U454" s="7" t="s">
        <v>4455</v>
      </c>
      <c r="V4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55" spans="1:22" x14ac:dyDescent="0.35">
      <c r="A455" s="7" t="s">
        <v>1579</v>
      </c>
      <c r="B455" s="7" t="s">
        <v>520</v>
      </c>
      <c r="C455" s="5">
        <v>107.47</v>
      </c>
      <c r="D455" s="2">
        <v>0.7357523148166365</v>
      </c>
      <c r="E455" s="4">
        <v>45028</v>
      </c>
      <c r="F455" s="7" t="s">
        <v>17</v>
      </c>
      <c r="G455" s="7" t="s">
        <v>119</v>
      </c>
      <c r="H455" s="7" t="s">
        <v>750</v>
      </c>
      <c r="I455" s="7" t="s">
        <v>1306</v>
      </c>
      <c r="J455" s="7" t="s">
        <v>980</v>
      </c>
      <c r="K455" s="7" t="s">
        <v>36</v>
      </c>
      <c r="L455" s="8">
        <v>67</v>
      </c>
      <c r="M455" s="7" t="s">
        <v>70</v>
      </c>
      <c r="N455" s="8">
        <v>144</v>
      </c>
      <c r="O455" s="8">
        <v>1</v>
      </c>
      <c r="P455" s="5">
        <v>7517.5</v>
      </c>
      <c r="Q455" s="4">
        <v>45600</v>
      </c>
      <c r="R455" s="9">
        <v>0.34177083333333336</v>
      </c>
      <c r="S455" s="8">
        <v>17</v>
      </c>
      <c r="T455" s="7" t="s">
        <v>4454</v>
      </c>
      <c r="U455" s="7" t="s">
        <v>4455</v>
      </c>
      <c r="V4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56" spans="1:22" x14ac:dyDescent="0.35">
      <c r="A456" s="7" t="s">
        <v>1580</v>
      </c>
      <c r="B456" s="7" t="s">
        <v>102</v>
      </c>
      <c r="C456" s="5">
        <v>611.11</v>
      </c>
      <c r="D456" s="2">
        <v>0.77258101852203254</v>
      </c>
      <c r="E456" s="4">
        <v>45217</v>
      </c>
      <c r="F456" s="7" t="s">
        <v>17</v>
      </c>
      <c r="G456" s="7" t="s">
        <v>73</v>
      </c>
      <c r="H456" s="7" t="s">
        <v>846</v>
      </c>
      <c r="I456" s="7" t="s">
        <v>1581</v>
      </c>
      <c r="J456" s="7" t="s">
        <v>414</v>
      </c>
      <c r="K456" s="7" t="s">
        <v>22</v>
      </c>
      <c r="L456" s="8">
        <v>20</v>
      </c>
      <c r="M456" s="7" t="s">
        <v>37</v>
      </c>
      <c r="N456" s="8">
        <v>282</v>
      </c>
      <c r="O456" s="8">
        <v>4</v>
      </c>
      <c r="P456" s="5">
        <v>919.84</v>
      </c>
      <c r="Q456" s="4">
        <v>45600</v>
      </c>
      <c r="R456" s="9">
        <v>0.34111111111111109</v>
      </c>
      <c r="S456" s="8">
        <v>18</v>
      </c>
      <c r="T456" s="7" t="s">
        <v>4456</v>
      </c>
      <c r="U456" s="7" t="s">
        <v>4458</v>
      </c>
      <c r="V4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57" spans="1:22" x14ac:dyDescent="0.35">
      <c r="A457" s="7" t="s">
        <v>1582</v>
      </c>
      <c r="B457" s="7" t="s">
        <v>1052</v>
      </c>
      <c r="C457" s="5">
        <v>219.63</v>
      </c>
      <c r="D457" s="2">
        <v>0.67114583333022892</v>
      </c>
      <c r="E457" s="4">
        <v>45240</v>
      </c>
      <c r="F457" s="7" t="s">
        <v>17</v>
      </c>
      <c r="G457" s="7" t="s">
        <v>249</v>
      </c>
      <c r="H457" s="7" t="s">
        <v>1489</v>
      </c>
      <c r="I457" s="7" t="s">
        <v>1567</v>
      </c>
      <c r="J457" s="7" t="s">
        <v>43</v>
      </c>
      <c r="K457" s="7" t="s">
        <v>22</v>
      </c>
      <c r="L457" s="8">
        <v>48</v>
      </c>
      <c r="M457" s="7" t="s">
        <v>23</v>
      </c>
      <c r="N457" s="8">
        <v>44</v>
      </c>
      <c r="O457" s="8">
        <v>1</v>
      </c>
      <c r="P457" s="5">
        <v>8013.63</v>
      </c>
      <c r="Q457" s="4">
        <v>45600</v>
      </c>
      <c r="R457" s="9">
        <v>0.33853009259259259</v>
      </c>
      <c r="S457" s="8">
        <v>16</v>
      </c>
      <c r="T457" s="7" t="s">
        <v>4457</v>
      </c>
      <c r="U457" s="7" t="s">
        <v>4455</v>
      </c>
      <c r="V4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58" spans="1:22" x14ac:dyDescent="0.35">
      <c r="A458" s="7" t="s">
        <v>1583</v>
      </c>
      <c r="B458" s="7" t="s">
        <v>355</v>
      </c>
      <c r="C458" s="5">
        <v>188.7</v>
      </c>
      <c r="D458" s="2">
        <v>0.66740740741079208</v>
      </c>
      <c r="E458" s="4">
        <v>44967</v>
      </c>
      <c r="F458" s="7" t="s">
        <v>17</v>
      </c>
      <c r="G458" s="7" t="s">
        <v>203</v>
      </c>
      <c r="H458" s="7" t="s">
        <v>1584</v>
      </c>
      <c r="I458" s="7" t="s">
        <v>1585</v>
      </c>
      <c r="J458" s="7" t="s">
        <v>514</v>
      </c>
      <c r="K458" s="7" t="s">
        <v>69</v>
      </c>
      <c r="L458" s="8">
        <v>54</v>
      </c>
      <c r="M458" s="7" t="s">
        <v>70</v>
      </c>
      <c r="N458" s="8">
        <v>123</v>
      </c>
      <c r="O458" s="8">
        <v>1</v>
      </c>
      <c r="P458" s="5">
        <v>5077.0600000000004</v>
      </c>
      <c r="Q458" s="4">
        <v>45600</v>
      </c>
      <c r="R458" s="9">
        <v>0.3402662037037037</v>
      </c>
      <c r="S458" s="8">
        <v>16</v>
      </c>
      <c r="T458" s="7" t="s">
        <v>4457</v>
      </c>
      <c r="U458" s="7" t="s">
        <v>4455</v>
      </c>
      <c r="V4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59" spans="1:22" x14ac:dyDescent="0.35">
      <c r="A459" s="7" t="s">
        <v>1586</v>
      </c>
      <c r="B459" s="7" t="s">
        <v>1587</v>
      </c>
      <c r="C459" s="5">
        <v>93.52</v>
      </c>
      <c r="D459" s="2">
        <v>0.73708333333343035</v>
      </c>
      <c r="E459" s="4">
        <v>45152</v>
      </c>
      <c r="F459" s="7" t="s">
        <v>17</v>
      </c>
      <c r="G459" s="7" t="s">
        <v>243</v>
      </c>
      <c r="H459" s="7" t="s">
        <v>1588</v>
      </c>
      <c r="I459" s="7" t="s">
        <v>1589</v>
      </c>
      <c r="J459" s="7" t="s">
        <v>1349</v>
      </c>
      <c r="K459" s="7" t="s">
        <v>36</v>
      </c>
      <c r="L459" s="8">
        <v>51</v>
      </c>
      <c r="M459" s="7" t="s">
        <v>77</v>
      </c>
      <c r="N459" s="8">
        <v>97</v>
      </c>
      <c r="O459" s="8">
        <v>1</v>
      </c>
      <c r="P459" s="5">
        <v>2791.2</v>
      </c>
      <c r="Q459" s="4">
        <v>45600</v>
      </c>
      <c r="R459" s="9">
        <v>0.33893518518518517</v>
      </c>
      <c r="S459" s="8">
        <v>17</v>
      </c>
      <c r="T459" s="7" t="s">
        <v>4457</v>
      </c>
      <c r="U459" s="7" t="s">
        <v>4455</v>
      </c>
      <c r="V4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60" spans="1:22" x14ac:dyDescent="0.35">
      <c r="A460" s="7" t="s">
        <v>1590</v>
      </c>
      <c r="B460" s="7" t="s">
        <v>1394</v>
      </c>
      <c r="C460" s="5">
        <v>275.92</v>
      </c>
      <c r="D460" s="2">
        <v>0.78324074074043892</v>
      </c>
      <c r="E460" s="4">
        <v>45187</v>
      </c>
      <c r="F460" s="7" t="s">
        <v>46</v>
      </c>
      <c r="G460" s="7" t="s">
        <v>80</v>
      </c>
      <c r="H460" s="7" t="s">
        <v>943</v>
      </c>
      <c r="I460" s="7" t="s">
        <v>1459</v>
      </c>
      <c r="J460" s="7" t="s">
        <v>564</v>
      </c>
      <c r="K460" s="7" t="s">
        <v>69</v>
      </c>
      <c r="L460" s="8">
        <v>62</v>
      </c>
      <c r="M460" s="7" t="s">
        <v>70</v>
      </c>
      <c r="N460" s="8">
        <v>107</v>
      </c>
      <c r="O460" s="8">
        <v>1</v>
      </c>
      <c r="P460" s="5">
        <v>1777.38</v>
      </c>
      <c r="Q460" s="4">
        <v>45600</v>
      </c>
      <c r="R460" s="9">
        <v>0.33864583333333331</v>
      </c>
      <c r="S460" s="8">
        <v>18</v>
      </c>
      <c r="T460" s="7" t="s">
        <v>4454</v>
      </c>
      <c r="U460" s="7" t="s">
        <v>4455</v>
      </c>
      <c r="V4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61" spans="1:22" x14ac:dyDescent="0.35">
      <c r="A461" s="7" t="s">
        <v>1591</v>
      </c>
      <c r="B461" s="7" t="s">
        <v>868</v>
      </c>
      <c r="C461" s="5">
        <v>376.79</v>
      </c>
      <c r="D461" s="2">
        <v>0.74118055555300089</v>
      </c>
      <c r="E461" s="4">
        <v>44956</v>
      </c>
      <c r="F461" s="7" t="s">
        <v>17</v>
      </c>
      <c r="G461" s="7" t="s">
        <v>178</v>
      </c>
      <c r="H461" s="7" t="s">
        <v>1592</v>
      </c>
      <c r="I461" s="7" t="s">
        <v>552</v>
      </c>
      <c r="J461" s="7" t="s">
        <v>137</v>
      </c>
      <c r="K461" s="7" t="s">
        <v>69</v>
      </c>
      <c r="L461" s="8">
        <v>68</v>
      </c>
      <c r="M461" s="7" t="s">
        <v>70</v>
      </c>
      <c r="N461" s="8">
        <v>265</v>
      </c>
      <c r="O461" s="8">
        <v>1</v>
      </c>
      <c r="P461" s="5">
        <v>7749.14</v>
      </c>
      <c r="Q461" s="4">
        <v>45600</v>
      </c>
      <c r="R461" s="9">
        <v>0.33939814814814817</v>
      </c>
      <c r="S461" s="8">
        <v>17</v>
      </c>
      <c r="T461" s="7" t="s">
        <v>4454</v>
      </c>
      <c r="U461" s="7" t="s">
        <v>4455</v>
      </c>
      <c r="V4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62" spans="1:22" x14ac:dyDescent="0.35">
      <c r="A462" s="7" t="s">
        <v>1593</v>
      </c>
      <c r="B462" s="7" t="s">
        <v>1151</v>
      </c>
      <c r="C462" s="5">
        <v>8.98</v>
      </c>
      <c r="D462" s="2">
        <v>0.67167824073840166</v>
      </c>
      <c r="E462" s="4">
        <v>45159</v>
      </c>
      <c r="F462" s="7" t="s">
        <v>17</v>
      </c>
      <c r="G462" s="7" t="s">
        <v>73</v>
      </c>
      <c r="H462" s="7" t="s">
        <v>1594</v>
      </c>
      <c r="I462" s="7" t="s">
        <v>1595</v>
      </c>
      <c r="J462" s="7" t="s">
        <v>370</v>
      </c>
      <c r="K462" s="7" t="s">
        <v>36</v>
      </c>
      <c r="L462" s="8">
        <v>66</v>
      </c>
      <c r="M462" s="7" t="s">
        <v>70</v>
      </c>
      <c r="N462" s="8">
        <v>56</v>
      </c>
      <c r="O462" s="8">
        <v>1</v>
      </c>
      <c r="P462" s="5">
        <v>4516.76</v>
      </c>
      <c r="Q462" s="4">
        <v>45600</v>
      </c>
      <c r="R462" s="9">
        <v>0.34089120370370368</v>
      </c>
      <c r="S462" s="8">
        <v>16</v>
      </c>
      <c r="T462" s="7" t="s">
        <v>4454</v>
      </c>
      <c r="U462" s="7" t="s">
        <v>4455</v>
      </c>
      <c r="V4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63" spans="1:22" x14ac:dyDescent="0.35">
      <c r="A463" s="7" t="s">
        <v>1596</v>
      </c>
      <c r="B463" s="7" t="s">
        <v>1221</v>
      </c>
      <c r="C463" s="5">
        <v>697.32</v>
      </c>
      <c r="D463" s="2">
        <v>0.68754629629984265</v>
      </c>
      <c r="E463" s="4">
        <v>45057</v>
      </c>
      <c r="F463" s="7" t="s">
        <v>17</v>
      </c>
      <c r="G463" s="7" t="s">
        <v>47</v>
      </c>
      <c r="H463" s="7" t="s">
        <v>1406</v>
      </c>
      <c r="I463" s="7" t="s">
        <v>1597</v>
      </c>
      <c r="J463" s="7" t="s">
        <v>1014</v>
      </c>
      <c r="K463" s="7" t="s">
        <v>36</v>
      </c>
      <c r="L463" s="8">
        <v>68</v>
      </c>
      <c r="M463" s="7" t="s">
        <v>70</v>
      </c>
      <c r="N463" s="8">
        <v>91</v>
      </c>
      <c r="O463" s="8">
        <v>1</v>
      </c>
      <c r="P463" s="5">
        <v>2016.02</v>
      </c>
      <c r="Q463" s="4">
        <v>45600</v>
      </c>
      <c r="R463" s="9">
        <v>0.34118055555555554</v>
      </c>
      <c r="S463" s="8">
        <v>16</v>
      </c>
      <c r="T463" s="7" t="s">
        <v>4454</v>
      </c>
      <c r="U463" s="7" t="s">
        <v>4455</v>
      </c>
      <c r="V4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64" spans="1:22" x14ac:dyDescent="0.35">
      <c r="A464" s="7" t="s">
        <v>1598</v>
      </c>
      <c r="B464" s="7" t="s">
        <v>1599</v>
      </c>
      <c r="C464" s="5">
        <v>17.45</v>
      </c>
      <c r="D464" s="2">
        <v>0.69535879629984265</v>
      </c>
      <c r="E464" s="4">
        <v>45182</v>
      </c>
      <c r="F464" s="7" t="s">
        <v>17</v>
      </c>
      <c r="G464" s="7" t="s">
        <v>296</v>
      </c>
      <c r="H464" s="7" t="s">
        <v>1600</v>
      </c>
      <c r="I464" s="7" t="s">
        <v>921</v>
      </c>
      <c r="J464" s="7" t="s">
        <v>128</v>
      </c>
      <c r="K464" s="7" t="s">
        <v>22</v>
      </c>
      <c r="L464" s="8">
        <v>18</v>
      </c>
      <c r="M464" s="7" t="s">
        <v>37</v>
      </c>
      <c r="N464" s="8">
        <v>88</v>
      </c>
      <c r="O464" s="8">
        <v>1</v>
      </c>
      <c r="P464" s="5">
        <v>1959.52</v>
      </c>
      <c r="Q464" s="4">
        <v>45600</v>
      </c>
      <c r="R464" s="9">
        <v>0.3400347222222222</v>
      </c>
      <c r="S464" s="8">
        <v>16</v>
      </c>
      <c r="T464" s="7" t="s">
        <v>4456</v>
      </c>
      <c r="U464" s="7" t="s">
        <v>4455</v>
      </c>
      <c r="V4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65" spans="1:22" x14ac:dyDescent="0.35">
      <c r="A465" s="7" t="s">
        <v>1601</v>
      </c>
      <c r="B465" s="7" t="s">
        <v>923</v>
      </c>
      <c r="C465" s="5">
        <v>302.16000000000003</v>
      </c>
      <c r="D465" s="2">
        <v>0.74157407407619758</v>
      </c>
      <c r="E465" s="4">
        <v>45217</v>
      </c>
      <c r="F465" s="7" t="s">
        <v>17</v>
      </c>
      <c r="G465" s="7" t="s">
        <v>291</v>
      </c>
      <c r="H465" s="7" t="s">
        <v>1602</v>
      </c>
      <c r="I465" s="7" t="s">
        <v>1603</v>
      </c>
      <c r="J465" s="7" t="s">
        <v>240</v>
      </c>
      <c r="K465" s="7" t="s">
        <v>36</v>
      </c>
      <c r="L465" s="8">
        <v>80</v>
      </c>
      <c r="M465" s="7" t="s">
        <v>70</v>
      </c>
      <c r="N465" s="8">
        <v>138</v>
      </c>
      <c r="O465" s="8">
        <v>5</v>
      </c>
      <c r="P465" s="5">
        <v>3876.61</v>
      </c>
      <c r="Q465" s="4">
        <v>45600</v>
      </c>
      <c r="R465" s="9">
        <v>0.33863425925925927</v>
      </c>
      <c r="S465" s="8">
        <v>17</v>
      </c>
      <c r="T465" s="7" t="s">
        <v>4454</v>
      </c>
      <c r="U465" s="7" t="s">
        <v>4458</v>
      </c>
      <c r="V4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66" spans="1:22" x14ac:dyDescent="0.35">
      <c r="A466" s="7" t="s">
        <v>1604</v>
      </c>
      <c r="B466" s="7" t="s">
        <v>742</v>
      </c>
      <c r="C466" s="5">
        <v>442.74</v>
      </c>
      <c r="D466" s="2">
        <v>0.74144675926072523</v>
      </c>
      <c r="E466" s="4">
        <v>45215</v>
      </c>
      <c r="F466" s="7" t="s">
        <v>17</v>
      </c>
      <c r="G466" s="7" t="s">
        <v>18</v>
      </c>
      <c r="H466" s="7" t="s">
        <v>1041</v>
      </c>
      <c r="I466" s="7" t="s">
        <v>1605</v>
      </c>
      <c r="J466" s="7" t="s">
        <v>62</v>
      </c>
      <c r="K466" s="7" t="s">
        <v>69</v>
      </c>
      <c r="L466" s="8">
        <v>23</v>
      </c>
      <c r="M466" s="7" t="s">
        <v>37</v>
      </c>
      <c r="N466" s="8">
        <v>136</v>
      </c>
      <c r="O466" s="8">
        <v>1</v>
      </c>
      <c r="P466" s="5">
        <v>1790.27</v>
      </c>
      <c r="Q466" s="4">
        <v>45600</v>
      </c>
      <c r="R466" s="9">
        <v>0.34010416666666665</v>
      </c>
      <c r="S466" s="8">
        <v>17</v>
      </c>
      <c r="T466" s="7" t="s">
        <v>4456</v>
      </c>
      <c r="U466" s="7" t="s">
        <v>4455</v>
      </c>
      <c r="V4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67" spans="1:22" x14ac:dyDescent="0.35">
      <c r="A467" s="7" t="s">
        <v>1606</v>
      </c>
      <c r="B467" s="7" t="s">
        <v>641</v>
      </c>
      <c r="C467" s="5">
        <v>623.9</v>
      </c>
      <c r="D467" s="2">
        <v>0.73913194444321562</v>
      </c>
      <c r="E467" s="4">
        <v>45146</v>
      </c>
      <c r="F467" s="7" t="s">
        <v>17</v>
      </c>
      <c r="G467" s="7" t="s">
        <v>223</v>
      </c>
      <c r="H467" s="7" t="s">
        <v>158</v>
      </c>
      <c r="I467" s="7" t="s">
        <v>1564</v>
      </c>
      <c r="J467" s="7" t="s">
        <v>262</v>
      </c>
      <c r="K467" s="7" t="s">
        <v>22</v>
      </c>
      <c r="L467" s="8">
        <v>27</v>
      </c>
      <c r="M467" s="7" t="s">
        <v>37</v>
      </c>
      <c r="N467" s="8">
        <v>249</v>
      </c>
      <c r="O467" s="8">
        <v>1</v>
      </c>
      <c r="P467" s="5">
        <v>711.47</v>
      </c>
      <c r="Q467" s="4">
        <v>45600</v>
      </c>
      <c r="R467" s="9">
        <v>0.34045138888888887</v>
      </c>
      <c r="S467" s="8">
        <v>17</v>
      </c>
      <c r="T467" s="7" t="s">
        <v>4456</v>
      </c>
      <c r="U467" s="7" t="s">
        <v>4455</v>
      </c>
      <c r="V4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68" spans="1:22" x14ac:dyDescent="0.35">
      <c r="A468" s="7" t="s">
        <v>1607</v>
      </c>
      <c r="B468" s="7" t="s">
        <v>1343</v>
      </c>
      <c r="C468" s="5">
        <v>445.41</v>
      </c>
      <c r="D468" s="2">
        <v>0.68577546296000946</v>
      </c>
      <c r="E468" s="4">
        <v>45250</v>
      </c>
      <c r="F468" s="7" t="s">
        <v>17</v>
      </c>
      <c r="G468" s="7" t="s">
        <v>558</v>
      </c>
      <c r="H468" s="7" t="s">
        <v>135</v>
      </c>
      <c r="I468" s="7" t="s">
        <v>1608</v>
      </c>
      <c r="J468" s="7" t="s">
        <v>21</v>
      </c>
      <c r="K468" s="7" t="s">
        <v>22</v>
      </c>
      <c r="L468" s="8">
        <v>35</v>
      </c>
      <c r="M468" s="7" t="s">
        <v>23</v>
      </c>
      <c r="N468" s="8">
        <v>235</v>
      </c>
      <c r="O468" s="8">
        <v>3</v>
      </c>
      <c r="P468" s="5">
        <v>12154.66</v>
      </c>
      <c r="Q468" s="4">
        <v>45600</v>
      </c>
      <c r="R468" s="9">
        <v>0.33898148148148149</v>
      </c>
      <c r="S468" s="8">
        <v>16</v>
      </c>
      <c r="T468" s="7" t="s">
        <v>4457</v>
      </c>
      <c r="U468" s="7" t="s">
        <v>4458</v>
      </c>
      <c r="V4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69" spans="1:22" x14ac:dyDescent="0.35">
      <c r="A469" s="7" t="s">
        <v>1609</v>
      </c>
      <c r="B469" s="7" t="s">
        <v>1197</v>
      </c>
      <c r="C469" s="5">
        <v>63.41</v>
      </c>
      <c r="D469" s="2">
        <v>0.72854166666365927</v>
      </c>
      <c r="E469" s="4">
        <v>45254</v>
      </c>
      <c r="F469" s="7" t="s">
        <v>17</v>
      </c>
      <c r="G469" s="7" t="s">
        <v>157</v>
      </c>
      <c r="H469" s="7" t="s">
        <v>1610</v>
      </c>
      <c r="I469" s="7" t="s">
        <v>1605</v>
      </c>
      <c r="J469" s="7" t="s">
        <v>76</v>
      </c>
      <c r="K469" s="7" t="s">
        <v>22</v>
      </c>
      <c r="L469" s="8">
        <v>26</v>
      </c>
      <c r="M469" s="7" t="s">
        <v>37</v>
      </c>
      <c r="N469" s="8">
        <v>36</v>
      </c>
      <c r="O469" s="8">
        <v>1</v>
      </c>
      <c r="P469" s="5">
        <v>1546.22</v>
      </c>
      <c r="Q469" s="4">
        <v>45600</v>
      </c>
      <c r="R469" s="9">
        <v>0.33836805555555555</v>
      </c>
      <c r="S469" s="8">
        <v>17</v>
      </c>
      <c r="T469" s="7" t="s">
        <v>4456</v>
      </c>
      <c r="U469" s="7" t="s">
        <v>4455</v>
      </c>
      <c r="V4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70" spans="1:22" x14ac:dyDescent="0.35">
      <c r="A470" s="7" t="s">
        <v>1611</v>
      </c>
      <c r="B470" s="7" t="s">
        <v>1612</v>
      </c>
      <c r="C470" s="5">
        <v>346.85</v>
      </c>
      <c r="D470" s="2">
        <v>0.77349537036934635</v>
      </c>
      <c r="E470" s="4">
        <v>45233</v>
      </c>
      <c r="F470" s="7" t="s">
        <v>17</v>
      </c>
      <c r="G470" s="7" t="s">
        <v>291</v>
      </c>
      <c r="H470" s="7" t="s">
        <v>373</v>
      </c>
      <c r="I470" s="7" t="s">
        <v>28</v>
      </c>
      <c r="J470" s="7" t="s">
        <v>105</v>
      </c>
      <c r="K470" s="7" t="s">
        <v>22</v>
      </c>
      <c r="L470" s="8">
        <v>44</v>
      </c>
      <c r="M470" s="7" t="s">
        <v>23</v>
      </c>
      <c r="N470" s="8">
        <v>88</v>
      </c>
      <c r="O470" s="8">
        <v>1</v>
      </c>
      <c r="P470" s="5">
        <v>7208.15</v>
      </c>
      <c r="Q470" s="4">
        <v>45600</v>
      </c>
      <c r="R470" s="9">
        <v>0.34056712962962965</v>
      </c>
      <c r="S470" s="8">
        <v>18</v>
      </c>
      <c r="T470" s="7" t="s">
        <v>4457</v>
      </c>
      <c r="U470" s="7" t="s">
        <v>4455</v>
      </c>
      <c r="V4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71" spans="1:22" x14ac:dyDescent="0.35">
      <c r="A471" s="7" t="s">
        <v>1613</v>
      </c>
      <c r="B471" s="7" t="s">
        <v>795</v>
      </c>
      <c r="C471" s="5">
        <v>71.95</v>
      </c>
      <c r="D471" s="2">
        <v>0.69435185185284354</v>
      </c>
      <c r="E471" s="4">
        <v>44970</v>
      </c>
      <c r="F471" s="7" t="s">
        <v>46</v>
      </c>
      <c r="G471" s="7" t="s">
        <v>296</v>
      </c>
      <c r="H471" s="7" t="s">
        <v>385</v>
      </c>
      <c r="I471" s="7" t="s">
        <v>1494</v>
      </c>
      <c r="J471" s="7" t="s">
        <v>740</v>
      </c>
      <c r="K471" s="7" t="s">
        <v>36</v>
      </c>
      <c r="L471" s="8">
        <v>59</v>
      </c>
      <c r="M471" s="7" t="s">
        <v>77</v>
      </c>
      <c r="N471" s="8">
        <v>53</v>
      </c>
      <c r="O471" s="8">
        <v>1</v>
      </c>
      <c r="P471" s="5">
        <v>9267.32</v>
      </c>
      <c r="Q471" s="4">
        <v>45600</v>
      </c>
      <c r="R471" s="9">
        <v>0.33776620370370369</v>
      </c>
      <c r="S471" s="8">
        <v>16</v>
      </c>
      <c r="T471" s="7" t="s">
        <v>4454</v>
      </c>
      <c r="U471" s="7" t="s">
        <v>4455</v>
      </c>
      <c r="V4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72" spans="1:22" x14ac:dyDescent="0.35">
      <c r="A472" s="7" t="s">
        <v>1614</v>
      </c>
      <c r="B472" s="7" t="s">
        <v>1213</v>
      </c>
      <c r="C472" s="5">
        <v>7.5</v>
      </c>
      <c r="D472" s="2">
        <v>0.67284722222393611</v>
      </c>
      <c r="E472" s="4">
        <v>44974</v>
      </c>
      <c r="F472" s="7" t="s">
        <v>17</v>
      </c>
      <c r="G472" s="7" t="s">
        <v>323</v>
      </c>
      <c r="H472" s="7" t="s">
        <v>1615</v>
      </c>
      <c r="I472" s="7" t="s">
        <v>1534</v>
      </c>
      <c r="J472" s="7" t="s">
        <v>56</v>
      </c>
      <c r="K472" s="7" t="s">
        <v>36</v>
      </c>
      <c r="L472" s="8">
        <v>63</v>
      </c>
      <c r="M472" s="7" t="s">
        <v>70</v>
      </c>
      <c r="N472" s="8">
        <v>36</v>
      </c>
      <c r="O472" s="8">
        <v>1</v>
      </c>
      <c r="P472" s="5">
        <v>6485.78</v>
      </c>
      <c r="Q472" s="4">
        <v>45600</v>
      </c>
      <c r="R472" s="9">
        <v>0.34129629629629632</v>
      </c>
      <c r="S472" s="8">
        <v>16</v>
      </c>
      <c r="T472" s="7" t="s">
        <v>4454</v>
      </c>
      <c r="U472" s="7" t="s">
        <v>4455</v>
      </c>
      <c r="V4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73" spans="1:22" x14ac:dyDescent="0.35">
      <c r="A473" s="7" t="s">
        <v>1616</v>
      </c>
      <c r="B473" s="7" t="s">
        <v>1617</v>
      </c>
      <c r="C473" s="5">
        <v>206.46</v>
      </c>
      <c r="D473" s="2">
        <v>0.76807870370248565</v>
      </c>
      <c r="E473" s="4">
        <v>45257</v>
      </c>
      <c r="F473" s="7" t="s">
        <v>17</v>
      </c>
      <c r="G473" s="7" t="s">
        <v>301</v>
      </c>
      <c r="H473" s="7" t="s">
        <v>1618</v>
      </c>
      <c r="I473" s="7" t="s">
        <v>751</v>
      </c>
      <c r="J473" s="7" t="s">
        <v>759</v>
      </c>
      <c r="K473" s="7" t="s">
        <v>22</v>
      </c>
      <c r="L473" s="8">
        <v>65</v>
      </c>
      <c r="M473" s="7" t="s">
        <v>70</v>
      </c>
      <c r="N473" s="8">
        <v>279</v>
      </c>
      <c r="O473" s="8">
        <v>1</v>
      </c>
      <c r="P473" s="5">
        <v>3984.38</v>
      </c>
      <c r="Q473" s="4">
        <v>45600</v>
      </c>
      <c r="R473" s="9">
        <v>0.33800925925925923</v>
      </c>
      <c r="S473" s="8">
        <v>18</v>
      </c>
      <c r="T473" s="7" t="s">
        <v>4454</v>
      </c>
      <c r="U473" s="7" t="s">
        <v>4455</v>
      </c>
      <c r="V4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74" spans="1:22" x14ac:dyDescent="0.35">
      <c r="A474" s="7" t="s">
        <v>1619</v>
      </c>
      <c r="B474" s="7" t="s">
        <v>1620</v>
      </c>
      <c r="C474" s="5">
        <v>423.11</v>
      </c>
      <c r="D474" s="2">
        <v>0.77849537037400296</v>
      </c>
      <c r="E474" s="4">
        <v>45132</v>
      </c>
      <c r="F474" s="7" t="s">
        <v>17</v>
      </c>
      <c r="G474" s="7" t="s">
        <v>125</v>
      </c>
      <c r="H474" s="7" t="s">
        <v>1379</v>
      </c>
      <c r="I474" s="7" t="s">
        <v>1359</v>
      </c>
      <c r="J474" s="7" t="s">
        <v>288</v>
      </c>
      <c r="K474" s="7" t="s">
        <v>22</v>
      </c>
      <c r="L474" s="8">
        <v>60</v>
      </c>
      <c r="M474" s="7" t="s">
        <v>77</v>
      </c>
      <c r="N474" s="8">
        <v>47</v>
      </c>
      <c r="O474" s="8">
        <v>1</v>
      </c>
      <c r="P474" s="5">
        <v>412.78</v>
      </c>
      <c r="Q474" s="4">
        <v>45600</v>
      </c>
      <c r="R474" s="9">
        <v>0.3409490740740741</v>
      </c>
      <c r="S474" s="8">
        <v>18</v>
      </c>
      <c r="T474" s="7" t="s">
        <v>4454</v>
      </c>
      <c r="U474" s="7" t="s">
        <v>4455</v>
      </c>
      <c r="V4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75" spans="1:22" x14ac:dyDescent="0.35">
      <c r="A475" s="7" t="s">
        <v>1621</v>
      </c>
      <c r="B475" s="7" t="s">
        <v>412</v>
      </c>
      <c r="C475" s="5">
        <v>35.840000000000003</v>
      </c>
      <c r="D475" s="2">
        <v>0.72493055555241881</v>
      </c>
      <c r="E475" s="4">
        <v>45013</v>
      </c>
      <c r="F475" s="7" t="s">
        <v>46</v>
      </c>
      <c r="G475" s="7" t="s">
        <v>521</v>
      </c>
      <c r="H475" s="7" t="s">
        <v>1622</v>
      </c>
      <c r="I475" s="7" t="s">
        <v>1623</v>
      </c>
      <c r="J475" s="7" t="s">
        <v>759</v>
      </c>
      <c r="K475" s="7" t="s">
        <v>36</v>
      </c>
      <c r="L475" s="8">
        <v>54</v>
      </c>
      <c r="M475" s="7" t="s">
        <v>70</v>
      </c>
      <c r="N475" s="8">
        <v>172</v>
      </c>
      <c r="O475" s="8">
        <v>1</v>
      </c>
      <c r="P475" s="5">
        <v>4795.6499999999996</v>
      </c>
      <c r="Q475" s="4">
        <v>45600</v>
      </c>
      <c r="R475" s="9">
        <v>0.3409375</v>
      </c>
      <c r="S475" s="8">
        <v>17</v>
      </c>
      <c r="T475" s="7" t="s">
        <v>4457</v>
      </c>
      <c r="U475" s="7" t="s">
        <v>4455</v>
      </c>
      <c r="V4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76" spans="1:22" x14ac:dyDescent="0.35">
      <c r="A476" s="7" t="s">
        <v>1624</v>
      </c>
      <c r="B476" s="7" t="s">
        <v>1206</v>
      </c>
      <c r="C476" s="5">
        <v>88.6</v>
      </c>
      <c r="D476" s="2">
        <v>0.70953703703708015</v>
      </c>
      <c r="E476" s="4">
        <v>44971</v>
      </c>
      <c r="F476" s="7" t="s">
        <v>46</v>
      </c>
      <c r="G476" s="7" t="s">
        <v>40</v>
      </c>
      <c r="H476" s="7" t="s">
        <v>1625</v>
      </c>
      <c r="I476" s="7" t="s">
        <v>1626</v>
      </c>
      <c r="J476" s="7" t="s">
        <v>56</v>
      </c>
      <c r="K476" s="7" t="s">
        <v>69</v>
      </c>
      <c r="L476" s="8">
        <v>28</v>
      </c>
      <c r="M476" s="7" t="s">
        <v>37</v>
      </c>
      <c r="N476" s="8">
        <v>105</v>
      </c>
      <c r="O476" s="8">
        <v>1</v>
      </c>
      <c r="P476" s="5">
        <v>246.57</v>
      </c>
      <c r="Q476" s="4">
        <v>45600</v>
      </c>
      <c r="R476" s="9">
        <v>0.33943287037037034</v>
      </c>
      <c r="S476" s="8">
        <v>17</v>
      </c>
      <c r="T476" s="7" t="s">
        <v>4456</v>
      </c>
      <c r="U476" s="7" t="s">
        <v>4455</v>
      </c>
      <c r="V4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77" spans="1:22" x14ac:dyDescent="0.35">
      <c r="A477" s="7" t="s">
        <v>1627</v>
      </c>
      <c r="B477" s="7" t="s">
        <v>412</v>
      </c>
      <c r="C477" s="5">
        <v>1431.3</v>
      </c>
      <c r="D477" s="2">
        <v>0.78240740740875481</v>
      </c>
      <c r="E477" s="4">
        <v>45173</v>
      </c>
      <c r="F477" s="7" t="s">
        <v>17</v>
      </c>
      <c r="G477" s="7" t="s">
        <v>53</v>
      </c>
      <c r="H477" s="7" t="s">
        <v>1041</v>
      </c>
      <c r="I477" s="7" t="s">
        <v>765</v>
      </c>
      <c r="J477" s="7" t="s">
        <v>984</v>
      </c>
      <c r="K477" s="7" t="s">
        <v>22</v>
      </c>
      <c r="L477" s="8">
        <v>18</v>
      </c>
      <c r="M477" s="7" t="s">
        <v>37</v>
      </c>
      <c r="N477" s="8">
        <v>168</v>
      </c>
      <c r="O477" s="8">
        <v>1</v>
      </c>
      <c r="P477" s="5">
        <v>1058.1300000000001</v>
      </c>
      <c r="Q477" s="4">
        <v>45600</v>
      </c>
      <c r="R477" s="9">
        <v>0.34120370370370373</v>
      </c>
      <c r="S477" s="8">
        <v>18</v>
      </c>
      <c r="T477" s="7" t="s">
        <v>4456</v>
      </c>
      <c r="U477" s="7" t="s">
        <v>4455</v>
      </c>
      <c r="V4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78" spans="1:22" x14ac:dyDescent="0.35">
      <c r="A478" s="7" t="s">
        <v>1628</v>
      </c>
      <c r="B478" s="7" t="s">
        <v>698</v>
      </c>
      <c r="C478" s="5">
        <v>53.81</v>
      </c>
      <c r="D478" s="2">
        <v>0.70537037037138361</v>
      </c>
      <c r="E478" s="4">
        <v>45215</v>
      </c>
      <c r="F478" s="7" t="s">
        <v>46</v>
      </c>
      <c r="G478" s="7" t="s">
        <v>40</v>
      </c>
      <c r="H478" s="7" t="s">
        <v>579</v>
      </c>
      <c r="I478" s="7" t="s">
        <v>1629</v>
      </c>
      <c r="J478" s="7" t="s">
        <v>1281</v>
      </c>
      <c r="K478" s="7" t="s">
        <v>22</v>
      </c>
      <c r="L478" s="8">
        <v>55</v>
      </c>
      <c r="M478" s="7" t="s">
        <v>77</v>
      </c>
      <c r="N478" s="8">
        <v>37</v>
      </c>
      <c r="O478" s="8">
        <v>2</v>
      </c>
      <c r="P478" s="5">
        <v>2564.62</v>
      </c>
      <c r="Q478" s="4">
        <v>45600</v>
      </c>
      <c r="R478" s="9">
        <v>0.34172453703703703</v>
      </c>
      <c r="S478" s="8">
        <v>16</v>
      </c>
      <c r="T478" s="7" t="s">
        <v>4454</v>
      </c>
      <c r="U478" s="7" t="s">
        <v>4458</v>
      </c>
      <c r="V4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79" spans="1:22" x14ac:dyDescent="0.35">
      <c r="A479" s="7" t="s">
        <v>1630</v>
      </c>
      <c r="B479" s="7" t="s">
        <v>1631</v>
      </c>
      <c r="C479" s="5">
        <v>22.46</v>
      </c>
      <c r="D479" s="2">
        <v>0.66934027777460869</v>
      </c>
      <c r="E479" s="4">
        <v>45063</v>
      </c>
      <c r="F479" s="7" t="s">
        <v>17</v>
      </c>
      <c r="G479" s="7" t="s">
        <v>203</v>
      </c>
      <c r="H479" s="7" t="s">
        <v>1362</v>
      </c>
      <c r="I479" s="7" t="s">
        <v>828</v>
      </c>
      <c r="J479" s="7" t="s">
        <v>343</v>
      </c>
      <c r="K479" s="7" t="s">
        <v>36</v>
      </c>
      <c r="L479" s="8">
        <v>54</v>
      </c>
      <c r="M479" s="7" t="s">
        <v>70</v>
      </c>
      <c r="N479" s="8">
        <v>78</v>
      </c>
      <c r="O479" s="8">
        <v>1</v>
      </c>
      <c r="P479" s="5">
        <v>6631.5</v>
      </c>
      <c r="Q479" s="4">
        <v>45600</v>
      </c>
      <c r="R479" s="9">
        <v>0.33872685185185186</v>
      </c>
      <c r="S479" s="8">
        <v>16</v>
      </c>
      <c r="T479" s="7" t="s">
        <v>4457</v>
      </c>
      <c r="U479" s="7" t="s">
        <v>4455</v>
      </c>
      <c r="V4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80" spans="1:22" x14ac:dyDescent="0.35">
      <c r="A480" s="7" t="s">
        <v>1632</v>
      </c>
      <c r="B480" s="7" t="s">
        <v>97</v>
      </c>
      <c r="C480" s="5">
        <v>334.89</v>
      </c>
      <c r="D480" s="2">
        <v>0.76612268518510973</v>
      </c>
      <c r="E480" s="4">
        <v>45127</v>
      </c>
      <c r="F480" s="7" t="s">
        <v>17</v>
      </c>
      <c r="G480" s="7" t="s">
        <v>157</v>
      </c>
      <c r="H480" s="7" t="s">
        <v>1633</v>
      </c>
      <c r="I480" s="7" t="s">
        <v>1002</v>
      </c>
      <c r="J480" s="7" t="s">
        <v>143</v>
      </c>
      <c r="K480" s="7" t="s">
        <v>36</v>
      </c>
      <c r="L480" s="8">
        <v>21</v>
      </c>
      <c r="M480" s="7" t="s">
        <v>37</v>
      </c>
      <c r="N480" s="8">
        <v>260</v>
      </c>
      <c r="O480" s="8">
        <v>1</v>
      </c>
      <c r="P480" s="5">
        <v>1661.68</v>
      </c>
      <c r="Q480" s="4">
        <v>45600</v>
      </c>
      <c r="R480" s="9">
        <v>0.33939814814814817</v>
      </c>
      <c r="S480" s="8">
        <v>18</v>
      </c>
      <c r="T480" s="7" t="s">
        <v>4456</v>
      </c>
      <c r="U480" s="7" t="s">
        <v>4455</v>
      </c>
      <c r="V4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81" spans="1:22" x14ac:dyDescent="0.35">
      <c r="A481" s="7" t="s">
        <v>1634</v>
      </c>
      <c r="B481" s="7" t="s">
        <v>1635</v>
      </c>
      <c r="C481" s="5">
        <v>319.27</v>
      </c>
      <c r="D481" s="2">
        <v>0.70700231481168885</v>
      </c>
      <c r="E481" s="4">
        <v>45127</v>
      </c>
      <c r="F481" s="7" t="s">
        <v>46</v>
      </c>
      <c r="G481" s="7" t="s">
        <v>296</v>
      </c>
      <c r="H481" s="7" t="s">
        <v>1636</v>
      </c>
      <c r="I481" s="7" t="s">
        <v>1637</v>
      </c>
      <c r="J481" s="7" t="s">
        <v>1524</v>
      </c>
      <c r="K481" s="7" t="s">
        <v>36</v>
      </c>
      <c r="L481" s="8">
        <v>54</v>
      </c>
      <c r="M481" s="7" t="s">
        <v>70</v>
      </c>
      <c r="N481" s="8">
        <v>59</v>
      </c>
      <c r="O481" s="8">
        <v>1</v>
      </c>
      <c r="P481" s="5">
        <v>5504.01</v>
      </c>
      <c r="Q481" s="4">
        <v>45600</v>
      </c>
      <c r="R481" s="9">
        <v>0.3379050925925926</v>
      </c>
      <c r="S481" s="8">
        <v>16</v>
      </c>
      <c r="T481" s="7" t="s">
        <v>4457</v>
      </c>
      <c r="U481" s="7" t="s">
        <v>4455</v>
      </c>
      <c r="V4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82" spans="1:22" x14ac:dyDescent="0.35">
      <c r="A482" s="7" t="s">
        <v>1638</v>
      </c>
      <c r="B482" s="7" t="s">
        <v>1179</v>
      </c>
      <c r="C482" s="5">
        <v>144.30000000000001</v>
      </c>
      <c r="D482" s="2">
        <v>0.72550925926043419</v>
      </c>
      <c r="E482" s="4">
        <v>45268</v>
      </c>
      <c r="F482" s="7" t="s">
        <v>17</v>
      </c>
      <c r="G482" s="7" t="s">
        <v>53</v>
      </c>
      <c r="H482" s="7" t="s">
        <v>360</v>
      </c>
      <c r="I482" s="7" t="s">
        <v>972</v>
      </c>
      <c r="J482" s="7" t="s">
        <v>474</v>
      </c>
      <c r="K482" s="7" t="s">
        <v>22</v>
      </c>
      <c r="L482" s="8">
        <v>18</v>
      </c>
      <c r="M482" s="7" t="s">
        <v>37</v>
      </c>
      <c r="N482" s="8">
        <v>88</v>
      </c>
      <c r="O482" s="8">
        <v>1</v>
      </c>
      <c r="P482" s="5">
        <v>312.19</v>
      </c>
      <c r="Q482" s="4">
        <v>45600</v>
      </c>
      <c r="R482" s="9">
        <v>0.34072916666666669</v>
      </c>
      <c r="S482" s="8">
        <v>17</v>
      </c>
      <c r="T482" s="7" t="s">
        <v>4456</v>
      </c>
      <c r="U482" s="7" t="s">
        <v>4455</v>
      </c>
      <c r="V4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83" spans="1:22" x14ac:dyDescent="0.35">
      <c r="A483" s="7" t="s">
        <v>1639</v>
      </c>
      <c r="B483" s="7" t="s">
        <v>1457</v>
      </c>
      <c r="C483" s="5">
        <v>348.7</v>
      </c>
      <c r="D483" s="2">
        <v>0.71788194444525288</v>
      </c>
      <c r="E483" s="4">
        <v>45048</v>
      </c>
      <c r="F483" s="7" t="s">
        <v>46</v>
      </c>
      <c r="G483" s="7" t="s">
        <v>558</v>
      </c>
      <c r="H483" s="7" t="s">
        <v>1640</v>
      </c>
      <c r="I483" s="7" t="s">
        <v>1641</v>
      </c>
      <c r="J483" s="7" t="s">
        <v>652</v>
      </c>
      <c r="K483" s="7" t="s">
        <v>69</v>
      </c>
      <c r="L483" s="8">
        <v>69</v>
      </c>
      <c r="M483" s="7" t="s">
        <v>70</v>
      </c>
      <c r="N483" s="8">
        <v>149</v>
      </c>
      <c r="O483" s="8">
        <v>1</v>
      </c>
      <c r="P483" s="5">
        <v>2445.58</v>
      </c>
      <c r="Q483" s="4">
        <v>45600</v>
      </c>
      <c r="R483" s="9">
        <v>0.33817129629629628</v>
      </c>
      <c r="S483" s="8">
        <v>17</v>
      </c>
      <c r="T483" s="7" t="s">
        <v>4454</v>
      </c>
      <c r="U483" s="7" t="s">
        <v>4455</v>
      </c>
      <c r="V4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84" spans="1:22" x14ac:dyDescent="0.35">
      <c r="A484" s="7" t="s">
        <v>1642</v>
      </c>
      <c r="B484" s="7" t="s">
        <v>1151</v>
      </c>
      <c r="C484" s="5">
        <v>366.21</v>
      </c>
      <c r="D484" s="2">
        <v>0.74798611111327773</v>
      </c>
      <c r="E484" s="4">
        <v>44938</v>
      </c>
      <c r="F484" s="7" t="s">
        <v>17</v>
      </c>
      <c r="G484" s="7" t="s">
        <v>53</v>
      </c>
      <c r="H484" s="7" t="s">
        <v>1177</v>
      </c>
      <c r="I484" s="7" t="s">
        <v>699</v>
      </c>
      <c r="J484" s="7" t="s">
        <v>29</v>
      </c>
      <c r="K484" s="7" t="s">
        <v>22</v>
      </c>
      <c r="L484" s="8">
        <v>62</v>
      </c>
      <c r="M484" s="7" t="s">
        <v>23</v>
      </c>
      <c r="N484" s="8">
        <v>181</v>
      </c>
      <c r="O484" s="8">
        <v>1</v>
      </c>
      <c r="P484" s="5">
        <v>10862.99</v>
      </c>
      <c r="Q484" s="4">
        <v>45600</v>
      </c>
      <c r="R484" s="9">
        <v>0.34138888888888891</v>
      </c>
      <c r="S484" s="8">
        <v>17</v>
      </c>
      <c r="T484" s="7" t="s">
        <v>4454</v>
      </c>
      <c r="U484" s="7" t="s">
        <v>4455</v>
      </c>
      <c r="V4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85" spans="1:22" x14ac:dyDescent="0.35">
      <c r="A485" s="7" t="s">
        <v>1643</v>
      </c>
      <c r="B485" s="7" t="s">
        <v>1644</v>
      </c>
      <c r="C485" s="5">
        <v>99.11</v>
      </c>
      <c r="D485" s="2">
        <v>0.70741898148116888</v>
      </c>
      <c r="E485" s="4">
        <v>45047</v>
      </c>
      <c r="F485" s="7" t="s">
        <v>17</v>
      </c>
      <c r="G485" s="7" t="s">
        <v>243</v>
      </c>
      <c r="H485" s="7" t="s">
        <v>1645</v>
      </c>
      <c r="I485" s="7" t="s">
        <v>307</v>
      </c>
      <c r="J485" s="7" t="s">
        <v>21</v>
      </c>
      <c r="K485" s="7" t="s">
        <v>36</v>
      </c>
      <c r="L485" s="8">
        <v>55</v>
      </c>
      <c r="M485" s="7" t="s">
        <v>70</v>
      </c>
      <c r="N485" s="8">
        <v>12</v>
      </c>
      <c r="O485" s="8">
        <v>1</v>
      </c>
      <c r="P485" s="5">
        <v>5414.87</v>
      </c>
      <c r="Q485" s="4">
        <v>45600</v>
      </c>
      <c r="R485" s="9">
        <v>0.33998842592592593</v>
      </c>
      <c r="S485" s="8">
        <v>16</v>
      </c>
      <c r="T485" s="7" t="s">
        <v>4454</v>
      </c>
      <c r="U485" s="7" t="s">
        <v>4455</v>
      </c>
      <c r="V4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86" spans="1:22" x14ac:dyDescent="0.35">
      <c r="A486" s="7" t="s">
        <v>1646</v>
      </c>
      <c r="B486" s="7" t="s">
        <v>1391</v>
      </c>
      <c r="C486" s="5">
        <v>539.35</v>
      </c>
      <c r="D486" s="2">
        <v>0.73252314814453712</v>
      </c>
      <c r="E486" s="4">
        <v>45068</v>
      </c>
      <c r="F486" s="7" t="s">
        <v>17</v>
      </c>
      <c r="G486" s="7" t="s">
        <v>178</v>
      </c>
      <c r="H486" s="7" t="s">
        <v>27</v>
      </c>
      <c r="I486" s="7" t="s">
        <v>696</v>
      </c>
      <c r="J486" s="7" t="s">
        <v>43</v>
      </c>
      <c r="K486" s="7" t="s">
        <v>22</v>
      </c>
      <c r="L486" s="8">
        <v>55</v>
      </c>
      <c r="M486" s="7" t="s">
        <v>70</v>
      </c>
      <c r="N486" s="8">
        <v>127</v>
      </c>
      <c r="O486" s="8">
        <v>1</v>
      </c>
      <c r="P486" s="5">
        <v>3919.44</v>
      </c>
      <c r="Q486" s="4">
        <v>45600</v>
      </c>
      <c r="R486" s="9">
        <v>0.34153935185185186</v>
      </c>
      <c r="S486" s="8">
        <v>17</v>
      </c>
      <c r="T486" s="7" t="s">
        <v>4454</v>
      </c>
      <c r="U486" s="7" t="s">
        <v>4455</v>
      </c>
      <c r="V4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87" spans="1:22" x14ac:dyDescent="0.35">
      <c r="A487" s="7" t="s">
        <v>1647</v>
      </c>
      <c r="B487" s="7" t="s">
        <v>1004</v>
      </c>
      <c r="C487" s="5">
        <v>188.99</v>
      </c>
      <c r="D487" s="2">
        <v>0.69659722222422715</v>
      </c>
      <c r="E487" s="4">
        <v>45085</v>
      </c>
      <c r="F487" s="7" t="s">
        <v>17</v>
      </c>
      <c r="G487" s="7" t="s">
        <v>53</v>
      </c>
      <c r="H487" s="7" t="s">
        <v>960</v>
      </c>
      <c r="I487" s="7" t="s">
        <v>1414</v>
      </c>
      <c r="J487" s="7" t="s">
        <v>149</v>
      </c>
      <c r="K487" s="7" t="s">
        <v>69</v>
      </c>
      <c r="L487" s="8">
        <v>58</v>
      </c>
      <c r="M487" s="7" t="s">
        <v>77</v>
      </c>
      <c r="N487" s="8">
        <v>92</v>
      </c>
      <c r="O487" s="8">
        <v>1</v>
      </c>
      <c r="P487" s="5">
        <v>7315.34</v>
      </c>
      <c r="Q487" s="4">
        <v>45600</v>
      </c>
      <c r="R487" s="9">
        <v>0.33856481481481482</v>
      </c>
      <c r="S487" s="8">
        <v>16</v>
      </c>
      <c r="T487" s="7" t="s">
        <v>4454</v>
      </c>
      <c r="U487" s="7" t="s">
        <v>4455</v>
      </c>
      <c r="V4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88" spans="1:22" x14ac:dyDescent="0.35">
      <c r="A488" s="7" t="s">
        <v>1648</v>
      </c>
      <c r="B488" s="7" t="s">
        <v>1151</v>
      </c>
      <c r="C488" s="5">
        <v>1416.69</v>
      </c>
      <c r="D488" s="2">
        <v>0.708460648151231</v>
      </c>
      <c r="E488" s="4">
        <v>44942</v>
      </c>
      <c r="F488" s="7" t="s">
        <v>17</v>
      </c>
      <c r="G488" s="7" t="s">
        <v>80</v>
      </c>
      <c r="H488" s="7" t="s">
        <v>1649</v>
      </c>
      <c r="I488" s="7" t="s">
        <v>1477</v>
      </c>
      <c r="J488" s="7" t="s">
        <v>21</v>
      </c>
      <c r="K488" s="7" t="s">
        <v>22</v>
      </c>
      <c r="L488" s="8">
        <v>46</v>
      </c>
      <c r="M488" s="7" t="s">
        <v>77</v>
      </c>
      <c r="N488" s="8">
        <v>58</v>
      </c>
      <c r="O488" s="8">
        <v>1</v>
      </c>
      <c r="P488" s="5">
        <v>3740.73</v>
      </c>
      <c r="Q488" s="4">
        <v>45600</v>
      </c>
      <c r="R488" s="9">
        <v>0.34137731481481481</v>
      </c>
      <c r="S488" s="8">
        <v>17</v>
      </c>
      <c r="T488" s="7" t="s">
        <v>4457</v>
      </c>
      <c r="U488" s="7" t="s">
        <v>4455</v>
      </c>
      <c r="V4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89" spans="1:22" x14ac:dyDescent="0.35">
      <c r="A489" s="7" t="s">
        <v>1650</v>
      </c>
      <c r="B489" s="7" t="s">
        <v>16</v>
      </c>
      <c r="C489" s="5">
        <v>710.14</v>
      </c>
      <c r="D489" s="2">
        <v>0.68105324073985685</v>
      </c>
      <c r="E489" s="4">
        <v>44993</v>
      </c>
      <c r="F489" s="7" t="s">
        <v>17</v>
      </c>
      <c r="G489" s="7" t="s">
        <v>506</v>
      </c>
      <c r="H489" s="7" t="s">
        <v>1651</v>
      </c>
      <c r="I489" s="7" t="s">
        <v>1204</v>
      </c>
      <c r="J489" s="7" t="s">
        <v>128</v>
      </c>
      <c r="K489" s="7" t="s">
        <v>22</v>
      </c>
      <c r="L489" s="8">
        <v>26</v>
      </c>
      <c r="M489" s="7" t="s">
        <v>37</v>
      </c>
      <c r="N489" s="8">
        <v>227</v>
      </c>
      <c r="O489" s="8">
        <v>1</v>
      </c>
      <c r="P489" s="5">
        <v>465.63</v>
      </c>
      <c r="Q489" s="4">
        <v>45600</v>
      </c>
      <c r="R489" s="9">
        <v>0.34189814814814817</v>
      </c>
      <c r="S489" s="8">
        <v>16</v>
      </c>
      <c r="T489" s="7" t="s">
        <v>4456</v>
      </c>
      <c r="U489" s="7" t="s">
        <v>4455</v>
      </c>
      <c r="V4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90" spans="1:22" x14ac:dyDescent="0.35">
      <c r="A490" s="7" t="s">
        <v>1652</v>
      </c>
      <c r="B490" s="7" t="s">
        <v>1653</v>
      </c>
      <c r="C490" s="5">
        <v>308.68</v>
      </c>
      <c r="D490" s="2">
        <v>0.71817129629926058</v>
      </c>
      <c r="E490" s="4">
        <v>44984</v>
      </c>
      <c r="F490" s="7" t="s">
        <v>17</v>
      </c>
      <c r="G490" s="7" t="s">
        <v>178</v>
      </c>
      <c r="H490" s="7" t="s">
        <v>1323</v>
      </c>
      <c r="I490" s="7" t="s">
        <v>1208</v>
      </c>
      <c r="J490" s="7" t="s">
        <v>331</v>
      </c>
      <c r="K490" s="7" t="s">
        <v>36</v>
      </c>
      <c r="L490" s="8">
        <v>53</v>
      </c>
      <c r="M490" s="7" t="s">
        <v>23</v>
      </c>
      <c r="N490" s="8">
        <v>170</v>
      </c>
      <c r="O490" s="8">
        <v>1</v>
      </c>
      <c r="P490" s="5">
        <v>9992.36</v>
      </c>
      <c r="Q490" s="4">
        <v>45600</v>
      </c>
      <c r="R490" s="9">
        <v>0.34046296296296297</v>
      </c>
      <c r="S490" s="8">
        <v>17</v>
      </c>
      <c r="T490" s="7" t="s">
        <v>4457</v>
      </c>
      <c r="U490" s="7" t="s">
        <v>4455</v>
      </c>
      <c r="V4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91" spans="1:22" x14ac:dyDescent="0.35">
      <c r="A491" s="7" t="s">
        <v>1654</v>
      </c>
      <c r="B491" s="7" t="s">
        <v>1655</v>
      </c>
      <c r="C491" s="5">
        <v>166.68</v>
      </c>
      <c r="D491" s="2">
        <v>0.78328703704028158</v>
      </c>
      <c r="E491" s="4">
        <v>45012</v>
      </c>
      <c r="F491" s="7" t="s">
        <v>17</v>
      </c>
      <c r="G491" s="7" t="s">
        <v>32</v>
      </c>
      <c r="H491" s="7" t="s">
        <v>1656</v>
      </c>
      <c r="I491" s="7" t="s">
        <v>1657</v>
      </c>
      <c r="J491" s="7" t="s">
        <v>181</v>
      </c>
      <c r="K491" s="7" t="s">
        <v>22</v>
      </c>
      <c r="L491" s="8">
        <v>57</v>
      </c>
      <c r="M491" s="7" t="s">
        <v>70</v>
      </c>
      <c r="N491" s="8">
        <v>139</v>
      </c>
      <c r="O491" s="8">
        <v>1</v>
      </c>
      <c r="P491" s="5">
        <v>5141.1899999999996</v>
      </c>
      <c r="Q491" s="4">
        <v>45600</v>
      </c>
      <c r="R491" s="9">
        <v>0.34188657407407408</v>
      </c>
      <c r="S491" s="8">
        <v>18</v>
      </c>
      <c r="T491" s="7" t="s">
        <v>4454</v>
      </c>
      <c r="U491" s="7" t="s">
        <v>4455</v>
      </c>
      <c r="V4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92" spans="1:22" x14ac:dyDescent="0.35">
      <c r="A492" s="7" t="s">
        <v>1658</v>
      </c>
      <c r="B492" s="7" t="s">
        <v>1659</v>
      </c>
      <c r="C492" s="5">
        <v>0.99</v>
      </c>
      <c r="D492" s="2">
        <v>0.70502314814802958</v>
      </c>
      <c r="E492" s="4">
        <v>45182</v>
      </c>
      <c r="F492" s="7" t="s">
        <v>17</v>
      </c>
      <c r="G492" s="7" t="s">
        <v>140</v>
      </c>
      <c r="H492" s="7" t="s">
        <v>823</v>
      </c>
      <c r="I492" s="7" t="s">
        <v>199</v>
      </c>
      <c r="J492" s="7" t="s">
        <v>175</v>
      </c>
      <c r="K492" s="7" t="s">
        <v>22</v>
      </c>
      <c r="L492" s="8">
        <v>45</v>
      </c>
      <c r="M492" s="7" t="s">
        <v>77</v>
      </c>
      <c r="N492" s="8">
        <v>133</v>
      </c>
      <c r="O492" s="8">
        <v>1</v>
      </c>
      <c r="P492" s="5">
        <v>4317.8500000000004</v>
      </c>
      <c r="Q492" s="4">
        <v>45600</v>
      </c>
      <c r="R492" s="9">
        <v>0.3397222222222222</v>
      </c>
      <c r="S492" s="8">
        <v>16</v>
      </c>
      <c r="T492" s="7" t="s">
        <v>4457</v>
      </c>
      <c r="U492" s="7" t="s">
        <v>4455</v>
      </c>
      <c r="V4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93" spans="1:22" x14ac:dyDescent="0.35">
      <c r="A493" s="7" t="s">
        <v>1660</v>
      </c>
      <c r="B493" s="7" t="s">
        <v>545</v>
      </c>
      <c r="C493" s="5">
        <v>505.19</v>
      </c>
      <c r="D493" s="2">
        <v>0.68407407407357823</v>
      </c>
      <c r="E493" s="4">
        <v>44999</v>
      </c>
      <c r="F493" s="7" t="s">
        <v>17</v>
      </c>
      <c r="G493" s="7" t="s">
        <v>291</v>
      </c>
      <c r="H493" s="7" t="s">
        <v>1498</v>
      </c>
      <c r="I493" s="7" t="s">
        <v>251</v>
      </c>
      <c r="J493" s="7" t="s">
        <v>282</v>
      </c>
      <c r="K493" s="7" t="s">
        <v>22</v>
      </c>
      <c r="L493" s="8">
        <v>30</v>
      </c>
      <c r="M493" s="7" t="s">
        <v>23</v>
      </c>
      <c r="N493" s="8">
        <v>128</v>
      </c>
      <c r="O493" s="8">
        <v>5</v>
      </c>
      <c r="P493" s="5">
        <v>5326.68</v>
      </c>
      <c r="Q493" s="4">
        <v>45600</v>
      </c>
      <c r="R493" s="9">
        <v>0.34049768518518519</v>
      </c>
      <c r="S493" s="8">
        <v>16</v>
      </c>
      <c r="T493" s="7" t="s">
        <v>4456</v>
      </c>
      <c r="U493" s="7" t="s">
        <v>4458</v>
      </c>
      <c r="V4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94" spans="1:22" x14ac:dyDescent="0.35">
      <c r="A494" s="7" t="s">
        <v>1661</v>
      </c>
      <c r="B494" s="7" t="s">
        <v>1620</v>
      </c>
      <c r="C494" s="5">
        <v>66.58</v>
      </c>
      <c r="D494" s="2">
        <v>0.71299768518656492</v>
      </c>
      <c r="E494" s="4">
        <v>45264</v>
      </c>
      <c r="F494" s="7" t="s">
        <v>17</v>
      </c>
      <c r="G494" s="7" t="s">
        <v>40</v>
      </c>
      <c r="H494" s="7" t="s">
        <v>990</v>
      </c>
      <c r="I494" s="7" t="s">
        <v>1474</v>
      </c>
      <c r="J494" s="7" t="s">
        <v>143</v>
      </c>
      <c r="K494" s="7" t="s">
        <v>69</v>
      </c>
      <c r="L494" s="8">
        <v>23</v>
      </c>
      <c r="M494" s="7" t="s">
        <v>37</v>
      </c>
      <c r="N494" s="8">
        <v>79</v>
      </c>
      <c r="O494" s="8">
        <v>1</v>
      </c>
      <c r="P494" s="5">
        <v>1636.32</v>
      </c>
      <c r="Q494" s="4">
        <v>45600</v>
      </c>
      <c r="R494" s="9">
        <v>0.33944444444444444</v>
      </c>
      <c r="S494" s="8">
        <v>17</v>
      </c>
      <c r="T494" s="7" t="s">
        <v>4456</v>
      </c>
      <c r="U494" s="7" t="s">
        <v>4455</v>
      </c>
      <c r="V4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95" spans="1:22" x14ac:dyDescent="0.35">
      <c r="A495" s="7" t="s">
        <v>1662</v>
      </c>
      <c r="B495" s="7" t="s">
        <v>509</v>
      </c>
      <c r="C495" s="5">
        <v>223.43</v>
      </c>
      <c r="D495" s="2">
        <v>0.74979166666889796</v>
      </c>
      <c r="E495" s="4">
        <v>44965</v>
      </c>
      <c r="F495" s="7" t="s">
        <v>17</v>
      </c>
      <c r="G495" s="7" t="s">
        <v>323</v>
      </c>
      <c r="H495" s="7" t="s">
        <v>1328</v>
      </c>
      <c r="I495" s="7" t="s">
        <v>325</v>
      </c>
      <c r="J495" s="7" t="s">
        <v>50</v>
      </c>
      <c r="K495" s="7" t="s">
        <v>69</v>
      </c>
      <c r="L495" s="8">
        <v>77</v>
      </c>
      <c r="M495" s="7" t="s">
        <v>70</v>
      </c>
      <c r="N495" s="8">
        <v>178</v>
      </c>
      <c r="O495" s="8">
        <v>1</v>
      </c>
      <c r="P495" s="5">
        <v>7932.41</v>
      </c>
      <c r="Q495" s="4">
        <v>45600</v>
      </c>
      <c r="R495" s="9">
        <v>0.34002314814814816</v>
      </c>
      <c r="S495" s="8">
        <v>17</v>
      </c>
      <c r="T495" s="7" t="s">
        <v>4454</v>
      </c>
      <c r="U495" s="7" t="s">
        <v>4455</v>
      </c>
      <c r="V4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496" spans="1:22" x14ac:dyDescent="0.35">
      <c r="A496" s="7" t="s">
        <v>1663</v>
      </c>
      <c r="B496" s="7" t="s">
        <v>569</v>
      </c>
      <c r="C496" s="5">
        <v>659.95</v>
      </c>
      <c r="D496" s="2">
        <v>0.70815972222044365</v>
      </c>
      <c r="E496" s="4">
        <v>45189</v>
      </c>
      <c r="F496" s="7" t="s">
        <v>17</v>
      </c>
      <c r="G496" s="7" t="s">
        <v>73</v>
      </c>
      <c r="H496" s="7" t="s">
        <v>1664</v>
      </c>
      <c r="I496" s="7" t="s">
        <v>1665</v>
      </c>
      <c r="J496" s="7" t="s">
        <v>252</v>
      </c>
      <c r="K496" s="7" t="s">
        <v>36</v>
      </c>
      <c r="L496" s="8">
        <v>60</v>
      </c>
      <c r="M496" s="7" t="s">
        <v>77</v>
      </c>
      <c r="N496" s="8">
        <v>114</v>
      </c>
      <c r="O496" s="8">
        <v>1</v>
      </c>
      <c r="P496" s="5">
        <v>3927.69</v>
      </c>
      <c r="Q496" s="4">
        <v>45600</v>
      </c>
      <c r="R496" s="9">
        <v>0.33780092592592592</v>
      </c>
      <c r="S496" s="8">
        <v>16</v>
      </c>
      <c r="T496" s="7" t="s">
        <v>4454</v>
      </c>
      <c r="U496" s="7" t="s">
        <v>4455</v>
      </c>
      <c r="V4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97" spans="1:22" x14ac:dyDescent="0.35">
      <c r="A497" s="7" t="s">
        <v>1666</v>
      </c>
      <c r="B497" s="7" t="s">
        <v>1438</v>
      </c>
      <c r="C497" s="5">
        <v>634.86</v>
      </c>
      <c r="D497" s="2">
        <v>0.68674768518394558</v>
      </c>
      <c r="E497" s="4">
        <v>45148</v>
      </c>
      <c r="F497" s="7" t="s">
        <v>17</v>
      </c>
      <c r="G497" s="7" t="s">
        <v>265</v>
      </c>
      <c r="H497" s="7" t="s">
        <v>1214</v>
      </c>
      <c r="I497" s="7" t="s">
        <v>1667</v>
      </c>
      <c r="J497" s="7" t="s">
        <v>35</v>
      </c>
      <c r="K497" s="7" t="s">
        <v>22</v>
      </c>
      <c r="L497" s="8">
        <v>27</v>
      </c>
      <c r="M497" s="7" t="s">
        <v>37</v>
      </c>
      <c r="N497" s="8">
        <v>45</v>
      </c>
      <c r="O497" s="8">
        <v>1</v>
      </c>
      <c r="P497" s="5">
        <v>588.5</v>
      </c>
      <c r="Q497" s="4">
        <v>45600</v>
      </c>
      <c r="R497" s="9">
        <v>0.33888888888888891</v>
      </c>
      <c r="S497" s="8">
        <v>16</v>
      </c>
      <c r="T497" s="7" t="s">
        <v>4456</v>
      </c>
      <c r="U497" s="7" t="s">
        <v>4455</v>
      </c>
      <c r="V4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98" spans="1:22" x14ac:dyDescent="0.35">
      <c r="A498" s="7" t="s">
        <v>1668</v>
      </c>
      <c r="B498" s="7" t="s">
        <v>660</v>
      </c>
      <c r="C498" s="5">
        <v>286.5</v>
      </c>
      <c r="D498" s="2">
        <v>0.70699074074218515</v>
      </c>
      <c r="E498" s="4">
        <v>45222</v>
      </c>
      <c r="F498" s="7" t="s">
        <v>46</v>
      </c>
      <c r="G498" s="7" t="s">
        <v>388</v>
      </c>
      <c r="H498" s="7" t="s">
        <v>1362</v>
      </c>
      <c r="I498" s="7" t="s">
        <v>1669</v>
      </c>
      <c r="J498" s="7" t="s">
        <v>348</v>
      </c>
      <c r="K498" s="7" t="s">
        <v>69</v>
      </c>
      <c r="L498" s="8">
        <v>30</v>
      </c>
      <c r="M498" s="7" t="s">
        <v>77</v>
      </c>
      <c r="N498" s="8">
        <v>60</v>
      </c>
      <c r="O498" s="8">
        <v>1</v>
      </c>
      <c r="P498" s="5">
        <v>8517.9500000000007</v>
      </c>
      <c r="Q498" s="4">
        <v>45600</v>
      </c>
      <c r="R498" s="9">
        <v>0.33978009259259262</v>
      </c>
      <c r="S498" s="8">
        <v>16</v>
      </c>
      <c r="T498" s="7" t="s">
        <v>4456</v>
      </c>
      <c r="U498" s="7" t="s">
        <v>4455</v>
      </c>
      <c r="V4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499" spans="1:22" x14ac:dyDescent="0.35">
      <c r="A499" s="7" t="s">
        <v>1670</v>
      </c>
      <c r="B499" s="7" t="s">
        <v>1433</v>
      </c>
      <c r="C499" s="5">
        <v>322.95999999999998</v>
      </c>
      <c r="D499" s="2">
        <v>0.68148148147884058</v>
      </c>
      <c r="E499" s="4">
        <v>45257</v>
      </c>
      <c r="F499" s="7" t="s">
        <v>46</v>
      </c>
      <c r="G499" s="7" t="s">
        <v>243</v>
      </c>
      <c r="H499" s="7" t="s">
        <v>1671</v>
      </c>
      <c r="I499" s="7" t="s">
        <v>1055</v>
      </c>
      <c r="J499" s="7" t="s">
        <v>450</v>
      </c>
      <c r="K499" s="7" t="s">
        <v>69</v>
      </c>
      <c r="L499" s="8">
        <v>76</v>
      </c>
      <c r="M499" s="7" t="s">
        <v>70</v>
      </c>
      <c r="N499" s="8">
        <v>168</v>
      </c>
      <c r="O499" s="8">
        <v>1</v>
      </c>
      <c r="P499" s="5">
        <v>2401.59</v>
      </c>
      <c r="Q499" s="4">
        <v>45600</v>
      </c>
      <c r="R499" s="9">
        <v>0.34125</v>
      </c>
      <c r="S499" s="8">
        <v>16</v>
      </c>
      <c r="T499" s="7" t="s">
        <v>4454</v>
      </c>
      <c r="U499" s="7" t="s">
        <v>4455</v>
      </c>
      <c r="V4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0" spans="1:22" x14ac:dyDescent="0.35">
      <c r="A500" s="7" t="s">
        <v>1672</v>
      </c>
      <c r="B500" s="7" t="s">
        <v>1673</v>
      </c>
      <c r="C500" s="5">
        <v>654.48</v>
      </c>
      <c r="D500" s="2">
        <v>0.69243055555853061</v>
      </c>
      <c r="E500" s="4">
        <v>45145</v>
      </c>
      <c r="F500" s="7" t="s">
        <v>17</v>
      </c>
      <c r="G500" s="7" t="s">
        <v>125</v>
      </c>
      <c r="H500" s="7" t="s">
        <v>1406</v>
      </c>
      <c r="I500" s="7" t="s">
        <v>1674</v>
      </c>
      <c r="J500" s="7" t="s">
        <v>478</v>
      </c>
      <c r="K500" s="7" t="s">
        <v>69</v>
      </c>
      <c r="L500" s="8">
        <v>19</v>
      </c>
      <c r="M500" s="7" t="s">
        <v>37</v>
      </c>
      <c r="N500" s="8">
        <v>114</v>
      </c>
      <c r="O500" s="8">
        <v>1</v>
      </c>
      <c r="P500" s="5">
        <v>6776.41</v>
      </c>
      <c r="Q500" s="4">
        <v>45600</v>
      </c>
      <c r="R500" s="9">
        <v>0.34047453703703706</v>
      </c>
      <c r="S500" s="8">
        <v>16</v>
      </c>
      <c r="T500" s="7" t="s">
        <v>4456</v>
      </c>
      <c r="U500" s="7" t="s">
        <v>4455</v>
      </c>
      <c r="V5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1" spans="1:22" x14ac:dyDescent="0.35">
      <c r="A501" s="7" t="s">
        <v>1675</v>
      </c>
      <c r="B501" s="7" t="s">
        <v>350</v>
      </c>
      <c r="C501" s="5">
        <v>157.97</v>
      </c>
      <c r="D501" s="2">
        <v>0.66725694444176042</v>
      </c>
      <c r="E501" s="4">
        <v>45098</v>
      </c>
      <c r="F501" s="7" t="s">
        <v>17</v>
      </c>
      <c r="G501" s="7" t="s">
        <v>243</v>
      </c>
      <c r="H501" s="7" t="s">
        <v>637</v>
      </c>
      <c r="I501" s="7" t="s">
        <v>1676</v>
      </c>
      <c r="J501" s="7" t="s">
        <v>35</v>
      </c>
      <c r="K501" s="7" t="s">
        <v>69</v>
      </c>
      <c r="L501" s="8">
        <v>48</v>
      </c>
      <c r="M501" s="7" t="s">
        <v>23</v>
      </c>
      <c r="N501" s="8">
        <v>140</v>
      </c>
      <c r="O501" s="8">
        <v>1</v>
      </c>
      <c r="P501" s="5">
        <v>5529.92</v>
      </c>
      <c r="Q501" s="4">
        <v>45600</v>
      </c>
      <c r="R501" s="9">
        <v>0.34034722222222225</v>
      </c>
      <c r="S501" s="8">
        <v>16</v>
      </c>
      <c r="T501" s="7" t="s">
        <v>4457</v>
      </c>
      <c r="U501" s="7" t="s">
        <v>4455</v>
      </c>
      <c r="V5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2" spans="1:22" x14ac:dyDescent="0.35">
      <c r="A502" s="7" t="s">
        <v>1677</v>
      </c>
      <c r="B502" s="7" t="s">
        <v>1678</v>
      </c>
      <c r="C502" s="5">
        <v>120.9</v>
      </c>
      <c r="D502" s="2">
        <v>0.67878472222218988</v>
      </c>
      <c r="E502" s="4">
        <v>45119</v>
      </c>
      <c r="F502" s="7" t="s">
        <v>17</v>
      </c>
      <c r="G502" s="7" t="s">
        <v>255</v>
      </c>
      <c r="H502" s="7" t="s">
        <v>1645</v>
      </c>
      <c r="I502" s="7" t="s">
        <v>1414</v>
      </c>
      <c r="J502" s="7" t="s">
        <v>226</v>
      </c>
      <c r="K502" s="7" t="s">
        <v>69</v>
      </c>
      <c r="L502" s="8">
        <v>40</v>
      </c>
      <c r="M502" s="7" t="s">
        <v>23</v>
      </c>
      <c r="N502" s="8">
        <v>52</v>
      </c>
      <c r="O502" s="8">
        <v>1</v>
      </c>
      <c r="P502" s="5">
        <v>9009.42</v>
      </c>
      <c r="Q502" s="4">
        <v>45600</v>
      </c>
      <c r="R502" s="9">
        <v>0.33910879629629631</v>
      </c>
      <c r="S502" s="8">
        <v>16</v>
      </c>
      <c r="T502" s="7" t="s">
        <v>4457</v>
      </c>
      <c r="U502" s="7" t="s">
        <v>4455</v>
      </c>
      <c r="V5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3" spans="1:22" x14ac:dyDescent="0.35">
      <c r="A503" s="7" t="s">
        <v>1679</v>
      </c>
      <c r="B503" s="7" t="s">
        <v>604</v>
      </c>
      <c r="C503" s="5">
        <v>254.77</v>
      </c>
      <c r="D503" s="2">
        <v>0.69964120370423188</v>
      </c>
      <c r="E503" s="4">
        <v>44944</v>
      </c>
      <c r="F503" s="7" t="s">
        <v>17</v>
      </c>
      <c r="G503" s="7" t="s">
        <v>114</v>
      </c>
      <c r="H503" s="7" t="s">
        <v>1680</v>
      </c>
      <c r="I503" s="7" t="s">
        <v>1669</v>
      </c>
      <c r="J503" s="7" t="s">
        <v>1000</v>
      </c>
      <c r="K503" s="7" t="s">
        <v>69</v>
      </c>
      <c r="L503" s="8">
        <v>57</v>
      </c>
      <c r="M503" s="7" t="s">
        <v>77</v>
      </c>
      <c r="N503" s="8">
        <v>57</v>
      </c>
      <c r="O503" s="8">
        <v>1</v>
      </c>
      <c r="P503" s="5">
        <v>5994.87</v>
      </c>
      <c r="Q503" s="4">
        <v>45600</v>
      </c>
      <c r="R503" s="9">
        <v>0.33827546296296296</v>
      </c>
      <c r="S503" s="8">
        <v>16</v>
      </c>
      <c r="T503" s="7" t="s">
        <v>4454</v>
      </c>
      <c r="U503" s="7" t="s">
        <v>4455</v>
      </c>
      <c r="V5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4" spans="1:22" x14ac:dyDescent="0.35">
      <c r="A504" s="7" t="s">
        <v>1681</v>
      </c>
      <c r="B504" s="7" t="s">
        <v>1682</v>
      </c>
      <c r="C504" s="5">
        <v>795.96</v>
      </c>
      <c r="D504" s="2">
        <v>0.74563657407270512</v>
      </c>
      <c r="E504" s="4">
        <v>45197</v>
      </c>
      <c r="F504" s="7" t="s">
        <v>17</v>
      </c>
      <c r="G504" s="7" t="s">
        <v>40</v>
      </c>
      <c r="H504" s="7" t="s">
        <v>1302</v>
      </c>
      <c r="I504" s="7" t="s">
        <v>1683</v>
      </c>
      <c r="J504" s="7" t="s">
        <v>240</v>
      </c>
      <c r="K504" s="7" t="s">
        <v>36</v>
      </c>
      <c r="L504" s="8">
        <v>65</v>
      </c>
      <c r="M504" s="7" t="s">
        <v>70</v>
      </c>
      <c r="N504" s="8">
        <v>119</v>
      </c>
      <c r="O504" s="8">
        <v>1</v>
      </c>
      <c r="P504" s="5">
        <v>5468.58</v>
      </c>
      <c r="Q504" s="4">
        <v>45600</v>
      </c>
      <c r="R504" s="9">
        <v>0.33918981481481481</v>
      </c>
      <c r="S504" s="8">
        <v>17</v>
      </c>
      <c r="T504" s="7" t="s">
        <v>4454</v>
      </c>
      <c r="U504" s="7" t="s">
        <v>4455</v>
      </c>
      <c r="V5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05" spans="1:22" x14ac:dyDescent="0.35">
      <c r="A505" s="7" t="s">
        <v>1684</v>
      </c>
      <c r="B505" s="7" t="s">
        <v>1536</v>
      </c>
      <c r="C505" s="5">
        <v>149.25</v>
      </c>
      <c r="D505" s="2">
        <v>0.69357638889050577</v>
      </c>
      <c r="E505" s="4">
        <v>45026</v>
      </c>
      <c r="F505" s="7" t="s">
        <v>17</v>
      </c>
      <c r="G505" s="7" t="s">
        <v>296</v>
      </c>
      <c r="H505" s="7" t="s">
        <v>1685</v>
      </c>
      <c r="I505" s="7" t="s">
        <v>1686</v>
      </c>
      <c r="J505" s="7" t="s">
        <v>652</v>
      </c>
      <c r="K505" s="7" t="s">
        <v>22</v>
      </c>
      <c r="L505" s="8">
        <v>39</v>
      </c>
      <c r="M505" s="7" t="s">
        <v>77</v>
      </c>
      <c r="N505" s="8">
        <v>142</v>
      </c>
      <c r="O505" s="8">
        <v>1</v>
      </c>
      <c r="P505" s="5">
        <v>5677.52</v>
      </c>
      <c r="Q505" s="4">
        <v>45600</v>
      </c>
      <c r="R505" s="9">
        <v>0.3386689814814815</v>
      </c>
      <c r="S505" s="8">
        <v>16</v>
      </c>
      <c r="T505" s="7" t="s">
        <v>4457</v>
      </c>
      <c r="U505" s="7" t="s">
        <v>4455</v>
      </c>
      <c r="V5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6" spans="1:22" x14ac:dyDescent="0.35">
      <c r="A506" s="7" t="s">
        <v>1687</v>
      </c>
      <c r="B506" s="7" t="s">
        <v>1688</v>
      </c>
      <c r="C506" s="5">
        <v>3.42</v>
      </c>
      <c r="D506" s="2">
        <v>0.67679398148175096</v>
      </c>
      <c r="E506" s="4">
        <v>45194</v>
      </c>
      <c r="F506" s="7" t="s">
        <v>46</v>
      </c>
      <c r="G506" s="7" t="s">
        <v>237</v>
      </c>
      <c r="H506" s="7" t="s">
        <v>1115</v>
      </c>
      <c r="I506" s="7" t="s">
        <v>1689</v>
      </c>
      <c r="J506" s="7" t="s">
        <v>186</v>
      </c>
      <c r="K506" s="7" t="s">
        <v>36</v>
      </c>
      <c r="L506" s="8">
        <v>43</v>
      </c>
      <c r="M506" s="7" t="s">
        <v>23</v>
      </c>
      <c r="N506" s="8">
        <v>158</v>
      </c>
      <c r="O506" s="8">
        <v>1</v>
      </c>
      <c r="P506" s="5">
        <v>14180.21</v>
      </c>
      <c r="Q506" s="4">
        <v>45600</v>
      </c>
      <c r="R506" s="9">
        <v>0.33944444444444444</v>
      </c>
      <c r="S506" s="8">
        <v>16</v>
      </c>
      <c r="T506" s="7" t="s">
        <v>4457</v>
      </c>
      <c r="U506" s="7" t="s">
        <v>4455</v>
      </c>
      <c r="V5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7" spans="1:22" x14ac:dyDescent="0.35">
      <c r="A507" s="7" t="s">
        <v>1690</v>
      </c>
      <c r="B507" s="7" t="s">
        <v>151</v>
      </c>
      <c r="C507" s="5">
        <v>68.19</v>
      </c>
      <c r="D507" s="2">
        <v>0.67189814814628335</v>
      </c>
      <c r="E507" s="4">
        <v>44999</v>
      </c>
      <c r="F507" s="7" t="s">
        <v>46</v>
      </c>
      <c r="G507" s="7" t="s">
        <v>558</v>
      </c>
      <c r="H507" s="7" t="s">
        <v>93</v>
      </c>
      <c r="I507" s="7" t="s">
        <v>208</v>
      </c>
      <c r="J507" s="7" t="s">
        <v>607</v>
      </c>
      <c r="K507" s="7" t="s">
        <v>36</v>
      </c>
      <c r="L507" s="8">
        <v>40</v>
      </c>
      <c r="M507" s="7" t="s">
        <v>23</v>
      </c>
      <c r="N507" s="8">
        <v>189</v>
      </c>
      <c r="O507" s="8">
        <v>1</v>
      </c>
      <c r="P507" s="5">
        <v>9895.1</v>
      </c>
      <c r="Q507" s="4">
        <v>45600</v>
      </c>
      <c r="R507" s="9">
        <v>0.33877314814814813</v>
      </c>
      <c r="S507" s="8">
        <v>16</v>
      </c>
      <c r="T507" s="7" t="s">
        <v>4457</v>
      </c>
      <c r="U507" s="7" t="s">
        <v>4455</v>
      </c>
      <c r="V5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08" spans="1:22" x14ac:dyDescent="0.35">
      <c r="A508" s="7" t="s">
        <v>1691</v>
      </c>
      <c r="B508" s="7" t="s">
        <v>1357</v>
      </c>
      <c r="C508" s="5">
        <v>493.42</v>
      </c>
      <c r="D508" s="2">
        <v>0.72328703703533392</v>
      </c>
      <c r="E508" s="4">
        <v>45091</v>
      </c>
      <c r="F508" s="7" t="s">
        <v>17</v>
      </c>
      <c r="G508" s="7" t="s">
        <v>197</v>
      </c>
      <c r="H508" s="7" t="s">
        <v>1692</v>
      </c>
      <c r="I508" s="7" t="s">
        <v>921</v>
      </c>
      <c r="J508" s="7" t="s">
        <v>137</v>
      </c>
      <c r="K508" s="7" t="s">
        <v>69</v>
      </c>
      <c r="L508" s="8">
        <v>39</v>
      </c>
      <c r="M508" s="7" t="s">
        <v>77</v>
      </c>
      <c r="N508" s="8">
        <v>111</v>
      </c>
      <c r="O508" s="8">
        <v>1</v>
      </c>
      <c r="P508" s="5">
        <v>2232.84</v>
      </c>
      <c r="Q508" s="4">
        <v>45600</v>
      </c>
      <c r="R508" s="9">
        <v>0.34028935185185183</v>
      </c>
      <c r="S508" s="8">
        <v>17</v>
      </c>
      <c r="T508" s="7" t="s">
        <v>4457</v>
      </c>
      <c r="U508" s="7" t="s">
        <v>4455</v>
      </c>
      <c r="V5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09" spans="1:22" x14ac:dyDescent="0.35">
      <c r="A509" s="7" t="s">
        <v>1693</v>
      </c>
      <c r="B509" s="7" t="s">
        <v>1694</v>
      </c>
      <c r="C509" s="5">
        <v>37.57</v>
      </c>
      <c r="D509" s="2">
        <v>0.7748842592627625</v>
      </c>
      <c r="E509" s="4">
        <v>45042</v>
      </c>
      <c r="F509" s="7" t="s">
        <v>17</v>
      </c>
      <c r="G509" s="7" t="s">
        <v>506</v>
      </c>
      <c r="H509" s="7" t="s">
        <v>1622</v>
      </c>
      <c r="I509" s="7" t="s">
        <v>257</v>
      </c>
      <c r="J509" s="7" t="s">
        <v>122</v>
      </c>
      <c r="K509" s="7" t="s">
        <v>22</v>
      </c>
      <c r="L509" s="8">
        <v>57</v>
      </c>
      <c r="M509" s="7" t="s">
        <v>70</v>
      </c>
      <c r="N509" s="8">
        <v>42</v>
      </c>
      <c r="O509" s="8">
        <v>1</v>
      </c>
      <c r="P509" s="5">
        <v>7739.54</v>
      </c>
      <c r="Q509" s="4">
        <v>45600</v>
      </c>
      <c r="R509" s="9">
        <v>0.33982638888888889</v>
      </c>
      <c r="S509" s="8">
        <v>18</v>
      </c>
      <c r="T509" s="7" t="s">
        <v>4454</v>
      </c>
      <c r="U509" s="7" t="s">
        <v>4455</v>
      </c>
      <c r="V5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10" spans="1:22" x14ac:dyDescent="0.35">
      <c r="A510" s="7" t="s">
        <v>1695</v>
      </c>
      <c r="B510" s="7" t="s">
        <v>1696</v>
      </c>
      <c r="C510" s="5">
        <v>127</v>
      </c>
      <c r="D510" s="2">
        <v>0.71505787037312984</v>
      </c>
      <c r="E510" s="4">
        <v>45184</v>
      </c>
      <c r="F510" s="7" t="s">
        <v>46</v>
      </c>
      <c r="G510" s="7" t="s">
        <v>80</v>
      </c>
      <c r="H510" s="7" t="s">
        <v>1697</v>
      </c>
      <c r="I510" s="7" t="s">
        <v>1698</v>
      </c>
      <c r="J510" s="7" t="s">
        <v>21</v>
      </c>
      <c r="K510" s="7" t="s">
        <v>69</v>
      </c>
      <c r="L510" s="8">
        <v>19</v>
      </c>
      <c r="M510" s="7" t="s">
        <v>37</v>
      </c>
      <c r="N510" s="8">
        <v>68</v>
      </c>
      <c r="O510" s="8">
        <v>5</v>
      </c>
      <c r="P510" s="5">
        <v>431.16</v>
      </c>
      <c r="Q510" s="4">
        <v>45600</v>
      </c>
      <c r="R510" s="9">
        <v>0.34041666666666665</v>
      </c>
      <c r="S510" s="8">
        <v>17</v>
      </c>
      <c r="T510" s="7" t="s">
        <v>4456</v>
      </c>
      <c r="U510" s="7" t="s">
        <v>4458</v>
      </c>
      <c r="V5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11" spans="1:22" x14ac:dyDescent="0.35">
      <c r="A511" s="7" t="s">
        <v>1699</v>
      </c>
      <c r="B511" s="7" t="s">
        <v>1700</v>
      </c>
      <c r="C511" s="5">
        <v>96.89</v>
      </c>
      <c r="D511" s="2">
        <v>0.66806712962716119</v>
      </c>
      <c r="E511" s="4">
        <v>45001</v>
      </c>
      <c r="F511" s="7" t="s">
        <v>17</v>
      </c>
      <c r="G511" s="7" t="s">
        <v>285</v>
      </c>
      <c r="H511" s="7" t="s">
        <v>393</v>
      </c>
      <c r="I511" s="7" t="s">
        <v>1701</v>
      </c>
      <c r="J511" s="7" t="s">
        <v>262</v>
      </c>
      <c r="K511" s="7" t="s">
        <v>22</v>
      </c>
      <c r="L511" s="8">
        <v>59</v>
      </c>
      <c r="M511" s="7" t="s">
        <v>70</v>
      </c>
      <c r="N511" s="8">
        <v>53</v>
      </c>
      <c r="O511" s="8">
        <v>1</v>
      </c>
      <c r="P511" s="5">
        <v>6044.93</v>
      </c>
      <c r="Q511" s="4">
        <v>45600</v>
      </c>
      <c r="R511" s="9">
        <v>0.34104166666666669</v>
      </c>
      <c r="S511" s="8">
        <v>16</v>
      </c>
      <c r="T511" s="7" t="s">
        <v>4454</v>
      </c>
      <c r="U511" s="7" t="s">
        <v>4455</v>
      </c>
      <c r="V5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12" spans="1:22" x14ac:dyDescent="0.35">
      <c r="A512" s="7" t="s">
        <v>1702</v>
      </c>
      <c r="B512" s="7" t="s">
        <v>1703</v>
      </c>
      <c r="C512" s="5">
        <v>448.33</v>
      </c>
      <c r="D512" s="2">
        <v>0.67495370370306773</v>
      </c>
      <c r="E512" s="4">
        <v>45047</v>
      </c>
      <c r="F512" s="7" t="s">
        <v>17</v>
      </c>
      <c r="G512" s="7" t="s">
        <v>47</v>
      </c>
      <c r="H512" s="7" t="s">
        <v>1704</v>
      </c>
      <c r="I512" s="7" t="s">
        <v>1705</v>
      </c>
      <c r="J512" s="7" t="s">
        <v>1000</v>
      </c>
      <c r="K512" s="7" t="s">
        <v>22</v>
      </c>
      <c r="L512" s="8">
        <v>25</v>
      </c>
      <c r="M512" s="7" t="s">
        <v>37</v>
      </c>
      <c r="N512" s="8">
        <v>161</v>
      </c>
      <c r="O512" s="8">
        <v>1</v>
      </c>
      <c r="P512" s="5">
        <v>922.19</v>
      </c>
      <c r="Q512" s="4">
        <v>45600</v>
      </c>
      <c r="R512" s="9">
        <v>0.34009259259259261</v>
      </c>
      <c r="S512" s="8">
        <v>16</v>
      </c>
      <c r="T512" s="7" t="s">
        <v>4456</v>
      </c>
      <c r="U512" s="7" t="s">
        <v>4455</v>
      </c>
      <c r="V5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13" spans="1:22" x14ac:dyDescent="0.35">
      <c r="A513" s="7" t="s">
        <v>1706</v>
      </c>
      <c r="B513" s="7" t="s">
        <v>1707</v>
      </c>
      <c r="C513" s="5">
        <v>1116.48</v>
      </c>
      <c r="D513" s="2">
        <v>0.73946759258979</v>
      </c>
      <c r="E513" s="4">
        <v>45187</v>
      </c>
      <c r="F513" s="7" t="s">
        <v>17</v>
      </c>
      <c r="G513" s="7" t="s">
        <v>18</v>
      </c>
      <c r="H513" s="7" t="s">
        <v>1708</v>
      </c>
      <c r="I513" s="7" t="s">
        <v>1104</v>
      </c>
      <c r="J513" s="7" t="s">
        <v>100</v>
      </c>
      <c r="K513" s="7" t="s">
        <v>22</v>
      </c>
      <c r="L513" s="8">
        <v>51</v>
      </c>
      <c r="M513" s="7" t="s">
        <v>77</v>
      </c>
      <c r="N513" s="8">
        <v>55</v>
      </c>
      <c r="O513" s="8">
        <v>1</v>
      </c>
      <c r="P513" s="5">
        <v>447.53</v>
      </c>
      <c r="Q513" s="4">
        <v>45600</v>
      </c>
      <c r="R513" s="9">
        <v>0.34137731481481481</v>
      </c>
      <c r="S513" s="8">
        <v>17</v>
      </c>
      <c r="T513" s="7" t="s">
        <v>4457</v>
      </c>
      <c r="U513" s="7" t="s">
        <v>4455</v>
      </c>
      <c r="V5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14" spans="1:22" x14ac:dyDescent="0.35">
      <c r="A514" s="7" t="s">
        <v>1709</v>
      </c>
      <c r="B514" s="7" t="s">
        <v>1710</v>
      </c>
      <c r="C514" s="5">
        <v>8.65</v>
      </c>
      <c r="D514" s="2">
        <v>0.71431712962657912</v>
      </c>
      <c r="E514" s="4">
        <v>45082</v>
      </c>
      <c r="F514" s="7" t="s">
        <v>17</v>
      </c>
      <c r="G514" s="7" t="s">
        <v>146</v>
      </c>
      <c r="H514" s="7" t="s">
        <v>109</v>
      </c>
      <c r="I514" s="7" t="s">
        <v>1414</v>
      </c>
      <c r="J514" s="7" t="s">
        <v>980</v>
      </c>
      <c r="K514" s="7" t="s">
        <v>36</v>
      </c>
      <c r="L514" s="8">
        <v>48</v>
      </c>
      <c r="M514" s="7" t="s">
        <v>23</v>
      </c>
      <c r="N514" s="8">
        <v>273</v>
      </c>
      <c r="O514" s="8">
        <v>1</v>
      </c>
      <c r="P514" s="5">
        <v>10778.35</v>
      </c>
      <c r="Q514" s="4">
        <v>45600</v>
      </c>
      <c r="R514" s="9">
        <v>0.33961805555555558</v>
      </c>
      <c r="S514" s="8">
        <v>17</v>
      </c>
      <c r="T514" s="7" t="s">
        <v>4457</v>
      </c>
      <c r="U514" s="7" t="s">
        <v>4455</v>
      </c>
      <c r="V5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15" spans="1:22" x14ac:dyDescent="0.35">
      <c r="A515" s="7" t="s">
        <v>1711</v>
      </c>
      <c r="B515" s="7" t="s">
        <v>1712</v>
      </c>
      <c r="C515" s="5">
        <v>65.569999999999993</v>
      </c>
      <c r="D515" s="2">
        <v>0.7251851851833635</v>
      </c>
      <c r="E515" s="4">
        <v>45022</v>
      </c>
      <c r="F515" s="7" t="s">
        <v>17</v>
      </c>
      <c r="G515" s="7" t="s">
        <v>172</v>
      </c>
      <c r="H515" s="7" t="s">
        <v>1713</v>
      </c>
      <c r="I515" s="7" t="s">
        <v>320</v>
      </c>
      <c r="J515" s="7" t="s">
        <v>137</v>
      </c>
      <c r="K515" s="7" t="s">
        <v>36</v>
      </c>
      <c r="L515" s="8">
        <v>41</v>
      </c>
      <c r="M515" s="7" t="s">
        <v>77</v>
      </c>
      <c r="N515" s="8">
        <v>82</v>
      </c>
      <c r="O515" s="8">
        <v>1</v>
      </c>
      <c r="P515" s="5">
        <v>7513.79</v>
      </c>
      <c r="Q515" s="4">
        <v>45600</v>
      </c>
      <c r="R515" s="9">
        <v>0.33780092592592592</v>
      </c>
      <c r="S515" s="8">
        <v>17</v>
      </c>
      <c r="T515" s="7" t="s">
        <v>4457</v>
      </c>
      <c r="U515" s="7" t="s">
        <v>4455</v>
      </c>
      <c r="V5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16" spans="1:22" x14ac:dyDescent="0.35">
      <c r="A516" s="7" t="s">
        <v>1714</v>
      </c>
      <c r="B516" s="7" t="s">
        <v>1715</v>
      </c>
      <c r="C516" s="5">
        <v>539.80999999999995</v>
      </c>
      <c r="D516" s="2">
        <v>0.67657407407386927</v>
      </c>
      <c r="E516" s="4">
        <v>44978</v>
      </c>
      <c r="F516" s="7" t="s">
        <v>17</v>
      </c>
      <c r="G516" s="7" t="s">
        <v>212</v>
      </c>
      <c r="H516" s="7" t="s">
        <v>1716</v>
      </c>
      <c r="I516" s="7" t="s">
        <v>1717</v>
      </c>
      <c r="J516" s="7" t="s">
        <v>331</v>
      </c>
      <c r="K516" s="7" t="s">
        <v>36</v>
      </c>
      <c r="L516" s="8">
        <v>46</v>
      </c>
      <c r="M516" s="7" t="s">
        <v>77</v>
      </c>
      <c r="N516" s="8">
        <v>177</v>
      </c>
      <c r="O516" s="8">
        <v>1</v>
      </c>
      <c r="P516" s="5">
        <v>2051.25</v>
      </c>
      <c r="Q516" s="4">
        <v>45600</v>
      </c>
      <c r="R516" s="9">
        <v>0.33964120370370371</v>
      </c>
      <c r="S516" s="8">
        <v>16</v>
      </c>
      <c r="T516" s="7" t="s">
        <v>4457</v>
      </c>
      <c r="U516" s="7" t="s">
        <v>4455</v>
      </c>
      <c r="V5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17" spans="1:22" x14ac:dyDescent="0.35">
      <c r="A517" s="7" t="s">
        <v>1718</v>
      </c>
      <c r="B517" s="7" t="s">
        <v>242</v>
      </c>
      <c r="C517" s="5">
        <v>363.53</v>
      </c>
      <c r="D517" s="2">
        <v>0.711041666669189</v>
      </c>
      <c r="E517" s="4">
        <v>44944</v>
      </c>
      <c r="F517" s="7" t="s">
        <v>17</v>
      </c>
      <c r="G517" s="7" t="s">
        <v>291</v>
      </c>
      <c r="H517" s="7" t="s">
        <v>1719</v>
      </c>
      <c r="I517" s="7" t="s">
        <v>208</v>
      </c>
      <c r="J517" s="7" t="s">
        <v>1524</v>
      </c>
      <c r="K517" s="7" t="s">
        <v>22</v>
      </c>
      <c r="L517" s="8">
        <v>63</v>
      </c>
      <c r="M517" s="7" t="s">
        <v>70</v>
      </c>
      <c r="N517" s="8">
        <v>142</v>
      </c>
      <c r="O517" s="8">
        <v>1</v>
      </c>
      <c r="P517" s="5">
        <v>1038.9100000000001</v>
      </c>
      <c r="Q517" s="4">
        <v>45600</v>
      </c>
      <c r="R517" s="9">
        <v>0.3409375</v>
      </c>
      <c r="S517" s="8">
        <v>17</v>
      </c>
      <c r="T517" s="7" t="s">
        <v>4454</v>
      </c>
      <c r="U517" s="7" t="s">
        <v>4455</v>
      </c>
      <c r="V5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18" spans="1:22" x14ac:dyDescent="0.35">
      <c r="A518" s="7" t="s">
        <v>1720</v>
      </c>
      <c r="B518" s="7" t="s">
        <v>578</v>
      </c>
      <c r="C518" s="5">
        <v>64.900000000000006</v>
      </c>
      <c r="D518" s="2">
        <v>0.68309027778013842</v>
      </c>
      <c r="E518" s="4">
        <v>44971</v>
      </c>
      <c r="F518" s="7" t="s">
        <v>46</v>
      </c>
      <c r="G518" s="7" t="s">
        <v>73</v>
      </c>
      <c r="H518" s="7" t="s">
        <v>1721</v>
      </c>
      <c r="I518" s="7" t="s">
        <v>1722</v>
      </c>
      <c r="J518" s="7" t="s">
        <v>169</v>
      </c>
      <c r="K518" s="7" t="s">
        <v>69</v>
      </c>
      <c r="L518" s="8">
        <v>51</v>
      </c>
      <c r="M518" s="7" t="s">
        <v>70</v>
      </c>
      <c r="N518" s="8">
        <v>72</v>
      </c>
      <c r="O518" s="8">
        <v>1</v>
      </c>
      <c r="P518" s="5">
        <v>6854.61</v>
      </c>
      <c r="Q518" s="4">
        <v>45600</v>
      </c>
      <c r="R518" s="9">
        <v>0.3404861111111111</v>
      </c>
      <c r="S518" s="8">
        <v>16</v>
      </c>
      <c r="T518" s="7" t="s">
        <v>4457</v>
      </c>
      <c r="U518" s="7" t="s">
        <v>4455</v>
      </c>
      <c r="V5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19" spans="1:22" x14ac:dyDescent="0.35">
      <c r="A519" s="7" t="s">
        <v>1723</v>
      </c>
      <c r="B519" s="7" t="s">
        <v>1561</v>
      </c>
      <c r="C519" s="5">
        <v>358.18</v>
      </c>
      <c r="D519" s="2">
        <v>0.697824074071832</v>
      </c>
      <c r="E519" s="4">
        <v>45026</v>
      </c>
      <c r="F519" s="7" t="s">
        <v>17</v>
      </c>
      <c r="G519" s="7" t="s">
        <v>388</v>
      </c>
      <c r="H519" s="7" t="s">
        <v>1724</v>
      </c>
      <c r="I519" s="7" t="s">
        <v>1725</v>
      </c>
      <c r="J519" s="7" t="s">
        <v>165</v>
      </c>
      <c r="K519" s="7" t="s">
        <v>22</v>
      </c>
      <c r="L519" s="8">
        <v>18</v>
      </c>
      <c r="M519" s="7" t="s">
        <v>37</v>
      </c>
      <c r="N519" s="8">
        <v>157</v>
      </c>
      <c r="O519" s="8">
        <v>1</v>
      </c>
      <c r="P519" s="5">
        <v>619.86</v>
      </c>
      <c r="Q519" s="4">
        <v>45600</v>
      </c>
      <c r="R519" s="9">
        <v>0.33886574074074072</v>
      </c>
      <c r="S519" s="8">
        <v>16</v>
      </c>
      <c r="T519" s="7" t="s">
        <v>4456</v>
      </c>
      <c r="U519" s="7" t="s">
        <v>4455</v>
      </c>
      <c r="V5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20" spans="1:22" x14ac:dyDescent="0.35">
      <c r="A520" s="7" t="s">
        <v>1726</v>
      </c>
      <c r="B520" s="7" t="s">
        <v>1193</v>
      </c>
      <c r="C520" s="5">
        <v>167.2</v>
      </c>
      <c r="D520" s="2">
        <v>0.74556712962657912</v>
      </c>
      <c r="E520" s="4">
        <v>44944</v>
      </c>
      <c r="F520" s="7" t="s">
        <v>17</v>
      </c>
      <c r="G520" s="7" t="s">
        <v>237</v>
      </c>
      <c r="H520" s="7" t="s">
        <v>1727</v>
      </c>
      <c r="I520" s="7" t="s">
        <v>1728</v>
      </c>
      <c r="J520" s="7" t="s">
        <v>308</v>
      </c>
      <c r="K520" s="7" t="s">
        <v>69</v>
      </c>
      <c r="L520" s="8">
        <v>30</v>
      </c>
      <c r="M520" s="7" t="s">
        <v>23</v>
      </c>
      <c r="N520" s="8">
        <v>84</v>
      </c>
      <c r="O520" s="8">
        <v>1</v>
      </c>
      <c r="P520" s="5">
        <v>11320.83</v>
      </c>
      <c r="Q520" s="4">
        <v>45600</v>
      </c>
      <c r="R520" s="9">
        <v>0.33810185185185188</v>
      </c>
      <c r="S520" s="8">
        <v>17</v>
      </c>
      <c r="T520" s="7" t="s">
        <v>4456</v>
      </c>
      <c r="U520" s="7" t="s">
        <v>4455</v>
      </c>
      <c r="V5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21" spans="1:22" x14ac:dyDescent="0.35">
      <c r="A521" s="7" t="s">
        <v>1729</v>
      </c>
      <c r="B521" s="7" t="s">
        <v>145</v>
      </c>
      <c r="C521" s="5">
        <v>121.91</v>
      </c>
      <c r="D521" s="2">
        <v>0.77768518518860219</v>
      </c>
      <c r="E521" s="4">
        <v>45103</v>
      </c>
      <c r="F521" s="7" t="s">
        <v>17</v>
      </c>
      <c r="G521" s="7" t="s">
        <v>265</v>
      </c>
      <c r="H521" s="7" t="s">
        <v>1548</v>
      </c>
      <c r="I521" s="7" t="s">
        <v>1055</v>
      </c>
      <c r="J521" s="7" t="s">
        <v>21</v>
      </c>
      <c r="K521" s="7" t="s">
        <v>69</v>
      </c>
      <c r="L521" s="8">
        <v>60</v>
      </c>
      <c r="M521" s="7" t="s">
        <v>23</v>
      </c>
      <c r="N521" s="8">
        <v>133</v>
      </c>
      <c r="O521" s="8">
        <v>1</v>
      </c>
      <c r="P521" s="5">
        <v>14510.8</v>
      </c>
      <c r="Q521" s="4">
        <v>45600</v>
      </c>
      <c r="R521" s="9">
        <v>0.33957175925925925</v>
      </c>
      <c r="S521" s="8">
        <v>18</v>
      </c>
      <c r="T521" s="7" t="s">
        <v>4454</v>
      </c>
      <c r="U521" s="7" t="s">
        <v>4455</v>
      </c>
      <c r="V5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22" spans="1:22" x14ac:dyDescent="0.35">
      <c r="A522" s="7" t="s">
        <v>1730</v>
      </c>
      <c r="B522" s="7" t="s">
        <v>442</v>
      </c>
      <c r="C522" s="5">
        <v>137.57</v>
      </c>
      <c r="D522" s="2">
        <v>0.72664351851562969</v>
      </c>
      <c r="E522" s="4">
        <v>45271</v>
      </c>
      <c r="F522" s="7" t="s">
        <v>17</v>
      </c>
      <c r="G522" s="7" t="s">
        <v>108</v>
      </c>
      <c r="H522" s="7" t="s">
        <v>1731</v>
      </c>
      <c r="I522" s="7" t="s">
        <v>1732</v>
      </c>
      <c r="J522" s="7" t="s">
        <v>652</v>
      </c>
      <c r="K522" s="7" t="s">
        <v>36</v>
      </c>
      <c r="L522" s="8">
        <v>54</v>
      </c>
      <c r="M522" s="7" t="s">
        <v>77</v>
      </c>
      <c r="N522" s="8">
        <v>70</v>
      </c>
      <c r="O522" s="8">
        <v>1</v>
      </c>
      <c r="P522" s="5">
        <v>5103.67</v>
      </c>
      <c r="Q522" s="4">
        <v>45600</v>
      </c>
      <c r="R522" s="9">
        <v>0.34122685185185186</v>
      </c>
      <c r="S522" s="8">
        <v>17</v>
      </c>
      <c r="T522" s="7" t="s">
        <v>4457</v>
      </c>
      <c r="U522" s="7" t="s">
        <v>4455</v>
      </c>
      <c r="V5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23" spans="1:22" x14ac:dyDescent="0.35">
      <c r="A523" s="7" t="s">
        <v>1733</v>
      </c>
      <c r="B523" s="7" t="s">
        <v>968</v>
      </c>
      <c r="C523" s="5">
        <v>534.62</v>
      </c>
      <c r="D523" s="2">
        <v>0.74407407407124992</v>
      </c>
      <c r="E523" s="4">
        <v>45265</v>
      </c>
      <c r="F523" s="7" t="s">
        <v>17</v>
      </c>
      <c r="G523" s="7" t="s">
        <v>53</v>
      </c>
      <c r="H523" s="7" t="s">
        <v>1734</v>
      </c>
      <c r="I523" s="7" t="s">
        <v>956</v>
      </c>
      <c r="J523" s="7" t="s">
        <v>83</v>
      </c>
      <c r="K523" s="7" t="s">
        <v>36</v>
      </c>
      <c r="L523" s="8">
        <v>55</v>
      </c>
      <c r="M523" s="7" t="s">
        <v>23</v>
      </c>
      <c r="N523" s="8">
        <v>45</v>
      </c>
      <c r="O523" s="8">
        <v>1</v>
      </c>
      <c r="P523" s="5">
        <v>13793.53</v>
      </c>
      <c r="Q523" s="4">
        <v>45600</v>
      </c>
      <c r="R523" s="9">
        <v>0.3379050925925926</v>
      </c>
      <c r="S523" s="8">
        <v>17</v>
      </c>
      <c r="T523" s="7" t="s">
        <v>4454</v>
      </c>
      <c r="U523" s="7" t="s">
        <v>4455</v>
      </c>
      <c r="V5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24" spans="1:22" x14ac:dyDescent="0.35">
      <c r="A524" s="7" t="s">
        <v>1735</v>
      </c>
      <c r="B524" s="7" t="s">
        <v>1736</v>
      </c>
      <c r="C524" s="5">
        <v>463.92</v>
      </c>
      <c r="D524" s="2">
        <v>0.695277777776937</v>
      </c>
      <c r="E524" s="4">
        <v>44998</v>
      </c>
      <c r="F524" s="7" t="s">
        <v>17</v>
      </c>
      <c r="G524" s="7" t="s">
        <v>32</v>
      </c>
      <c r="H524" s="7" t="s">
        <v>1737</v>
      </c>
      <c r="I524" s="7" t="s">
        <v>1467</v>
      </c>
      <c r="J524" s="7" t="s">
        <v>752</v>
      </c>
      <c r="K524" s="7" t="s">
        <v>36</v>
      </c>
      <c r="L524" s="8">
        <v>50</v>
      </c>
      <c r="M524" s="7" t="s">
        <v>77</v>
      </c>
      <c r="N524" s="8">
        <v>199</v>
      </c>
      <c r="O524" s="8">
        <v>1</v>
      </c>
      <c r="P524" s="5">
        <v>2403.39</v>
      </c>
      <c r="Q524" s="4">
        <v>45600</v>
      </c>
      <c r="R524" s="9">
        <v>0.33974537037037039</v>
      </c>
      <c r="S524" s="8">
        <v>16</v>
      </c>
      <c r="T524" s="7" t="s">
        <v>4457</v>
      </c>
      <c r="U524" s="7" t="s">
        <v>4455</v>
      </c>
      <c r="V5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25" spans="1:22" x14ac:dyDescent="0.35">
      <c r="A525" s="7" t="s">
        <v>1738</v>
      </c>
      <c r="B525" s="7" t="s">
        <v>1739</v>
      </c>
      <c r="C525" s="5">
        <v>320.14</v>
      </c>
      <c r="D525" s="2">
        <v>0.70743055555794854</v>
      </c>
      <c r="E525" s="4">
        <v>44957</v>
      </c>
      <c r="F525" s="7" t="s">
        <v>17</v>
      </c>
      <c r="G525" s="7" t="s">
        <v>178</v>
      </c>
      <c r="H525" s="7" t="s">
        <v>461</v>
      </c>
      <c r="I525" s="7" t="s">
        <v>1740</v>
      </c>
      <c r="J525" s="7" t="s">
        <v>1037</v>
      </c>
      <c r="K525" s="7" t="s">
        <v>36</v>
      </c>
      <c r="L525" s="8">
        <v>60</v>
      </c>
      <c r="M525" s="7" t="s">
        <v>70</v>
      </c>
      <c r="N525" s="8">
        <v>96</v>
      </c>
      <c r="O525" s="8">
        <v>1</v>
      </c>
      <c r="P525" s="5">
        <v>3075.97</v>
      </c>
      <c r="Q525" s="4">
        <v>45600</v>
      </c>
      <c r="R525" s="9">
        <v>0.33865740740740741</v>
      </c>
      <c r="S525" s="8">
        <v>16</v>
      </c>
      <c r="T525" s="7" t="s">
        <v>4454</v>
      </c>
      <c r="U525" s="7" t="s">
        <v>4455</v>
      </c>
      <c r="V5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26" spans="1:22" x14ac:dyDescent="0.35">
      <c r="A526" s="7" t="s">
        <v>1741</v>
      </c>
      <c r="B526" s="7" t="s">
        <v>581</v>
      </c>
      <c r="C526" s="5">
        <v>214.93</v>
      </c>
      <c r="D526" s="2">
        <v>0.70989583332993789</v>
      </c>
      <c r="E526" s="4">
        <v>45061</v>
      </c>
      <c r="F526" s="7" t="s">
        <v>17</v>
      </c>
      <c r="G526" s="7" t="s">
        <v>86</v>
      </c>
      <c r="H526" s="7" t="s">
        <v>233</v>
      </c>
      <c r="I526" s="7" t="s">
        <v>1742</v>
      </c>
      <c r="J526" s="7" t="s">
        <v>858</v>
      </c>
      <c r="K526" s="7" t="s">
        <v>36</v>
      </c>
      <c r="L526" s="8">
        <v>28</v>
      </c>
      <c r="M526" s="7" t="s">
        <v>37</v>
      </c>
      <c r="N526" s="8">
        <v>52</v>
      </c>
      <c r="O526" s="8">
        <v>1</v>
      </c>
      <c r="P526" s="5">
        <v>7835.4</v>
      </c>
      <c r="Q526" s="4">
        <v>45600</v>
      </c>
      <c r="R526" s="9">
        <v>0.33947916666666667</v>
      </c>
      <c r="S526" s="8">
        <v>17</v>
      </c>
      <c r="T526" s="7" t="s">
        <v>4456</v>
      </c>
      <c r="U526" s="7" t="s">
        <v>4455</v>
      </c>
      <c r="V5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27" spans="1:22" x14ac:dyDescent="0.35">
      <c r="A527" s="7" t="s">
        <v>1743</v>
      </c>
      <c r="B527" s="7" t="s">
        <v>188</v>
      </c>
      <c r="C527" s="5">
        <v>660.02</v>
      </c>
      <c r="D527" s="2">
        <v>0.70666666666511446</v>
      </c>
      <c r="E527" s="4">
        <v>45211</v>
      </c>
      <c r="F527" s="7" t="s">
        <v>17</v>
      </c>
      <c r="G527" s="7" t="s">
        <v>80</v>
      </c>
      <c r="H527" s="7" t="s">
        <v>319</v>
      </c>
      <c r="I527" s="7" t="s">
        <v>542</v>
      </c>
      <c r="J527" s="7" t="s">
        <v>200</v>
      </c>
      <c r="K527" s="7" t="s">
        <v>69</v>
      </c>
      <c r="L527" s="8">
        <v>20</v>
      </c>
      <c r="M527" s="7" t="s">
        <v>37</v>
      </c>
      <c r="N527" s="8">
        <v>84</v>
      </c>
      <c r="O527" s="8">
        <v>1</v>
      </c>
      <c r="P527" s="5">
        <v>414.43</v>
      </c>
      <c r="Q527" s="4">
        <v>45600</v>
      </c>
      <c r="R527" s="9">
        <v>0.33929398148148149</v>
      </c>
      <c r="S527" s="8">
        <v>16</v>
      </c>
      <c r="T527" s="7" t="s">
        <v>4456</v>
      </c>
      <c r="U527" s="7" t="s">
        <v>4455</v>
      </c>
      <c r="V5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28" spans="1:22" x14ac:dyDescent="0.35">
      <c r="A528" s="7" t="s">
        <v>1744</v>
      </c>
      <c r="B528" s="7" t="s">
        <v>1745</v>
      </c>
      <c r="C528" s="5">
        <v>345.81</v>
      </c>
      <c r="D528" s="2">
        <v>0.67427083333313931</v>
      </c>
      <c r="E528" s="4">
        <v>45103</v>
      </c>
      <c r="F528" s="7" t="s">
        <v>17</v>
      </c>
      <c r="G528" s="7" t="s">
        <v>40</v>
      </c>
      <c r="H528" s="7" t="s">
        <v>987</v>
      </c>
      <c r="I528" s="7" t="s">
        <v>159</v>
      </c>
      <c r="J528" s="7" t="s">
        <v>514</v>
      </c>
      <c r="K528" s="7" t="s">
        <v>69</v>
      </c>
      <c r="L528" s="8">
        <v>40</v>
      </c>
      <c r="M528" s="7" t="s">
        <v>77</v>
      </c>
      <c r="N528" s="8">
        <v>135</v>
      </c>
      <c r="O528" s="8">
        <v>1</v>
      </c>
      <c r="P528" s="5">
        <v>6116.8</v>
      </c>
      <c r="Q528" s="4">
        <v>45600</v>
      </c>
      <c r="R528" s="9">
        <v>0.34182870370370372</v>
      </c>
      <c r="S528" s="8">
        <v>16</v>
      </c>
      <c r="T528" s="7" t="s">
        <v>4457</v>
      </c>
      <c r="U528" s="7" t="s">
        <v>4455</v>
      </c>
      <c r="V5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29" spans="1:22" x14ac:dyDescent="0.35">
      <c r="A529" s="7" t="s">
        <v>1746</v>
      </c>
      <c r="B529" s="7" t="s">
        <v>1747</v>
      </c>
      <c r="C529" s="5">
        <v>143.54</v>
      </c>
      <c r="D529" s="2">
        <v>0.67089120370656019</v>
      </c>
      <c r="E529" s="4">
        <v>45215</v>
      </c>
      <c r="F529" s="7" t="s">
        <v>17</v>
      </c>
      <c r="G529" s="7" t="s">
        <v>243</v>
      </c>
      <c r="H529" s="7" t="s">
        <v>126</v>
      </c>
      <c r="I529" s="7" t="s">
        <v>1204</v>
      </c>
      <c r="J529" s="7" t="s">
        <v>1287</v>
      </c>
      <c r="K529" s="7" t="s">
        <v>22</v>
      </c>
      <c r="L529" s="8">
        <v>71</v>
      </c>
      <c r="M529" s="7" t="s">
        <v>70</v>
      </c>
      <c r="N529" s="8">
        <v>80</v>
      </c>
      <c r="O529" s="8">
        <v>1</v>
      </c>
      <c r="P529" s="5">
        <v>6067.62</v>
      </c>
      <c r="Q529" s="4">
        <v>45600</v>
      </c>
      <c r="R529" s="9">
        <v>0.33914351851851854</v>
      </c>
      <c r="S529" s="8">
        <v>16</v>
      </c>
      <c r="T529" s="7" t="s">
        <v>4454</v>
      </c>
      <c r="U529" s="7" t="s">
        <v>4455</v>
      </c>
      <c r="V5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30" spans="1:22" x14ac:dyDescent="0.35">
      <c r="A530" s="7" t="s">
        <v>1748</v>
      </c>
      <c r="B530" s="7" t="s">
        <v>889</v>
      </c>
      <c r="C530" s="5">
        <v>42.55</v>
      </c>
      <c r="D530" s="2">
        <v>0.78971064814686542</v>
      </c>
      <c r="E530" s="4">
        <v>45016</v>
      </c>
      <c r="F530" s="7" t="s">
        <v>17</v>
      </c>
      <c r="G530" s="7" t="s">
        <v>59</v>
      </c>
      <c r="H530" s="7" t="s">
        <v>1749</v>
      </c>
      <c r="I530" s="7" t="s">
        <v>897</v>
      </c>
      <c r="J530" s="7" t="s">
        <v>759</v>
      </c>
      <c r="K530" s="7" t="s">
        <v>69</v>
      </c>
      <c r="L530" s="8">
        <v>53</v>
      </c>
      <c r="M530" s="7" t="s">
        <v>77</v>
      </c>
      <c r="N530" s="8">
        <v>29</v>
      </c>
      <c r="O530" s="8">
        <v>1</v>
      </c>
      <c r="P530" s="5">
        <v>7341.43</v>
      </c>
      <c r="Q530" s="4">
        <v>45600</v>
      </c>
      <c r="R530" s="9">
        <v>0.34064814814814814</v>
      </c>
      <c r="S530" s="8">
        <v>18</v>
      </c>
      <c r="T530" s="7" t="s">
        <v>4457</v>
      </c>
      <c r="U530" s="7" t="s">
        <v>4455</v>
      </c>
      <c r="V5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31" spans="1:22" x14ac:dyDescent="0.35">
      <c r="A531" s="7" t="s">
        <v>1750</v>
      </c>
      <c r="B531" s="7" t="s">
        <v>396</v>
      </c>
      <c r="C531" s="5">
        <v>1063.25</v>
      </c>
      <c r="D531" s="2">
        <v>0.70011574074305827</v>
      </c>
      <c r="E531" s="4">
        <v>44943</v>
      </c>
      <c r="F531" s="7" t="s">
        <v>46</v>
      </c>
      <c r="G531" s="7" t="s">
        <v>296</v>
      </c>
      <c r="H531" s="7" t="s">
        <v>947</v>
      </c>
      <c r="I531" s="7" t="s">
        <v>1751</v>
      </c>
      <c r="J531" s="7" t="s">
        <v>272</v>
      </c>
      <c r="K531" s="7" t="s">
        <v>36</v>
      </c>
      <c r="L531" s="8">
        <v>21</v>
      </c>
      <c r="M531" s="7" t="s">
        <v>37</v>
      </c>
      <c r="N531" s="8">
        <v>128</v>
      </c>
      <c r="O531" s="8">
        <v>1</v>
      </c>
      <c r="P531" s="5">
        <v>1240.71</v>
      </c>
      <c r="Q531" s="4">
        <v>45600</v>
      </c>
      <c r="R531" s="9">
        <v>0.33864583333333331</v>
      </c>
      <c r="S531" s="8">
        <v>16</v>
      </c>
      <c r="T531" s="7" t="s">
        <v>4456</v>
      </c>
      <c r="U531" s="7" t="s">
        <v>4455</v>
      </c>
      <c r="V5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32" spans="1:22" x14ac:dyDescent="0.35">
      <c r="A532" s="7" t="s">
        <v>1752</v>
      </c>
      <c r="B532" s="7" t="s">
        <v>1753</v>
      </c>
      <c r="C532" s="5">
        <v>541.79</v>
      </c>
      <c r="D532" s="2">
        <v>0.69704861110949423</v>
      </c>
      <c r="E532" s="4">
        <v>45149</v>
      </c>
      <c r="F532" s="7" t="s">
        <v>17</v>
      </c>
      <c r="G532" s="7" t="s">
        <v>32</v>
      </c>
      <c r="H532" s="7" t="s">
        <v>1754</v>
      </c>
      <c r="I532" s="7" t="s">
        <v>1443</v>
      </c>
      <c r="J532" s="7" t="s">
        <v>634</v>
      </c>
      <c r="K532" s="7" t="s">
        <v>22</v>
      </c>
      <c r="L532" s="8">
        <v>22</v>
      </c>
      <c r="M532" s="7" t="s">
        <v>37</v>
      </c>
      <c r="N532" s="8">
        <v>125</v>
      </c>
      <c r="O532" s="8">
        <v>1</v>
      </c>
      <c r="P532" s="5">
        <v>1454.08</v>
      </c>
      <c r="Q532" s="4">
        <v>45600</v>
      </c>
      <c r="R532" s="9">
        <v>0.34130787037037036</v>
      </c>
      <c r="S532" s="8">
        <v>16</v>
      </c>
      <c r="T532" s="7" t="s">
        <v>4456</v>
      </c>
      <c r="U532" s="7" t="s">
        <v>4455</v>
      </c>
      <c r="V5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33" spans="1:22" x14ac:dyDescent="0.35">
      <c r="A533" s="7" t="s">
        <v>1755</v>
      </c>
      <c r="B533" s="7" t="s">
        <v>1125</v>
      </c>
      <c r="C533" s="5">
        <v>40.57</v>
      </c>
      <c r="D533" s="2">
        <v>0.71003472222218988</v>
      </c>
      <c r="E533" s="4">
        <v>44970</v>
      </c>
      <c r="F533" s="7" t="s">
        <v>17</v>
      </c>
      <c r="G533" s="7" t="s">
        <v>125</v>
      </c>
      <c r="H533" s="7" t="s">
        <v>19</v>
      </c>
      <c r="I533" s="7" t="s">
        <v>1318</v>
      </c>
      <c r="J533" s="7" t="s">
        <v>1287</v>
      </c>
      <c r="K533" s="7" t="s">
        <v>69</v>
      </c>
      <c r="L533" s="8">
        <v>26</v>
      </c>
      <c r="M533" s="7" t="s">
        <v>37</v>
      </c>
      <c r="N533" s="8">
        <v>63</v>
      </c>
      <c r="O533" s="8">
        <v>1</v>
      </c>
      <c r="P533" s="5">
        <v>1476.91</v>
      </c>
      <c r="Q533" s="4">
        <v>45600</v>
      </c>
      <c r="R533" s="9">
        <v>0.33792824074074074</v>
      </c>
      <c r="S533" s="8">
        <v>17</v>
      </c>
      <c r="T533" s="7" t="s">
        <v>4456</v>
      </c>
      <c r="U533" s="7" t="s">
        <v>4455</v>
      </c>
      <c r="V5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34" spans="1:22" x14ac:dyDescent="0.35">
      <c r="A534" s="7" t="s">
        <v>1756</v>
      </c>
      <c r="B534" s="7" t="s">
        <v>804</v>
      </c>
      <c r="C534" s="5">
        <v>120.24</v>
      </c>
      <c r="D534" s="2">
        <v>0.70303240740759065</v>
      </c>
      <c r="E534" s="4">
        <v>45166</v>
      </c>
      <c r="F534" s="7" t="s">
        <v>17</v>
      </c>
      <c r="G534" s="7" t="s">
        <v>178</v>
      </c>
      <c r="H534" s="7" t="s">
        <v>1757</v>
      </c>
      <c r="I534" s="7" t="s">
        <v>230</v>
      </c>
      <c r="J534" s="7" t="s">
        <v>343</v>
      </c>
      <c r="K534" s="7" t="s">
        <v>69</v>
      </c>
      <c r="L534" s="8">
        <v>18</v>
      </c>
      <c r="M534" s="7" t="s">
        <v>37</v>
      </c>
      <c r="N534" s="8">
        <v>131</v>
      </c>
      <c r="O534" s="8">
        <v>2</v>
      </c>
      <c r="P534" s="5">
        <v>1943.13</v>
      </c>
      <c r="Q534" s="4">
        <v>45600</v>
      </c>
      <c r="R534" s="9">
        <v>0.33912037037037035</v>
      </c>
      <c r="S534" s="8">
        <v>16</v>
      </c>
      <c r="T534" s="7" t="s">
        <v>4456</v>
      </c>
      <c r="U534" s="7" t="s">
        <v>4458</v>
      </c>
      <c r="V5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35" spans="1:22" x14ac:dyDescent="0.35">
      <c r="A535" s="7" t="s">
        <v>1758</v>
      </c>
      <c r="B535" s="7" t="s">
        <v>460</v>
      </c>
      <c r="C535" s="5">
        <v>498.67</v>
      </c>
      <c r="D535" s="2">
        <v>0.68012731481576338</v>
      </c>
      <c r="E535" s="4">
        <v>45265</v>
      </c>
      <c r="F535" s="7" t="s">
        <v>17</v>
      </c>
      <c r="G535" s="7" t="s">
        <v>172</v>
      </c>
      <c r="H535" s="7" t="s">
        <v>74</v>
      </c>
      <c r="I535" s="7" t="s">
        <v>1163</v>
      </c>
      <c r="J535" s="7" t="s">
        <v>308</v>
      </c>
      <c r="K535" s="7" t="s">
        <v>36</v>
      </c>
      <c r="L535" s="8">
        <v>28</v>
      </c>
      <c r="M535" s="7" t="s">
        <v>37</v>
      </c>
      <c r="N535" s="8">
        <v>244</v>
      </c>
      <c r="O535" s="8">
        <v>1</v>
      </c>
      <c r="P535" s="5">
        <v>1719.97</v>
      </c>
      <c r="Q535" s="4">
        <v>45600</v>
      </c>
      <c r="R535" s="9">
        <v>0.33916666666666667</v>
      </c>
      <c r="S535" s="8">
        <v>16</v>
      </c>
      <c r="T535" s="7" t="s">
        <v>4456</v>
      </c>
      <c r="U535" s="7" t="s">
        <v>4455</v>
      </c>
      <c r="V5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36" spans="1:22" x14ac:dyDescent="0.35">
      <c r="A536" s="7" t="s">
        <v>1759</v>
      </c>
      <c r="B536" s="7" t="s">
        <v>1760</v>
      </c>
      <c r="C536" s="5">
        <v>227.22</v>
      </c>
      <c r="D536" s="2">
        <v>0.78615740740497131</v>
      </c>
      <c r="E536" s="4">
        <v>45012</v>
      </c>
      <c r="F536" s="7" t="s">
        <v>17</v>
      </c>
      <c r="G536" s="7" t="s">
        <v>506</v>
      </c>
      <c r="H536" s="7" t="s">
        <v>1761</v>
      </c>
      <c r="I536" s="7" t="s">
        <v>1325</v>
      </c>
      <c r="J536" s="7" t="s">
        <v>226</v>
      </c>
      <c r="K536" s="7" t="s">
        <v>22</v>
      </c>
      <c r="L536" s="8">
        <v>53</v>
      </c>
      <c r="M536" s="7" t="s">
        <v>23</v>
      </c>
      <c r="N536" s="8">
        <v>220</v>
      </c>
      <c r="O536" s="8">
        <v>1</v>
      </c>
      <c r="P536" s="5">
        <v>832.82</v>
      </c>
      <c r="Q536" s="4">
        <v>45600</v>
      </c>
      <c r="R536" s="9">
        <v>0.34162037037037035</v>
      </c>
      <c r="S536" s="8">
        <v>18</v>
      </c>
      <c r="T536" s="7" t="s">
        <v>4457</v>
      </c>
      <c r="U536" s="7" t="s">
        <v>4455</v>
      </c>
      <c r="V5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37" spans="1:22" x14ac:dyDescent="0.35">
      <c r="A537" s="7" t="s">
        <v>1762</v>
      </c>
      <c r="B537" s="7" t="s">
        <v>679</v>
      </c>
      <c r="C537" s="5">
        <v>1182.8599999999999</v>
      </c>
      <c r="D537" s="2">
        <v>0.67142361111473292</v>
      </c>
      <c r="E537" s="4">
        <v>45271</v>
      </c>
      <c r="F537" s="7" t="s">
        <v>17</v>
      </c>
      <c r="G537" s="7" t="s">
        <v>255</v>
      </c>
      <c r="H537" s="7" t="s">
        <v>562</v>
      </c>
      <c r="I537" s="7" t="s">
        <v>1763</v>
      </c>
      <c r="J537" s="7" t="s">
        <v>1345</v>
      </c>
      <c r="K537" s="7" t="s">
        <v>36</v>
      </c>
      <c r="L537" s="8">
        <v>30</v>
      </c>
      <c r="M537" s="7" t="s">
        <v>77</v>
      </c>
      <c r="N537" s="8">
        <v>34</v>
      </c>
      <c r="O537" s="8">
        <v>1</v>
      </c>
      <c r="P537" s="5">
        <v>7696.16</v>
      </c>
      <c r="Q537" s="4">
        <v>45600</v>
      </c>
      <c r="R537" s="9">
        <v>0.33956018518518516</v>
      </c>
      <c r="S537" s="8">
        <v>16</v>
      </c>
      <c r="T537" s="7" t="s">
        <v>4456</v>
      </c>
      <c r="U537" s="7" t="s">
        <v>4455</v>
      </c>
      <c r="V5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38" spans="1:22" x14ac:dyDescent="0.35">
      <c r="A538" s="7" t="s">
        <v>1764</v>
      </c>
      <c r="B538" s="7" t="s">
        <v>1765</v>
      </c>
      <c r="C538" s="5">
        <v>56.94</v>
      </c>
      <c r="D538" s="2">
        <v>0.70332175926159834</v>
      </c>
      <c r="E538" s="4">
        <v>45271</v>
      </c>
      <c r="F538" s="7" t="s">
        <v>46</v>
      </c>
      <c r="G538" s="7" t="s">
        <v>249</v>
      </c>
      <c r="H538" s="7" t="s">
        <v>1766</v>
      </c>
      <c r="I538" s="7" t="s">
        <v>587</v>
      </c>
      <c r="J538" s="7" t="s">
        <v>169</v>
      </c>
      <c r="K538" s="7" t="s">
        <v>36</v>
      </c>
      <c r="L538" s="8">
        <v>76</v>
      </c>
      <c r="M538" s="7" t="s">
        <v>70</v>
      </c>
      <c r="N538" s="8">
        <v>74</v>
      </c>
      <c r="O538" s="8">
        <v>1</v>
      </c>
      <c r="P538" s="5">
        <v>7004.63</v>
      </c>
      <c r="Q538" s="4">
        <v>45600</v>
      </c>
      <c r="R538" s="9">
        <v>0.33868055555555554</v>
      </c>
      <c r="S538" s="8">
        <v>16</v>
      </c>
      <c r="T538" s="7" t="s">
        <v>4454</v>
      </c>
      <c r="U538" s="7" t="s">
        <v>4455</v>
      </c>
      <c r="V5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39" spans="1:22" x14ac:dyDescent="0.35">
      <c r="A539" s="7" t="s">
        <v>1767</v>
      </c>
      <c r="B539" s="7" t="s">
        <v>589</v>
      </c>
      <c r="C539" s="5">
        <v>629.82000000000005</v>
      </c>
      <c r="D539" s="2">
        <v>0.68221064814861165</v>
      </c>
      <c r="E539" s="4">
        <v>45124</v>
      </c>
      <c r="F539" s="7" t="s">
        <v>17</v>
      </c>
      <c r="G539" s="7" t="s">
        <v>521</v>
      </c>
      <c r="H539" s="7" t="s">
        <v>250</v>
      </c>
      <c r="I539" s="7" t="s">
        <v>1768</v>
      </c>
      <c r="J539" s="7" t="s">
        <v>682</v>
      </c>
      <c r="K539" s="7" t="s">
        <v>22</v>
      </c>
      <c r="L539" s="8">
        <v>68</v>
      </c>
      <c r="M539" s="7" t="s">
        <v>70</v>
      </c>
      <c r="N539" s="8">
        <v>159</v>
      </c>
      <c r="O539" s="8">
        <v>1</v>
      </c>
      <c r="P539" s="5">
        <v>6385.69</v>
      </c>
      <c r="Q539" s="4">
        <v>45600</v>
      </c>
      <c r="R539" s="9">
        <v>0.34165509259259258</v>
      </c>
      <c r="S539" s="8">
        <v>16</v>
      </c>
      <c r="T539" s="7" t="s">
        <v>4454</v>
      </c>
      <c r="U539" s="7" t="s">
        <v>4455</v>
      </c>
      <c r="V5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40" spans="1:22" x14ac:dyDescent="0.35">
      <c r="A540" s="7" t="s">
        <v>1769</v>
      </c>
      <c r="B540" s="7" t="s">
        <v>1770</v>
      </c>
      <c r="C540" s="5">
        <v>59.44</v>
      </c>
      <c r="D540" s="2">
        <v>0.74509259259502869</v>
      </c>
      <c r="E540" s="4">
        <v>45090</v>
      </c>
      <c r="F540" s="7" t="s">
        <v>17</v>
      </c>
      <c r="G540" s="7" t="s">
        <v>265</v>
      </c>
      <c r="H540" s="7" t="s">
        <v>1771</v>
      </c>
      <c r="I540" s="7" t="s">
        <v>1772</v>
      </c>
      <c r="J540" s="7" t="s">
        <v>43</v>
      </c>
      <c r="K540" s="7" t="s">
        <v>36</v>
      </c>
      <c r="L540" s="8">
        <v>35</v>
      </c>
      <c r="M540" s="7" t="s">
        <v>77</v>
      </c>
      <c r="N540" s="8">
        <v>176</v>
      </c>
      <c r="O540" s="8">
        <v>1</v>
      </c>
      <c r="P540" s="5">
        <v>5472.03</v>
      </c>
      <c r="Q540" s="4">
        <v>45600</v>
      </c>
      <c r="R540" s="9">
        <v>0.33789351851851851</v>
      </c>
      <c r="S540" s="8">
        <v>17</v>
      </c>
      <c r="T540" s="7" t="s">
        <v>4457</v>
      </c>
      <c r="U540" s="7" t="s">
        <v>4455</v>
      </c>
      <c r="V5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41" spans="1:22" x14ac:dyDescent="0.35">
      <c r="A541" s="7" t="s">
        <v>1773</v>
      </c>
      <c r="B541" s="7" t="s">
        <v>1569</v>
      </c>
      <c r="C541" s="5">
        <v>186.69</v>
      </c>
      <c r="D541" s="2">
        <v>0.69329861111327773</v>
      </c>
      <c r="E541" s="4">
        <v>45289</v>
      </c>
      <c r="F541" s="7" t="s">
        <v>17</v>
      </c>
      <c r="G541" s="7" t="s">
        <v>203</v>
      </c>
      <c r="H541" s="7" t="s">
        <v>1774</v>
      </c>
      <c r="I541" s="7" t="s">
        <v>1775</v>
      </c>
      <c r="J541" s="7" t="s">
        <v>21</v>
      </c>
      <c r="K541" s="7" t="s">
        <v>69</v>
      </c>
      <c r="L541" s="8">
        <v>30</v>
      </c>
      <c r="M541" s="7" t="s">
        <v>77</v>
      </c>
      <c r="N541" s="8">
        <v>54</v>
      </c>
      <c r="O541" s="8">
        <v>1</v>
      </c>
      <c r="P541" s="5">
        <v>8602.2199999999993</v>
      </c>
      <c r="Q541" s="4">
        <v>45600</v>
      </c>
      <c r="R541" s="9">
        <v>0.33902777777777776</v>
      </c>
      <c r="S541" s="8">
        <v>16</v>
      </c>
      <c r="T541" s="7" t="s">
        <v>4456</v>
      </c>
      <c r="U541" s="7" t="s">
        <v>4455</v>
      </c>
      <c r="V5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42" spans="1:22" x14ac:dyDescent="0.35">
      <c r="A542" s="7" t="s">
        <v>1776</v>
      </c>
      <c r="B542" s="7" t="s">
        <v>1137</v>
      </c>
      <c r="C542" s="5">
        <v>230.46</v>
      </c>
      <c r="D542" s="2">
        <v>0.73156249999738066</v>
      </c>
      <c r="E542" s="4">
        <v>45041</v>
      </c>
      <c r="F542" s="7" t="s">
        <v>17</v>
      </c>
      <c r="G542" s="7" t="s">
        <v>32</v>
      </c>
      <c r="H542" s="7" t="s">
        <v>1777</v>
      </c>
      <c r="I542" s="7" t="s">
        <v>148</v>
      </c>
      <c r="J542" s="7" t="s">
        <v>362</v>
      </c>
      <c r="K542" s="7" t="s">
        <v>36</v>
      </c>
      <c r="L542" s="8">
        <v>19</v>
      </c>
      <c r="M542" s="7" t="s">
        <v>37</v>
      </c>
      <c r="N542" s="8">
        <v>179</v>
      </c>
      <c r="O542" s="8">
        <v>1</v>
      </c>
      <c r="P542" s="5">
        <v>162.53</v>
      </c>
      <c r="Q542" s="4">
        <v>45600</v>
      </c>
      <c r="R542" s="9">
        <v>0.33946759259259257</v>
      </c>
      <c r="S542" s="8">
        <v>17</v>
      </c>
      <c r="T542" s="7" t="s">
        <v>4456</v>
      </c>
      <c r="U542" s="7" t="s">
        <v>4455</v>
      </c>
      <c r="V5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43" spans="1:22" x14ac:dyDescent="0.35">
      <c r="A543" s="7" t="s">
        <v>1778</v>
      </c>
      <c r="B543" s="7" t="s">
        <v>946</v>
      </c>
      <c r="C543" s="5">
        <v>65.09</v>
      </c>
      <c r="D543" s="2">
        <v>0.74863425926014315</v>
      </c>
      <c r="E543" s="4">
        <v>44985</v>
      </c>
      <c r="F543" s="7" t="s">
        <v>46</v>
      </c>
      <c r="G543" s="7" t="s">
        <v>59</v>
      </c>
      <c r="H543" s="7" t="s">
        <v>586</v>
      </c>
      <c r="I543" s="7" t="s">
        <v>1779</v>
      </c>
      <c r="J543" s="7" t="s">
        <v>386</v>
      </c>
      <c r="K543" s="7" t="s">
        <v>36</v>
      </c>
      <c r="L543" s="8">
        <v>44</v>
      </c>
      <c r="M543" s="7" t="s">
        <v>77</v>
      </c>
      <c r="N543" s="8">
        <v>159</v>
      </c>
      <c r="O543" s="8">
        <v>1</v>
      </c>
      <c r="P543" s="5">
        <v>9370.9</v>
      </c>
      <c r="Q543" s="4">
        <v>45600</v>
      </c>
      <c r="R543" s="9">
        <v>0.34005787037037039</v>
      </c>
      <c r="S543" s="8">
        <v>17</v>
      </c>
      <c r="T543" s="7" t="s">
        <v>4457</v>
      </c>
      <c r="U543" s="7" t="s">
        <v>4455</v>
      </c>
      <c r="V5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44" spans="1:22" x14ac:dyDescent="0.35">
      <c r="A544" s="7" t="s">
        <v>1780</v>
      </c>
      <c r="B544" s="7" t="s">
        <v>1781</v>
      </c>
      <c r="C544" s="5">
        <v>457.09</v>
      </c>
      <c r="D544" s="2">
        <v>0.70343750000029104</v>
      </c>
      <c r="E544" s="4">
        <v>45071</v>
      </c>
      <c r="F544" s="7" t="s">
        <v>46</v>
      </c>
      <c r="G544" s="7" t="s">
        <v>80</v>
      </c>
      <c r="H544" s="7" t="s">
        <v>1118</v>
      </c>
      <c r="I544" s="7" t="s">
        <v>431</v>
      </c>
      <c r="J544" s="7" t="s">
        <v>450</v>
      </c>
      <c r="K544" s="7" t="s">
        <v>36</v>
      </c>
      <c r="L544" s="8">
        <v>55</v>
      </c>
      <c r="M544" s="7" t="s">
        <v>77</v>
      </c>
      <c r="N544" s="8">
        <v>63</v>
      </c>
      <c r="O544" s="8">
        <v>1</v>
      </c>
      <c r="P544" s="5">
        <v>8570.82</v>
      </c>
      <c r="Q544" s="4">
        <v>45600</v>
      </c>
      <c r="R544" s="9">
        <v>0.33940972222222221</v>
      </c>
      <c r="S544" s="8">
        <v>16</v>
      </c>
      <c r="T544" s="7" t="s">
        <v>4454</v>
      </c>
      <c r="U544" s="7" t="s">
        <v>4455</v>
      </c>
      <c r="V5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45" spans="1:22" x14ac:dyDescent="0.35">
      <c r="A545" s="7" t="s">
        <v>1782</v>
      </c>
      <c r="B545" s="7" t="s">
        <v>1256</v>
      </c>
      <c r="C545" s="5">
        <v>552.02</v>
      </c>
      <c r="D545" s="2">
        <v>0.70261574073811062</v>
      </c>
      <c r="E545" s="4">
        <v>45260</v>
      </c>
      <c r="F545" s="7" t="s">
        <v>46</v>
      </c>
      <c r="G545" s="7" t="s">
        <v>265</v>
      </c>
      <c r="H545" s="7" t="s">
        <v>775</v>
      </c>
      <c r="I545" s="7" t="s">
        <v>401</v>
      </c>
      <c r="J545" s="7" t="s">
        <v>122</v>
      </c>
      <c r="K545" s="7" t="s">
        <v>22</v>
      </c>
      <c r="L545" s="8">
        <v>44</v>
      </c>
      <c r="M545" s="7" t="s">
        <v>77</v>
      </c>
      <c r="N545" s="8">
        <v>100</v>
      </c>
      <c r="O545" s="8">
        <v>1</v>
      </c>
      <c r="P545" s="5">
        <v>522.08000000000004</v>
      </c>
      <c r="Q545" s="4">
        <v>45600</v>
      </c>
      <c r="R545" s="9">
        <v>0.33987268518518521</v>
      </c>
      <c r="S545" s="8">
        <v>16</v>
      </c>
      <c r="T545" s="7" t="s">
        <v>4457</v>
      </c>
      <c r="U545" s="7" t="s">
        <v>4455</v>
      </c>
      <c r="V5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46" spans="1:22" x14ac:dyDescent="0.35">
      <c r="A546" s="7" t="s">
        <v>1783</v>
      </c>
      <c r="B546" s="7" t="s">
        <v>1446</v>
      </c>
      <c r="C546" s="5">
        <v>377.12</v>
      </c>
      <c r="D546" s="2">
        <v>0.71697916666744277</v>
      </c>
      <c r="E546" s="4">
        <v>45152</v>
      </c>
      <c r="F546" s="7" t="s">
        <v>17</v>
      </c>
      <c r="G546" s="7" t="s">
        <v>26</v>
      </c>
      <c r="H546" s="7" t="s">
        <v>502</v>
      </c>
      <c r="I546" s="7" t="s">
        <v>1109</v>
      </c>
      <c r="J546" s="7" t="s">
        <v>474</v>
      </c>
      <c r="K546" s="7" t="s">
        <v>22</v>
      </c>
      <c r="L546" s="8">
        <v>34</v>
      </c>
      <c r="M546" s="7" t="s">
        <v>77</v>
      </c>
      <c r="N546" s="8">
        <v>61</v>
      </c>
      <c r="O546" s="8">
        <v>1</v>
      </c>
      <c r="P546" s="5">
        <v>836.67</v>
      </c>
      <c r="Q546" s="4">
        <v>45600</v>
      </c>
      <c r="R546" s="9">
        <v>0.34143518518518517</v>
      </c>
      <c r="S546" s="8">
        <v>17</v>
      </c>
      <c r="T546" s="7" t="s">
        <v>4456</v>
      </c>
      <c r="U546" s="7" t="s">
        <v>4455</v>
      </c>
      <c r="V5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47" spans="1:22" x14ac:dyDescent="0.35">
      <c r="A547" s="7" t="s">
        <v>1784</v>
      </c>
      <c r="B547" s="7" t="s">
        <v>1785</v>
      </c>
      <c r="C547" s="5">
        <v>204.56</v>
      </c>
      <c r="D547" s="2">
        <v>0.74394675925577758</v>
      </c>
      <c r="E547" s="4">
        <v>45180</v>
      </c>
      <c r="F547" s="7" t="s">
        <v>46</v>
      </c>
      <c r="G547" s="7" t="s">
        <v>18</v>
      </c>
      <c r="H547" s="7" t="s">
        <v>1786</v>
      </c>
      <c r="I547" s="7" t="s">
        <v>547</v>
      </c>
      <c r="J547" s="7" t="s">
        <v>759</v>
      </c>
      <c r="K547" s="7" t="s">
        <v>69</v>
      </c>
      <c r="L547" s="8">
        <v>18</v>
      </c>
      <c r="M547" s="7" t="s">
        <v>37</v>
      </c>
      <c r="N547" s="8">
        <v>179</v>
      </c>
      <c r="O547" s="8">
        <v>1</v>
      </c>
      <c r="P547" s="5">
        <v>364.72</v>
      </c>
      <c r="Q547" s="4">
        <v>45600</v>
      </c>
      <c r="R547" s="9">
        <v>0.34057870370370369</v>
      </c>
      <c r="S547" s="8">
        <v>17</v>
      </c>
      <c r="T547" s="7" t="s">
        <v>4456</v>
      </c>
      <c r="U547" s="7" t="s">
        <v>4455</v>
      </c>
      <c r="V5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48" spans="1:22" x14ac:dyDescent="0.35">
      <c r="A548" s="7" t="s">
        <v>1787</v>
      </c>
      <c r="B548" s="7" t="s">
        <v>843</v>
      </c>
      <c r="C548" s="5">
        <v>420.28</v>
      </c>
      <c r="D548" s="2">
        <v>0.72806712963210884</v>
      </c>
      <c r="E548" s="4">
        <v>45063</v>
      </c>
      <c r="F548" s="7" t="s">
        <v>17</v>
      </c>
      <c r="G548" s="7" t="s">
        <v>453</v>
      </c>
      <c r="H548" s="7" t="s">
        <v>1788</v>
      </c>
      <c r="I548" s="7" t="s">
        <v>751</v>
      </c>
      <c r="J548" s="7" t="s">
        <v>43</v>
      </c>
      <c r="K548" s="7" t="s">
        <v>69</v>
      </c>
      <c r="L548" s="8">
        <v>35</v>
      </c>
      <c r="M548" s="7" t="s">
        <v>23</v>
      </c>
      <c r="N548" s="8">
        <v>144</v>
      </c>
      <c r="O548" s="8">
        <v>1</v>
      </c>
      <c r="P548" s="5">
        <v>8557.32</v>
      </c>
      <c r="Q548" s="4">
        <v>45600</v>
      </c>
      <c r="R548" s="9">
        <v>0.33959490740740739</v>
      </c>
      <c r="S548" s="8">
        <v>17</v>
      </c>
      <c r="T548" s="7" t="s">
        <v>4457</v>
      </c>
      <c r="U548" s="7" t="s">
        <v>4455</v>
      </c>
      <c r="V5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49" spans="1:22" x14ac:dyDescent="0.35">
      <c r="A549" s="7" t="s">
        <v>1789</v>
      </c>
      <c r="B549" s="7" t="s">
        <v>322</v>
      </c>
      <c r="C549" s="5">
        <v>97.09</v>
      </c>
      <c r="D549" s="2">
        <v>0.76870370370306773</v>
      </c>
      <c r="E549" s="4">
        <v>45026</v>
      </c>
      <c r="F549" s="7" t="s">
        <v>17</v>
      </c>
      <c r="G549" s="7" t="s">
        <v>157</v>
      </c>
      <c r="H549" s="7" t="s">
        <v>512</v>
      </c>
      <c r="I549" s="7" t="s">
        <v>1790</v>
      </c>
      <c r="J549" s="7" t="s">
        <v>29</v>
      </c>
      <c r="K549" s="7" t="s">
        <v>22</v>
      </c>
      <c r="L549" s="8">
        <v>24</v>
      </c>
      <c r="M549" s="7" t="s">
        <v>37</v>
      </c>
      <c r="N549" s="8">
        <v>202</v>
      </c>
      <c r="O549" s="8">
        <v>4</v>
      </c>
      <c r="P549" s="5">
        <v>1579.57</v>
      </c>
      <c r="Q549" s="4">
        <v>45600</v>
      </c>
      <c r="R549" s="9">
        <v>0.33788194444444447</v>
      </c>
      <c r="S549" s="8">
        <v>18</v>
      </c>
      <c r="T549" s="7" t="s">
        <v>4456</v>
      </c>
      <c r="U549" s="7" t="s">
        <v>4458</v>
      </c>
      <c r="V5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50" spans="1:22" x14ac:dyDescent="0.35">
      <c r="A550" s="7" t="s">
        <v>1791</v>
      </c>
      <c r="B550" s="7" t="s">
        <v>167</v>
      </c>
      <c r="C550" s="5">
        <v>124.59</v>
      </c>
      <c r="D550" s="2">
        <v>0.73076388888875954</v>
      </c>
      <c r="E550" s="4">
        <v>45051</v>
      </c>
      <c r="F550" s="7" t="s">
        <v>17</v>
      </c>
      <c r="G550" s="7" t="s">
        <v>249</v>
      </c>
      <c r="H550" s="7" t="s">
        <v>596</v>
      </c>
      <c r="I550" s="7" t="s">
        <v>1116</v>
      </c>
      <c r="J550" s="7" t="s">
        <v>105</v>
      </c>
      <c r="K550" s="7" t="s">
        <v>69</v>
      </c>
      <c r="L550" s="8">
        <v>27</v>
      </c>
      <c r="M550" s="7" t="s">
        <v>37</v>
      </c>
      <c r="N550" s="8">
        <v>171</v>
      </c>
      <c r="O550" s="8">
        <v>1</v>
      </c>
      <c r="P550" s="5">
        <v>129.29</v>
      </c>
      <c r="Q550" s="4">
        <v>45600</v>
      </c>
      <c r="R550" s="9">
        <v>0.33982638888888889</v>
      </c>
      <c r="S550" s="8">
        <v>17</v>
      </c>
      <c r="T550" s="7" t="s">
        <v>4456</v>
      </c>
      <c r="U550" s="7" t="s">
        <v>4455</v>
      </c>
      <c r="V5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51" spans="1:22" x14ac:dyDescent="0.35">
      <c r="A551" s="7" t="s">
        <v>1792</v>
      </c>
      <c r="B551" s="7" t="s">
        <v>729</v>
      </c>
      <c r="C551" s="5">
        <v>73.88</v>
      </c>
      <c r="D551" s="2">
        <v>0.68562499999825377</v>
      </c>
      <c r="E551" s="4">
        <v>44928</v>
      </c>
      <c r="F551" s="7" t="s">
        <v>17</v>
      </c>
      <c r="G551" s="7" t="s">
        <v>249</v>
      </c>
      <c r="H551" s="7" t="s">
        <v>1063</v>
      </c>
      <c r="I551" s="7" t="s">
        <v>1705</v>
      </c>
      <c r="J551" s="7" t="s">
        <v>21</v>
      </c>
      <c r="K551" s="7" t="s">
        <v>36</v>
      </c>
      <c r="L551" s="8">
        <v>39</v>
      </c>
      <c r="M551" s="7" t="s">
        <v>23</v>
      </c>
      <c r="N551" s="8">
        <v>34</v>
      </c>
      <c r="O551" s="8">
        <v>1</v>
      </c>
      <c r="P551" s="5">
        <v>6474.41</v>
      </c>
      <c r="Q551" s="4">
        <v>45600</v>
      </c>
      <c r="R551" s="9">
        <v>0.33968749999999998</v>
      </c>
      <c r="S551" s="8">
        <v>16</v>
      </c>
      <c r="T551" s="7" t="s">
        <v>4457</v>
      </c>
      <c r="U551" s="7" t="s">
        <v>4455</v>
      </c>
      <c r="V5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52" spans="1:22" x14ac:dyDescent="0.35">
      <c r="A552" s="7" t="s">
        <v>1793</v>
      </c>
      <c r="B552" s="7" t="s">
        <v>1794</v>
      </c>
      <c r="C552" s="5">
        <v>77.430000000000007</v>
      </c>
      <c r="D552" s="2">
        <v>0.67444444444117835</v>
      </c>
      <c r="E552" s="4">
        <v>44945</v>
      </c>
      <c r="F552" s="7" t="s">
        <v>17</v>
      </c>
      <c r="G552" s="7" t="s">
        <v>40</v>
      </c>
      <c r="H552" s="7" t="s">
        <v>1625</v>
      </c>
      <c r="I552" s="7" t="s">
        <v>1225</v>
      </c>
      <c r="J552" s="7" t="s">
        <v>478</v>
      </c>
      <c r="K552" s="7" t="s">
        <v>36</v>
      </c>
      <c r="L552" s="8">
        <v>21</v>
      </c>
      <c r="M552" s="7" t="s">
        <v>37</v>
      </c>
      <c r="N552" s="8">
        <v>169</v>
      </c>
      <c r="O552" s="8">
        <v>1</v>
      </c>
      <c r="P552" s="5">
        <v>1380.21</v>
      </c>
      <c r="Q552" s="4">
        <v>45600</v>
      </c>
      <c r="R552" s="9">
        <v>0.33788194444444447</v>
      </c>
      <c r="S552" s="8">
        <v>16</v>
      </c>
      <c r="T552" s="7" t="s">
        <v>4456</v>
      </c>
      <c r="U552" s="7" t="s">
        <v>4455</v>
      </c>
      <c r="V5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53" spans="1:22" x14ac:dyDescent="0.35">
      <c r="A553" s="7" t="s">
        <v>1795</v>
      </c>
      <c r="B553" s="7" t="s">
        <v>1796</v>
      </c>
      <c r="C553" s="5">
        <v>106.16</v>
      </c>
      <c r="D553" s="2">
        <v>0.72347222222015262</v>
      </c>
      <c r="E553" s="4">
        <v>45030</v>
      </c>
      <c r="F553" s="7" t="s">
        <v>17</v>
      </c>
      <c r="G553" s="7" t="s">
        <v>425</v>
      </c>
      <c r="H553" s="7" t="s">
        <v>562</v>
      </c>
      <c r="I553" s="7" t="s">
        <v>1797</v>
      </c>
      <c r="J553" s="7" t="s">
        <v>634</v>
      </c>
      <c r="K553" s="7" t="s">
        <v>22</v>
      </c>
      <c r="L553" s="8">
        <v>56</v>
      </c>
      <c r="M553" s="7" t="s">
        <v>23</v>
      </c>
      <c r="N553" s="8">
        <v>277</v>
      </c>
      <c r="O553" s="8">
        <v>4</v>
      </c>
      <c r="P553" s="5">
        <v>7487.79</v>
      </c>
      <c r="Q553" s="4">
        <v>45600</v>
      </c>
      <c r="R553" s="9">
        <v>0.33947916666666667</v>
      </c>
      <c r="S553" s="8">
        <v>17</v>
      </c>
      <c r="T553" s="7" t="s">
        <v>4454</v>
      </c>
      <c r="U553" s="7" t="s">
        <v>4458</v>
      </c>
      <c r="V5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54" spans="1:22" x14ac:dyDescent="0.35">
      <c r="A554" s="7" t="s">
        <v>1798</v>
      </c>
      <c r="B554" s="7" t="s">
        <v>1799</v>
      </c>
      <c r="C554" s="5">
        <v>245.93</v>
      </c>
      <c r="D554" s="2">
        <v>0.78721064814453712</v>
      </c>
      <c r="E554" s="4">
        <v>45083</v>
      </c>
      <c r="F554" s="7" t="s">
        <v>17</v>
      </c>
      <c r="G554" s="7" t="s">
        <v>558</v>
      </c>
      <c r="H554" s="7" t="s">
        <v>1800</v>
      </c>
      <c r="I554" s="7" t="s">
        <v>1477</v>
      </c>
      <c r="J554" s="7" t="s">
        <v>56</v>
      </c>
      <c r="K554" s="7" t="s">
        <v>69</v>
      </c>
      <c r="L554" s="8">
        <v>54</v>
      </c>
      <c r="M554" s="7" t="s">
        <v>77</v>
      </c>
      <c r="N554" s="8">
        <v>172</v>
      </c>
      <c r="O554" s="8">
        <v>1</v>
      </c>
      <c r="P554" s="5">
        <v>7986.63</v>
      </c>
      <c r="Q554" s="4">
        <v>45600</v>
      </c>
      <c r="R554" s="9">
        <v>0.34164351851851854</v>
      </c>
      <c r="S554" s="8">
        <v>18</v>
      </c>
      <c r="T554" s="7" t="s">
        <v>4457</v>
      </c>
      <c r="U554" s="7" t="s">
        <v>4455</v>
      </c>
      <c r="V5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55" spans="1:22" x14ac:dyDescent="0.35">
      <c r="A555" s="7" t="s">
        <v>1801</v>
      </c>
      <c r="B555" s="7" t="s">
        <v>1802</v>
      </c>
      <c r="C555" s="5">
        <v>622.41</v>
      </c>
      <c r="D555" s="2">
        <v>0.70672453703446081</v>
      </c>
      <c r="E555" s="4">
        <v>45271</v>
      </c>
      <c r="F555" s="7" t="s">
        <v>17</v>
      </c>
      <c r="G555" s="7" t="s">
        <v>65</v>
      </c>
      <c r="H555" s="7" t="s">
        <v>1413</v>
      </c>
      <c r="I555" s="7" t="s">
        <v>500</v>
      </c>
      <c r="J555" s="7" t="s">
        <v>740</v>
      </c>
      <c r="K555" s="7" t="s">
        <v>22</v>
      </c>
      <c r="L555" s="8">
        <v>64</v>
      </c>
      <c r="M555" s="7" t="s">
        <v>23</v>
      </c>
      <c r="N555" s="8">
        <v>125</v>
      </c>
      <c r="O555" s="8">
        <v>1</v>
      </c>
      <c r="P555" s="5">
        <v>7322.01</v>
      </c>
      <c r="Q555" s="4">
        <v>45600</v>
      </c>
      <c r="R555" s="9">
        <v>0.33875</v>
      </c>
      <c r="S555" s="8">
        <v>16</v>
      </c>
      <c r="T555" s="7" t="s">
        <v>4454</v>
      </c>
      <c r="U555" s="7" t="s">
        <v>4455</v>
      </c>
      <c r="V5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56" spans="1:22" x14ac:dyDescent="0.35">
      <c r="A556" s="7" t="s">
        <v>1803</v>
      </c>
      <c r="B556" s="7" t="s">
        <v>1368</v>
      </c>
      <c r="C556" s="5">
        <v>43.73</v>
      </c>
      <c r="D556" s="2">
        <v>0.69686342592467554</v>
      </c>
      <c r="E556" s="4">
        <v>45019</v>
      </c>
      <c r="F556" s="7" t="s">
        <v>17</v>
      </c>
      <c r="G556" s="7" t="s">
        <v>296</v>
      </c>
      <c r="H556" s="7" t="s">
        <v>833</v>
      </c>
      <c r="I556" s="7" t="s">
        <v>849</v>
      </c>
      <c r="J556" s="7" t="s">
        <v>1349</v>
      </c>
      <c r="K556" s="7" t="s">
        <v>22</v>
      </c>
      <c r="L556" s="8">
        <v>34</v>
      </c>
      <c r="M556" s="7" t="s">
        <v>23</v>
      </c>
      <c r="N556" s="8">
        <v>145</v>
      </c>
      <c r="O556" s="8">
        <v>1</v>
      </c>
      <c r="P556" s="5">
        <v>9929.43</v>
      </c>
      <c r="Q556" s="4">
        <v>45600</v>
      </c>
      <c r="R556" s="9">
        <v>0.34065972222222224</v>
      </c>
      <c r="S556" s="8">
        <v>16</v>
      </c>
      <c r="T556" s="7" t="s">
        <v>4456</v>
      </c>
      <c r="U556" s="7" t="s">
        <v>4455</v>
      </c>
      <c r="V5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57" spans="1:22" x14ac:dyDescent="0.35">
      <c r="A557" s="7" t="s">
        <v>1804</v>
      </c>
      <c r="B557" s="7" t="s">
        <v>1678</v>
      </c>
      <c r="C557" s="5">
        <v>1282.8599999999999</v>
      </c>
      <c r="D557" s="2">
        <v>0.70324074073869269</v>
      </c>
      <c r="E557" s="4">
        <v>45061</v>
      </c>
      <c r="F557" s="7" t="s">
        <v>17</v>
      </c>
      <c r="G557" s="7" t="s">
        <v>119</v>
      </c>
      <c r="H557" s="7" t="s">
        <v>1061</v>
      </c>
      <c r="I557" s="7" t="s">
        <v>638</v>
      </c>
      <c r="J557" s="7" t="s">
        <v>272</v>
      </c>
      <c r="K557" s="7" t="s">
        <v>69</v>
      </c>
      <c r="L557" s="8">
        <v>19</v>
      </c>
      <c r="M557" s="7" t="s">
        <v>37</v>
      </c>
      <c r="N557" s="8">
        <v>68</v>
      </c>
      <c r="O557" s="8">
        <v>1</v>
      </c>
      <c r="P557" s="5">
        <v>1830.98</v>
      </c>
      <c r="Q557" s="4">
        <v>45600</v>
      </c>
      <c r="R557" s="9">
        <v>0.33856481481481482</v>
      </c>
      <c r="S557" s="8">
        <v>16</v>
      </c>
      <c r="T557" s="7" t="s">
        <v>4456</v>
      </c>
      <c r="U557" s="7" t="s">
        <v>4455</v>
      </c>
      <c r="V5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58" spans="1:22" x14ac:dyDescent="0.35">
      <c r="A558" s="7" t="s">
        <v>1805</v>
      </c>
      <c r="B558" s="7" t="s">
        <v>1806</v>
      </c>
      <c r="C558" s="5">
        <v>2.0299999999999998</v>
      </c>
      <c r="D558" s="2">
        <v>0.67158564814599231</v>
      </c>
      <c r="E558" s="4">
        <v>45292</v>
      </c>
      <c r="F558" s="7" t="s">
        <v>46</v>
      </c>
      <c r="G558" s="7" t="s">
        <v>73</v>
      </c>
      <c r="H558" s="7" t="s">
        <v>1508</v>
      </c>
      <c r="I558" s="7" t="s">
        <v>1315</v>
      </c>
      <c r="J558" s="7" t="s">
        <v>445</v>
      </c>
      <c r="K558" s="7" t="s">
        <v>22</v>
      </c>
      <c r="L558" s="8">
        <v>33</v>
      </c>
      <c r="M558" s="7" t="s">
        <v>77</v>
      </c>
      <c r="N558" s="8">
        <v>28</v>
      </c>
      <c r="O558" s="8">
        <v>1</v>
      </c>
      <c r="P558" s="5">
        <v>3012.31</v>
      </c>
      <c r="Q558" s="4">
        <v>45600</v>
      </c>
      <c r="R558" s="9">
        <v>0.33946759259259257</v>
      </c>
      <c r="S558" s="8">
        <v>16</v>
      </c>
      <c r="T558" s="7" t="s">
        <v>4456</v>
      </c>
      <c r="U558" s="7" t="s">
        <v>4455</v>
      </c>
      <c r="V5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59" spans="1:22" x14ac:dyDescent="0.35">
      <c r="A559" s="7" t="s">
        <v>1807</v>
      </c>
      <c r="B559" s="7" t="s">
        <v>1808</v>
      </c>
      <c r="C559" s="5">
        <v>770.65</v>
      </c>
      <c r="D559" s="2">
        <v>0.74266203703882638</v>
      </c>
      <c r="E559" s="4">
        <v>45112</v>
      </c>
      <c r="F559" s="7" t="s">
        <v>17</v>
      </c>
      <c r="G559" s="7" t="s">
        <v>392</v>
      </c>
      <c r="H559" s="7" t="s">
        <v>1809</v>
      </c>
      <c r="I559" s="7" t="s">
        <v>911</v>
      </c>
      <c r="J559" s="7" t="s">
        <v>1810</v>
      </c>
      <c r="K559" s="7" t="s">
        <v>36</v>
      </c>
      <c r="L559" s="8">
        <v>31</v>
      </c>
      <c r="M559" s="7" t="s">
        <v>23</v>
      </c>
      <c r="N559" s="8">
        <v>137</v>
      </c>
      <c r="O559" s="8">
        <v>1</v>
      </c>
      <c r="P559" s="5">
        <v>7198.8</v>
      </c>
      <c r="Q559" s="4">
        <v>45600</v>
      </c>
      <c r="R559" s="9">
        <v>0.33959490740740739</v>
      </c>
      <c r="S559" s="8">
        <v>17</v>
      </c>
      <c r="T559" s="7" t="s">
        <v>4456</v>
      </c>
      <c r="U559" s="7" t="s">
        <v>4455</v>
      </c>
      <c r="V5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60" spans="1:22" x14ac:dyDescent="0.35">
      <c r="A560" s="7" t="s">
        <v>1811</v>
      </c>
      <c r="B560" s="7" t="s">
        <v>118</v>
      </c>
      <c r="C560" s="5">
        <v>260.31</v>
      </c>
      <c r="D560" s="2">
        <v>0.69924768518831115</v>
      </c>
      <c r="E560" s="4">
        <v>44985</v>
      </c>
      <c r="F560" s="7" t="s">
        <v>17</v>
      </c>
      <c r="G560" s="7" t="s">
        <v>119</v>
      </c>
      <c r="H560" s="7" t="s">
        <v>1812</v>
      </c>
      <c r="I560" s="7" t="s">
        <v>606</v>
      </c>
      <c r="J560" s="7" t="s">
        <v>149</v>
      </c>
      <c r="K560" s="7" t="s">
        <v>69</v>
      </c>
      <c r="L560" s="8">
        <v>63</v>
      </c>
      <c r="M560" s="7" t="s">
        <v>23</v>
      </c>
      <c r="N560" s="8">
        <v>113</v>
      </c>
      <c r="O560" s="8">
        <v>1</v>
      </c>
      <c r="P560" s="5">
        <v>10980.38</v>
      </c>
      <c r="Q560" s="4">
        <v>45600</v>
      </c>
      <c r="R560" s="9">
        <v>0.3417013888888889</v>
      </c>
      <c r="S560" s="8">
        <v>16</v>
      </c>
      <c r="T560" s="7" t="s">
        <v>4454</v>
      </c>
      <c r="U560" s="7" t="s">
        <v>4455</v>
      </c>
      <c r="V5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61" spans="1:22" x14ac:dyDescent="0.35">
      <c r="A561" s="7" t="s">
        <v>1813</v>
      </c>
      <c r="B561" s="7" t="s">
        <v>1814</v>
      </c>
      <c r="C561" s="5">
        <v>356.1</v>
      </c>
      <c r="D561" s="2">
        <v>0.67614583333488554</v>
      </c>
      <c r="E561" s="4">
        <v>45224</v>
      </c>
      <c r="F561" s="7" t="s">
        <v>46</v>
      </c>
      <c r="G561" s="7" t="s">
        <v>157</v>
      </c>
      <c r="H561" s="7" t="s">
        <v>1815</v>
      </c>
      <c r="I561" s="7" t="s">
        <v>1503</v>
      </c>
      <c r="J561" s="7" t="s">
        <v>169</v>
      </c>
      <c r="K561" s="7" t="s">
        <v>69</v>
      </c>
      <c r="L561" s="8">
        <v>26</v>
      </c>
      <c r="M561" s="7" t="s">
        <v>37</v>
      </c>
      <c r="N561" s="8">
        <v>187</v>
      </c>
      <c r="O561" s="8">
        <v>1</v>
      </c>
      <c r="P561" s="5">
        <v>868.35</v>
      </c>
      <c r="Q561" s="4">
        <v>45600</v>
      </c>
      <c r="R561" s="9">
        <v>0.34099537037037037</v>
      </c>
      <c r="S561" s="8">
        <v>16</v>
      </c>
      <c r="T561" s="7" t="s">
        <v>4456</v>
      </c>
      <c r="U561" s="7" t="s">
        <v>4455</v>
      </c>
      <c r="V5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62" spans="1:22" x14ac:dyDescent="0.35">
      <c r="A562" s="7" t="s">
        <v>1816</v>
      </c>
      <c r="B562" s="7" t="s">
        <v>660</v>
      </c>
      <c r="C562" s="5">
        <v>27.07</v>
      </c>
      <c r="D562" s="2">
        <v>0.73542824073956581</v>
      </c>
      <c r="E562" s="4">
        <v>44991</v>
      </c>
      <c r="F562" s="7" t="s">
        <v>46</v>
      </c>
      <c r="G562" s="7" t="s">
        <v>301</v>
      </c>
      <c r="H562" s="7" t="s">
        <v>173</v>
      </c>
      <c r="I562" s="7" t="s">
        <v>1817</v>
      </c>
      <c r="J562" s="7" t="s">
        <v>432</v>
      </c>
      <c r="K562" s="7" t="s">
        <v>69</v>
      </c>
      <c r="L562" s="8">
        <v>80</v>
      </c>
      <c r="M562" s="7" t="s">
        <v>70</v>
      </c>
      <c r="N562" s="8">
        <v>39</v>
      </c>
      <c r="O562" s="8">
        <v>1</v>
      </c>
      <c r="P562" s="5">
        <v>3773.29</v>
      </c>
      <c r="Q562" s="4">
        <v>45600</v>
      </c>
      <c r="R562" s="9">
        <v>0.34024305555555556</v>
      </c>
      <c r="S562" s="8">
        <v>17</v>
      </c>
      <c r="T562" s="7" t="s">
        <v>4454</v>
      </c>
      <c r="U562" s="7" t="s">
        <v>4455</v>
      </c>
      <c r="V5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63" spans="1:22" x14ac:dyDescent="0.35">
      <c r="A563" s="7" t="s">
        <v>1818</v>
      </c>
      <c r="B563" s="7" t="s">
        <v>899</v>
      </c>
      <c r="C563" s="5">
        <v>119.89</v>
      </c>
      <c r="D563" s="2">
        <v>0.71633101852057735</v>
      </c>
      <c r="E563" s="4">
        <v>45279</v>
      </c>
      <c r="F563" s="7" t="s">
        <v>17</v>
      </c>
      <c r="G563" s="7" t="s">
        <v>255</v>
      </c>
      <c r="H563" s="7" t="s">
        <v>315</v>
      </c>
      <c r="I563" s="7" t="s">
        <v>1819</v>
      </c>
      <c r="J563" s="7" t="s">
        <v>432</v>
      </c>
      <c r="K563" s="7" t="s">
        <v>22</v>
      </c>
      <c r="L563" s="8">
        <v>67</v>
      </c>
      <c r="M563" s="7" t="s">
        <v>23</v>
      </c>
      <c r="N563" s="8">
        <v>60</v>
      </c>
      <c r="O563" s="8">
        <v>1</v>
      </c>
      <c r="P563" s="5">
        <v>6697.77</v>
      </c>
      <c r="Q563" s="4">
        <v>45600</v>
      </c>
      <c r="R563" s="9">
        <v>0.33960648148148148</v>
      </c>
      <c r="S563" s="8">
        <v>17</v>
      </c>
      <c r="T563" s="7" t="s">
        <v>4454</v>
      </c>
      <c r="U563" s="7" t="s">
        <v>4455</v>
      </c>
      <c r="V5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64" spans="1:22" x14ac:dyDescent="0.35">
      <c r="A564" s="7" t="s">
        <v>1820</v>
      </c>
      <c r="B564" s="7" t="s">
        <v>1821</v>
      </c>
      <c r="C564" s="5">
        <v>106.39</v>
      </c>
      <c r="D564" s="2">
        <v>0.77927083333634073</v>
      </c>
      <c r="E564" s="4">
        <v>44970</v>
      </c>
      <c r="F564" s="7" t="s">
        <v>17</v>
      </c>
      <c r="G564" s="7" t="s">
        <v>301</v>
      </c>
      <c r="H564" s="7" t="s">
        <v>966</v>
      </c>
      <c r="I564" s="7" t="s">
        <v>1083</v>
      </c>
      <c r="J564" s="7" t="s">
        <v>362</v>
      </c>
      <c r="K564" s="7" t="s">
        <v>36</v>
      </c>
      <c r="L564" s="8">
        <v>37</v>
      </c>
      <c r="M564" s="7" t="s">
        <v>23</v>
      </c>
      <c r="N564" s="8">
        <v>281</v>
      </c>
      <c r="O564" s="8">
        <v>1</v>
      </c>
      <c r="P564" s="5">
        <v>9410.99</v>
      </c>
      <c r="Q564" s="4">
        <v>45600</v>
      </c>
      <c r="R564" s="9">
        <v>0.34064814814814814</v>
      </c>
      <c r="S564" s="8">
        <v>18</v>
      </c>
      <c r="T564" s="7" t="s">
        <v>4457</v>
      </c>
      <c r="U564" s="7" t="s">
        <v>4455</v>
      </c>
      <c r="V5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65" spans="1:22" x14ac:dyDescent="0.35">
      <c r="A565" s="7" t="s">
        <v>1822</v>
      </c>
      <c r="B565" s="7" t="s">
        <v>1823</v>
      </c>
      <c r="C565" s="5">
        <v>12.04</v>
      </c>
      <c r="D565" s="2">
        <v>0.67282407407765277</v>
      </c>
      <c r="E565" s="4">
        <v>45245</v>
      </c>
      <c r="F565" s="7" t="s">
        <v>17</v>
      </c>
      <c r="G565" s="7" t="s">
        <v>157</v>
      </c>
      <c r="H565" s="7" t="s">
        <v>1824</v>
      </c>
      <c r="I565" s="7" t="s">
        <v>857</v>
      </c>
      <c r="J565" s="7" t="s">
        <v>200</v>
      </c>
      <c r="K565" s="7" t="s">
        <v>36</v>
      </c>
      <c r="L565" s="8">
        <v>37</v>
      </c>
      <c r="M565" s="7" t="s">
        <v>77</v>
      </c>
      <c r="N565" s="8">
        <v>58</v>
      </c>
      <c r="O565" s="8">
        <v>1</v>
      </c>
      <c r="P565" s="5">
        <v>6213.32</v>
      </c>
      <c r="Q565" s="4">
        <v>45600</v>
      </c>
      <c r="R565" s="9">
        <v>0.33917824074074077</v>
      </c>
      <c r="S565" s="8">
        <v>16</v>
      </c>
      <c r="T565" s="7" t="s">
        <v>4457</v>
      </c>
      <c r="U565" s="7" t="s">
        <v>4455</v>
      </c>
      <c r="V5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66" spans="1:22" x14ac:dyDescent="0.35">
      <c r="A566" s="7" t="s">
        <v>1825</v>
      </c>
      <c r="B566" s="7" t="s">
        <v>1826</v>
      </c>
      <c r="C566" s="5">
        <v>365.7</v>
      </c>
      <c r="D566" s="2">
        <v>0.69143518518831115</v>
      </c>
      <c r="E566" s="4">
        <v>44953</v>
      </c>
      <c r="F566" s="7" t="s">
        <v>17</v>
      </c>
      <c r="G566" s="7" t="s">
        <v>26</v>
      </c>
      <c r="H566" s="7" t="s">
        <v>27</v>
      </c>
      <c r="I566" s="7" t="s">
        <v>168</v>
      </c>
      <c r="J566" s="7" t="s">
        <v>414</v>
      </c>
      <c r="K566" s="7" t="s">
        <v>69</v>
      </c>
      <c r="L566" s="8">
        <v>21</v>
      </c>
      <c r="M566" s="7" t="s">
        <v>37</v>
      </c>
      <c r="N566" s="8">
        <v>115</v>
      </c>
      <c r="O566" s="8">
        <v>2</v>
      </c>
      <c r="P566" s="5">
        <v>368.78</v>
      </c>
      <c r="Q566" s="4">
        <v>45600</v>
      </c>
      <c r="R566" s="9">
        <v>0.34047453703703706</v>
      </c>
      <c r="S566" s="8">
        <v>16</v>
      </c>
      <c r="T566" s="7" t="s">
        <v>4456</v>
      </c>
      <c r="U566" s="7" t="s">
        <v>4458</v>
      </c>
      <c r="V5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67" spans="1:22" x14ac:dyDescent="0.35">
      <c r="A567" s="7" t="s">
        <v>1827</v>
      </c>
      <c r="B567" s="7" t="s">
        <v>1802</v>
      </c>
      <c r="C567" s="5">
        <v>29.38</v>
      </c>
      <c r="D567" s="2">
        <v>0.687604166669189</v>
      </c>
      <c r="E567" s="4">
        <v>44972</v>
      </c>
      <c r="F567" s="7" t="s">
        <v>46</v>
      </c>
      <c r="G567" s="7" t="s">
        <v>197</v>
      </c>
      <c r="H567" s="7" t="s">
        <v>1828</v>
      </c>
      <c r="I567" s="7" t="s">
        <v>293</v>
      </c>
      <c r="J567" s="7" t="s">
        <v>331</v>
      </c>
      <c r="K567" s="7" t="s">
        <v>69</v>
      </c>
      <c r="L567" s="8">
        <v>28</v>
      </c>
      <c r="M567" s="7" t="s">
        <v>37</v>
      </c>
      <c r="N567" s="8">
        <v>63</v>
      </c>
      <c r="O567" s="8">
        <v>1</v>
      </c>
      <c r="P567" s="5">
        <v>1663.31</v>
      </c>
      <c r="Q567" s="4">
        <v>45600</v>
      </c>
      <c r="R567" s="9">
        <v>0.34106481481481482</v>
      </c>
      <c r="S567" s="8">
        <v>16</v>
      </c>
      <c r="T567" s="7" t="s">
        <v>4456</v>
      </c>
      <c r="U567" s="7" t="s">
        <v>4455</v>
      </c>
      <c r="V5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68" spans="1:22" x14ac:dyDescent="0.35">
      <c r="A568" s="7" t="s">
        <v>1829</v>
      </c>
      <c r="B568" s="7" t="s">
        <v>1821</v>
      </c>
      <c r="C568" s="5">
        <v>319.85000000000002</v>
      </c>
      <c r="D568" s="2">
        <v>0.69747685184847796</v>
      </c>
      <c r="E568" s="4">
        <v>45133</v>
      </c>
      <c r="F568" s="7" t="s">
        <v>17</v>
      </c>
      <c r="G568" s="7" t="s">
        <v>114</v>
      </c>
      <c r="H568" s="7" t="s">
        <v>93</v>
      </c>
      <c r="I568" s="7" t="s">
        <v>1830</v>
      </c>
      <c r="J568" s="7" t="s">
        <v>160</v>
      </c>
      <c r="K568" s="7" t="s">
        <v>22</v>
      </c>
      <c r="L568" s="8">
        <v>60</v>
      </c>
      <c r="M568" s="7" t="s">
        <v>23</v>
      </c>
      <c r="N568" s="8">
        <v>148</v>
      </c>
      <c r="O568" s="8">
        <v>1</v>
      </c>
      <c r="P568" s="5">
        <v>711.66</v>
      </c>
      <c r="Q568" s="4">
        <v>45600</v>
      </c>
      <c r="R568" s="9">
        <v>0.33871527777777777</v>
      </c>
      <c r="S568" s="8">
        <v>16</v>
      </c>
      <c r="T568" s="7" t="s">
        <v>4454</v>
      </c>
      <c r="U568" s="7" t="s">
        <v>4455</v>
      </c>
      <c r="V5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69" spans="1:22" x14ac:dyDescent="0.35">
      <c r="A569" s="7" t="s">
        <v>1831</v>
      </c>
      <c r="B569" s="7" t="s">
        <v>1832</v>
      </c>
      <c r="C569" s="5">
        <v>350.14</v>
      </c>
      <c r="D569" s="2">
        <v>0.7852083333345945</v>
      </c>
      <c r="E569" s="4">
        <v>45009</v>
      </c>
      <c r="F569" s="7" t="s">
        <v>46</v>
      </c>
      <c r="G569" s="7" t="s">
        <v>140</v>
      </c>
      <c r="H569" s="7" t="s">
        <v>526</v>
      </c>
      <c r="I569" s="7" t="s">
        <v>735</v>
      </c>
      <c r="J569" s="7" t="s">
        <v>122</v>
      </c>
      <c r="K569" s="7" t="s">
        <v>36</v>
      </c>
      <c r="L569" s="8">
        <v>75</v>
      </c>
      <c r="M569" s="7" t="s">
        <v>70</v>
      </c>
      <c r="N569" s="8">
        <v>38</v>
      </c>
      <c r="O569" s="8">
        <v>1</v>
      </c>
      <c r="P569" s="5">
        <v>2403.25</v>
      </c>
      <c r="Q569" s="4">
        <v>45600</v>
      </c>
      <c r="R569" s="9">
        <v>0.33935185185185185</v>
      </c>
      <c r="S569" s="8">
        <v>18</v>
      </c>
      <c r="T569" s="7" t="s">
        <v>4454</v>
      </c>
      <c r="U569" s="7" t="s">
        <v>4455</v>
      </c>
      <c r="V5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70" spans="1:22" x14ac:dyDescent="0.35">
      <c r="A570" s="7" t="s">
        <v>1833</v>
      </c>
      <c r="B570" s="7" t="s">
        <v>771</v>
      </c>
      <c r="C570" s="5">
        <v>163.94</v>
      </c>
      <c r="D570" s="2">
        <v>0.78445601851854008</v>
      </c>
      <c r="E570" s="4">
        <v>45141</v>
      </c>
      <c r="F570" s="7" t="s">
        <v>46</v>
      </c>
      <c r="G570" s="7" t="s">
        <v>301</v>
      </c>
      <c r="H570" s="7" t="s">
        <v>1834</v>
      </c>
      <c r="I570" s="7" t="s">
        <v>1835</v>
      </c>
      <c r="J570" s="7" t="s">
        <v>576</v>
      </c>
      <c r="K570" s="7" t="s">
        <v>69</v>
      </c>
      <c r="L570" s="8">
        <v>52</v>
      </c>
      <c r="M570" s="7" t="s">
        <v>70</v>
      </c>
      <c r="N570" s="8">
        <v>73</v>
      </c>
      <c r="O570" s="8">
        <v>1</v>
      </c>
      <c r="P570" s="5">
        <v>5957.37</v>
      </c>
      <c r="Q570" s="4">
        <v>45600</v>
      </c>
      <c r="R570" s="9">
        <v>0.34017361111111111</v>
      </c>
      <c r="S570" s="8">
        <v>18</v>
      </c>
      <c r="T570" s="7" t="s">
        <v>4457</v>
      </c>
      <c r="U570" s="7" t="s">
        <v>4455</v>
      </c>
      <c r="V5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71" spans="1:22" x14ac:dyDescent="0.35">
      <c r="A571" s="7" t="s">
        <v>1836</v>
      </c>
      <c r="B571" s="7" t="s">
        <v>367</v>
      </c>
      <c r="C571" s="5">
        <v>170.53</v>
      </c>
      <c r="D571" s="2">
        <v>0.79148148147942265</v>
      </c>
      <c r="E571" s="4">
        <v>44963</v>
      </c>
      <c r="F571" s="7" t="s">
        <v>17</v>
      </c>
      <c r="G571" s="7" t="s">
        <v>53</v>
      </c>
      <c r="H571" s="7" t="s">
        <v>1526</v>
      </c>
      <c r="I571" s="7" t="s">
        <v>1139</v>
      </c>
      <c r="J571" s="7" t="s">
        <v>548</v>
      </c>
      <c r="K571" s="7" t="s">
        <v>69</v>
      </c>
      <c r="L571" s="8">
        <v>24</v>
      </c>
      <c r="M571" s="7" t="s">
        <v>37</v>
      </c>
      <c r="N571" s="8">
        <v>58</v>
      </c>
      <c r="O571" s="8">
        <v>1</v>
      </c>
      <c r="P571" s="5">
        <v>801.01</v>
      </c>
      <c r="Q571" s="4">
        <v>45600</v>
      </c>
      <c r="R571" s="9">
        <v>0.34015046296296297</v>
      </c>
      <c r="S571" s="8">
        <v>18</v>
      </c>
      <c r="T571" s="7" t="s">
        <v>4456</v>
      </c>
      <c r="U571" s="7" t="s">
        <v>4455</v>
      </c>
      <c r="V5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72" spans="1:22" x14ac:dyDescent="0.35">
      <c r="A572" s="7" t="s">
        <v>1837</v>
      </c>
      <c r="B572" s="7" t="s">
        <v>1074</v>
      </c>
      <c r="C572" s="5">
        <v>262.22000000000003</v>
      </c>
      <c r="D572" s="2">
        <v>0.74194444444583496</v>
      </c>
      <c r="E572" s="4">
        <v>45120</v>
      </c>
      <c r="F572" s="7" t="s">
        <v>46</v>
      </c>
      <c r="G572" s="7" t="s">
        <v>197</v>
      </c>
      <c r="H572" s="7" t="s">
        <v>1838</v>
      </c>
      <c r="I572" s="7" t="s">
        <v>793</v>
      </c>
      <c r="J572" s="7" t="s">
        <v>1014</v>
      </c>
      <c r="K572" s="7" t="s">
        <v>22</v>
      </c>
      <c r="L572" s="8">
        <v>40</v>
      </c>
      <c r="M572" s="7" t="s">
        <v>77</v>
      </c>
      <c r="N572" s="8">
        <v>136</v>
      </c>
      <c r="O572" s="8">
        <v>1</v>
      </c>
      <c r="P572" s="5">
        <v>5711.71</v>
      </c>
      <c r="Q572" s="4">
        <v>45600</v>
      </c>
      <c r="R572" s="9">
        <v>0.34180555555555553</v>
      </c>
      <c r="S572" s="8">
        <v>17</v>
      </c>
      <c r="T572" s="7" t="s">
        <v>4457</v>
      </c>
      <c r="U572" s="7" t="s">
        <v>4455</v>
      </c>
      <c r="V5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73" spans="1:22" x14ac:dyDescent="0.35">
      <c r="A573" s="7" t="s">
        <v>1839</v>
      </c>
      <c r="B573" s="7" t="s">
        <v>355</v>
      </c>
      <c r="C573" s="5">
        <v>41.49</v>
      </c>
      <c r="D573" s="2">
        <v>0.69953703703504289</v>
      </c>
      <c r="E573" s="4">
        <v>45040</v>
      </c>
      <c r="F573" s="7" t="s">
        <v>17</v>
      </c>
      <c r="G573" s="7" t="s">
        <v>86</v>
      </c>
      <c r="H573" s="7" t="s">
        <v>1622</v>
      </c>
      <c r="I573" s="7" t="s">
        <v>1518</v>
      </c>
      <c r="J573" s="7" t="s">
        <v>1562</v>
      </c>
      <c r="K573" s="7" t="s">
        <v>36</v>
      </c>
      <c r="L573" s="8">
        <v>24</v>
      </c>
      <c r="M573" s="7" t="s">
        <v>37</v>
      </c>
      <c r="N573" s="8">
        <v>13</v>
      </c>
      <c r="O573" s="8">
        <v>1</v>
      </c>
      <c r="P573" s="5">
        <v>928.33</v>
      </c>
      <c r="Q573" s="4">
        <v>45600</v>
      </c>
      <c r="R573" s="9">
        <v>0.3417013888888889</v>
      </c>
      <c r="S573" s="8">
        <v>16</v>
      </c>
      <c r="T573" s="7" t="s">
        <v>4456</v>
      </c>
      <c r="U573" s="7" t="s">
        <v>4455</v>
      </c>
      <c r="V5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74" spans="1:22" x14ac:dyDescent="0.35">
      <c r="A574" s="7" t="s">
        <v>1840</v>
      </c>
      <c r="B574" s="7" t="s">
        <v>284</v>
      </c>
      <c r="C574" s="5">
        <v>121.43</v>
      </c>
      <c r="D574" s="2">
        <v>0.68093750000116415</v>
      </c>
      <c r="E574" s="4">
        <v>45006</v>
      </c>
      <c r="F574" s="7" t="s">
        <v>46</v>
      </c>
      <c r="G574" s="7" t="s">
        <v>285</v>
      </c>
      <c r="H574" s="7" t="s">
        <v>1369</v>
      </c>
      <c r="I574" s="7" t="s">
        <v>1155</v>
      </c>
      <c r="J574" s="7" t="s">
        <v>619</v>
      </c>
      <c r="K574" s="7" t="s">
        <v>69</v>
      </c>
      <c r="L574" s="8">
        <v>52</v>
      </c>
      <c r="M574" s="7" t="s">
        <v>77</v>
      </c>
      <c r="N574" s="8">
        <v>243</v>
      </c>
      <c r="O574" s="8">
        <v>1</v>
      </c>
      <c r="P574" s="5">
        <v>7365.28</v>
      </c>
      <c r="Q574" s="4">
        <v>45600</v>
      </c>
      <c r="R574" s="9">
        <v>0.3385185185185185</v>
      </c>
      <c r="S574" s="8">
        <v>16</v>
      </c>
      <c r="T574" s="7" t="s">
        <v>4457</v>
      </c>
      <c r="U574" s="7" t="s">
        <v>4455</v>
      </c>
      <c r="V5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75" spans="1:22" x14ac:dyDescent="0.35">
      <c r="A575" s="7" t="s">
        <v>1841</v>
      </c>
      <c r="B575" s="7" t="s">
        <v>372</v>
      </c>
      <c r="C575" s="5">
        <v>350.46</v>
      </c>
      <c r="D575" s="2">
        <v>0.67780092592875008</v>
      </c>
      <c r="E575" s="4">
        <v>45268</v>
      </c>
      <c r="F575" s="7" t="s">
        <v>17</v>
      </c>
      <c r="G575" s="7" t="s">
        <v>80</v>
      </c>
      <c r="H575" s="7" t="s">
        <v>1575</v>
      </c>
      <c r="I575" s="7" t="s">
        <v>185</v>
      </c>
      <c r="J575" s="7" t="s">
        <v>282</v>
      </c>
      <c r="K575" s="7" t="s">
        <v>69</v>
      </c>
      <c r="L575" s="8">
        <v>51</v>
      </c>
      <c r="M575" s="7" t="s">
        <v>70</v>
      </c>
      <c r="N575" s="8">
        <v>165</v>
      </c>
      <c r="O575" s="8">
        <v>1</v>
      </c>
      <c r="P575" s="5">
        <v>5839.38</v>
      </c>
      <c r="Q575" s="4">
        <v>45600</v>
      </c>
      <c r="R575" s="9">
        <v>0.33787037037037038</v>
      </c>
      <c r="S575" s="8">
        <v>16</v>
      </c>
      <c r="T575" s="7" t="s">
        <v>4457</v>
      </c>
      <c r="U575" s="7" t="s">
        <v>4455</v>
      </c>
      <c r="V5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76" spans="1:22" x14ac:dyDescent="0.35">
      <c r="A576" s="7" t="s">
        <v>1842</v>
      </c>
      <c r="B576" s="7" t="s">
        <v>1398</v>
      </c>
      <c r="C576" s="5">
        <v>220.41</v>
      </c>
      <c r="D576" s="2">
        <v>0.69640046296262881</v>
      </c>
      <c r="E576" s="4">
        <v>45173</v>
      </c>
      <c r="F576" s="7" t="s">
        <v>46</v>
      </c>
      <c r="G576" s="7" t="s">
        <v>506</v>
      </c>
      <c r="H576" s="7" t="s">
        <v>443</v>
      </c>
      <c r="I576" s="7" t="s">
        <v>469</v>
      </c>
      <c r="J576" s="7" t="s">
        <v>128</v>
      </c>
      <c r="K576" s="7" t="s">
        <v>36</v>
      </c>
      <c r="L576" s="8">
        <v>26</v>
      </c>
      <c r="M576" s="7" t="s">
        <v>77</v>
      </c>
      <c r="N576" s="8">
        <v>155</v>
      </c>
      <c r="O576" s="8">
        <v>1</v>
      </c>
      <c r="P576" s="5">
        <v>5116.9799999999996</v>
      </c>
      <c r="Q576" s="4">
        <v>45600</v>
      </c>
      <c r="R576" s="9">
        <v>0.34032407407407406</v>
      </c>
      <c r="S576" s="8">
        <v>16</v>
      </c>
      <c r="T576" s="7" t="s">
        <v>4456</v>
      </c>
      <c r="U576" s="7" t="s">
        <v>4455</v>
      </c>
      <c r="V5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77" spans="1:22" x14ac:dyDescent="0.35">
      <c r="A577" s="7" t="s">
        <v>1843</v>
      </c>
      <c r="B577" s="7" t="s">
        <v>525</v>
      </c>
      <c r="C577" s="5">
        <v>33.46</v>
      </c>
      <c r="D577" s="2">
        <v>0.70281249999970896</v>
      </c>
      <c r="E577" s="4">
        <v>44977</v>
      </c>
      <c r="F577" s="7" t="s">
        <v>17</v>
      </c>
      <c r="G577" s="7" t="s">
        <v>59</v>
      </c>
      <c r="H577" s="7" t="s">
        <v>1844</v>
      </c>
      <c r="I577" s="7" t="s">
        <v>1845</v>
      </c>
      <c r="J577" s="7" t="s">
        <v>362</v>
      </c>
      <c r="K577" s="7" t="s">
        <v>22</v>
      </c>
      <c r="L577" s="8">
        <v>72</v>
      </c>
      <c r="M577" s="7" t="s">
        <v>70</v>
      </c>
      <c r="N577" s="8">
        <v>111</v>
      </c>
      <c r="O577" s="8">
        <v>1</v>
      </c>
      <c r="P577" s="5">
        <v>3641.07</v>
      </c>
      <c r="Q577" s="4">
        <v>45600</v>
      </c>
      <c r="R577" s="9">
        <v>0.3397222222222222</v>
      </c>
      <c r="S577" s="8">
        <v>16</v>
      </c>
      <c r="T577" s="7" t="s">
        <v>4454</v>
      </c>
      <c r="U577" s="7" t="s">
        <v>4455</v>
      </c>
      <c r="V5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78" spans="1:22" x14ac:dyDescent="0.35">
      <c r="A578" s="7" t="s">
        <v>1846</v>
      </c>
      <c r="B578" s="7" t="s">
        <v>968</v>
      </c>
      <c r="C578" s="5">
        <v>104.79</v>
      </c>
      <c r="D578" s="2">
        <v>0.67120370370685123</v>
      </c>
      <c r="E578" s="4">
        <v>45145</v>
      </c>
      <c r="F578" s="7" t="s">
        <v>17</v>
      </c>
      <c r="G578" s="7" t="s">
        <v>114</v>
      </c>
      <c r="H578" s="7" t="s">
        <v>902</v>
      </c>
      <c r="I578" s="7" t="s">
        <v>1847</v>
      </c>
      <c r="J578" s="7" t="s">
        <v>137</v>
      </c>
      <c r="K578" s="7" t="s">
        <v>22</v>
      </c>
      <c r="L578" s="8">
        <v>70</v>
      </c>
      <c r="M578" s="7" t="s">
        <v>23</v>
      </c>
      <c r="N578" s="8">
        <v>223</v>
      </c>
      <c r="O578" s="8">
        <v>1</v>
      </c>
      <c r="P578" s="5">
        <v>1352.19</v>
      </c>
      <c r="Q578" s="4">
        <v>45600</v>
      </c>
      <c r="R578" s="9">
        <v>0.34035879629629628</v>
      </c>
      <c r="S578" s="8">
        <v>16</v>
      </c>
      <c r="T578" s="7" t="s">
        <v>4454</v>
      </c>
      <c r="U578" s="7" t="s">
        <v>4455</v>
      </c>
      <c r="V5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79" spans="1:22" x14ac:dyDescent="0.35">
      <c r="A579" s="7" t="s">
        <v>1848</v>
      </c>
      <c r="B579" s="7" t="s">
        <v>525</v>
      </c>
      <c r="C579" s="5">
        <v>246.27</v>
      </c>
      <c r="D579" s="2">
        <v>0.70034722222044365</v>
      </c>
      <c r="E579" s="4">
        <v>45287</v>
      </c>
      <c r="F579" s="7" t="s">
        <v>17</v>
      </c>
      <c r="G579" s="7" t="s">
        <v>558</v>
      </c>
      <c r="H579" s="7" t="s">
        <v>1532</v>
      </c>
      <c r="I579" s="7" t="s">
        <v>1779</v>
      </c>
      <c r="J579" s="7" t="s">
        <v>707</v>
      </c>
      <c r="K579" s="7" t="s">
        <v>36</v>
      </c>
      <c r="L579" s="8">
        <v>29</v>
      </c>
      <c r="M579" s="7" t="s">
        <v>23</v>
      </c>
      <c r="N579" s="8">
        <v>141</v>
      </c>
      <c r="O579" s="8">
        <v>1</v>
      </c>
      <c r="P579" s="5">
        <v>7299.86</v>
      </c>
      <c r="Q579" s="4">
        <v>45600</v>
      </c>
      <c r="R579" s="9">
        <v>0.3409375</v>
      </c>
      <c r="S579" s="8">
        <v>16</v>
      </c>
      <c r="T579" s="7" t="s">
        <v>4456</v>
      </c>
      <c r="U579" s="7" t="s">
        <v>4455</v>
      </c>
      <c r="V5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80" spans="1:22" x14ac:dyDescent="0.35">
      <c r="A580" s="7" t="s">
        <v>1849</v>
      </c>
      <c r="B580" s="7" t="s">
        <v>279</v>
      </c>
      <c r="C580" s="5">
        <v>48.85</v>
      </c>
      <c r="D580" s="2">
        <v>0.69805555555649335</v>
      </c>
      <c r="E580" s="4">
        <v>45268</v>
      </c>
      <c r="F580" s="7" t="s">
        <v>17</v>
      </c>
      <c r="G580" s="7" t="s">
        <v>323</v>
      </c>
      <c r="H580" s="7" t="s">
        <v>476</v>
      </c>
      <c r="I580" s="7" t="s">
        <v>1850</v>
      </c>
      <c r="J580" s="7" t="s">
        <v>474</v>
      </c>
      <c r="K580" s="7" t="s">
        <v>22</v>
      </c>
      <c r="L580" s="8">
        <v>19</v>
      </c>
      <c r="M580" s="7" t="s">
        <v>37</v>
      </c>
      <c r="N580" s="8">
        <v>176</v>
      </c>
      <c r="O580" s="8">
        <v>1</v>
      </c>
      <c r="P580" s="5">
        <v>1503.56</v>
      </c>
      <c r="Q580" s="4">
        <v>45600</v>
      </c>
      <c r="R580" s="9">
        <v>0.33836805555555555</v>
      </c>
      <c r="S580" s="8">
        <v>16</v>
      </c>
      <c r="T580" s="7" t="s">
        <v>4456</v>
      </c>
      <c r="U580" s="7" t="s">
        <v>4455</v>
      </c>
      <c r="V5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81" spans="1:22" x14ac:dyDescent="0.35">
      <c r="A581" s="7" t="s">
        <v>1851</v>
      </c>
      <c r="B581" s="7" t="s">
        <v>1339</v>
      </c>
      <c r="C581" s="5">
        <v>332</v>
      </c>
      <c r="D581" s="2">
        <v>0.68589120370597811</v>
      </c>
      <c r="E581" s="4">
        <v>45043</v>
      </c>
      <c r="F581" s="7" t="s">
        <v>17</v>
      </c>
      <c r="G581" s="7" t="s">
        <v>249</v>
      </c>
      <c r="H581" s="7" t="s">
        <v>1258</v>
      </c>
      <c r="I581" s="7" t="s">
        <v>1852</v>
      </c>
      <c r="J581" s="7" t="s">
        <v>858</v>
      </c>
      <c r="K581" s="7" t="s">
        <v>22</v>
      </c>
      <c r="L581" s="8">
        <v>69</v>
      </c>
      <c r="M581" s="7" t="s">
        <v>70</v>
      </c>
      <c r="N581" s="8">
        <v>17</v>
      </c>
      <c r="O581" s="8">
        <v>1</v>
      </c>
      <c r="P581" s="5">
        <v>5943.13</v>
      </c>
      <c r="Q581" s="4">
        <v>45600</v>
      </c>
      <c r="R581" s="9">
        <v>0.33822916666666669</v>
      </c>
      <c r="S581" s="8">
        <v>16</v>
      </c>
      <c r="T581" s="7" t="s">
        <v>4454</v>
      </c>
      <c r="U581" s="7" t="s">
        <v>4455</v>
      </c>
      <c r="V5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82" spans="1:22" x14ac:dyDescent="0.35">
      <c r="A582" s="7" t="s">
        <v>1853</v>
      </c>
      <c r="B582" s="7" t="s">
        <v>1854</v>
      </c>
      <c r="C582" s="5">
        <v>118.1</v>
      </c>
      <c r="D582" s="2">
        <v>0.70084490740555339</v>
      </c>
      <c r="E582" s="4">
        <v>45230</v>
      </c>
      <c r="F582" s="7" t="s">
        <v>17</v>
      </c>
      <c r="G582" s="7" t="s">
        <v>92</v>
      </c>
      <c r="H582" s="7" t="s">
        <v>1855</v>
      </c>
      <c r="I582" s="7" t="s">
        <v>1856</v>
      </c>
      <c r="J582" s="7" t="s">
        <v>358</v>
      </c>
      <c r="K582" s="7" t="s">
        <v>36</v>
      </c>
      <c r="L582" s="8">
        <v>54</v>
      </c>
      <c r="M582" s="7" t="s">
        <v>77</v>
      </c>
      <c r="N582" s="8">
        <v>167</v>
      </c>
      <c r="O582" s="8">
        <v>1</v>
      </c>
      <c r="P582" s="5">
        <v>895.66</v>
      </c>
      <c r="Q582" s="4">
        <v>45600</v>
      </c>
      <c r="R582" s="9">
        <v>0.33974537037037039</v>
      </c>
      <c r="S582" s="8">
        <v>16</v>
      </c>
      <c r="T582" s="7" t="s">
        <v>4457</v>
      </c>
      <c r="U582" s="7" t="s">
        <v>4455</v>
      </c>
      <c r="V5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83" spans="1:22" x14ac:dyDescent="0.35">
      <c r="A583" s="7" t="s">
        <v>1857</v>
      </c>
      <c r="B583" s="7" t="s">
        <v>1858</v>
      </c>
      <c r="C583" s="5">
        <v>84.59</v>
      </c>
      <c r="D583" s="2">
        <v>0.70469907407095889</v>
      </c>
      <c r="E583" s="4">
        <v>45035</v>
      </c>
      <c r="F583" s="7" t="s">
        <v>46</v>
      </c>
      <c r="G583" s="7" t="s">
        <v>146</v>
      </c>
      <c r="H583" s="7" t="s">
        <v>1859</v>
      </c>
      <c r="I583" s="7" t="s">
        <v>394</v>
      </c>
      <c r="J583" s="7" t="s">
        <v>432</v>
      </c>
      <c r="K583" s="7" t="s">
        <v>69</v>
      </c>
      <c r="L583" s="8">
        <v>67</v>
      </c>
      <c r="M583" s="7" t="s">
        <v>23</v>
      </c>
      <c r="N583" s="8">
        <v>10</v>
      </c>
      <c r="O583" s="8">
        <v>1</v>
      </c>
      <c r="P583" s="5">
        <v>5669.1</v>
      </c>
      <c r="Q583" s="4">
        <v>45600</v>
      </c>
      <c r="R583" s="9">
        <v>0.33833333333333332</v>
      </c>
      <c r="S583" s="8">
        <v>16</v>
      </c>
      <c r="T583" s="7" t="s">
        <v>4454</v>
      </c>
      <c r="U583" s="7" t="s">
        <v>4455</v>
      </c>
      <c r="V5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84" spans="1:22" x14ac:dyDescent="0.35">
      <c r="A584" s="7" t="s">
        <v>1860</v>
      </c>
      <c r="B584" s="7" t="s">
        <v>1528</v>
      </c>
      <c r="C584" s="5">
        <v>295.64</v>
      </c>
      <c r="D584" s="2">
        <v>0.73006944444205146</v>
      </c>
      <c r="E584" s="4">
        <v>45274</v>
      </c>
      <c r="F584" s="7" t="s">
        <v>17</v>
      </c>
      <c r="G584" s="7" t="s">
        <v>392</v>
      </c>
      <c r="H584" s="7" t="s">
        <v>1861</v>
      </c>
      <c r="I584" s="7" t="s">
        <v>841</v>
      </c>
      <c r="J584" s="7" t="s">
        <v>1037</v>
      </c>
      <c r="K584" s="7" t="s">
        <v>36</v>
      </c>
      <c r="L584" s="8">
        <v>21</v>
      </c>
      <c r="M584" s="7" t="s">
        <v>37</v>
      </c>
      <c r="N584" s="8">
        <v>82</v>
      </c>
      <c r="O584" s="8">
        <v>1</v>
      </c>
      <c r="P584" s="5">
        <v>1061.96</v>
      </c>
      <c r="Q584" s="4">
        <v>45600</v>
      </c>
      <c r="R584" s="9">
        <v>0.34075231481481483</v>
      </c>
      <c r="S584" s="8">
        <v>17</v>
      </c>
      <c r="T584" s="7" t="s">
        <v>4456</v>
      </c>
      <c r="U584" s="7" t="s">
        <v>4455</v>
      </c>
      <c r="V5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85" spans="1:22" x14ac:dyDescent="0.35">
      <c r="A585" s="7" t="s">
        <v>1862</v>
      </c>
      <c r="B585" s="7" t="s">
        <v>408</v>
      </c>
      <c r="C585" s="5">
        <v>514.33000000000004</v>
      </c>
      <c r="D585" s="2">
        <v>0.68550925925956108</v>
      </c>
      <c r="E585" s="4">
        <v>45079</v>
      </c>
      <c r="F585" s="7" t="s">
        <v>17</v>
      </c>
      <c r="G585" s="7" t="s">
        <v>243</v>
      </c>
      <c r="H585" s="7" t="s">
        <v>1863</v>
      </c>
      <c r="I585" s="7" t="s">
        <v>1864</v>
      </c>
      <c r="J585" s="7" t="s">
        <v>111</v>
      </c>
      <c r="K585" s="7" t="s">
        <v>69</v>
      </c>
      <c r="L585" s="8">
        <v>25</v>
      </c>
      <c r="M585" s="7" t="s">
        <v>37</v>
      </c>
      <c r="N585" s="8">
        <v>160</v>
      </c>
      <c r="O585" s="8">
        <v>1</v>
      </c>
      <c r="P585" s="5">
        <v>1592.94</v>
      </c>
      <c r="Q585" s="4">
        <v>45600</v>
      </c>
      <c r="R585" s="9">
        <v>0.34186342592592595</v>
      </c>
      <c r="S585" s="8">
        <v>16</v>
      </c>
      <c r="T585" s="7" t="s">
        <v>4456</v>
      </c>
      <c r="U585" s="7" t="s">
        <v>4455</v>
      </c>
      <c r="V5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86" spans="1:22" x14ac:dyDescent="0.35">
      <c r="A586" s="7" t="s">
        <v>1865</v>
      </c>
      <c r="B586" s="7" t="s">
        <v>85</v>
      </c>
      <c r="C586" s="5">
        <v>992.17</v>
      </c>
      <c r="D586" s="2">
        <v>0.76609953703882638</v>
      </c>
      <c r="E586" s="4">
        <v>44984</v>
      </c>
      <c r="F586" s="7" t="s">
        <v>17</v>
      </c>
      <c r="G586" s="7" t="s">
        <v>237</v>
      </c>
      <c r="H586" s="7" t="s">
        <v>87</v>
      </c>
      <c r="I586" s="7" t="s">
        <v>1540</v>
      </c>
      <c r="J586" s="7" t="s">
        <v>83</v>
      </c>
      <c r="K586" s="7" t="s">
        <v>22</v>
      </c>
      <c r="L586" s="8">
        <v>43</v>
      </c>
      <c r="M586" s="7" t="s">
        <v>23</v>
      </c>
      <c r="N586" s="8">
        <v>169</v>
      </c>
      <c r="O586" s="8">
        <v>1</v>
      </c>
      <c r="P586" s="5">
        <v>6215.96</v>
      </c>
      <c r="Q586" s="4">
        <v>45600</v>
      </c>
      <c r="R586" s="9">
        <v>0.34188657407407408</v>
      </c>
      <c r="S586" s="8">
        <v>18</v>
      </c>
      <c r="T586" s="7" t="s">
        <v>4457</v>
      </c>
      <c r="U586" s="7" t="s">
        <v>4455</v>
      </c>
      <c r="V5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87" spans="1:22" x14ac:dyDescent="0.35">
      <c r="A587" s="7" t="s">
        <v>1866</v>
      </c>
      <c r="B587" s="7" t="s">
        <v>1114</v>
      </c>
      <c r="C587" s="5">
        <v>94.59</v>
      </c>
      <c r="D587" s="2">
        <v>0.71111111110803904</v>
      </c>
      <c r="E587" s="4">
        <v>45261</v>
      </c>
      <c r="F587" s="7" t="s">
        <v>17</v>
      </c>
      <c r="G587" s="7" t="s">
        <v>453</v>
      </c>
      <c r="H587" s="7" t="s">
        <v>1129</v>
      </c>
      <c r="I587" s="7" t="s">
        <v>1291</v>
      </c>
      <c r="J587" s="7" t="s">
        <v>674</v>
      </c>
      <c r="K587" s="7" t="s">
        <v>36</v>
      </c>
      <c r="L587" s="8">
        <v>39</v>
      </c>
      <c r="M587" s="7" t="s">
        <v>23</v>
      </c>
      <c r="N587" s="8">
        <v>34</v>
      </c>
      <c r="O587" s="8">
        <v>1</v>
      </c>
      <c r="P587" s="5">
        <v>6171.89</v>
      </c>
      <c r="Q587" s="4">
        <v>45600</v>
      </c>
      <c r="R587" s="9">
        <v>0.34070601851851851</v>
      </c>
      <c r="S587" s="8">
        <v>17</v>
      </c>
      <c r="T587" s="7" t="s">
        <v>4457</v>
      </c>
      <c r="U587" s="7" t="s">
        <v>4455</v>
      </c>
      <c r="V5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88" spans="1:22" x14ac:dyDescent="0.35">
      <c r="A588" s="7" t="s">
        <v>1867</v>
      </c>
      <c r="B588" s="7" t="s">
        <v>516</v>
      </c>
      <c r="C588" s="5">
        <v>80.430000000000007</v>
      </c>
      <c r="D588" s="2">
        <v>0.67341435185517184</v>
      </c>
      <c r="E588" s="4">
        <v>44930</v>
      </c>
      <c r="F588" s="7" t="s">
        <v>17</v>
      </c>
      <c r="G588" s="7" t="s">
        <v>125</v>
      </c>
      <c r="H588" s="7" t="s">
        <v>1177</v>
      </c>
      <c r="I588" s="7" t="s">
        <v>1868</v>
      </c>
      <c r="J588" s="7" t="s">
        <v>240</v>
      </c>
      <c r="K588" s="7" t="s">
        <v>69</v>
      </c>
      <c r="L588" s="8">
        <v>59</v>
      </c>
      <c r="M588" s="7" t="s">
        <v>70</v>
      </c>
      <c r="N588" s="8">
        <v>157</v>
      </c>
      <c r="O588" s="8">
        <v>1</v>
      </c>
      <c r="P588" s="5">
        <v>5987.67</v>
      </c>
      <c r="Q588" s="4">
        <v>45600</v>
      </c>
      <c r="R588" s="9">
        <v>0.33909722222222222</v>
      </c>
      <c r="S588" s="8">
        <v>16</v>
      </c>
      <c r="T588" s="7" t="s">
        <v>4454</v>
      </c>
      <c r="U588" s="7" t="s">
        <v>4455</v>
      </c>
      <c r="V5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89" spans="1:22" x14ac:dyDescent="0.35">
      <c r="A589" s="7" t="s">
        <v>1869</v>
      </c>
      <c r="B589" s="7" t="s">
        <v>1870</v>
      </c>
      <c r="C589" s="5">
        <v>54.25</v>
      </c>
      <c r="D589" s="2">
        <v>0.70266203703795327</v>
      </c>
      <c r="E589" s="4">
        <v>45138</v>
      </c>
      <c r="F589" s="7" t="s">
        <v>17</v>
      </c>
      <c r="G589" s="7" t="s">
        <v>301</v>
      </c>
      <c r="H589" s="7" t="s">
        <v>1871</v>
      </c>
      <c r="I589" s="7" t="s">
        <v>555</v>
      </c>
      <c r="J589" s="7" t="s">
        <v>564</v>
      </c>
      <c r="K589" s="7" t="s">
        <v>36</v>
      </c>
      <c r="L589" s="8">
        <v>68</v>
      </c>
      <c r="M589" s="7" t="s">
        <v>23</v>
      </c>
      <c r="N589" s="8">
        <v>37</v>
      </c>
      <c r="O589" s="8">
        <v>1</v>
      </c>
      <c r="P589" s="5">
        <v>14783.33</v>
      </c>
      <c r="Q589" s="4">
        <v>45600</v>
      </c>
      <c r="R589" s="9">
        <v>0.3395023148148148</v>
      </c>
      <c r="S589" s="8">
        <v>16</v>
      </c>
      <c r="T589" s="7" t="s">
        <v>4454</v>
      </c>
      <c r="U589" s="7" t="s">
        <v>4455</v>
      </c>
      <c r="V5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90" spans="1:22" x14ac:dyDescent="0.35">
      <c r="A590" s="7" t="s">
        <v>1872</v>
      </c>
      <c r="B590" s="7" t="s">
        <v>1264</v>
      </c>
      <c r="C590" s="5">
        <v>178.88</v>
      </c>
      <c r="D590" s="2">
        <v>0.72995370370335877</v>
      </c>
      <c r="E590" s="4">
        <v>45096</v>
      </c>
      <c r="F590" s="7" t="s">
        <v>46</v>
      </c>
      <c r="G590" s="7" t="s">
        <v>323</v>
      </c>
      <c r="H590" s="7" t="s">
        <v>1258</v>
      </c>
      <c r="I590" s="7" t="s">
        <v>1249</v>
      </c>
      <c r="J590" s="7" t="s">
        <v>607</v>
      </c>
      <c r="K590" s="7" t="s">
        <v>69</v>
      </c>
      <c r="L590" s="8">
        <v>76</v>
      </c>
      <c r="M590" s="7" t="s">
        <v>70</v>
      </c>
      <c r="N590" s="8">
        <v>93</v>
      </c>
      <c r="O590" s="8">
        <v>4</v>
      </c>
      <c r="P590" s="5">
        <v>4708.29</v>
      </c>
      <c r="Q590" s="4">
        <v>45600</v>
      </c>
      <c r="R590" s="9">
        <v>0.3417824074074074</v>
      </c>
      <c r="S590" s="8">
        <v>17</v>
      </c>
      <c r="T590" s="7" t="s">
        <v>4454</v>
      </c>
      <c r="U590" s="7" t="s">
        <v>4458</v>
      </c>
      <c r="V5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91" spans="1:22" x14ac:dyDescent="0.35">
      <c r="A591" s="7" t="s">
        <v>1873</v>
      </c>
      <c r="B591" s="7" t="s">
        <v>1874</v>
      </c>
      <c r="C591" s="5">
        <v>518.85</v>
      </c>
      <c r="D591" s="2">
        <v>0.77623842592583969</v>
      </c>
      <c r="E591" s="4">
        <v>45222</v>
      </c>
      <c r="F591" s="7" t="s">
        <v>17</v>
      </c>
      <c r="G591" s="7" t="s">
        <v>291</v>
      </c>
      <c r="H591" s="7" t="s">
        <v>1875</v>
      </c>
      <c r="I591" s="7" t="s">
        <v>1876</v>
      </c>
      <c r="J591" s="7" t="s">
        <v>858</v>
      </c>
      <c r="K591" s="7" t="s">
        <v>36</v>
      </c>
      <c r="L591" s="8">
        <v>22</v>
      </c>
      <c r="M591" s="7" t="s">
        <v>37</v>
      </c>
      <c r="N591" s="8">
        <v>82</v>
      </c>
      <c r="O591" s="8">
        <v>1</v>
      </c>
      <c r="P591" s="5">
        <v>1806</v>
      </c>
      <c r="Q591" s="4">
        <v>45600</v>
      </c>
      <c r="R591" s="9">
        <v>0.33792824074074074</v>
      </c>
      <c r="S591" s="8">
        <v>18</v>
      </c>
      <c r="T591" s="7" t="s">
        <v>4456</v>
      </c>
      <c r="U591" s="7" t="s">
        <v>4455</v>
      </c>
      <c r="V5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92" spans="1:22" x14ac:dyDescent="0.35">
      <c r="A592" s="7" t="s">
        <v>1877</v>
      </c>
      <c r="B592" s="7" t="s">
        <v>1878</v>
      </c>
      <c r="C592" s="5">
        <v>10.65</v>
      </c>
      <c r="D592" s="2">
        <v>0.68390046296553919</v>
      </c>
      <c r="E592" s="4">
        <v>45040</v>
      </c>
      <c r="F592" s="7" t="s">
        <v>17</v>
      </c>
      <c r="G592" s="7" t="s">
        <v>108</v>
      </c>
      <c r="H592" s="7" t="s">
        <v>1115</v>
      </c>
      <c r="I592" s="7" t="s">
        <v>1879</v>
      </c>
      <c r="J592" s="7" t="s">
        <v>427</v>
      </c>
      <c r="K592" s="7" t="s">
        <v>36</v>
      </c>
      <c r="L592" s="8">
        <v>54</v>
      </c>
      <c r="M592" s="7" t="s">
        <v>23</v>
      </c>
      <c r="N592" s="8">
        <v>161</v>
      </c>
      <c r="O592" s="8">
        <v>1</v>
      </c>
      <c r="P592" s="5">
        <v>13240.72</v>
      </c>
      <c r="Q592" s="4">
        <v>45600</v>
      </c>
      <c r="R592" s="9">
        <v>0.34052083333333333</v>
      </c>
      <c r="S592" s="8">
        <v>16</v>
      </c>
      <c r="T592" s="7" t="s">
        <v>4457</v>
      </c>
      <c r="U592" s="7" t="s">
        <v>4455</v>
      </c>
      <c r="V5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93" spans="1:22" x14ac:dyDescent="0.35">
      <c r="A593" s="7" t="s">
        <v>1880</v>
      </c>
      <c r="B593" s="7" t="s">
        <v>177</v>
      </c>
      <c r="C593" s="5">
        <v>198.62</v>
      </c>
      <c r="D593" s="2">
        <v>0.68002314814657439</v>
      </c>
      <c r="E593" s="4">
        <v>45061</v>
      </c>
      <c r="F593" s="7" t="s">
        <v>46</v>
      </c>
      <c r="G593" s="7" t="s">
        <v>255</v>
      </c>
      <c r="H593" s="7" t="s">
        <v>1881</v>
      </c>
      <c r="I593" s="7" t="s">
        <v>1470</v>
      </c>
      <c r="J593" s="7" t="s">
        <v>1281</v>
      </c>
      <c r="K593" s="7" t="s">
        <v>69</v>
      </c>
      <c r="L593" s="8">
        <v>27</v>
      </c>
      <c r="M593" s="7" t="s">
        <v>37</v>
      </c>
      <c r="N593" s="8">
        <v>84</v>
      </c>
      <c r="O593" s="8">
        <v>1</v>
      </c>
      <c r="P593" s="5">
        <v>1196.07</v>
      </c>
      <c r="Q593" s="4">
        <v>45600</v>
      </c>
      <c r="R593" s="9">
        <v>0.33793981481481483</v>
      </c>
      <c r="S593" s="8">
        <v>16</v>
      </c>
      <c r="T593" s="7" t="s">
        <v>4456</v>
      </c>
      <c r="U593" s="7" t="s">
        <v>4455</v>
      </c>
      <c r="V5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594" spans="1:22" x14ac:dyDescent="0.35">
      <c r="A594" s="7" t="s">
        <v>1882</v>
      </c>
      <c r="B594" s="7" t="s">
        <v>848</v>
      </c>
      <c r="C594" s="5">
        <v>107.03</v>
      </c>
      <c r="D594" s="2">
        <v>0.76890046296466608</v>
      </c>
      <c r="E594" s="4">
        <v>44991</v>
      </c>
      <c r="F594" s="7" t="s">
        <v>17</v>
      </c>
      <c r="G594" s="7" t="s">
        <v>172</v>
      </c>
      <c r="H594" s="7" t="s">
        <v>1883</v>
      </c>
      <c r="I594" s="7" t="s">
        <v>1884</v>
      </c>
      <c r="J594" s="7" t="s">
        <v>858</v>
      </c>
      <c r="K594" s="7" t="s">
        <v>69</v>
      </c>
      <c r="L594" s="8">
        <v>27</v>
      </c>
      <c r="M594" s="7" t="s">
        <v>37</v>
      </c>
      <c r="N594" s="8">
        <v>73</v>
      </c>
      <c r="O594" s="8">
        <v>1</v>
      </c>
      <c r="P594" s="5">
        <v>1408.07</v>
      </c>
      <c r="Q594" s="4">
        <v>45600</v>
      </c>
      <c r="R594" s="9">
        <v>0.34181712962962962</v>
      </c>
      <c r="S594" s="8">
        <v>18</v>
      </c>
      <c r="T594" s="7" t="s">
        <v>4456</v>
      </c>
      <c r="U594" s="7" t="s">
        <v>4455</v>
      </c>
      <c r="V5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95" spans="1:22" x14ac:dyDescent="0.35">
      <c r="A595" s="7" t="s">
        <v>1885</v>
      </c>
      <c r="B595" s="7" t="s">
        <v>1438</v>
      </c>
      <c r="C595" s="5">
        <v>139.57</v>
      </c>
      <c r="D595" s="2">
        <v>0.74943287036876427</v>
      </c>
      <c r="E595" s="4">
        <v>45247</v>
      </c>
      <c r="F595" s="7" t="s">
        <v>17</v>
      </c>
      <c r="G595" s="7" t="s">
        <v>157</v>
      </c>
      <c r="H595" s="7" t="s">
        <v>1886</v>
      </c>
      <c r="I595" s="7" t="s">
        <v>1887</v>
      </c>
      <c r="J595" s="7" t="s">
        <v>95</v>
      </c>
      <c r="K595" s="7" t="s">
        <v>22</v>
      </c>
      <c r="L595" s="8">
        <v>19</v>
      </c>
      <c r="M595" s="7" t="s">
        <v>37</v>
      </c>
      <c r="N595" s="8">
        <v>263</v>
      </c>
      <c r="O595" s="8">
        <v>3</v>
      </c>
      <c r="P595" s="5">
        <v>271.77999999999997</v>
      </c>
      <c r="Q595" s="4">
        <v>45600</v>
      </c>
      <c r="R595" s="9">
        <v>0.33846064814814814</v>
      </c>
      <c r="S595" s="8">
        <v>17</v>
      </c>
      <c r="T595" s="7" t="s">
        <v>4456</v>
      </c>
      <c r="U595" s="7" t="s">
        <v>4458</v>
      </c>
      <c r="V5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96" spans="1:22" x14ac:dyDescent="0.35">
      <c r="A596" s="7" t="s">
        <v>1888</v>
      </c>
      <c r="B596" s="7" t="s">
        <v>1889</v>
      </c>
      <c r="C596" s="5">
        <v>312.47000000000003</v>
      </c>
      <c r="D596" s="2">
        <v>0.72530092592933215</v>
      </c>
      <c r="E596" s="4">
        <v>45048</v>
      </c>
      <c r="F596" s="7" t="s">
        <v>17</v>
      </c>
      <c r="G596" s="7" t="s">
        <v>178</v>
      </c>
      <c r="H596" s="7" t="s">
        <v>1132</v>
      </c>
      <c r="I596" s="7" t="s">
        <v>1100</v>
      </c>
      <c r="J596" s="7" t="s">
        <v>450</v>
      </c>
      <c r="K596" s="7" t="s">
        <v>22</v>
      </c>
      <c r="L596" s="8">
        <v>49</v>
      </c>
      <c r="M596" s="7" t="s">
        <v>77</v>
      </c>
      <c r="N596" s="8">
        <v>148</v>
      </c>
      <c r="O596" s="8">
        <v>4</v>
      </c>
      <c r="P596" s="5">
        <v>9419.27</v>
      </c>
      <c r="Q596" s="4">
        <v>45600</v>
      </c>
      <c r="R596" s="9">
        <v>0.33894675925925927</v>
      </c>
      <c r="S596" s="8">
        <v>17</v>
      </c>
      <c r="T596" s="7" t="s">
        <v>4457</v>
      </c>
      <c r="U596" s="7" t="s">
        <v>4458</v>
      </c>
      <c r="V5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97" spans="1:22" x14ac:dyDescent="0.35">
      <c r="A597" s="7" t="s">
        <v>1890</v>
      </c>
      <c r="B597" s="7" t="s">
        <v>284</v>
      </c>
      <c r="C597" s="5">
        <v>346.11</v>
      </c>
      <c r="D597" s="2">
        <v>0.70853009259008104</v>
      </c>
      <c r="E597" s="4">
        <v>44930</v>
      </c>
      <c r="F597" s="7" t="s">
        <v>17</v>
      </c>
      <c r="G597" s="7" t="s">
        <v>323</v>
      </c>
      <c r="H597" s="7" t="s">
        <v>1891</v>
      </c>
      <c r="I597" s="7" t="s">
        <v>417</v>
      </c>
      <c r="J597" s="7" t="s">
        <v>83</v>
      </c>
      <c r="K597" s="7" t="s">
        <v>69</v>
      </c>
      <c r="L597" s="8">
        <v>41</v>
      </c>
      <c r="M597" s="7" t="s">
        <v>77</v>
      </c>
      <c r="N597" s="8">
        <v>213</v>
      </c>
      <c r="O597" s="8">
        <v>1</v>
      </c>
      <c r="P597" s="5">
        <v>9551.64</v>
      </c>
      <c r="Q597" s="4">
        <v>45600</v>
      </c>
      <c r="R597" s="9">
        <v>0.33892361111111113</v>
      </c>
      <c r="S597" s="8">
        <v>17</v>
      </c>
      <c r="T597" s="7" t="s">
        <v>4457</v>
      </c>
      <c r="U597" s="7" t="s">
        <v>4455</v>
      </c>
      <c r="V5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98" spans="1:22" x14ac:dyDescent="0.35">
      <c r="A598" s="7" t="s">
        <v>1892</v>
      </c>
      <c r="B598" s="7" t="s">
        <v>1438</v>
      </c>
      <c r="C598" s="5">
        <v>138.06</v>
      </c>
      <c r="D598" s="2">
        <v>0.72353009258949896</v>
      </c>
      <c r="E598" s="4">
        <v>45132</v>
      </c>
      <c r="F598" s="7" t="s">
        <v>17</v>
      </c>
      <c r="G598" s="7" t="s">
        <v>249</v>
      </c>
      <c r="H598" s="7" t="s">
        <v>1893</v>
      </c>
      <c r="I598" s="7" t="s">
        <v>1894</v>
      </c>
      <c r="J598" s="7" t="s">
        <v>514</v>
      </c>
      <c r="K598" s="7" t="s">
        <v>69</v>
      </c>
      <c r="L598" s="8">
        <v>44</v>
      </c>
      <c r="M598" s="7" t="s">
        <v>77</v>
      </c>
      <c r="N598" s="8">
        <v>159</v>
      </c>
      <c r="O598" s="8">
        <v>1</v>
      </c>
      <c r="P598" s="5">
        <v>1070.47</v>
      </c>
      <c r="Q598" s="4">
        <v>45600</v>
      </c>
      <c r="R598" s="9">
        <v>0.33810185185185188</v>
      </c>
      <c r="S598" s="8">
        <v>17</v>
      </c>
      <c r="T598" s="7" t="s">
        <v>4457</v>
      </c>
      <c r="U598" s="7" t="s">
        <v>4455</v>
      </c>
      <c r="V5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599" spans="1:22" x14ac:dyDescent="0.35">
      <c r="A599" s="7" t="s">
        <v>1895</v>
      </c>
      <c r="B599" s="7" t="s">
        <v>1488</v>
      </c>
      <c r="C599" s="5">
        <v>158.02000000000001</v>
      </c>
      <c r="D599" s="2">
        <v>0.71474537037283881</v>
      </c>
      <c r="E599" s="4">
        <v>45189</v>
      </c>
      <c r="F599" s="7" t="s">
        <v>17</v>
      </c>
      <c r="G599" s="7" t="s">
        <v>203</v>
      </c>
      <c r="H599" s="7" t="s">
        <v>98</v>
      </c>
      <c r="I599" s="7" t="s">
        <v>405</v>
      </c>
      <c r="J599" s="7" t="s">
        <v>607</v>
      </c>
      <c r="K599" s="7" t="s">
        <v>22</v>
      </c>
      <c r="L599" s="8">
        <v>49</v>
      </c>
      <c r="M599" s="7" t="s">
        <v>77</v>
      </c>
      <c r="N599" s="8">
        <v>120</v>
      </c>
      <c r="O599" s="8">
        <v>1</v>
      </c>
      <c r="P599" s="5">
        <v>9374.24</v>
      </c>
      <c r="Q599" s="4">
        <v>45600</v>
      </c>
      <c r="R599" s="9">
        <v>0.34024305555555556</v>
      </c>
      <c r="S599" s="8">
        <v>17</v>
      </c>
      <c r="T599" s="7" t="s">
        <v>4457</v>
      </c>
      <c r="U599" s="7" t="s">
        <v>4455</v>
      </c>
      <c r="V5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00" spans="1:22" x14ac:dyDescent="0.35">
      <c r="A600" s="7" t="s">
        <v>1896</v>
      </c>
      <c r="B600" s="7" t="s">
        <v>151</v>
      </c>
      <c r="C600" s="5">
        <v>830.01</v>
      </c>
      <c r="D600" s="2">
        <v>0.69721064814802958</v>
      </c>
      <c r="E600" s="4">
        <v>45128</v>
      </c>
      <c r="F600" s="7" t="s">
        <v>46</v>
      </c>
      <c r="G600" s="7" t="s">
        <v>265</v>
      </c>
      <c r="H600" s="7" t="s">
        <v>1897</v>
      </c>
      <c r="I600" s="7" t="s">
        <v>1898</v>
      </c>
      <c r="J600" s="7" t="s">
        <v>358</v>
      </c>
      <c r="K600" s="7" t="s">
        <v>36</v>
      </c>
      <c r="L600" s="8">
        <v>66</v>
      </c>
      <c r="M600" s="7" t="s">
        <v>70</v>
      </c>
      <c r="N600" s="8">
        <v>96</v>
      </c>
      <c r="O600" s="8">
        <v>1</v>
      </c>
      <c r="P600" s="5">
        <v>4253.18</v>
      </c>
      <c r="Q600" s="4">
        <v>45600</v>
      </c>
      <c r="R600" s="9">
        <v>0.34128472222222223</v>
      </c>
      <c r="S600" s="8">
        <v>16</v>
      </c>
      <c r="T600" s="7" t="s">
        <v>4454</v>
      </c>
      <c r="U600" s="7" t="s">
        <v>4455</v>
      </c>
      <c r="V6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01" spans="1:22" x14ac:dyDescent="0.35">
      <c r="A601" s="7" t="s">
        <v>1899</v>
      </c>
      <c r="B601" s="7" t="s">
        <v>1900</v>
      </c>
      <c r="C601" s="5">
        <v>435.5</v>
      </c>
      <c r="D601" s="2">
        <v>0.77853009258979</v>
      </c>
      <c r="E601" s="4">
        <v>45061</v>
      </c>
      <c r="F601" s="7" t="s">
        <v>17</v>
      </c>
      <c r="G601" s="7" t="s">
        <v>53</v>
      </c>
      <c r="H601" s="7" t="s">
        <v>356</v>
      </c>
      <c r="I601" s="7" t="s">
        <v>824</v>
      </c>
      <c r="J601" s="7" t="s">
        <v>181</v>
      </c>
      <c r="K601" s="7" t="s">
        <v>22</v>
      </c>
      <c r="L601" s="8">
        <v>55</v>
      </c>
      <c r="M601" s="7" t="s">
        <v>70</v>
      </c>
      <c r="N601" s="8">
        <v>112</v>
      </c>
      <c r="O601" s="8">
        <v>1</v>
      </c>
      <c r="P601" s="5">
        <v>6981.03</v>
      </c>
      <c r="Q601" s="4">
        <v>45600</v>
      </c>
      <c r="R601" s="9">
        <v>0.34004629629629629</v>
      </c>
      <c r="S601" s="8">
        <v>18</v>
      </c>
      <c r="T601" s="7" t="s">
        <v>4454</v>
      </c>
      <c r="U601" s="7" t="s">
        <v>4455</v>
      </c>
      <c r="V6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02" spans="1:22" x14ac:dyDescent="0.35">
      <c r="A602" s="7" t="s">
        <v>1901</v>
      </c>
      <c r="B602" s="7" t="s">
        <v>1902</v>
      </c>
      <c r="C602" s="5">
        <v>110.49</v>
      </c>
      <c r="D602" s="2">
        <v>0.71304398147913162</v>
      </c>
      <c r="E602" s="4">
        <v>45230</v>
      </c>
      <c r="F602" s="7" t="s">
        <v>17</v>
      </c>
      <c r="G602" s="7" t="s">
        <v>40</v>
      </c>
      <c r="H602" s="7" t="s">
        <v>1903</v>
      </c>
      <c r="I602" s="7" t="s">
        <v>1657</v>
      </c>
      <c r="J602" s="7" t="s">
        <v>1524</v>
      </c>
      <c r="K602" s="7" t="s">
        <v>36</v>
      </c>
      <c r="L602" s="8">
        <v>57</v>
      </c>
      <c r="M602" s="7" t="s">
        <v>23</v>
      </c>
      <c r="N602" s="8">
        <v>48</v>
      </c>
      <c r="O602" s="8">
        <v>1</v>
      </c>
      <c r="P602" s="5">
        <v>10483.93</v>
      </c>
      <c r="Q602" s="4">
        <v>45600</v>
      </c>
      <c r="R602" s="9">
        <v>0.34189814814814817</v>
      </c>
      <c r="S602" s="8">
        <v>17</v>
      </c>
      <c r="T602" s="7" t="s">
        <v>4454</v>
      </c>
      <c r="U602" s="7" t="s">
        <v>4455</v>
      </c>
      <c r="V6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03" spans="1:22" x14ac:dyDescent="0.35">
      <c r="A603" s="7" t="s">
        <v>1904</v>
      </c>
      <c r="B603" s="7" t="s">
        <v>1905</v>
      </c>
      <c r="C603" s="5">
        <v>329.4</v>
      </c>
      <c r="D603" s="2">
        <v>0.687604166669189</v>
      </c>
      <c r="E603" s="4">
        <v>45285</v>
      </c>
      <c r="F603" s="7" t="s">
        <v>17</v>
      </c>
      <c r="G603" s="7" t="s">
        <v>114</v>
      </c>
      <c r="H603" s="7" t="s">
        <v>1906</v>
      </c>
      <c r="I603" s="7" t="s">
        <v>1277</v>
      </c>
      <c r="J603" s="7" t="s">
        <v>111</v>
      </c>
      <c r="K603" s="7" t="s">
        <v>36</v>
      </c>
      <c r="L603" s="8">
        <v>34</v>
      </c>
      <c r="M603" s="7" t="s">
        <v>23</v>
      </c>
      <c r="N603" s="8">
        <v>68</v>
      </c>
      <c r="O603" s="8">
        <v>1</v>
      </c>
      <c r="P603" s="5">
        <v>9588.07</v>
      </c>
      <c r="Q603" s="4">
        <v>45600</v>
      </c>
      <c r="R603" s="9">
        <v>0.33883101851851855</v>
      </c>
      <c r="S603" s="8">
        <v>16</v>
      </c>
      <c r="T603" s="7" t="s">
        <v>4456</v>
      </c>
      <c r="U603" s="7" t="s">
        <v>4455</v>
      </c>
      <c r="V6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04" spans="1:22" x14ac:dyDescent="0.35">
      <c r="A604" s="7" t="s">
        <v>1907</v>
      </c>
      <c r="B604" s="7" t="s">
        <v>851</v>
      </c>
      <c r="C604" s="5">
        <v>635.4</v>
      </c>
      <c r="D604" s="2">
        <v>0.70486111110949423</v>
      </c>
      <c r="E604" s="4">
        <v>45188</v>
      </c>
      <c r="F604" s="7" t="s">
        <v>17</v>
      </c>
      <c r="G604" s="7" t="s">
        <v>114</v>
      </c>
      <c r="H604" s="7" t="s">
        <v>1727</v>
      </c>
      <c r="I604" s="7" t="s">
        <v>34</v>
      </c>
      <c r="J604" s="7" t="s">
        <v>762</v>
      </c>
      <c r="K604" s="7" t="s">
        <v>22</v>
      </c>
      <c r="L604" s="8">
        <v>47</v>
      </c>
      <c r="M604" s="7" t="s">
        <v>23</v>
      </c>
      <c r="N604" s="8">
        <v>106</v>
      </c>
      <c r="O604" s="8">
        <v>1</v>
      </c>
      <c r="P604" s="5">
        <v>1238.1099999999999</v>
      </c>
      <c r="Q604" s="4">
        <v>45600</v>
      </c>
      <c r="R604" s="9">
        <v>0.34149305555555554</v>
      </c>
      <c r="S604" s="8">
        <v>16</v>
      </c>
      <c r="T604" s="7" t="s">
        <v>4457</v>
      </c>
      <c r="U604" s="7" t="s">
        <v>4455</v>
      </c>
      <c r="V6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05" spans="1:22" x14ac:dyDescent="0.35">
      <c r="A605" s="7" t="s">
        <v>1908</v>
      </c>
      <c r="B605" s="7" t="s">
        <v>629</v>
      </c>
      <c r="C605" s="5">
        <v>769.97</v>
      </c>
      <c r="D605" s="2">
        <v>0.78939814814657439</v>
      </c>
      <c r="E605" s="4">
        <v>44973</v>
      </c>
      <c r="F605" s="7" t="s">
        <v>17</v>
      </c>
      <c r="G605" s="7" t="s">
        <v>18</v>
      </c>
      <c r="H605" s="7" t="s">
        <v>1909</v>
      </c>
      <c r="I605" s="7" t="s">
        <v>1910</v>
      </c>
      <c r="J605" s="7" t="s">
        <v>707</v>
      </c>
      <c r="K605" s="7" t="s">
        <v>69</v>
      </c>
      <c r="L605" s="8">
        <v>22</v>
      </c>
      <c r="M605" s="7" t="s">
        <v>37</v>
      </c>
      <c r="N605" s="8">
        <v>23</v>
      </c>
      <c r="O605" s="8">
        <v>1</v>
      </c>
      <c r="P605" s="5">
        <v>1244.93</v>
      </c>
      <c r="Q605" s="4">
        <v>45600</v>
      </c>
      <c r="R605" s="9">
        <v>0.34017361111111111</v>
      </c>
      <c r="S605" s="8">
        <v>18</v>
      </c>
      <c r="T605" s="7" t="s">
        <v>4456</v>
      </c>
      <c r="U605" s="7" t="s">
        <v>4455</v>
      </c>
      <c r="V6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06" spans="1:22" x14ac:dyDescent="0.35">
      <c r="A606" s="7" t="s">
        <v>1911</v>
      </c>
      <c r="B606" s="7" t="s">
        <v>1617</v>
      </c>
      <c r="C606" s="5">
        <v>175.07</v>
      </c>
      <c r="D606" s="2">
        <v>0.74050925925985212</v>
      </c>
      <c r="E606" s="4">
        <v>45173</v>
      </c>
      <c r="F606" s="7" t="s">
        <v>17</v>
      </c>
      <c r="G606" s="7" t="s">
        <v>521</v>
      </c>
      <c r="H606" s="7" t="s">
        <v>1912</v>
      </c>
      <c r="I606" s="7" t="s">
        <v>1913</v>
      </c>
      <c r="J606" s="7" t="s">
        <v>50</v>
      </c>
      <c r="K606" s="7" t="s">
        <v>69</v>
      </c>
      <c r="L606" s="8">
        <v>26</v>
      </c>
      <c r="M606" s="7" t="s">
        <v>37</v>
      </c>
      <c r="N606" s="8">
        <v>169</v>
      </c>
      <c r="O606" s="8">
        <v>1</v>
      </c>
      <c r="P606" s="5">
        <v>1040.25</v>
      </c>
      <c r="Q606" s="4">
        <v>45600</v>
      </c>
      <c r="R606" s="9">
        <v>0.33906249999999999</v>
      </c>
      <c r="S606" s="8">
        <v>17</v>
      </c>
      <c r="T606" s="7" t="s">
        <v>4456</v>
      </c>
      <c r="U606" s="7" t="s">
        <v>4455</v>
      </c>
      <c r="V6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07" spans="1:22" x14ac:dyDescent="0.35">
      <c r="A607" s="7" t="s">
        <v>1914</v>
      </c>
      <c r="B607" s="7" t="s">
        <v>1915</v>
      </c>
      <c r="C607" s="5">
        <v>7.31</v>
      </c>
      <c r="D607" s="2">
        <v>0.66957175925927004</v>
      </c>
      <c r="E607" s="4">
        <v>45103</v>
      </c>
      <c r="F607" s="7" t="s">
        <v>17</v>
      </c>
      <c r="G607" s="7" t="s">
        <v>146</v>
      </c>
      <c r="H607" s="7" t="s">
        <v>1916</v>
      </c>
      <c r="I607" s="7" t="s">
        <v>1917</v>
      </c>
      <c r="J607" s="7" t="s">
        <v>165</v>
      </c>
      <c r="K607" s="7" t="s">
        <v>69</v>
      </c>
      <c r="L607" s="8">
        <v>78</v>
      </c>
      <c r="M607" s="7" t="s">
        <v>70</v>
      </c>
      <c r="N607" s="8">
        <v>282</v>
      </c>
      <c r="O607" s="8">
        <v>1</v>
      </c>
      <c r="P607" s="5">
        <v>5757.67</v>
      </c>
      <c r="Q607" s="4">
        <v>45600</v>
      </c>
      <c r="R607" s="9">
        <v>0.33836805555555555</v>
      </c>
      <c r="S607" s="8">
        <v>16</v>
      </c>
      <c r="T607" s="7" t="s">
        <v>4454</v>
      </c>
      <c r="U607" s="7" t="s">
        <v>4455</v>
      </c>
      <c r="V6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08" spans="1:22" x14ac:dyDescent="0.35">
      <c r="A608" s="7" t="s">
        <v>1918</v>
      </c>
      <c r="B608" s="7" t="s">
        <v>801</v>
      </c>
      <c r="C608" s="5">
        <v>175.15</v>
      </c>
      <c r="D608" s="2">
        <v>0.71019675926072523</v>
      </c>
      <c r="E608" s="4">
        <v>45239</v>
      </c>
      <c r="F608" s="7" t="s">
        <v>17</v>
      </c>
      <c r="G608" s="7" t="s">
        <v>73</v>
      </c>
      <c r="H608" s="7" t="s">
        <v>1919</v>
      </c>
      <c r="I608" s="7" t="s">
        <v>866</v>
      </c>
      <c r="J608" s="7" t="s">
        <v>277</v>
      </c>
      <c r="K608" s="7" t="s">
        <v>22</v>
      </c>
      <c r="L608" s="8">
        <v>27</v>
      </c>
      <c r="M608" s="7" t="s">
        <v>37</v>
      </c>
      <c r="N608" s="8">
        <v>32</v>
      </c>
      <c r="O608" s="8">
        <v>1</v>
      </c>
      <c r="P608" s="5">
        <v>1712.65</v>
      </c>
      <c r="Q608" s="4">
        <v>45600</v>
      </c>
      <c r="R608" s="9">
        <v>0.34010416666666665</v>
      </c>
      <c r="S608" s="8">
        <v>17</v>
      </c>
      <c r="T608" s="7" t="s">
        <v>4456</v>
      </c>
      <c r="U608" s="7" t="s">
        <v>4455</v>
      </c>
      <c r="V6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09" spans="1:22" x14ac:dyDescent="0.35">
      <c r="A609" s="7" t="s">
        <v>1920</v>
      </c>
      <c r="B609" s="7" t="s">
        <v>85</v>
      </c>
      <c r="C609" s="5">
        <v>32.54</v>
      </c>
      <c r="D609" s="2">
        <v>0.68443287037371192</v>
      </c>
      <c r="E609" s="4">
        <v>45111</v>
      </c>
      <c r="F609" s="7" t="s">
        <v>17</v>
      </c>
      <c r="G609" s="7" t="s">
        <v>53</v>
      </c>
      <c r="H609" s="7" t="s">
        <v>1429</v>
      </c>
      <c r="I609" s="7" t="s">
        <v>1921</v>
      </c>
      <c r="J609" s="7" t="s">
        <v>154</v>
      </c>
      <c r="K609" s="7" t="s">
        <v>36</v>
      </c>
      <c r="L609" s="8">
        <v>25</v>
      </c>
      <c r="M609" s="7" t="s">
        <v>37</v>
      </c>
      <c r="N609" s="8">
        <v>183</v>
      </c>
      <c r="O609" s="8">
        <v>4</v>
      </c>
      <c r="P609" s="5">
        <v>1544.88</v>
      </c>
      <c r="Q609" s="4">
        <v>45600</v>
      </c>
      <c r="R609" s="9">
        <v>0.3382060185185185</v>
      </c>
      <c r="S609" s="8">
        <v>16</v>
      </c>
      <c r="T609" s="7" t="s">
        <v>4456</v>
      </c>
      <c r="U609" s="7" t="s">
        <v>4458</v>
      </c>
      <c r="V6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10" spans="1:22" x14ac:dyDescent="0.35">
      <c r="A610" s="7" t="s">
        <v>1922</v>
      </c>
      <c r="B610" s="7" t="s">
        <v>1826</v>
      </c>
      <c r="C610" s="5">
        <v>121.82</v>
      </c>
      <c r="D610" s="2">
        <v>0.7668287037013215</v>
      </c>
      <c r="E610" s="4">
        <v>45177</v>
      </c>
      <c r="F610" s="7" t="s">
        <v>17</v>
      </c>
      <c r="G610" s="7" t="s">
        <v>323</v>
      </c>
      <c r="H610" s="7" t="s">
        <v>1766</v>
      </c>
      <c r="I610" s="7" t="s">
        <v>1230</v>
      </c>
      <c r="J610" s="7" t="s">
        <v>418</v>
      </c>
      <c r="K610" s="7" t="s">
        <v>36</v>
      </c>
      <c r="L610" s="8">
        <v>60</v>
      </c>
      <c r="M610" s="7" t="s">
        <v>23</v>
      </c>
      <c r="N610" s="8">
        <v>119</v>
      </c>
      <c r="O610" s="8">
        <v>1</v>
      </c>
      <c r="P610" s="5">
        <v>13293.83</v>
      </c>
      <c r="Q610" s="4">
        <v>45600</v>
      </c>
      <c r="R610" s="9">
        <v>0.34131944444444445</v>
      </c>
      <c r="S610" s="8">
        <v>18</v>
      </c>
      <c r="T610" s="7" t="s">
        <v>4454</v>
      </c>
      <c r="U610" s="7" t="s">
        <v>4455</v>
      </c>
      <c r="V6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11" spans="1:22" x14ac:dyDescent="0.35">
      <c r="A611" s="7" t="s">
        <v>1923</v>
      </c>
      <c r="B611" s="7" t="s">
        <v>896</v>
      </c>
      <c r="C611" s="5">
        <v>56.12</v>
      </c>
      <c r="D611" s="2">
        <v>0.78466435184964212</v>
      </c>
      <c r="E611" s="4">
        <v>45182</v>
      </c>
      <c r="F611" s="7" t="s">
        <v>17</v>
      </c>
      <c r="G611" s="7" t="s">
        <v>506</v>
      </c>
      <c r="H611" s="7" t="s">
        <v>1924</v>
      </c>
      <c r="I611" s="7" t="s">
        <v>1925</v>
      </c>
      <c r="J611" s="7" t="s">
        <v>474</v>
      </c>
      <c r="K611" s="7" t="s">
        <v>22</v>
      </c>
      <c r="L611" s="8">
        <v>30</v>
      </c>
      <c r="M611" s="7" t="s">
        <v>23</v>
      </c>
      <c r="N611" s="8">
        <v>102</v>
      </c>
      <c r="O611" s="8">
        <v>1</v>
      </c>
      <c r="P611" s="5">
        <v>8839.67</v>
      </c>
      <c r="Q611" s="4">
        <v>45600</v>
      </c>
      <c r="R611" s="9">
        <v>0.33993055555555557</v>
      </c>
      <c r="S611" s="8">
        <v>18</v>
      </c>
      <c r="T611" s="7" t="s">
        <v>4456</v>
      </c>
      <c r="U611" s="7" t="s">
        <v>4455</v>
      </c>
      <c r="V6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12" spans="1:22" x14ac:dyDescent="0.35">
      <c r="A612" s="7" t="s">
        <v>1926</v>
      </c>
      <c r="B612" s="7" t="s">
        <v>1927</v>
      </c>
      <c r="C612" s="5">
        <v>424.7</v>
      </c>
      <c r="D612" s="2">
        <v>0.73418981481518131</v>
      </c>
      <c r="E612" s="4">
        <v>44956</v>
      </c>
      <c r="F612" s="7" t="s">
        <v>46</v>
      </c>
      <c r="G612" s="7" t="s">
        <v>172</v>
      </c>
      <c r="H612" s="7" t="s">
        <v>1928</v>
      </c>
      <c r="I612" s="7" t="s">
        <v>1929</v>
      </c>
      <c r="J612" s="7" t="s">
        <v>418</v>
      </c>
      <c r="K612" s="7" t="s">
        <v>36</v>
      </c>
      <c r="L612" s="8">
        <v>56</v>
      </c>
      <c r="M612" s="7" t="s">
        <v>70</v>
      </c>
      <c r="N612" s="8">
        <v>178</v>
      </c>
      <c r="O612" s="8">
        <v>1</v>
      </c>
      <c r="P612" s="5">
        <v>6239.89</v>
      </c>
      <c r="Q612" s="4">
        <v>45600</v>
      </c>
      <c r="R612" s="9">
        <v>0.33917824074074077</v>
      </c>
      <c r="S612" s="8">
        <v>17</v>
      </c>
      <c r="T612" s="7" t="s">
        <v>4454</v>
      </c>
      <c r="U612" s="7" t="s">
        <v>4455</v>
      </c>
      <c r="V6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13" spans="1:22" x14ac:dyDescent="0.35">
      <c r="A613" s="7" t="s">
        <v>1930</v>
      </c>
      <c r="B613" s="7" t="s">
        <v>130</v>
      </c>
      <c r="C613" s="5">
        <v>35.159999999999997</v>
      </c>
      <c r="D613" s="2">
        <v>0.74332175926247146</v>
      </c>
      <c r="E613" s="4">
        <v>45224</v>
      </c>
      <c r="F613" s="7" t="s">
        <v>17</v>
      </c>
      <c r="G613" s="7" t="s">
        <v>265</v>
      </c>
      <c r="H613" s="7" t="s">
        <v>1931</v>
      </c>
      <c r="I613" s="7" t="s">
        <v>1556</v>
      </c>
      <c r="J613" s="7" t="s">
        <v>175</v>
      </c>
      <c r="K613" s="7" t="s">
        <v>69</v>
      </c>
      <c r="L613" s="8">
        <v>32</v>
      </c>
      <c r="M613" s="7" t="s">
        <v>77</v>
      </c>
      <c r="N613" s="8">
        <v>130</v>
      </c>
      <c r="O613" s="8">
        <v>1</v>
      </c>
      <c r="P613" s="5">
        <v>8459.18</v>
      </c>
      <c r="Q613" s="4">
        <v>45600</v>
      </c>
      <c r="R613" s="9">
        <v>0.34067129629629628</v>
      </c>
      <c r="S613" s="8">
        <v>17</v>
      </c>
      <c r="T613" s="7" t="s">
        <v>4456</v>
      </c>
      <c r="U613" s="7" t="s">
        <v>4455</v>
      </c>
      <c r="V6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14" spans="1:22" x14ac:dyDescent="0.35">
      <c r="A614" s="7" t="s">
        <v>1932</v>
      </c>
      <c r="B614" s="7" t="s">
        <v>471</v>
      </c>
      <c r="C614" s="5">
        <v>35.729999999999997</v>
      </c>
      <c r="D614" s="2">
        <v>0.70003472222015262</v>
      </c>
      <c r="E614" s="4">
        <v>45089</v>
      </c>
      <c r="F614" s="7" t="s">
        <v>17</v>
      </c>
      <c r="G614" s="7" t="s">
        <v>172</v>
      </c>
      <c r="H614" s="7" t="s">
        <v>1261</v>
      </c>
      <c r="I614" s="7" t="s">
        <v>878</v>
      </c>
      <c r="J614" s="7" t="s">
        <v>165</v>
      </c>
      <c r="K614" s="7" t="s">
        <v>69</v>
      </c>
      <c r="L614" s="8">
        <v>65</v>
      </c>
      <c r="M614" s="7" t="s">
        <v>23</v>
      </c>
      <c r="N614" s="8">
        <v>87</v>
      </c>
      <c r="O614" s="8">
        <v>1</v>
      </c>
      <c r="P614" s="5">
        <v>9073.17</v>
      </c>
      <c r="Q614" s="4">
        <v>45600</v>
      </c>
      <c r="R614" s="9">
        <v>0.34107638888888892</v>
      </c>
      <c r="S614" s="8">
        <v>16</v>
      </c>
      <c r="T614" s="7" t="s">
        <v>4454</v>
      </c>
      <c r="U614" s="7" t="s">
        <v>4455</v>
      </c>
      <c r="V6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15" spans="1:22" x14ac:dyDescent="0.35">
      <c r="A615" s="7" t="s">
        <v>1933</v>
      </c>
      <c r="B615" s="7" t="s">
        <v>1934</v>
      </c>
      <c r="C615" s="5">
        <v>3.44</v>
      </c>
      <c r="D615" s="2">
        <v>0.72534722222189885</v>
      </c>
      <c r="E615" s="4">
        <v>44945</v>
      </c>
      <c r="F615" s="7" t="s">
        <v>17</v>
      </c>
      <c r="G615" s="7" t="s">
        <v>157</v>
      </c>
      <c r="H615" s="7" t="s">
        <v>1935</v>
      </c>
      <c r="I615" s="7" t="s">
        <v>583</v>
      </c>
      <c r="J615" s="7" t="s">
        <v>432</v>
      </c>
      <c r="K615" s="7" t="s">
        <v>22</v>
      </c>
      <c r="L615" s="8">
        <v>78</v>
      </c>
      <c r="M615" s="7" t="s">
        <v>70</v>
      </c>
      <c r="N615" s="8">
        <v>108</v>
      </c>
      <c r="O615" s="8">
        <v>1</v>
      </c>
      <c r="P615" s="5">
        <v>7561.33</v>
      </c>
      <c r="Q615" s="4">
        <v>45600</v>
      </c>
      <c r="R615" s="9">
        <v>0.34189814814814817</v>
      </c>
      <c r="S615" s="8">
        <v>17</v>
      </c>
      <c r="T615" s="7" t="s">
        <v>4454</v>
      </c>
      <c r="U615" s="7" t="s">
        <v>4455</v>
      </c>
      <c r="V6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16" spans="1:22" x14ac:dyDescent="0.35">
      <c r="A616" s="7" t="s">
        <v>1936</v>
      </c>
      <c r="B616" s="7" t="s">
        <v>1172</v>
      </c>
      <c r="C616" s="5">
        <v>1342.25</v>
      </c>
      <c r="D616" s="2">
        <v>0.75827546296204673</v>
      </c>
      <c r="E616" s="4">
        <v>45044</v>
      </c>
      <c r="F616" s="7" t="s">
        <v>46</v>
      </c>
      <c r="G616" s="7" t="s">
        <v>157</v>
      </c>
      <c r="H616" s="7" t="s">
        <v>1937</v>
      </c>
      <c r="I616" s="7" t="s">
        <v>921</v>
      </c>
      <c r="J616" s="7" t="s">
        <v>418</v>
      </c>
      <c r="K616" s="7" t="s">
        <v>69</v>
      </c>
      <c r="L616" s="8">
        <v>21</v>
      </c>
      <c r="M616" s="7" t="s">
        <v>37</v>
      </c>
      <c r="N616" s="8">
        <v>235</v>
      </c>
      <c r="O616" s="8">
        <v>1</v>
      </c>
      <c r="P616" s="5">
        <v>694.03</v>
      </c>
      <c r="Q616" s="4">
        <v>45600</v>
      </c>
      <c r="R616" s="9">
        <v>0.33888888888888891</v>
      </c>
      <c r="S616" s="8">
        <v>18</v>
      </c>
      <c r="T616" s="7" t="s">
        <v>4456</v>
      </c>
      <c r="U616" s="7" t="s">
        <v>4455</v>
      </c>
      <c r="V6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17" spans="1:22" x14ac:dyDescent="0.35">
      <c r="A617" s="7" t="s">
        <v>1938</v>
      </c>
      <c r="B617" s="7" t="s">
        <v>124</v>
      </c>
      <c r="C617" s="5">
        <v>139.03</v>
      </c>
      <c r="D617" s="2">
        <v>0.750104166669189</v>
      </c>
      <c r="E617" s="4">
        <v>45168</v>
      </c>
      <c r="F617" s="7" t="s">
        <v>46</v>
      </c>
      <c r="G617" s="7" t="s">
        <v>140</v>
      </c>
      <c r="H617" s="7" t="s">
        <v>1939</v>
      </c>
      <c r="I617" s="7" t="s">
        <v>1913</v>
      </c>
      <c r="J617" s="7" t="s">
        <v>592</v>
      </c>
      <c r="K617" s="7" t="s">
        <v>36</v>
      </c>
      <c r="L617" s="8">
        <v>50</v>
      </c>
      <c r="M617" s="7" t="s">
        <v>77</v>
      </c>
      <c r="N617" s="8">
        <v>81</v>
      </c>
      <c r="O617" s="8">
        <v>1</v>
      </c>
      <c r="P617" s="5">
        <v>2276.5700000000002</v>
      </c>
      <c r="Q617" s="4">
        <v>45600</v>
      </c>
      <c r="R617" s="9">
        <v>0.34130787037037036</v>
      </c>
      <c r="S617" s="8">
        <v>18</v>
      </c>
      <c r="T617" s="7" t="s">
        <v>4457</v>
      </c>
      <c r="U617" s="7" t="s">
        <v>4455</v>
      </c>
      <c r="V6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18" spans="1:22" x14ac:dyDescent="0.35">
      <c r="A618" s="7" t="s">
        <v>1940</v>
      </c>
      <c r="B618" s="7" t="s">
        <v>1085</v>
      </c>
      <c r="C618" s="5">
        <v>254.92</v>
      </c>
      <c r="D618" s="2">
        <v>0.66951388888992369</v>
      </c>
      <c r="E618" s="4">
        <v>45187</v>
      </c>
      <c r="F618" s="7" t="s">
        <v>46</v>
      </c>
      <c r="G618" s="7" t="s">
        <v>237</v>
      </c>
      <c r="H618" s="7" t="s">
        <v>1941</v>
      </c>
      <c r="I618" s="7" t="s">
        <v>844</v>
      </c>
      <c r="J618" s="7" t="s">
        <v>331</v>
      </c>
      <c r="K618" s="7" t="s">
        <v>22</v>
      </c>
      <c r="L618" s="8">
        <v>28</v>
      </c>
      <c r="M618" s="7" t="s">
        <v>77</v>
      </c>
      <c r="N618" s="8">
        <v>169</v>
      </c>
      <c r="O618" s="8">
        <v>1</v>
      </c>
      <c r="P618" s="5">
        <v>2791.12</v>
      </c>
      <c r="Q618" s="4">
        <v>45600</v>
      </c>
      <c r="R618" s="9">
        <v>0.33840277777777777</v>
      </c>
      <c r="S618" s="8">
        <v>16</v>
      </c>
      <c r="T618" s="7" t="s">
        <v>4456</v>
      </c>
      <c r="U618" s="7" t="s">
        <v>4455</v>
      </c>
      <c r="V6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19" spans="1:22" x14ac:dyDescent="0.35">
      <c r="A619" s="7" t="s">
        <v>1942</v>
      </c>
      <c r="B619" s="7" t="s">
        <v>1066</v>
      </c>
      <c r="C619" s="5">
        <v>115.11</v>
      </c>
      <c r="D619" s="2">
        <v>0.73219907407474238</v>
      </c>
      <c r="E619" s="4">
        <v>45051</v>
      </c>
      <c r="F619" s="7" t="s">
        <v>17</v>
      </c>
      <c r="G619" s="7" t="s">
        <v>86</v>
      </c>
      <c r="H619" s="7" t="s">
        <v>1716</v>
      </c>
      <c r="I619" s="7" t="s">
        <v>1943</v>
      </c>
      <c r="J619" s="7" t="s">
        <v>1349</v>
      </c>
      <c r="K619" s="7" t="s">
        <v>36</v>
      </c>
      <c r="L619" s="8">
        <v>28</v>
      </c>
      <c r="M619" s="7" t="s">
        <v>77</v>
      </c>
      <c r="N619" s="8">
        <v>139</v>
      </c>
      <c r="O619" s="8">
        <v>1</v>
      </c>
      <c r="P619" s="5">
        <v>9808.9699999999993</v>
      </c>
      <c r="Q619" s="4">
        <v>45600</v>
      </c>
      <c r="R619" s="9">
        <v>0.3404861111111111</v>
      </c>
      <c r="S619" s="8">
        <v>17</v>
      </c>
      <c r="T619" s="7" t="s">
        <v>4456</v>
      </c>
      <c r="U619" s="7" t="s">
        <v>4455</v>
      </c>
      <c r="V6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20" spans="1:22" x14ac:dyDescent="0.35">
      <c r="A620" s="7" t="s">
        <v>1944</v>
      </c>
      <c r="B620" s="7" t="s">
        <v>516</v>
      </c>
      <c r="C620" s="5">
        <v>171.11</v>
      </c>
      <c r="D620" s="2">
        <v>0.703055555553874</v>
      </c>
      <c r="E620" s="4">
        <v>45061</v>
      </c>
      <c r="F620" s="7" t="s">
        <v>17</v>
      </c>
      <c r="G620" s="7" t="s">
        <v>212</v>
      </c>
      <c r="H620" s="7" t="s">
        <v>1945</v>
      </c>
      <c r="I620" s="7" t="s">
        <v>174</v>
      </c>
      <c r="J620" s="7" t="s">
        <v>820</v>
      </c>
      <c r="K620" s="7" t="s">
        <v>22</v>
      </c>
      <c r="L620" s="8">
        <v>57</v>
      </c>
      <c r="M620" s="7" t="s">
        <v>70</v>
      </c>
      <c r="N620" s="8">
        <v>171</v>
      </c>
      <c r="O620" s="8">
        <v>1</v>
      </c>
      <c r="P620" s="5">
        <v>6324.09</v>
      </c>
      <c r="Q620" s="4">
        <v>45600</v>
      </c>
      <c r="R620" s="9">
        <v>0.33935185185185185</v>
      </c>
      <c r="S620" s="8">
        <v>16</v>
      </c>
      <c r="T620" s="7" t="s">
        <v>4454</v>
      </c>
      <c r="U620" s="7" t="s">
        <v>4455</v>
      </c>
      <c r="V6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21" spans="1:22" x14ac:dyDescent="0.35">
      <c r="A621" s="7" t="s">
        <v>1946</v>
      </c>
      <c r="B621" s="7" t="s">
        <v>905</v>
      </c>
      <c r="C621" s="5">
        <v>168.54</v>
      </c>
      <c r="D621" s="2">
        <v>0.67584490740409819</v>
      </c>
      <c r="E621" s="4">
        <v>44959</v>
      </c>
      <c r="F621" s="7" t="s">
        <v>17</v>
      </c>
      <c r="G621" s="7" t="s">
        <v>53</v>
      </c>
      <c r="H621" s="7" t="s">
        <v>1947</v>
      </c>
      <c r="I621" s="7" t="s">
        <v>1948</v>
      </c>
      <c r="J621" s="7" t="s">
        <v>331</v>
      </c>
      <c r="K621" s="7" t="s">
        <v>22</v>
      </c>
      <c r="L621" s="8">
        <v>70</v>
      </c>
      <c r="M621" s="7" t="s">
        <v>23</v>
      </c>
      <c r="N621" s="8">
        <v>142</v>
      </c>
      <c r="O621" s="8">
        <v>2</v>
      </c>
      <c r="P621" s="5">
        <v>13406</v>
      </c>
      <c r="Q621" s="4">
        <v>45600</v>
      </c>
      <c r="R621" s="9">
        <v>0.33905092592592595</v>
      </c>
      <c r="S621" s="8">
        <v>16</v>
      </c>
      <c r="T621" s="7" t="s">
        <v>4454</v>
      </c>
      <c r="U621" s="7" t="s">
        <v>4458</v>
      </c>
      <c r="V6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22" spans="1:22" x14ac:dyDescent="0.35">
      <c r="A622" s="7" t="s">
        <v>1949</v>
      </c>
      <c r="B622" s="7" t="s">
        <v>1770</v>
      </c>
      <c r="C622" s="5">
        <v>420.76</v>
      </c>
      <c r="D622" s="2">
        <v>0.66984953703649808</v>
      </c>
      <c r="E622" s="4">
        <v>44980</v>
      </c>
      <c r="F622" s="7" t="s">
        <v>17</v>
      </c>
      <c r="G622" s="7" t="s">
        <v>172</v>
      </c>
      <c r="H622" s="7" t="s">
        <v>1950</v>
      </c>
      <c r="I622" s="7" t="s">
        <v>1309</v>
      </c>
      <c r="J622" s="7" t="s">
        <v>56</v>
      </c>
      <c r="K622" s="7" t="s">
        <v>69</v>
      </c>
      <c r="L622" s="8">
        <v>51</v>
      </c>
      <c r="M622" s="7" t="s">
        <v>70</v>
      </c>
      <c r="N622" s="8">
        <v>76</v>
      </c>
      <c r="O622" s="8">
        <v>1</v>
      </c>
      <c r="P622" s="5">
        <v>6581.55</v>
      </c>
      <c r="Q622" s="4">
        <v>45600</v>
      </c>
      <c r="R622" s="9">
        <v>0.33932870370370372</v>
      </c>
      <c r="S622" s="8">
        <v>16</v>
      </c>
      <c r="T622" s="7" t="s">
        <v>4457</v>
      </c>
      <c r="U622" s="7" t="s">
        <v>4455</v>
      </c>
      <c r="V6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23" spans="1:22" x14ac:dyDescent="0.35">
      <c r="A623" s="7" t="s">
        <v>1951</v>
      </c>
      <c r="B623" s="7" t="s">
        <v>1206</v>
      </c>
      <c r="C623" s="5">
        <v>408.46</v>
      </c>
      <c r="D623" s="2">
        <v>0.67900462963007158</v>
      </c>
      <c r="E623" s="4">
        <v>44986</v>
      </c>
      <c r="F623" s="7" t="s">
        <v>17</v>
      </c>
      <c r="G623" s="7" t="s">
        <v>40</v>
      </c>
      <c r="H623" s="7" t="s">
        <v>1952</v>
      </c>
      <c r="I623" s="7" t="s">
        <v>1953</v>
      </c>
      <c r="J623" s="7" t="s">
        <v>707</v>
      </c>
      <c r="K623" s="7" t="s">
        <v>69</v>
      </c>
      <c r="L623" s="8">
        <v>64</v>
      </c>
      <c r="M623" s="7" t="s">
        <v>70</v>
      </c>
      <c r="N623" s="8">
        <v>28</v>
      </c>
      <c r="O623" s="8">
        <v>1</v>
      </c>
      <c r="P623" s="5">
        <v>3140.79</v>
      </c>
      <c r="Q623" s="4">
        <v>45600</v>
      </c>
      <c r="R623" s="9">
        <v>0.33912037037037035</v>
      </c>
      <c r="S623" s="8">
        <v>16</v>
      </c>
      <c r="T623" s="7" t="s">
        <v>4454</v>
      </c>
      <c r="U623" s="7" t="s">
        <v>4455</v>
      </c>
      <c r="V6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24" spans="1:22" x14ac:dyDescent="0.35">
      <c r="A624" s="7" t="s">
        <v>1954</v>
      </c>
      <c r="B624" s="7" t="s">
        <v>1955</v>
      </c>
      <c r="C624" s="5">
        <v>1162.42</v>
      </c>
      <c r="D624" s="2">
        <v>0.6914583333345945</v>
      </c>
      <c r="E624" s="4">
        <v>45161</v>
      </c>
      <c r="F624" s="7" t="s">
        <v>46</v>
      </c>
      <c r="G624" s="7" t="s">
        <v>73</v>
      </c>
      <c r="H624" s="7" t="s">
        <v>1956</v>
      </c>
      <c r="I624" s="7" t="s">
        <v>493</v>
      </c>
      <c r="J624" s="7" t="s">
        <v>35</v>
      </c>
      <c r="K624" s="7" t="s">
        <v>36</v>
      </c>
      <c r="L624" s="8">
        <v>30</v>
      </c>
      <c r="M624" s="7" t="s">
        <v>23</v>
      </c>
      <c r="N624" s="8">
        <v>45</v>
      </c>
      <c r="O624" s="8">
        <v>1</v>
      </c>
      <c r="P624" s="5">
        <v>10357.26</v>
      </c>
      <c r="Q624" s="4">
        <v>45600</v>
      </c>
      <c r="R624" s="9">
        <v>0.33968749999999998</v>
      </c>
      <c r="S624" s="8">
        <v>16</v>
      </c>
      <c r="T624" s="7" t="s">
        <v>4456</v>
      </c>
      <c r="U624" s="7" t="s">
        <v>4455</v>
      </c>
      <c r="V6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25" spans="1:22" x14ac:dyDescent="0.35">
      <c r="A625" s="7" t="s">
        <v>1957</v>
      </c>
      <c r="B625" s="7" t="s">
        <v>1587</v>
      </c>
      <c r="C625" s="5">
        <v>342.17</v>
      </c>
      <c r="D625" s="2">
        <v>0.67340277777839219</v>
      </c>
      <c r="E625" s="4">
        <v>45274</v>
      </c>
      <c r="F625" s="7" t="s">
        <v>46</v>
      </c>
      <c r="G625" s="7" t="s">
        <v>203</v>
      </c>
      <c r="H625" s="7" t="s">
        <v>1958</v>
      </c>
      <c r="I625" s="7" t="s">
        <v>933</v>
      </c>
      <c r="J625" s="7" t="s">
        <v>450</v>
      </c>
      <c r="K625" s="7" t="s">
        <v>69</v>
      </c>
      <c r="L625" s="8">
        <v>21</v>
      </c>
      <c r="M625" s="7" t="s">
        <v>37</v>
      </c>
      <c r="N625" s="8">
        <v>247</v>
      </c>
      <c r="O625" s="8">
        <v>1</v>
      </c>
      <c r="P625" s="5">
        <v>461.83</v>
      </c>
      <c r="Q625" s="4">
        <v>45600</v>
      </c>
      <c r="R625" s="9">
        <v>0.33925925925925926</v>
      </c>
      <c r="S625" s="8">
        <v>16</v>
      </c>
      <c r="T625" s="7" t="s">
        <v>4456</v>
      </c>
      <c r="U625" s="7" t="s">
        <v>4455</v>
      </c>
      <c r="V6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26" spans="1:22" x14ac:dyDescent="0.35">
      <c r="A626" s="7" t="s">
        <v>1959</v>
      </c>
      <c r="B626" s="7" t="s">
        <v>345</v>
      </c>
      <c r="C626" s="5">
        <v>580.71</v>
      </c>
      <c r="D626" s="2">
        <v>0.69291666666686069</v>
      </c>
      <c r="E626" s="4">
        <v>45189</v>
      </c>
      <c r="F626" s="7" t="s">
        <v>17</v>
      </c>
      <c r="G626" s="7" t="s">
        <v>243</v>
      </c>
      <c r="H626" s="7" t="s">
        <v>928</v>
      </c>
      <c r="I626" s="7" t="s">
        <v>1960</v>
      </c>
      <c r="J626" s="7" t="s">
        <v>246</v>
      </c>
      <c r="K626" s="7" t="s">
        <v>22</v>
      </c>
      <c r="L626" s="8">
        <v>53</v>
      </c>
      <c r="M626" s="7" t="s">
        <v>77</v>
      </c>
      <c r="N626" s="8">
        <v>95</v>
      </c>
      <c r="O626" s="8">
        <v>1</v>
      </c>
      <c r="P626" s="5">
        <v>5670</v>
      </c>
      <c r="Q626" s="4">
        <v>45600</v>
      </c>
      <c r="R626" s="9">
        <v>0.34090277777777778</v>
      </c>
      <c r="S626" s="8">
        <v>16</v>
      </c>
      <c r="T626" s="7" t="s">
        <v>4457</v>
      </c>
      <c r="U626" s="7" t="s">
        <v>4455</v>
      </c>
      <c r="V6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27" spans="1:22" x14ac:dyDescent="0.35">
      <c r="A627" s="7" t="s">
        <v>1961</v>
      </c>
      <c r="B627" s="7" t="s">
        <v>884</v>
      </c>
      <c r="C627" s="5">
        <v>821.54</v>
      </c>
      <c r="D627" s="2">
        <v>0.75782407407677965</v>
      </c>
      <c r="E627" s="4">
        <v>45160</v>
      </c>
      <c r="F627" s="7" t="s">
        <v>46</v>
      </c>
      <c r="G627" s="7" t="s">
        <v>47</v>
      </c>
      <c r="H627" s="7" t="s">
        <v>152</v>
      </c>
      <c r="I627" s="7" t="s">
        <v>1962</v>
      </c>
      <c r="J627" s="7" t="s">
        <v>252</v>
      </c>
      <c r="K627" s="7" t="s">
        <v>69</v>
      </c>
      <c r="L627" s="8">
        <v>79</v>
      </c>
      <c r="M627" s="7" t="s">
        <v>70</v>
      </c>
      <c r="N627" s="8">
        <v>36</v>
      </c>
      <c r="O627" s="8">
        <v>1</v>
      </c>
      <c r="P627" s="5">
        <v>4040.32</v>
      </c>
      <c r="Q627" s="4">
        <v>45600</v>
      </c>
      <c r="R627" s="9">
        <v>0.34163194444444445</v>
      </c>
      <c r="S627" s="8">
        <v>18</v>
      </c>
      <c r="T627" s="7" t="s">
        <v>4454</v>
      </c>
      <c r="U627" s="7" t="s">
        <v>4455</v>
      </c>
      <c r="V6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28" spans="1:22" x14ac:dyDescent="0.35">
      <c r="A628" s="7" t="s">
        <v>1963</v>
      </c>
      <c r="B628" s="7" t="s">
        <v>1096</v>
      </c>
      <c r="C628" s="5">
        <v>253.47</v>
      </c>
      <c r="D628" s="2">
        <v>0.71328703704057261</v>
      </c>
      <c r="E628" s="4">
        <v>45091</v>
      </c>
      <c r="F628" s="7" t="s">
        <v>17</v>
      </c>
      <c r="G628" s="7" t="s">
        <v>47</v>
      </c>
      <c r="H628" s="7" t="s">
        <v>1061</v>
      </c>
      <c r="I628" s="7" t="s">
        <v>168</v>
      </c>
      <c r="J628" s="7" t="s">
        <v>543</v>
      </c>
      <c r="K628" s="7" t="s">
        <v>69</v>
      </c>
      <c r="L628" s="8">
        <v>20</v>
      </c>
      <c r="M628" s="7" t="s">
        <v>37</v>
      </c>
      <c r="N628" s="8">
        <v>238</v>
      </c>
      <c r="O628" s="8">
        <v>1</v>
      </c>
      <c r="P628" s="5">
        <v>220.51</v>
      </c>
      <c r="Q628" s="4">
        <v>45600</v>
      </c>
      <c r="R628" s="9">
        <v>0.33902777777777776</v>
      </c>
      <c r="S628" s="8">
        <v>17</v>
      </c>
      <c r="T628" s="7" t="s">
        <v>4456</v>
      </c>
      <c r="U628" s="7" t="s">
        <v>4455</v>
      </c>
      <c r="V6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29" spans="1:22" x14ac:dyDescent="0.35">
      <c r="A629" s="7" t="s">
        <v>1964</v>
      </c>
      <c r="B629" s="7" t="s">
        <v>657</v>
      </c>
      <c r="C629" s="5">
        <v>22.81</v>
      </c>
      <c r="D629" s="2">
        <v>0.74517361111065838</v>
      </c>
      <c r="E629" s="4">
        <v>45075</v>
      </c>
      <c r="F629" s="7" t="s">
        <v>17</v>
      </c>
      <c r="G629" s="7" t="s">
        <v>203</v>
      </c>
      <c r="H629" s="7" t="s">
        <v>1965</v>
      </c>
      <c r="I629" s="7" t="s">
        <v>316</v>
      </c>
      <c r="J629" s="7" t="s">
        <v>160</v>
      </c>
      <c r="K629" s="7" t="s">
        <v>36</v>
      </c>
      <c r="L629" s="8">
        <v>62</v>
      </c>
      <c r="M629" s="7" t="s">
        <v>70</v>
      </c>
      <c r="N629" s="8">
        <v>75</v>
      </c>
      <c r="O629" s="8">
        <v>1</v>
      </c>
      <c r="P629" s="5">
        <v>3634.76</v>
      </c>
      <c r="Q629" s="4">
        <v>45600</v>
      </c>
      <c r="R629" s="9">
        <v>0.33887731481481481</v>
      </c>
      <c r="S629" s="8">
        <v>17</v>
      </c>
      <c r="T629" s="7" t="s">
        <v>4454</v>
      </c>
      <c r="U629" s="7" t="s">
        <v>4455</v>
      </c>
      <c r="V6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30" spans="1:22" x14ac:dyDescent="0.35">
      <c r="A630" s="7" t="s">
        <v>1966</v>
      </c>
      <c r="B630" s="7" t="s">
        <v>585</v>
      </c>
      <c r="C630" s="5">
        <v>266.57</v>
      </c>
      <c r="D630" s="2">
        <v>0.74790509259037208</v>
      </c>
      <c r="E630" s="4">
        <v>45110</v>
      </c>
      <c r="F630" s="7" t="s">
        <v>46</v>
      </c>
      <c r="G630" s="7" t="s">
        <v>388</v>
      </c>
      <c r="H630" s="7" t="s">
        <v>1967</v>
      </c>
      <c r="I630" s="7" t="s">
        <v>1968</v>
      </c>
      <c r="J630" s="7" t="s">
        <v>607</v>
      </c>
      <c r="K630" s="7" t="s">
        <v>36</v>
      </c>
      <c r="L630" s="8">
        <v>39</v>
      </c>
      <c r="M630" s="7" t="s">
        <v>77</v>
      </c>
      <c r="N630" s="8">
        <v>96</v>
      </c>
      <c r="O630" s="8">
        <v>1</v>
      </c>
      <c r="P630" s="5">
        <v>7180.48</v>
      </c>
      <c r="Q630" s="4">
        <v>45600</v>
      </c>
      <c r="R630" s="9">
        <v>0.33831018518518519</v>
      </c>
      <c r="S630" s="8">
        <v>17</v>
      </c>
      <c r="T630" s="7" t="s">
        <v>4457</v>
      </c>
      <c r="U630" s="7" t="s">
        <v>4455</v>
      </c>
      <c r="V6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31" spans="1:22" x14ac:dyDescent="0.35">
      <c r="A631" s="7" t="s">
        <v>1969</v>
      </c>
      <c r="B631" s="7" t="s">
        <v>279</v>
      </c>
      <c r="C631" s="5">
        <v>374.61</v>
      </c>
      <c r="D631" s="2">
        <v>0.77124999999796273</v>
      </c>
      <c r="E631" s="4">
        <v>45167</v>
      </c>
      <c r="F631" s="7" t="s">
        <v>46</v>
      </c>
      <c r="G631" s="7" t="s">
        <v>32</v>
      </c>
      <c r="H631" s="7" t="s">
        <v>1089</v>
      </c>
      <c r="I631" s="7" t="s">
        <v>507</v>
      </c>
      <c r="J631" s="7" t="s">
        <v>1281</v>
      </c>
      <c r="K631" s="7" t="s">
        <v>36</v>
      </c>
      <c r="L631" s="8">
        <v>75</v>
      </c>
      <c r="M631" s="7" t="s">
        <v>70</v>
      </c>
      <c r="N631" s="8">
        <v>37</v>
      </c>
      <c r="O631" s="8">
        <v>1</v>
      </c>
      <c r="P631" s="5">
        <v>1389.71</v>
      </c>
      <c r="Q631" s="4">
        <v>45600</v>
      </c>
      <c r="R631" s="9">
        <v>0.34125</v>
      </c>
      <c r="S631" s="8">
        <v>18</v>
      </c>
      <c r="T631" s="7" t="s">
        <v>4454</v>
      </c>
      <c r="U631" s="7" t="s">
        <v>4455</v>
      </c>
      <c r="V6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32" spans="1:22" x14ac:dyDescent="0.35">
      <c r="A632" s="7" t="s">
        <v>1970</v>
      </c>
      <c r="B632" s="7" t="s">
        <v>52</v>
      </c>
      <c r="C632" s="5">
        <v>339.35</v>
      </c>
      <c r="D632" s="2">
        <v>0.67276620370103046</v>
      </c>
      <c r="E632" s="4">
        <v>44960</v>
      </c>
      <c r="F632" s="7" t="s">
        <v>46</v>
      </c>
      <c r="G632" s="7" t="s">
        <v>388</v>
      </c>
      <c r="H632" s="7" t="s">
        <v>1971</v>
      </c>
      <c r="I632" s="7" t="s">
        <v>1852</v>
      </c>
      <c r="J632" s="7" t="s">
        <v>820</v>
      </c>
      <c r="K632" s="7" t="s">
        <v>22</v>
      </c>
      <c r="L632" s="8">
        <v>78</v>
      </c>
      <c r="M632" s="7" t="s">
        <v>70</v>
      </c>
      <c r="N632" s="8">
        <v>70</v>
      </c>
      <c r="O632" s="8">
        <v>1</v>
      </c>
      <c r="P632" s="5">
        <v>5002.7</v>
      </c>
      <c r="Q632" s="4">
        <v>45600</v>
      </c>
      <c r="R632" s="9">
        <v>0.33908564814814812</v>
      </c>
      <c r="S632" s="8">
        <v>16</v>
      </c>
      <c r="T632" s="7" t="s">
        <v>4454</v>
      </c>
      <c r="U632" s="7" t="s">
        <v>4455</v>
      </c>
      <c r="V6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33" spans="1:22" x14ac:dyDescent="0.35">
      <c r="A633" s="7" t="s">
        <v>1972</v>
      </c>
      <c r="B633" s="7" t="s">
        <v>1823</v>
      </c>
      <c r="C633" s="5">
        <v>810.36</v>
      </c>
      <c r="D633" s="2">
        <v>0.70767361111211358</v>
      </c>
      <c r="E633" s="4">
        <v>44943</v>
      </c>
      <c r="F633" s="7" t="s">
        <v>17</v>
      </c>
      <c r="G633" s="7" t="s">
        <v>125</v>
      </c>
      <c r="H633" s="7" t="s">
        <v>1909</v>
      </c>
      <c r="I633" s="7" t="s">
        <v>293</v>
      </c>
      <c r="J633" s="7" t="s">
        <v>427</v>
      </c>
      <c r="K633" s="7" t="s">
        <v>22</v>
      </c>
      <c r="L633" s="8">
        <v>20</v>
      </c>
      <c r="M633" s="7" t="s">
        <v>37</v>
      </c>
      <c r="N633" s="8">
        <v>67</v>
      </c>
      <c r="O633" s="8">
        <v>1</v>
      </c>
      <c r="P633" s="5">
        <v>9239.1200000000008</v>
      </c>
      <c r="Q633" s="4">
        <v>45600</v>
      </c>
      <c r="R633" s="9">
        <v>0.33841435185185187</v>
      </c>
      <c r="S633" s="8">
        <v>16</v>
      </c>
      <c r="T633" s="7" t="s">
        <v>4456</v>
      </c>
      <c r="U633" s="7" t="s">
        <v>4455</v>
      </c>
      <c r="V6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34" spans="1:22" x14ac:dyDescent="0.35">
      <c r="A634" s="7" t="s">
        <v>1973</v>
      </c>
      <c r="B634" s="7" t="s">
        <v>1974</v>
      </c>
      <c r="C634" s="5">
        <v>9.83</v>
      </c>
      <c r="D634" s="2">
        <v>0.71130787036963739</v>
      </c>
      <c r="E634" s="4">
        <v>45131</v>
      </c>
      <c r="F634" s="7" t="s">
        <v>17</v>
      </c>
      <c r="G634" s="7" t="s">
        <v>92</v>
      </c>
      <c r="H634" s="7" t="s">
        <v>103</v>
      </c>
      <c r="I634" s="7" t="s">
        <v>99</v>
      </c>
      <c r="J634" s="7" t="s">
        <v>432</v>
      </c>
      <c r="K634" s="7" t="s">
        <v>22</v>
      </c>
      <c r="L634" s="8">
        <v>24</v>
      </c>
      <c r="M634" s="7" t="s">
        <v>37</v>
      </c>
      <c r="N634" s="8">
        <v>86</v>
      </c>
      <c r="O634" s="8">
        <v>1</v>
      </c>
      <c r="P634" s="5">
        <v>666.42</v>
      </c>
      <c r="Q634" s="4">
        <v>45600</v>
      </c>
      <c r="R634" s="9">
        <v>0.33961805555555558</v>
      </c>
      <c r="S634" s="8">
        <v>17</v>
      </c>
      <c r="T634" s="7" t="s">
        <v>4456</v>
      </c>
      <c r="U634" s="7" t="s">
        <v>4455</v>
      </c>
      <c r="V6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35" spans="1:22" x14ac:dyDescent="0.35">
      <c r="A635" s="7" t="s">
        <v>1975</v>
      </c>
      <c r="B635" s="7" t="s">
        <v>997</v>
      </c>
      <c r="C635" s="5">
        <v>135.57</v>
      </c>
      <c r="D635" s="2">
        <v>0.72053240740933688</v>
      </c>
      <c r="E635" s="4">
        <v>45091</v>
      </c>
      <c r="F635" s="7" t="s">
        <v>46</v>
      </c>
      <c r="G635" s="7" t="s">
        <v>388</v>
      </c>
      <c r="H635" s="7" t="s">
        <v>1861</v>
      </c>
      <c r="I635" s="7" t="s">
        <v>828</v>
      </c>
      <c r="J635" s="7" t="s">
        <v>89</v>
      </c>
      <c r="K635" s="7" t="s">
        <v>69</v>
      </c>
      <c r="L635" s="8">
        <v>51</v>
      </c>
      <c r="M635" s="7" t="s">
        <v>23</v>
      </c>
      <c r="N635" s="8">
        <v>116</v>
      </c>
      <c r="O635" s="8">
        <v>1</v>
      </c>
      <c r="P635" s="5">
        <v>11351.64</v>
      </c>
      <c r="Q635" s="4">
        <v>45600</v>
      </c>
      <c r="R635" s="9">
        <v>0.3414814814814815</v>
      </c>
      <c r="S635" s="8">
        <v>17</v>
      </c>
      <c r="T635" s="7" t="s">
        <v>4457</v>
      </c>
      <c r="U635" s="7" t="s">
        <v>4455</v>
      </c>
      <c r="V6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36" spans="1:22" x14ac:dyDescent="0.35">
      <c r="A636" s="7" t="s">
        <v>1976</v>
      </c>
      <c r="B636" s="7" t="s">
        <v>716</v>
      </c>
      <c r="C636" s="5">
        <v>340.05</v>
      </c>
      <c r="D636" s="2">
        <v>0.72700231481576338</v>
      </c>
      <c r="E636" s="4">
        <v>45226</v>
      </c>
      <c r="F636" s="7" t="s">
        <v>17</v>
      </c>
      <c r="G636" s="7" t="s">
        <v>73</v>
      </c>
      <c r="H636" s="7" t="s">
        <v>1977</v>
      </c>
      <c r="I636" s="7" t="s">
        <v>1597</v>
      </c>
      <c r="J636" s="7" t="s">
        <v>858</v>
      </c>
      <c r="K636" s="7" t="s">
        <v>22</v>
      </c>
      <c r="L636" s="8">
        <v>43</v>
      </c>
      <c r="M636" s="7" t="s">
        <v>77</v>
      </c>
      <c r="N636" s="8">
        <v>37</v>
      </c>
      <c r="O636" s="8">
        <v>1</v>
      </c>
      <c r="P636" s="5">
        <v>7234.15</v>
      </c>
      <c r="Q636" s="4">
        <v>45600</v>
      </c>
      <c r="R636" s="9">
        <v>0.33869212962962963</v>
      </c>
      <c r="S636" s="8">
        <v>17</v>
      </c>
      <c r="T636" s="7" t="s">
        <v>4457</v>
      </c>
      <c r="U636" s="7" t="s">
        <v>4455</v>
      </c>
      <c r="V6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37" spans="1:22" x14ac:dyDescent="0.35">
      <c r="A637" s="7" t="s">
        <v>1978</v>
      </c>
      <c r="B637" s="7" t="s">
        <v>295</v>
      </c>
      <c r="C637" s="5">
        <v>283.45</v>
      </c>
      <c r="D637" s="2">
        <v>0.72554398148349719</v>
      </c>
      <c r="E637" s="4">
        <v>45216</v>
      </c>
      <c r="F637" s="7" t="s">
        <v>17</v>
      </c>
      <c r="G637" s="7" t="s">
        <v>521</v>
      </c>
      <c r="H637" s="7" t="s">
        <v>1265</v>
      </c>
      <c r="I637" s="7" t="s">
        <v>727</v>
      </c>
      <c r="J637" s="7" t="s">
        <v>137</v>
      </c>
      <c r="K637" s="7" t="s">
        <v>69</v>
      </c>
      <c r="L637" s="8">
        <v>27</v>
      </c>
      <c r="M637" s="7" t="s">
        <v>77</v>
      </c>
      <c r="N637" s="8">
        <v>127</v>
      </c>
      <c r="O637" s="8">
        <v>1</v>
      </c>
      <c r="P637" s="5">
        <v>2049.5100000000002</v>
      </c>
      <c r="Q637" s="4">
        <v>45600</v>
      </c>
      <c r="R637" s="9">
        <v>0.33947916666666667</v>
      </c>
      <c r="S637" s="8">
        <v>17</v>
      </c>
      <c r="T637" s="7" t="s">
        <v>4456</v>
      </c>
      <c r="U637" s="7" t="s">
        <v>4455</v>
      </c>
      <c r="V6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38" spans="1:22" x14ac:dyDescent="0.35">
      <c r="A638" s="7" t="s">
        <v>1979</v>
      </c>
      <c r="B638" s="7" t="s">
        <v>1517</v>
      </c>
      <c r="C638" s="5">
        <v>100.99</v>
      </c>
      <c r="D638" s="2">
        <v>0.6808912037013215</v>
      </c>
      <c r="E638" s="4">
        <v>45075</v>
      </c>
      <c r="F638" s="7" t="s">
        <v>17</v>
      </c>
      <c r="G638" s="7" t="s">
        <v>203</v>
      </c>
      <c r="H638" s="7" t="s">
        <v>115</v>
      </c>
      <c r="I638" s="7" t="s">
        <v>245</v>
      </c>
      <c r="J638" s="7" t="s">
        <v>303</v>
      </c>
      <c r="K638" s="7" t="s">
        <v>22</v>
      </c>
      <c r="L638" s="8">
        <v>68</v>
      </c>
      <c r="M638" s="7" t="s">
        <v>23</v>
      </c>
      <c r="N638" s="8">
        <v>114</v>
      </c>
      <c r="O638" s="8">
        <v>1</v>
      </c>
      <c r="P638" s="5">
        <v>8865.27</v>
      </c>
      <c r="Q638" s="4">
        <v>45600</v>
      </c>
      <c r="R638" s="9">
        <v>0.3397222222222222</v>
      </c>
      <c r="S638" s="8">
        <v>16</v>
      </c>
      <c r="T638" s="7" t="s">
        <v>4454</v>
      </c>
      <c r="U638" s="7" t="s">
        <v>4455</v>
      </c>
      <c r="V6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39" spans="1:22" x14ac:dyDescent="0.35">
      <c r="A639" s="7" t="s">
        <v>1980</v>
      </c>
      <c r="B639" s="7" t="s">
        <v>989</v>
      </c>
      <c r="C639" s="5">
        <v>90.88</v>
      </c>
      <c r="D639" s="2">
        <v>0.70056712962832535</v>
      </c>
      <c r="E639" s="4">
        <v>44977</v>
      </c>
      <c r="F639" s="7" t="s">
        <v>17</v>
      </c>
      <c r="G639" s="7" t="s">
        <v>86</v>
      </c>
      <c r="H639" s="7" t="s">
        <v>1903</v>
      </c>
      <c r="I639" s="7" t="s">
        <v>1484</v>
      </c>
      <c r="J639" s="7" t="s">
        <v>358</v>
      </c>
      <c r="K639" s="7" t="s">
        <v>69</v>
      </c>
      <c r="L639" s="8">
        <v>18</v>
      </c>
      <c r="M639" s="7" t="s">
        <v>37</v>
      </c>
      <c r="N639" s="8">
        <v>176</v>
      </c>
      <c r="O639" s="8">
        <v>1</v>
      </c>
      <c r="P639" s="5">
        <v>3908.47</v>
      </c>
      <c r="Q639" s="4">
        <v>45600</v>
      </c>
      <c r="R639" s="9">
        <v>0.33834490740740741</v>
      </c>
      <c r="S639" s="8">
        <v>16</v>
      </c>
      <c r="T639" s="7" t="s">
        <v>4456</v>
      </c>
      <c r="U639" s="7" t="s">
        <v>4455</v>
      </c>
      <c r="V6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40" spans="1:22" x14ac:dyDescent="0.35">
      <c r="A640" s="7" t="s">
        <v>1981</v>
      </c>
      <c r="B640" s="7" t="s">
        <v>1982</v>
      </c>
      <c r="C640" s="5">
        <v>655.15</v>
      </c>
      <c r="D640" s="2">
        <v>0.68256944444146939</v>
      </c>
      <c r="E640" s="4">
        <v>44928</v>
      </c>
      <c r="F640" s="7" t="s">
        <v>17</v>
      </c>
      <c r="G640" s="7" t="s">
        <v>59</v>
      </c>
      <c r="H640" s="7" t="s">
        <v>807</v>
      </c>
      <c r="I640" s="7" t="s">
        <v>1925</v>
      </c>
      <c r="J640" s="7" t="s">
        <v>160</v>
      </c>
      <c r="K640" s="7" t="s">
        <v>22</v>
      </c>
      <c r="L640" s="8">
        <v>26</v>
      </c>
      <c r="M640" s="7" t="s">
        <v>77</v>
      </c>
      <c r="N640" s="8">
        <v>264</v>
      </c>
      <c r="O640" s="8">
        <v>1</v>
      </c>
      <c r="P640" s="5">
        <v>5587.44</v>
      </c>
      <c r="Q640" s="4">
        <v>45600</v>
      </c>
      <c r="R640" s="9">
        <v>0.33836805555555555</v>
      </c>
      <c r="S640" s="8">
        <v>16</v>
      </c>
      <c r="T640" s="7" t="s">
        <v>4456</v>
      </c>
      <c r="U640" s="7" t="s">
        <v>4455</v>
      </c>
      <c r="V6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41" spans="1:22" x14ac:dyDescent="0.35">
      <c r="A641" s="7" t="s">
        <v>1983</v>
      </c>
      <c r="B641" s="7" t="s">
        <v>1984</v>
      </c>
      <c r="C641" s="5">
        <v>320.55</v>
      </c>
      <c r="D641" s="2">
        <v>0.71651620370539604</v>
      </c>
      <c r="E641" s="4">
        <v>45047</v>
      </c>
      <c r="F641" s="7" t="s">
        <v>17</v>
      </c>
      <c r="G641" s="7" t="s">
        <v>178</v>
      </c>
      <c r="H641" s="7" t="s">
        <v>1558</v>
      </c>
      <c r="I641" s="7" t="s">
        <v>1985</v>
      </c>
      <c r="J641" s="7" t="s">
        <v>576</v>
      </c>
      <c r="K641" s="7" t="s">
        <v>36</v>
      </c>
      <c r="L641" s="8">
        <v>50</v>
      </c>
      <c r="M641" s="7" t="s">
        <v>77</v>
      </c>
      <c r="N641" s="8">
        <v>118</v>
      </c>
      <c r="O641" s="8">
        <v>1</v>
      </c>
      <c r="P641" s="5">
        <v>438.75</v>
      </c>
      <c r="Q641" s="4">
        <v>45600</v>
      </c>
      <c r="R641" s="9">
        <v>0.33905092592592595</v>
      </c>
      <c r="S641" s="8">
        <v>17</v>
      </c>
      <c r="T641" s="7" t="s">
        <v>4457</v>
      </c>
      <c r="U641" s="7" t="s">
        <v>4455</v>
      </c>
      <c r="V6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42" spans="1:22" x14ac:dyDescent="0.35">
      <c r="A642" s="7" t="s">
        <v>1986</v>
      </c>
      <c r="B642" s="7" t="s">
        <v>516</v>
      </c>
      <c r="C642" s="5">
        <v>41.51</v>
      </c>
      <c r="D642" s="2">
        <v>0.69968749999679858</v>
      </c>
      <c r="E642" s="4">
        <v>45203</v>
      </c>
      <c r="F642" s="7" t="s">
        <v>17</v>
      </c>
      <c r="G642" s="7" t="s">
        <v>425</v>
      </c>
      <c r="H642" s="7" t="s">
        <v>1987</v>
      </c>
      <c r="I642" s="7" t="s">
        <v>866</v>
      </c>
      <c r="J642" s="7" t="s">
        <v>820</v>
      </c>
      <c r="K642" s="7" t="s">
        <v>36</v>
      </c>
      <c r="L642" s="8">
        <v>28</v>
      </c>
      <c r="M642" s="7" t="s">
        <v>37</v>
      </c>
      <c r="N642" s="8">
        <v>48</v>
      </c>
      <c r="O642" s="8">
        <v>1</v>
      </c>
      <c r="P642" s="5">
        <v>609.6</v>
      </c>
      <c r="Q642" s="4">
        <v>45600</v>
      </c>
      <c r="R642" s="9">
        <v>0.34159722222222222</v>
      </c>
      <c r="S642" s="8">
        <v>16</v>
      </c>
      <c r="T642" s="7" t="s">
        <v>4456</v>
      </c>
      <c r="U642" s="7" t="s">
        <v>4455</v>
      </c>
      <c r="V6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43" spans="1:22" x14ac:dyDescent="0.35">
      <c r="A643" s="7" t="s">
        <v>1988</v>
      </c>
      <c r="B643" s="7" t="s">
        <v>1501</v>
      </c>
      <c r="C643" s="5">
        <v>71.53</v>
      </c>
      <c r="D643" s="2">
        <v>0.70098379629780538</v>
      </c>
      <c r="E643" s="4">
        <v>45229</v>
      </c>
      <c r="F643" s="7" t="s">
        <v>46</v>
      </c>
      <c r="G643" s="7" t="s">
        <v>392</v>
      </c>
      <c r="H643" s="7" t="s">
        <v>1989</v>
      </c>
      <c r="I643" s="7" t="s">
        <v>1990</v>
      </c>
      <c r="J643" s="7" t="s">
        <v>95</v>
      </c>
      <c r="K643" s="7" t="s">
        <v>69</v>
      </c>
      <c r="L643" s="8">
        <v>68</v>
      </c>
      <c r="M643" s="7" t="s">
        <v>70</v>
      </c>
      <c r="N643" s="8">
        <v>39</v>
      </c>
      <c r="O643" s="8">
        <v>1</v>
      </c>
      <c r="P643" s="5">
        <v>2393.73</v>
      </c>
      <c r="Q643" s="4">
        <v>45600</v>
      </c>
      <c r="R643" s="9">
        <v>0.34166666666666667</v>
      </c>
      <c r="S643" s="8">
        <v>16</v>
      </c>
      <c r="T643" s="7" t="s">
        <v>4454</v>
      </c>
      <c r="U643" s="7" t="s">
        <v>4455</v>
      </c>
      <c r="V6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44" spans="1:22" x14ac:dyDescent="0.35">
      <c r="A644" s="7" t="s">
        <v>1991</v>
      </c>
      <c r="B644" s="7" t="s">
        <v>1992</v>
      </c>
      <c r="C644" s="5">
        <v>467.13</v>
      </c>
      <c r="D644" s="2">
        <v>0.72113425925635966</v>
      </c>
      <c r="E644" s="4">
        <v>45197</v>
      </c>
      <c r="F644" s="7" t="s">
        <v>46</v>
      </c>
      <c r="G644" s="7" t="s">
        <v>291</v>
      </c>
      <c r="H644" s="7" t="s">
        <v>1993</v>
      </c>
      <c r="I644" s="7" t="s">
        <v>1775</v>
      </c>
      <c r="J644" s="7" t="s">
        <v>1287</v>
      </c>
      <c r="K644" s="7" t="s">
        <v>69</v>
      </c>
      <c r="L644" s="8">
        <v>54</v>
      </c>
      <c r="M644" s="7" t="s">
        <v>70</v>
      </c>
      <c r="N644" s="8">
        <v>45</v>
      </c>
      <c r="O644" s="8">
        <v>1</v>
      </c>
      <c r="P644" s="5">
        <v>3914.84</v>
      </c>
      <c r="Q644" s="4">
        <v>45600</v>
      </c>
      <c r="R644" s="9">
        <v>0.33817129629629628</v>
      </c>
      <c r="S644" s="8">
        <v>17</v>
      </c>
      <c r="T644" s="7" t="s">
        <v>4457</v>
      </c>
      <c r="U644" s="7" t="s">
        <v>4455</v>
      </c>
      <c r="V6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45" spans="1:22" x14ac:dyDescent="0.35">
      <c r="A645" s="7" t="s">
        <v>1994</v>
      </c>
      <c r="B645" s="7" t="s">
        <v>1381</v>
      </c>
      <c r="C645" s="5">
        <v>235.4</v>
      </c>
      <c r="D645" s="2">
        <v>0.71001157407590654</v>
      </c>
      <c r="E645" s="4">
        <v>45195</v>
      </c>
      <c r="F645" s="7" t="s">
        <v>17</v>
      </c>
      <c r="G645" s="7" t="s">
        <v>73</v>
      </c>
      <c r="H645" s="7" t="s">
        <v>461</v>
      </c>
      <c r="I645" s="7" t="s">
        <v>225</v>
      </c>
      <c r="J645" s="7" t="s">
        <v>858</v>
      </c>
      <c r="K645" s="7" t="s">
        <v>69</v>
      </c>
      <c r="L645" s="8">
        <v>28</v>
      </c>
      <c r="M645" s="7" t="s">
        <v>37</v>
      </c>
      <c r="N645" s="8">
        <v>70</v>
      </c>
      <c r="O645" s="8">
        <v>1</v>
      </c>
      <c r="P645" s="5">
        <v>818.36</v>
      </c>
      <c r="Q645" s="4">
        <v>45600</v>
      </c>
      <c r="R645" s="9">
        <v>0.34042824074074074</v>
      </c>
      <c r="S645" s="8">
        <v>17</v>
      </c>
      <c r="T645" s="7" t="s">
        <v>4456</v>
      </c>
      <c r="U645" s="7" t="s">
        <v>4455</v>
      </c>
      <c r="V6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46" spans="1:22" x14ac:dyDescent="0.35">
      <c r="A646" s="7" t="s">
        <v>1995</v>
      </c>
      <c r="B646" s="7" t="s">
        <v>611</v>
      </c>
      <c r="C646" s="5">
        <v>159.32</v>
      </c>
      <c r="D646" s="2">
        <v>0.78973379629314877</v>
      </c>
      <c r="E646" s="4">
        <v>44942</v>
      </c>
      <c r="F646" s="7" t="s">
        <v>17</v>
      </c>
      <c r="G646" s="7" t="s">
        <v>59</v>
      </c>
      <c r="H646" s="7" t="s">
        <v>1383</v>
      </c>
      <c r="I646" s="7" t="s">
        <v>1996</v>
      </c>
      <c r="J646" s="7" t="s">
        <v>450</v>
      </c>
      <c r="K646" s="7" t="s">
        <v>69</v>
      </c>
      <c r="L646" s="8">
        <v>18</v>
      </c>
      <c r="M646" s="7" t="s">
        <v>37</v>
      </c>
      <c r="N646" s="8">
        <v>100</v>
      </c>
      <c r="O646" s="8">
        <v>1</v>
      </c>
      <c r="P646" s="5">
        <v>304.44</v>
      </c>
      <c r="Q646" s="4">
        <v>45600</v>
      </c>
      <c r="R646" s="9">
        <v>0.34064814814814814</v>
      </c>
      <c r="S646" s="8">
        <v>18</v>
      </c>
      <c r="T646" s="7" t="s">
        <v>4456</v>
      </c>
      <c r="U646" s="7" t="s">
        <v>4455</v>
      </c>
      <c r="V6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47" spans="1:22" x14ac:dyDescent="0.35">
      <c r="A647" s="7" t="s">
        <v>1997</v>
      </c>
      <c r="B647" s="7" t="s">
        <v>1998</v>
      </c>
      <c r="C647" s="5">
        <v>50.83</v>
      </c>
      <c r="D647" s="2">
        <v>0.67099537036847323</v>
      </c>
      <c r="E647" s="4">
        <v>45278</v>
      </c>
      <c r="F647" s="7" t="s">
        <v>46</v>
      </c>
      <c r="G647" s="7" t="s">
        <v>243</v>
      </c>
      <c r="H647" s="7" t="s">
        <v>1234</v>
      </c>
      <c r="I647" s="7" t="s">
        <v>1943</v>
      </c>
      <c r="J647" s="7" t="s">
        <v>592</v>
      </c>
      <c r="K647" s="7" t="s">
        <v>36</v>
      </c>
      <c r="L647" s="8">
        <v>30</v>
      </c>
      <c r="M647" s="7" t="s">
        <v>23</v>
      </c>
      <c r="N647" s="8">
        <v>48</v>
      </c>
      <c r="O647" s="8">
        <v>1</v>
      </c>
      <c r="P647" s="5">
        <v>9553.42</v>
      </c>
      <c r="Q647" s="4">
        <v>45600</v>
      </c>
      <c r="R647" s="9">
        <v>0.34034722222222225</v>
      </c>
      <c r="S647" s="8">
        <v>16</v>
      </c>
      <c r="T647" s="7" t="s">
        <v>4456</v>
      </c>
      <c r="U647" s="7" t="s">
        <v>4455</v>
      </c>
      <c r="V6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48" spans="1:22" x14ac:dyDescent="0.35">
      <c r="A648" s="7" t="s">
        <v>1999</v>
      </c>
      <c r="B648" s="7" t="s">
        <v>2000</v>
      </c>
      <c r="C648" s="5">
        <v>56.89</v>
      </c>
      <c r="D648" s="2">
        <v>0.75273148147971369</v>
      </c>
      <c r="E648" s="4">
        <v>44960</v>
      </c>
      <c r="F648" s="7" t="s">
        <v>46</v>
      </c>
      <c r="G648" s="7" t="s">
        <v>26</v>
      </c>
      <c r="H648" s="7" t="s">
        <v>2001</v>
      </c>
      <c r="I648" s="7" t="s">
        <v>857</v>
      </c>
      <c r="J648" s="7" t="s">
        <v>619</v>
      </c>
      <c r="K648" s="7" t="s">
        <v>69</v>
      </c>
      <c r="L648" s="8">
        <v>59</v>
      </c>
      <c r="M648" s="7" t="s">
        <v>77</v>
      </c>
      <c r="N648" s="8">
        <v>56</v>
      </c>
      <c r="O648" s="8">
        <v>1</v>
      </c>
      <c r="P648" s="5">
        <v>3034.67</v>
      </c>
      <c r="Q648" s="4">
        <v>45600</v>
      </c>
      <c r="R648" s="9">
        <v>0.3401851851851852</v>
      </c>
      <c r="S648" s="8">
        <v>18</v>
      </c>
      <c r="T648" s="7" t="s">
        <v>4454</v>
      </c>
      <c r="U648" s="7" t="s">
        <v>4455</v>
      </c>
      <c r="V6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49" spans="1:22" x14ac:dyDescent="0.35">
      <c r="A649" s="7" t="s">
        <v>2002</v>
      </c>
      <c r="B649" s="7" t="s">
        <v>2003</v>
      </c>
      <c r="C649" s="5">
        <v>20.22</v>
      </c>
      <c r="D649" s="2">
        <v>0.768275462964084</v>
      </c>
      <c r="E649" s="4">
        <v>44995</v>
      </c>
      <c r="F649" s="7" t="s">
        <v>17</v>
      </c>
      <c r="G649" s="7" t="s">
        <v>392</v>
      </c>
      <c r="H649" s="7" t="s">
        <v>1602</v>
      </c>
      <c r="I649" s="7" t="s">
        <v>841</v>
      </c>
      <c r="J649" s="7" t="s">
        <v>362</v>
      </c>
      <c r="K649" s="7" t="s">
        <v>22</v>
      </c>
      <c r="L649" s="8">
        <v>43</v>
      </c>
      <c r="M649" s="7" t="s">
        <v>77</v>
      </c>
      <c r="N649" s="8">
        <v>138</v>
      </c>
      <c r="O649" s="8">
        <v>1</v>
      </c>
      <c r="P649" s="5">
        <v>5515.32</v>
      </c>
      <c r="Q649" s="4">
        <v>45600</v>
      </c>
      <c r="R649" s="9">
        <v>0.33787037037037038</v>
      </c>
      <c r="S649" s="8">
        <v>18</v>
      </c>
      <c r="T649" s="7" t="s">
        <v>4457</v>
      </c>
      <c r="U649" s="7" t="s">
        <v>4455</v>
      </c>
      <c r="V6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50" spans="1:22" x14ac:dyDescent="0.35">
      <c r="A650" s="7" t="s">
        <v>2004</v>
      </c>
      <c r="B650" s="7" t="s">
        <v>2005</v>
      </c>
      <c r="C650" s="5">
        <v>50.4</v>
      </c>
      <c r="D650" s="2">
        <v>0.71023148148378823</v>
      </c>
      <c r="E650" s="4">
        <v>45012</v>
      </c>
      <c r="F650" s="7" t="s">
        <v>17</v>
      </c>
      <c r="G650" s="7" t="s">
        <v>237</v>
      </c>
      <c r="H650" s="7" t="s">
        <v>2006</v>
      </c>
      <c r="I650" s="7" t="s">
        <v>547</v>
      </c>
      <c r="J650" s="7" t="s">
        <v>1281</v>
      </c>
      <c r="K650" s="7" t="s">
        <v>69</v>
      </c>
      <c r="L650" s="8">
        <v>36</v>
      </c>
      <c r="M650" s="7" t="s">
        <v>23</v>
      </c>
      <c r="N650" s="8">
        <v>84</v>
      </c>
      <c r="O650" s="8">
        <v>1</v>
      </c>
      <c r="P650" s="5">
        <v>1677.01</v>
      </c>
      <c r="Q650" s="4">
        <v>45600</v>
      </c>
      <c r="R650" s="9">
        <v>0.33839120370370368</v>
      </c>
      <c r="S650" s="8">
        <v>17</v>
      </c>
      <c r="T650" s="7" t="s">
        <v>4457</v>
      </c>
      <c r="U650" s="7" t="s">
        <v>4455</v>
      </c>
      <c r="V6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51" spans="1:22" x14ac:dyDescent="0.35">
      <c r="A651" s="7" t="s">
        <v>2007</v>
      </c>
      <c r="B651" s="7" t="s">
        <v>328</v>
      </c>
      <c r="C651" s="5">
        <v>73.88</v>
      </c>
      <c r="D651" s="2">
        <v>0.73791666666511446</v>
      </c>
      <c r="E651" s="4">
        <v>45054</v>
      </c>
      <c r="F651" s="7" t="s">
        <v>17</v>
      </c>
      <c r="G651" s="7" t="s">
        <v>140</v>
      </c>
      <c r="H651" s="7" t="s">
        <v>2008</v>
      </c>
      <c r="I651" s="7" t="s">
        <v>208</v>
      </c>
      <c r="J651" s="7" t="s">
        <v>35</v>
      </c>
      <c r="K651" s="7" t="s">
        <v>69</v>
      </c>
      <c r="L651" s="8">
        <v>53</v>
      </c>
      <c r="M651" s="7" t="s">
        <v>70</v>
      </c>
      <c r="N651" s="8">
        <v>131</v>
      </c>
      <c r="O651" s="8">
        <v>1</v>
      </c>
      <c r="P651" s="5">
        <v>4055.55</v>
      </c>
      <c r="Q651" s="4">
        <v>45600</v>
      </c>
      <c r="R651" s="9">
        <v>0.33901620370370372</v>
      </c>
      <c r="S651" s="8">
        <v>17</v>
      </c>
      <c r="T651" s="7" t="s">
        <v>4457</v>
      </c>
      <c r="U651" s="7" t="s">
        <v>4455</v>
      </c>
      <c r="V6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52" spans="1:22" x14ac:dyDescent="0.35">
      <c r="A652" s="7" t="s">
        <v>2009</v>
      </c>
      <c r="B652" s="7" t="s">
        <v>1998</v>
      </c>
      <c r="C652" s="5">
        <v>119.61</v>
      </c>
      <c r="D652" s="2">
        <v>0.68126157407095889</v>
      </c>
      <c r="E652" s="4">
        <v>44999</v>
      </c>
      <c r="F652" s="7" t="s">
        <v>17</v>
      </c>
      <c r="G652" s="7" t="s">
        <v>18</v>
      </c>
      <c r="H652" s="7" t="s">
        <v>1532</v>
      </c>
      <c r="I652" s="7" t="s">
        <v>2010</v>
      </c>
      <c r="J652" s="7" t="s">
        <v>111</v>
      </c>
      <c r="K652" s="7" t="s">
        <v>22</v>
      </c>
      <c r="L652" s="8">
        <v>33</v>
      </c>
      <c r="M652" s="7" t="s">
        <v>23</v>
      </c>
      <c r="N652" s="8">
        <v>53</v>
      </c>
      <c r="O652" s="8">
        <v>1</v>
      </c>
      <c r="P652" s="5">
        <v>9899.94</v>
      </c>
      <c r="Q652" s="4">
        <v>45600</v>
      </c>
      <c r="R652" s="9">
        <v>0.3385185185185185</v>
      </c>
      <c r="S652" s="8">
        <v>16</v>
      </c>
      <c r="T652" s="7" t="s">
        <v>4456</v>
      </c>
      <c r="U652" s="7" t="s">
        <v>4455</v>
      </c>
      <c r="V6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53" spans="1:22" x14ac:dyDescent="0.35">
      <c r="A653" s="7" t="s">
        <v>2011</v>
      </c>
      <c r="B653" s="7" t="s">
        <v>609</v>
      </c>
      <c r="C653" s="5">
        <v>1241.05</v>
      </c>
      <c r="D653" s="2">
        <v>0.68519675925927004</v>
      </c>
      <c r="E653" s="4">
        <v>45251</v>
      </c>
      <c r="F653" s="7" t="s">
        <v>17</v>
      </c>
      <c r="G653" s="7" t="s">
        <v>172</v>
      </c>
      <c r="H653" s="7" t="s">
        <v>2012</v>
      </c>
      <c r="I653" s="7" t="s">
        <v>2013</v>
      </c>
      <c r="J653" s="7" t="s">
        <v>548</v>
      </c>
      <c r="K653" s="7" t="s">
        <v>69</v>
      </c>
      <c r="L653" s="8">
        <v>18</v>
      </c>
      <c r="M653" s="7" t="s">
        <v>37</v>
      </c>
      <c r="N653" s="8">
        <v>129</v>
      </c>
      <c r="O653" s="8">
        <v>1</v>
      </c>
      <c r="P653" s="5">
        <v>756.74</v>
      </c>
      <c r="Q653" s="4">
        <v>45600</v>
      </c>
      <c r="R653" s="9">
        <v>0.34152777777777776</v>
      </c>
      <c r="S653" s="8">
        <v>16</v>
      </c>
      <c r="T653" s="7" t="s">
        <v>4456</v>
      </c>
      <c r="U653" s="7" t="s">
        <v>4455</v>
      </c>
      <c r="V6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54" spans="1:22" x14ac:dyDescent="0.35">
      <c r="A654" s="7" t="s">
        <v>2014</v>
      </c>
      <c r="B654" s="7" t="s">
        <v>848</v>
      </c>
      <c r="C654" s="5">
        <v>116.58</v>
      </c>
      <c r="D654" s="2">
        <v>0.69326388889021473</v>
      </c>
      <c r="E654" s="4">
        <v>45169</v>
      </c>
      <c r="F654" s="7" t="s">
        <v>17</v>
      </c>
      <c r="G654" s="7" t="s">
        <v>40</v>
      </c>
      <c r="H654" s="7" t="s">
        <v>2015</v>
      </c>
      <c r="I654" s="7" t="s">
        <v>1474</v>
      </c>
      <c r="J654" s="7" t="s">
        <v>858</v>
      </c>
      <c r="K654" s="7" t="s">
        <v>69</v>
      </c>
      <c r="L654" s="8">
        <v>43</v>
      </c>
      <c r="M654" s="7" t="s">
        <v>77</v>
      </c>
      <c r="N654" s="8">
        <v>247</v>
      </c>
      <c r="O654" s="8">
        <v>1</v>
      </c>
      <c r="P654" s="5">
        <v>2620.7399999999998</v>
      </c>
      <c r="Q654" s="4">
        <v>45600</v>
      </c>
      <c r="R654" s="9">
        <v>0.33807870370370369</v>
      </c>
      <c r="S654" s="8">
        <v>16</v>
      </c>
      <c r="T654" s="7" t="s">
        <v>4457</v>
      </c>
      <c r="U654" s="7" t="s">
        <v>4455</v>
      </c>
      <c r="V6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55" spans="1:22" x14ac:dyDescent="0.35">
      <c r="A655" s="7" t="s">
        <v>2016</v>
      </c>
      <c r="B655" s="7" t="s">
        <v>533</v>
      </c>
      <c r="C655" s="5">
        <v>1919.11</v>
      </c>
      <c r="D655" s="2">
        <v>0.74195601851533866</v>
      </c>
      <c r="E655" s="4">
        <v>45104</v>
      </c>
      <c r="F655" s="7" t="s">
        <v>17</v>
      </c>
      <c r="G655" s="7" t="s">
        <v>595</v>
      </c>
      <c r="H655" s="7" t="s">
        <v>1005</v>
      </c>
      <c r="I655" s="7" t="s">
        <v>1100</v>
      </c>
      <c r="J655" s="7" t="s">
        <v>450</v>
      </c>
      <c r="K655" s="7" t="s">
        <v>22</v>
      </c>
      <c r="L655" s="8">
        <v>30</v>
      </c>
      <c r="M655" s="7" t="s">
        <v>23</v>
      </c>
      <c r="N655" s="8">
        <v>161</v>
      </c>
      <c r="O655" s="8">
        <v>1</v>
      </c>
      <c r="P655" s="5">
        <v>11090.24</v>
      </c>
      <c r="Q655" s="4">
        <v>45600</v>
      </c>
      <c r="R655" s="9">
        <v>0.34059027777777778</v>
      </c>
      <c r="S655" s="8">
        <v>17</v>
      </c>
      <c r="T655" s="7" t="s">
        <v>4456</v>
      </c>
      <c r="U655" s="7" t="s">
        <v>4455</v>
      </c>
      <c r="V6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56" spans="1:22" x14ac:dyDescent="0.35">
      <c r="A656" s="7" t="s">
        <v>2017</v>
      </c>
      <c r="B656" s="7" t="s">
        <v>1157</v>
      </c>
      <c r="C656" s="5">
        <v>391.96</v>
      </c>
      <c r="D656" s="2">
        <v>0.68192129629460396</v>
      </c>
      <c r="E656" s="4">
        <v>45096</v>
      </c>
      <c r="F656" s="7" t="s">
        <v>17</v>
      </c>
      <c r="G656" s="7" t="s">
        <v>80</v>
      </c>
      <c r="H656" s="7" t="s">
        <v>1704</v>
      </c>
      <c r="I656" s="7" t="s">
        <v>662</v>
      </c>
      <c r="J656" s="7" t="s">
        <v>418</v>
      </c>
      <c r="K656" s="7" t="s">
        <v>22</v>
      </c>
      <c r="L656" s="8">
        <v>64</v>
      </c>
      <c r="M656" s="7" t="s">
        <v>70</v>
      </c>
      <c r="N656" s="8">
        <v>79</v>
      </c>
      <c r="O656" s="8">
        <v>1</v>
      </c>
      <c r="P656" s="5">
        <v>2174.16</v>
      </c>
      <c r="Q656" s="4">
        <v>45600</v>
      </c>
      <c r="R656" s="9">
        <v>0.33804398148148146</v>
      </c>
      <c r="S656" s="8">
        <v>16</v>
      </c>
      <c r="T656" s="7" t="s">
        <v>4454</v>
      </c>
      <c r="U656" s="7" t="s">
        <v>4455</v>
      </c>
      <c r="V6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57" spans="1:22" x14ac:dyDescent="0.35">
      <c r="A657" s="7" t="s">
        <v>2018</v>
      </c>
      <c r="B657" s="7" t="s">
        <v>2019</v>
      </c>
      <c r="C657" s="5">
        <v>156.26</v>
      </c>
      <c r="D657" s="2">
        <v>0.74287037036992842</v>
      </c>
      <c r="E657" s="4">
        <v>44928</v>
      </c>
      <c r="F657" s="7" t="s">
        <v>46</v>
      </c>
      <c r="G657" s="7" t="s">
        <v>301</v>
      </c>
      <c r="H657" s="7" t="s">
        <v>2020</v>
      </c>
      <c r="I657" s="7" t="s">
        <v>1717</v>
      </c>
      <c r="J657" s="7" t="s">
        <v>128</v>
      </c>
      <c r="K657" s="7" t="s">
        <v>69</v>
      </c>
      <c r="L657" s="8">
        <v>46</v>
      </c>
      <c r="M657" s="7" t="s">
        <v>77</v>
      </c>
      <c r="N657" s="8">
        <v>160</v>
      </c>
      <c r="O657" s="8">
        <v>1</v>
      </c>
      <c r="P657" s="5">
        <v>7854.1</v>
      </c>
      <c r="Q657" s="4">
        <v>45600</v>
      </c>
      <c r="R657" s="9">
        <v>0.33991898148148147</v>
      </c>
      <c r="S657" s="8">
        <v>17</v>
      </c>
      <c r="T657" s="7" t="s">
        <v>4457</v>
      </c>
      <c r="U657" s="7" t="s">
        <v>4455</v>
      </c>
      <c r="V6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58" spans="1:22" x14ac:dyDescent="0.35">
      <c r="A658" s="7" t="s">
        <v>2021</v>
      </c>
      <c r="B658" s="7" t="s">
        <v>145</v>
      </c>
      <c r="C658" s="5">
        <v>427</v>
      </c>
      <c r="D658" s="2">
        <v>0.71144675926188938</v>
      </c>
      <c r="E658" s="4">
        <v>45138</v>
      </c>
      <c r="F658" s="7" t="s">
        <v>46</v>
      </c>
      <c r="G658" s="7" t="s">
        <v>53</v>
      </c>
      <c r="H658" s="7" t="s">
        <v>2022</v>
      </c>
      <c r="I658" s="7" t="s">
        <v>754</v>
      </c>
      <c r="J658" s="7" t="s">
        <v>149</v>
      </c>
      <c r="K658" s="7" t="s">
        <v>69</v>
      </c>
      <c r="L658" s="8">
        <v>49</v>
      </c>
      <c r="M658" s="7" t="s">
        <v>77</v>
      </c>
      <c r="N658" s="8">
        <v>163</v>
      </c>
      <c r="O658" s="8">
        <v>1</v>
      </c>
      <c r="P658" s="5">
        <v>8253.65</v>
      </c>
      <c r="Q658" s="4">
        <v>45600</v>
      </c>
      <c r="R658" s="9">
        <v>0.33854166666666669</v>
      </c>
      <c r="S658" s="8">
        <v>17</v>
      </c>
      <c r="T658" s="7" t="s">
        <v>4457</v>
      </c>
      <c r="U658" s="7" t="s">
        <v>4455</v>
      </c>
      <c r="V6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59" spans="1:22" x14ac:dyDescent="0.35">
      <c r="A659" s="7" t="s">
        <v>2023</v>
      </c>
      <c r="B659" s="7" t="s">
        <v>2024</v>
      </c>
      <c r="C659" s="5">
        <v>443.68</v>
      </c>
      <c r="D659" s="2">
        <v>0.79064814814773854</v>
      </c>
      <c r="E659" s="4">
        <v>45041</v>
      </c>
      <c r="F659" s="7" t="s">
        <v>17</v>
      </c>
      <c r="G659" s="7" t="s">
        <v>255</v>
      </c>
      <c r="H659" s="7" t="s">
        <v>541</v>
      </c>
      <c r="I659" s="7" t="s">
        <v>2025</v>
      </c>
      <c r="J659" s="7" t="s">
        <v>445</v>
      </c>
      <c r="K659" s="7" t="s">
        <v>22</v>
      </c>
      <c r="L659" s="8">
        <v>18</v>
      </c>
      <c r="M659" s="7" t="s">
        <v>37</v>
      </c>
      <c r="N659" s="8">
        <v>137</v>
      </c>
      <c r="O659" s="8">
        <v>1</v>
      </c>
      <c r="P659" s="5">
        <v>874.15</v>
      </c>
      <c r="Q659" s="4">
        <v>45600</v>
      </c>
      <c r="R659" s="9">
        <v>0.34057870370370369</v>
      </c>
      <c r="S659" s="8">
        <v>18</v>
      </c>
      <c r="T659" s="7" t="s">
        <v>4456</v>
      </c>
      <c r="U659" s="7" t="s">
        <v>4455</v>
      </c>
      <c r="V6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60" spans="1:22" x14ac:dyDescent="0.35">
      <c r="A660" s="7" t="s">
        <v>2026</v>
      </c>
      <c r="B660" s="7" t="s">
        <v>1631</v>
      </c>
      <c r="C660" s="5">
        <v>101.76</v>
      </c>
      <c r="D660" s="2">
        <v>0.72736111110862112</v>
      </c>
      <c r="E660" s="4">
        <v>44977</v>
      </c>
      <c r="F660" s="7" t="s">
        <v>17</v>
      </c>
      <c r="G660" s="7" t="s">
        <v>243</v>
      </c>
      <c r="H660" s="7" t="s">
        <v>873</v>
      </c>
      <c r="I660" s="7" t="s">
        <v>2027</v>
      </c>
      <c r="J660" s="7" t="s">
        <v>358</v>
      </c>
      <c r="K660" s="7" t="s">
        <v>69</v>
      </c>
      <c r="L660" s="8">
        <v>31</v>
      </c>
      <c r="M660" s="7" t="s">
        <v>23</v>
      </c>
      <c r="N660" s="8">
        <v>26</v>
      </c>
      <c r="O660" s="8">
        <v>1</v>
      </c>
      <c r="P660" s="5">
        <v>6043.25</v>
      </c>
      <c r="Q660" s="4">
        <v>45600</v>
      </c>
      <c r="R660" s="9">
        <v>0.34106481481481482</v>
      </c>
      <c r="S660" s="8">
        <v>17</v>
      </c>
      <c r="T660" s="7" t="s">
        <v>4456</v>
      </c>
      <c r="U660" s="7" t="s">
        <v>4455</v>
      </c>
      <c r="V6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61" spans="1:22" x14ac:dyDescent="0.35">
      <c r="A661" s="7" t="s">
        <v>2028</v>
      </c>
      <c r="B661" s="7" t="s">
        <v>742</v>
      </c>
      <c r="C661" s="5">
        <v>67.569999999999993</v>
      </c>
      <c r="D661" s="2">
        <v>0.69766203704057261</v>
      </c>
      <c r="E661" s="4">
        <v>45155</v>
      </c>
      <c r="F661" s="7" t="s">
        <v>17</v>
      </c>
      <c r="G661" s="7" t="s">
        <v>249</v>
      </c>
      <c r="H661" s="7" t="s">
        <v>2029</v>
      </c>
      <c r="I661" s="7" t="s">
        <v>2030</v>
      </c>
      <c r="J661" s="7" t="s">
        <v>482</v>
      </c>
      <c r="K661" s="7" t="s">
        <v>69</v>
      </c>
      <c r="L661" s="8">
        <v>37</v>
      </c>
      <c r="M661" s="7" t="s">
        <v>77</v>
      </c>
      <c r="N661" s="8">
        <v>107</v>
      </c>
      <c r="O661" s="8">
        <v>1</v>
      </c>
      <c r="P661" s="5">
        <v>2766.12</v>
      </c>
      <c r="Q661" s="4">
        <v>45600</v>
      </c>
      <c r="R661" s="9">
        <v>0.34114583333333331</v>
      </c>
      <c r="S661" s="8">
        <v>16</v>
      </c>
      <c r="T661" s="7" t="s">
        <v>4457</v>
      </c>
      <c r="U661" s="7" t="s">
        <v>4455</v>
      </c>
      <c r="V6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62" spans="1:22" x14ac:dyDescent="0.35">
      <c r="A662" s="7" t="s">
        <v>2031</v>
      </c>
      <c r="B662" s="7" t="s">
        <v>729</v>
      </c>
      <c r="C662" s="5">
        <v>326.29000000000002</v>
      </c>
      <c r="D662" s="2">
        <v>0.71568287037371192</v>
      </c>
      <c r="E662" s="4">
        <v>45266</v>
      </c>
      <c r="F662" s="7" t="s">
        <v>17</v>
      </c>
      <c r="G662" s="7" t="s">
        <v>114</v>
      </c>
      <c r="H662" s="7" t="s">
        <v>2032</v>
      </c>
      <c r="I662" s="7" t="s">
        <v>1048</v>
      </c>
      <c r="J662" s="7" t="s">
        <v>105</v>
      </c>
      <c r="K662" s="7" t="s">
        <v>36</v>
      </c>
      <c r="L662" s="8">
        <v>56</v>
      </c>
      <c r="M662" s="7" t="s">
        <v>77</v>
      </c>
      <c r="N662" s="8">
        <v>179</v>
      </c>
      <c r="O662" s="8">
        <v>1</v>
      </c>
      <c r="P662" s="5">
        <v>8171.26</v>
      </c>
      <c r="Q662" s="4">
        <v>45600</v>
      </c>
      <c r="R662" s="9">
        <v>0.34078703703703705</v>
      </c>
      <c r="S662" s="8">
        <v>17</v>
      </c>
      <c r="T662" s="7" t="s">
        <v>4454</v>
      </c>
      <c r="U662" s="7" t="s">
        <v>4455</v>
      </c>
      <c r="V6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63" spans="1:22" x14ac:dyDescent="0.35">
      <c r="A663" s="7" t="s">
        <v>2033</v>
      </c>
      <c r="B663" s="7" t="s">
        <v>909</v>
      </c>
      <c r="C663" s="5">
        <v>158.56</v>
      </c>
      <c r="D663" s="2">
        <v>0.72792824073985685</v>
      </c>
      <c r="E663" s="4">
        <v>44985</v>
      </c>
      <c r="F663" s="7" t="s">
        <v>17</v>
      </c>
      <c r="G663" s="7" t="s">
        <v>285</v>
      </c>
      <c r="H663" s="7" t="s">
        <v>2034</v>
      </c>
      <c r="I663" s="7" t="s">
        <v>983</v>
      </c>
      <c r="J663" s="7" t="s">
        <v>343</v>
      </c>
      <c r="K663" s="7" t="s">
        <v>22</v>
      </c>
      <c r="L663" s="8">
        <v>33</v>
      </c>
      <c r="M663" s="7" t="s">
        <v>23</v>
      </c>
      <c r="N663" s="8">
        <v>100</v>
      </c>
      <c r="O663" s="8">
        <v>1</v>
      </c>
      <c r="P663" s="5">
        <v>5401.21</v>
      </c>
      <c r="Q663" s="4">
        <v>45600</v>
      </c>
      <c r="R663" s="9">
        <v>0.34083333333333332</v>
      </c>
      <c r="S663" s="8">
        <v>17</v>
      </c>
      <c r="T663" s="7" t="s">
        <v>4456</v>
      </c>
      <c r="U663" s="7" t="s">
        <v>4455</v>
      </c>
      <c r="V6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64" spans="1:22" x14ac:dyDescent="0.35">
      <c r="A664" s="7" t="s">
        <v>2035</v>
      </c>
      <c r="B664" s="7" t="s">
        <v>1074</v>
      </c>
      <c r="C664" s="5">
        <v>56.02</v>
      </c>
      <c r="D664" s="2">
        <v>0.7433912037013215</v>
      </c>
      <c r="E664" s="4">
        <v>45096</v>
      </c>
      <c r="F664" s="7" t="s">
        <v>17</v>
      </c>
      <c r="G664" s="7" t="s">
        <v>92</v>
      </c>
      <c r="H664" s="7" t="s">
        <v>790</v>
      </c>
      <c r="I664" s="7" t="s">
        <v>168</v>
      </c>
      <c r="J664" s="7" t="s">
        <v>362</v>
      </c>
      <c r="K664" s="7" t="s">
        <v>36</v>
      </c>
      <c r="L664" s="8">
        <v>27</v>
      </c>
      <c r="M664" s="7" t="s">
        <v>37</v>
      </c>
      <c r="N664" s="8">
        <v>142</v>
      </c>
      <c r="O664" s="8">
        <v>1</v>
      </c>
      <c r="P664" s="5">
        <v>3548.02</v>
      </c>
      <c r="Q664" s="4">
        <v>45600</v>
      </c>
      <c r="R664" s="9">
        <v>0.33886574074074072</v>
      </c>
      <c r="S664" s="8">
        <v>17</v>
      </c>
      <c r="T664" s="7" t="s">
        <v>4456</v>
      </c>
      <c r="U664" s="7" t="s">
        <v>4455</v>
      </c>
      <c r="V6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65" spans="1:22" x14ac:dyDescent="0.35">
      <c r="A665" s="7" t="s">
        <v>2036</v>
      </c>
      <c r="B665" s="7" t="s">
        <v>1381</v>
      </c>
      <c r="C665" s="5">
        <v>288.27999999999997</v>
      </c>
      <c r="D665" s="2">
        <v>0.71624999999767169</v>
      </c>
      <c r="E665" s="4">
        <v>44943</v>
      </c>
      <c r="F665" s="7" t="s">
        <v>17</v>
      </c>
      <c r="G665" s="7" t="s">
        <v>595</v>
      </c>
      <c r="H665" s="7" t="s">
        <v>2037</v>
      </c>
      <c r="I665" s="7" t="s">
        <v>2038</v>
      </c>
      <c r="J665" s="7" t="s">
        <v>343</v>
      </c>
      <c r="K665" s="7" t="s">
        <v>36</v>
      </c>
      <c r="L665" s="8">
        <v>27</v>
      </c>
      <c r="M665" s="7" t="s">
        <v>37</v>
      </c>
      <c r="N665" s="8">
        <v>36</v>
      </c>
      <c r="O665" s="8">
        <v>1</v>
      </c>
      <c r="P665" s="5">
        <v>160.83000000000001</v>
      </c>
      <c r="Q665" s="4">
        <v>45600</v>
      </c>
      <c r="R665" s="9">
        <v>0.33788194444444447</v>
      </c>
      <c r="S665" s="8">
        <v>17</v>
      </c>
      <c r="T665" s="7" t="s">
        <v>4456</v>
      </c>
      <c r="U665" s="7" t="s">
        <v>4455</v>
      </c>
      <c r="V6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66" spans="1:22" x14ac:dyDescent="0.35">
      <c r="A666" s="7" t="s">
        <v>2039</v>
      </c>
      <c r="B666" s="7" t="s">
        <v>1111</v>
      </c>
      <c r="C666" s="5">
        <v>245.67</v>
      </c>
      <c r="D666" s="2">
        <v>0.77438657407765277</v>
      </c>
      <c r="E666" s="4">
        <v>44928</v>
      </c>
      <c r="F666" s="7" t="s">
        <v>46</v>
      </c>
      <c r="G666" s="7" t="s">
        <v>595</v>
      </c>
      <c r="H666" s="7" t="s">
        <v>426</v>
      </c>
      <c r="I666" s="7" t="s">
        <v>1686</v>
      </c>
      <c r="J666" s="7" t="s">
        <v>769</v>
      </c>
      <c r="K666" s="7" t="s">
        <v>69</v>
      </c>
      <c r="L666" s="8">
        <v>24</v>
      </c>
      <c r="M666" s="7" t="s">
        <v>37</v>
      </c>
      <c r="N666" s="8">
        <v>107</v>
      </c>
      <c r="O666" s="8">
        <v>1</v>
      </c>
      <c r="P666" s="5">
        <v>752.25</v>
      </c>
      <c r="Q666" s="4">
        <v>45600</v>
      </c>
      <c r="R666" s="9">
        <v>0.33871527777777777</v>
      </c>
      <c r="S666" s="8">
        <v>18</v>
      </c>
      <c r="T666" s="7" t="s">
        <v>4456</v>
      </c>
      <c r="U666" s="7" t="s">
        <v>4455</v>
      </c>
      <c r="V6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67" spans="1:22" x14ac:dyDescent="0.35">
      <c r="A667" s="7" t="s">
        <v>2040</v>
      </c>
      <c r="B667" s="7" t="s">
        <v>52</v>
      </c>
      <c r="C667" s="5">
        <v>152.18</v>
      </c>
      <c r="D667" s="2">
        <v>0.70650462962657912</v>
      </c>
      <c r="E667" s="4">
        <v>45145</v>
      </c>
      <c r="F667" s="7" t="s">
        <v>46</v>
      </c>
      <c r="G667" s="7" t="s">
        <v>140</v>
      </c>
      <c r="H667" s="7" t="s">
        <v>917</v>
      </c>
      <c r="I667" s="7" t="s">
        <v>2041</v>
      </c>
      <c r="J667" s="7" t="s">
        <v>482</v>
      </c>
      <c r="K667" s="7" t="s">
        <v>36</v>
      </c>
      <c r="L667" s="8">
        <v>39</v>
      </c>
      <c r="M667" s="7" t="s">
        <v>77</v>
      </c>
      <c r="N667" s="8">
        <v>176</v>
      </c>
      <c r="O667" s="8">
        <v>4</v>
      </c>
      <c r="P667" s="5">
        <v>2459.84</v>
      </c>
      <c r="Q667" s="4">
        <v>45600</v>
      </c>
      <c r="R667" s="9">
        <v>0.34085648148148145</v>
      </c>
      <c r="S667" s="8">
        <v>16</v>
      </c>
      <c r="T667" s="7" t="s">
        <v>4457</v>
      </c>
      <c r="U667" s="7" t="s">
        <v>4458</v>
      </c>
      <c r="V6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68" spans="1:22" x14ac:dyDescent="0.35">
      <c r="A668" s="7" t="s">
        <v>2042</v>
      </c>
      <c r="B668" s="7" t="s">
        <v>2043</v>
      </c>
      <c r="C668" s="5">
        <v>114.35</v>
      </c>
      <c r="D668" s="2">
        <v>0.67799768518307246</v>
      </c>
      <c r="E668" s="4">
        <v>45257</v>
      </c>
      <c r="F668" s="7" t="s">
        <v>46</v>
      </c>
      <c r="G668" s="7" t="s">
        <v>506</v>
      </c>
      <c r="H668" s="7" t="s">
        <v>1548</v>
      </c>
      <c r="I668" s="7" t="s">
        <v>2044</v>
      </c>
      <c r="J668" s="7" t="s">
        <v>105</v>
      </c>
      <c r="K668" s="7" t="s">
        <v>69</v>
      </c>
      <c r="L668" s="8">
        <v>41</v>
      </c>
      <c r="M668" s="7" t="s">
        <v>77</v>
      </c>
      <c r="N668" s="8">
        <v>21</v>
      </c>
      <c r="O668" s="8">
        <v>1</v>
      </c>
      <c r="P668" s="5">
        <v>469.12</v>
      </c>
      <c r="Q668" s="4">
        <v>45600</v>
      </c>
      <c r="R668" s="9">
        <v>0.34042824074074074</v>
      </c>
      <c r="S668" s="8">
        <v>16</v>
      </c>
      <c r="T668" s="7" t="s">
        <v>4457</v>
      </c>
      <c r="U668" s="7" t="s">
        <v>4455</v>
      </c>
      <c r="V6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69" spans="1:22" x14ac:dyDescent="0.35">
      <c r="A669" s="7" t="s">
        <v>2045</v>
      </c>
      <c r="B669" s="7" t="s">
        <v>578</v>
      </c>
      <c r="C669" s="5">
        <v>373.27</v>
      </c>
      <c r="D669" s="2">
        <v>0.75211805555591127</v>
      </c>
      <c r="E669" s="4">
        <v>45125</v>
      </c>
      <c r="F669" s="7" t="s">
        <v>46</v>
      </c>
      <c r="G669" s="7" t="s">
        <v>172</v>
      </c>
      <c r="H669" s="7" t="s">
        <v>2046</v>
      </c>
      <c r="I669" s="7" t="s">
        <v>194</v>
      </c>
      <c r="J669" s="7" t="s">
        <v>200</v>
      </c>
      <c r="K669" s="7" t="s">
        <v>36</v>
      </c>
      <c r="L669" s="8">
        <v>61</v>
      </c>
      <c r="M669" s="7" t="s">
        <v>23</v>
      </c>
      <c r="N669" s="8">
        <v>79</v>
      </c>
      <c r="O669" s="8">
        <v>1</v>
      </c>
      <c r="P669" s="5">
        <v>8441.61</v>
      </c>
      <c r="Q669" s="4">
        <v>45600</v>
      </c>
      <c r="R669" s="9">
        <v>0.33791666666666664</v>
      </c>
      <c r="S669" s="8">
        <v>18</v>
      </c>
      <c r="T669" s="7" t="s">
        <v>4454</v>
      </c>
      <c r="U669" s="7" t="s">
        <v>4455</v>
      </c>
      <c r="V6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70" spans="1:22" x14ac:dyDescent="0.35">
      <c r="A670" s="7" t="s">
        <v>2047</v>
      </c>
      <c r="B670" s="7" t="s">
        <v>1244</v>
      </c>
      <c r="C670" s="5">
        <v>504.63</v>
      </c>
      <c r="D670" s="2">
        <v>0.71331018518685596</v>
      </c>
      <c r="E670" s="4">
        <v>45243</v>
      </c>
      <c r="F670" s="7" t="s">
        <v>17</v>
      </c>
      <c r="G670" s="7" t="s">
        <v>595</v>
      </c>
      <c r="H670" s="7" t="s">
        <v>865</v>
      </c>
      <c r="I670" s="7" t="s">
        <v>615</v>
      </c>
      <c r="J670" s="7" t="s">
        <v>1524</v>
      </c>
      <c r="K670" s="7" t="s">
        <v>36</v>
      </c>
      <c r="L670" s="8">
        <v>60</v>
      </c>
      <c r="M670" s="7" t="s">
        <v>77</v>
      </c>
      <c r="N670" s="8">
        <v>168</v>
      </c>
      <c r="O670" s="8">
        <v>1</v>
      </c>
      <c r="P670" s="5">
        <v>3806.16</v>
      </c>
      <c r="Q670" s="4">
        <v>45600</v>
      </c>
      <c r="R670" s="9">
        <v>0.33877314814814813</v>
      </c>
      <c r="S670" s="8">
        <v>17</v>
      </c>
      <c r="T670" s="7" t="s">
        <v>4454</v>
      </c>
      <c r="U670" s="7" t="s">
        <v>4455</v>
      </c>
      <c r="V6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71" spans="1:22" x14ac:dyDescent="0.35">
      <c r="A671" s="7" t="s">
        <v>2048</v>
      </c>
      <c r="B671" s="7" t="s">
        <v>1085</v>
      </c>
      <c r="C671" s="5">
        <v>126.22</v>
      </c>
      <c r="D671" s="2">
        <v>0.68420138888905058</v>
      </c>
      <c r="E671" s="4">
        <v>45050</v>
      </c>
      <c r="F671" s="7" t="s">
        <v>17</v>
      </c>
      <c r="G671" s="7" t="s">
        <v>47</v>
      </c>
      <c r="H671" s="7" t="s">
        <v>1786</v>
      </c>
      <c r="I671" s="7" t="s">
        <v>347</v>
      </c>
      <c r="J671" s="7" t="s">
        <v>427</v>
      </c>
      <c r="K671" s="7" t="s">
        <v>22</v>
      </c>
      <c r="L671" s="8">
        <v>46</v>
      </c>
      <c r="M671" s="7" t="s">
        <v>77</v>
      </c>
      <c r="N671" s="8">
        <v>77</v>
      </c>
      <c r="O671" s="8">
        <v>4</v>
      </c>
      <c r="P671" s="5">
        <v>6133.41</v>
      </c>
      <c r="Q671" s="4">
        <v>45600</v>
      </c>
      <c r="R671" s="9">
        <v>0.3386689814814815</v>
      </c>
      <c r="S671" s="8">
        <v>16</v>
      </c>
      <c r="T671" s="7" t="s">
        <v>4457</v>
      </c>
      <c r="U671" s="7" t="s">
        <v>4458</v>
      </c>
      <c r="V6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72" spans="1:22" x14ac:dyDescent="0.35">
      <c r="A672" s="7" t="s">
        <v>2049</v>
      </c>
      <c r="B672" s="7" t="s">
        <v>2050</v>
      </c>
      <c r="C672" s="5">
        <v>820.15</v>
      </c>
      <c r="D672" s="2">
        <v>0.68959490740962792</v>
      </c>
      <c r="E672" s="4">
        <v>45278</v>
      </c>
      <c r="F672" s="7" t="s">
        <v>17</v>
      </c>
      <c r="G672" s="7" t="s">
        <v>291</v>
      </c>
      <c r="H672" s="7" t="s">
        <v>738</v>
      </c>
      <c r="I672" s="7" t="s">
        <v>2051</v>
      </c>
      <c r="J672" s="7" t="s">
        <v>482</v>
      </c>
      <c r="K672" s="7" t="s">
        <v>69</v>
      </c>
      <c r="L672" s="8">
        <v>47</v>
      </c>
      <c r="M672" s="7" t="s">
        <v>23</v>
      </c>
      <c r="N672" s="8">
        <v>181</v>
      </c>
      <c r="O672" s="8">
        <v>1</v>
      </c>
      <c r="P672" s="5">
        <v>8802.9699999999993</v>
      </c>
      <c r="Q672" s="4">
        <v>45600</v>
      </c>
      <c r="R672" s="9">
        <v>0.34067129629629628</v>
      </c>
      <c r="S672" s="8">
        <v>16</v>
      </c>
      <c r="T672" s="7" t="s">
        <v>4457</v>
      </c>
      <c r="U672" s="7" t="s">
        <v>4455</v>
      </c>
      <c r="V6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73" spans="1:22" x14ac:dyDescent="0.35">
      <c r="A673" s="7" t="s">
        <v>2052</v>
      </c>
      <c r="B673" s="7" t="s">
        <v>2053</v>
      </c>
      <c r="C673" s="5">
        <v>986.81</v>
      </c>
      <c r="D673" s="2">
        <v>0.70318287036934635</v>
      </c>
      <c r="E673" s="4">
        <v>45016</v>
      </c>
      <c r="F673" s="7" t="s">
        <v>46</v>
      </c>
      <c r="G673" s="7" t="s">
        <v>26</v>
      </c>
      <c r="H673" s="7" t="s">
        <v>495</v>
      </c>
      <c r="I673" s="7" t="s">
        <v>2054</v>
      </c>
      <c r="J673" s="7" t="s">
        <v>137</v>
      </c>
      <c r="K673" s="7" t="s">
        <v>36</v>
      </c>
      <c r="L673" s="8">
        <v>68</v>
      </c>
      <c r="M673" s="7" t="s">
        <v>23</v>
      </c>
      <c r="N673" s="8">
        <v>127</v>
      </c>
      <c r="O673" s="8">
        <v>1</v>
      </c>
      <c r="P673" s="5">
        <v>14881.77</v>
      </c>
      <c r="Q673" s="4">
        <v>45600</v>
      </c>
      <c r="R673" s="9">
        <v>0.33968749999999998</v>
      </c>
      <c r="S673" s="8">
        <v>16</v>
      </c>
      <c r="T673" s="7" t="s">
        <v>4454</v>
      </c>
      <c r="U673" s="7" t="s">
        <v>4455</v>
      </c>
      <c r="V6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74" spans="1:22" x14ac:dyDescent="0.35">
      <c r="A674" s="7" t="s">
        <v>2055</v>
      </c>
      <c r="B674" s="7" t="s">
        <v>2056</v>
      </c>
      <c r="C674" s="5">
        <v>8.3699999999999992</v>
      </c>
      <c r="D674" s="2">
        <v>0.68156250000174623</v>
      </c>
      <c r="E674" s="4">
        <v>44938</v>
      </c>
      <c r="F674" s="7" t="s">
        <v>17</v>
      </c>
      <c r="G674" s="7" t="s">
        <v>521</v>
      </c>
      <c r="H674" s="7" t="s">
        <v>2057</v>
      </c>
      <c r="I674" s="7" t="s">
        <v>552</v>
      </c>
      <c r="J674" s="7" t="s">
        <v>1349</v>
      </c>
      <c r="K674" s="7" t="s">
        <v>22</v>
      </c>
      <c r="L674" s="8">
        <v>63</v>
      </c>
      <c r="M674" s="7" t="s">
        <v>70</v>
      </c>
      <c r="N674" s="8">
        <v>135</v>
      </c>
      <c r="O674" s="8">
        <v>1</v>
      </c>
      <c r="P674" s="5">
        <v>1106.3399999999999</v>
      </c>
      <c r="Q674" s="4">
        <v>45600</v>
      </c>
      <c r="R674" s="9">
        <v>0.3412384259259259</v>
      </c>
      <c r="S674" s="8">
        <v>16</v>
      </c>
      <c r="T674" s="7" t="s">
        <v>4454</v>
      </c>
      <c r="U674" s="7" t="s">
        <v>4455</v>
      </c>
      <c r="V6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75" spans="1:22" x14ac:dyDescent="0.35">
      <c r="A675" s="7" t="s">
        <v>2058</v>
      </c>
      <c r="B675" s="7" t="s">
        <v>905</v>
      </c>
      <c r="C675" s="5">
        <v>197.49</v>
      </c>
      <c r="D675" s="2">
        <v>0.69218749999708962</v>
      </c>
      <c r="E675" s="4">
        <v>45110</v>
      </c>
      <c r="F675" s="7" t="s">
        <v>46</v>
      </c>
      <c r="G675" s="7" t="s">
        <v>558</v>
      </c>
      <c r="H675" s="7" t="s">
        <v>1713</v>
      </c>
      <c r="I675" s="7" t="s">
        <v>2059</v>
      </c>
      <c r="J675" s="7" t="s">
        <v>83</v>
      </c>
      <c r="K675" s="7" t="s">
        <v>36</v>
      </c>
      <c r="L675" s="8">
        <v>53</v>
      </c>
      <c r="M675" s="7" t="s">
        <v>70</v>
      </c>
      <c r="N675" s="8">
        <v>30</v>
      </c>
      <c r="O675" s="8">
        <v>1</v>
      </c>
      <c r="P675" s="5">
        <v>5005.33</v>
      </c>
      <c r="Q675" s="4">
        <v>45600</v>
      </c>
      <c r="R675" s="9">
        <v>0.33796296296296297</v>
      </c>
      <c r="S675" s="8">
        <v>16</v>
      </c>
      <c r="T675" s="7" t="s">
        <v>4457</v>
      </c>
      <c r="U675" s="7" t="s">
        <v>4455</v>
      </c>
      <c r="V6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76" spans="1:22" x14ac:dyDescent="0.35">
      <c r="A676" s="7" t="s">
        <v>2060</v>
      </c>
      <c r="B676" s="7" t="s">
        <v>1304</v>
      </c>
      <c r="C676" s="5">
        <v>637.97</v>
      </c>
      <c r="D676" s="2">
        <v>0.72034722222451819</v>
      </c>
      <c r="E676" s="4">
        <v>45222</v>
      </c>
      <c r="F676" s="7" t="s">
        <v>17</v>
      </c>
      <c r="G676" s="7" t="s">
        <v>203</v>
      </c>
      <c r="H676" s="7" t="s">
        <v>2015</v>
      </c>
      <c r="I676" s="7" t="s">
        <v>2061</v>
      </c>
      <c r="J676" s="7" t="s">
        <v>386</v>
      </c>
      <c r="K676" s="7" t="s">
        <v>69</v>
      </c>
      <c r="L676" s="8">
        <v>58</v>
      </c>
      <c r="M676" s="7" t="s">
        <v>70</v>
      </c>
      <c r="N676" s="8">
        <v>90</v>
      </c>
      <c r="O676" s="8">
        <v>1</v>
      </c>
      <c r="P676" s="5">
        <v>7949.03</v>
      </c>
      <c r="Q676" s="4">
        <v>45600</v>
      </c>
      <c r="R676" s="9">
        <v>0.33884259259259258</v>
      </c>
      <c r="S676" s="8">
        <v>17</v>
      </c>
      <c r="T676" s="7" t="s">
        <v>4454</v>
      </c>
      <c r="U676" s="7" t="s">
        <v>4455</v>
      </c>
      <c r="V6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77" spans="1:22" x14ac:dyDescent="0.35">
      <c r="A677" s="7" t="s">
        <v>2062</v>
      </c>
      <c r="B677" s="7" t="s">
        <v>1240</v>
      </c>
      <c r="C677" s="5">
        <v>13.52</v>
      </c>
      <c r="D677" s="2">
        <v>0.70240740740700858</v>
      </c>
      <c r="E677" s="4">
        <v>45061</v>
      </c>
      <c r="F677" s="7" t="s">
        <v>17</v>
      </c>
      <c r="G677" s="7" t="s">
        <v>59</v>
      </c>
      <c r="H677" s="7" t="s">
        <v>2063</v>
      </c>
      <c r="I677" s="7" t="s">
        <v>2059</v>
      </c>
      <c r="J677" s="7" t="s">
        <v>353</v>
      </c>
      <c r="K677" s="7" t="s">
        <v>22</v>
      </c>
      <c r="L677" s="8">
        <v>26</v>
      </c>
      <c r="M677" s="7" t="s">
        <v>37</v>
      </c>
      <c r="N677" s="8">
        <v>65</v>
      </c>
      <c r="O677" s="8">
        <v>1</v>
      </c>
      <c r="P677" s="5">
        <v>259.77</v>
      </c>
      <c r="Q677" s="4">
        <v>45600</v>
      </c>
      <c r="R677" s="9">
        <v>0.33784722222222224</v>
      </c>
      <c r="S677" s="8">
        <v>16</v>
      </c>
      <c r="T677" s="7" t="s">
        <v>4456</v>
      </c>
      <c r="U677" s="7" t="s">
        <v>4455</v>
      </c>
      <c r="V6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78" spans="1:22" x14ac:dyDescent="0.35">
      <c r="A678" s="7" t="s">
        <v>2064</v>
      </c>
      <c r="B678" s="7" t="s">
        <v>1293</v>
      </c>
      <c r="C678" s="5">
        <v>432.1</v>
      </c>
      <c r="D678" s="2">
        <v>0.68630787036818219</v>
      </c>
      <c r="E678" s="4">
        <v>45005</v>
      </c>
      <c r="F678" s="7" t="s">
        <v>17</v>
      </c>
      <c r="G678" s="7" t="s">
        <v>212</v>
      </c>
      <c r="H678" s="7" t="s">
        <v>1548</v>
      </c>
      <c r="I678" s="7" t="s">
        <v>2065</v>
      </c>
      <c r="J678" s="7" t="s">
        <v>122</v>
      </c>
      <c r="K678" s="7" t="s">
        <v>22</v>
      </c>
      <c r="L678" s="8">
        <v>49</v>
      </c>
      <c r="M678" s="7" t="s">
        <v>77</v>
      </c>
      <c r="N678" s="8">
        <v>240</v>
      </c>
      <c r="O678" s="8">
        <v>1</v>
      </c>
      <c r="P678" s="5">
        <v>2114.3000000000002</v>
      </c>
      <c r="Q678" s="4">
        <v>45600</v>
      </c>
      <c r="R678" s="9">
        <v>0.34046296296296297</v>
      </c>
      <c r="S678" s="8">
        <v>16</v>
      </c>
      <c r="T678" s="7" t="s">
        <v>4457</v>
      </c>
      <c r="U678" s="7" t="s">
        <v>4455</v>
      </c>
      <c r="V6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79" spans="1:22" x14ac:dyDescent="0.35">
      <c r="A679" s="7" t="s">
        <v>2066</v>
      </c>
      <c r="B679" s="7" t="s">
        <v>742</v>
      </c>
      <c r="C679" s="5">
        <v>375.17</v>
      </c>
      <c r="D679" s="2">
        <v>0.72283564815006685</v>
      </c>
      <c r="E679" s="4">
        <v>45085</v>
      </c>
      <c r="F679" s="7" t="s">
        <v>17</v>
      </c>
      <c r="G679" s="7" t="s">
        <v>157</v>
      </c>
      <c r="H679" s="7" t="s">
        <v>705</v>
      </c>
      <c r="I679" s="7" t="s">
        <v>1459</v>
      </c>
      <c r="J679" s="7" t="s">
        <v>200</v>
      </c>
      <c r="K679" s="7" t="s">
        <v>22</v>
      </c>
      <c r="L679" s="8">
        <v>51</v>
      </c>
      <c r="M679" s="7" t="s">
        <v>77</v>
      </c>
      <c r="N679" s="8">
        <v>66</v>
      </c>
      <c r="O679" s="8">
        <v>2</v>
      </c>
      <c r="P679" s="5">
        <v>5495.3</v>
      </c>
      <c r="Q679" s="4">
        <v>45600</v>
      </c>
      <c r="R679" s="9">
        <v>0.34127314814814813</v>
      </c>
      <c r="S679" s="8">
        <v>17</v>
      </c>
      <c r="T679" s="7" t="s">
        <v>4457</v>
      </c>
      <c r="U679" s="7" t="s">
        <v>4458</v>
      </c>
      <c r="V6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80" spans="1:22" x14ac:dyDescent="0.35">
      <c r="A680" s="7" t="s">
        <v>2067</v>
      </c>
      <c r="B680" s="7" t="s">
        <v>1472</v>
      </c>
      <c r="C680" s="5">
        <v>642.67999999999995</v>
      </c>
      <c r="D680" s="2">
        <v>0.70637731481838273</v>
      </c>
      <c r="E680" s="4">
        <v>44974</v>
      </c>
      <c r="F680" s="7" t="s">
        <v>17</v>
      </c>
      <c r="G680" s="7" t="s">
        <v>558</v>
      </c>
      <c r="H680" s="7" t="s">
        <v>2068</v>
      </c>
      <c r="I680" s="7" t="s">
        <v>1929</v>
      </c>
      <c r="J680" s="7" t="s">
        <v>639</v>
      </c>
      <c r="K680" s="7" t="s">
        <v>69</v>
      </c>
      <c r="L680" s="8">
        <v>50</v>
      </c>
      <c r="M680" s="7" t="s">
        <v>23</v>
      </c>
      <c r="N680" s="8">
        <v>94</v>
      </c>
      <c r="O680" s="8">
        <v>1</v>
      </c>
      <c r="P680" s="5">
        <v>8461.4599999999991</v>
      </c>
      <c r="Q680" s="4">
        <v>45600</v>
      </c>
      <c r="R680" s="9">
        <v>0.33932870370370372</v>
      </c>
      <c r="S680" s="8">
        <v>16</v>
      </c>
      <c r="T680" s="7" t="s">
        <v>4457</v>
      </c>
      <c r="U680" s="7" t="s">
        <v>4455</v>
      </c>
      <c r="V6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81" spans="1:22" x14ac:dyDescent="0.35">
      <c r="A681" s="7" t="s">
        <v>2069</v>
      </c>
      <c r="B681" s="7" t="s">
        <v>2070</v>
      </c>
      <c r="C681" s="5">
        <v>78.44</v>
      </c>
      <c r="D681" s="2">
        <v>0.72604166666860692</v>
      </c>
      <c r="E681" s="4">
        <v>45251</v>
      </c>
      <c r="F681" s="7" t="s">
        <v>46</v>
      </c>
      <c r="G681" s="7" t="s">
        <v>223</v>
      </c>
      <c r="H681" s="7" t="s">
        <v>1097</v>
      </c>
      <c r="I681" s="7" t="s">
        <v>2071</v>
      </c>
      <c r="J681" s="7" t="s">
        <v>450</v>
      </c>
      <c r="K681" s="7" t="s">
        <v>36</v>
      </c>
      <c r="L681" s="8">
        <v>52</v>
      </c>
      <c r="M681" s="7" t="s">
        <v>70</v>
      </c>
      <c r="N681" s="8">
        <v>292</v>
      </c>
      <c r="O681" s="8">
        <v>1</v>
      </c>
      <c r="P681" s="5">
        <v>6870.84</v>
      </c>
      <c r="Q681" s="4">
        <v>45600</v>
      </c>
      <c r="R681" s="9">
        <v>0.34072916666666669</v>
      </c>
      <c r="S681" s="8">
        <v>17</v>
      </c>
      <c r="T681" s="7" t="s">
        <v>4457</v>
      </c>
      <c r="U681" s="7" t="s">
        <v>4455</v>
      </c>
      <c r="V6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82" spans="1:22" x14ac:dyDescent="0.35">
      <c r="A682" s="7" t="s">
        <v>2072</v>
      </c>
      <c r="B682" s="7" t="s">
        <v>2073</v>
      </c>
      <c r="C682" s="5">
        <v>139.72</v>
      </c>
      <c r="D682" s="2">
        <v>0.74513888888759539</v>
      </c>
      <c r="E682" s="4">
        <v>44942</v>
      </c>
      <c r="F682" s="7" t="s">
        <v>17</v>
      </c>
      <c r="G682" s="7" t="s">
        <v>92</v>
      </c>
      <c r="H682" s="7" t="s">
        <v>346</v>
      </c>
      <c r="I682" s="7" t="s">
        <v>1477</v>
      </c>
      <c r="J682" s="7" t="s">
        <v>450</v>
      </c>
      <c r="K682" s="7" t="s">
        <v>69</v>
      </c>
      <c r="L682" s="8">
        <v>49</v>
      </c>
      <c r="M682" s="7" t="s">
        <v>77</v>
      </c>
      <c r="N682" s="8">
        <v>201</v>
      </c>
      <c r="O682" s="8">
        <v>1</v>
      </c>
      <c r="P682" s="5">
        <v>5058.83</v>
      </c>
      <c r="Q682" s="4">
        <v>45600</v>
      </c>
      <c r="R682" s="9">
        <v>0.33916666666666667</v>
      </c>
      <c r="S682" s="8">
        <v>17</v>
      </c>
      <c r="T682" s="7" t="s">
        <v>4457</v>
      </c>
      <c r="U682" s="7" t="s">
        <v>4455</v>
      </c>
      <c r="V6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83" spans="1:22" x14ac:dyDescent="0.35">
      <c r="A683" s="7" t="s">
        <v>2074</v>
      </c>
      <c r="B683" s="7" t="s">
        <v>1794</v>
      </c>
      <c r="C683" s="5">
        <v>499.99</v>
      </c>
      <c r="D683" s="2">
        <v>0.66755787037254777</v>
      </c>
      <c r="E683" s="4">
        <v>45140</v>
      </c>
      <c r="F683" s="7" t="s">
        <v>17</v>
      </c>
      <c r="G683" s="7" t="s">
        <v>223</v>
      </c>
      <c r="H683" s="7" t="s">
        <v>1875</v>
      </c>
      <c r="I683" s="7" t="s">
        <v>347</v>
      </c>
      <c r="J683" s="7" t="s">
        <v>246</v>
      </c>
      <c r="K683" s="7" t="s">
        <v>69</v>
      </c>
      <c r="L683" s="8">
        <v>31</v>
      </c>
      <c r="M683" s="7" t="s">
        <v>77</v>
      </c>
      <c r="N683" s="8">
        <v>296</v>
      </c>
      <c r="O683" s="8">
        <v>1</v>
      </c>
      <c r="P683" s="5">
        <v>8885</v>
      </c>
      <c r="Q683" s="4">
        <v>45600</v>
      </c>
      <c r="R683" s="9">
        <v>0.33964120370370371</v>
      </c>
      <c r="S683" s="8">
        <v>16</v>
      </c>
      <c r="T683" s="7" t="s">
        <v>4456</v>
      </c>
      <c r="U683" s="7" t="s">
        <v>4455</v>
      </c>
      <c r="V6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84" spans="1:22" x14ac:dyDescent="0.35">
      <c r="A684" s="7" t="s">
        <v>2075</v>
      </c>
      <c r="B684" s="7" t="s">
        <v>1915</v>
      </c>
      <c r="C684" s="5">
        <v>10.07</v>
      </c>
      <c r="D684" s="2">
        <v>0.69978009258920792</v>
      </c>
      <c r="E684" s="4">
        <v>44943</v>
      </c>
      <c r="F684" s="7" t="s">
        <v>17</v>
      </c>
      <c r="G684" s="7" t="s">
        <v>86</v>
      </c>
      <c r="H684" s="7" t="s">
        <v>439</v>
      </c>
      <c r="I684" s="7" t="s">
        <v>681</v>
      </c>
      <c r="J684" s="7" t="s">
        <v>175</v>
      </c>
      <c r="K684" s="7" t="s">
        <v>36</v>
      </c>
      <c r="L684" s="8">
        <v>24</v>
      </c>
      <c r="M684" s="7" t="s">
        <v>37</v>
      </c>
      <c r="N684" s="8">
        <v>49</v>
      </c>
      <c r="O684" s="8">
        <v>1</v>
      </c>
      <c r="P684" s="5">
        <v>530.80999999999995</v>
      </c>
      <c r="Q684" s="4">
        <v>45600</v>
      </c>
      <c r="R684" s="9">
        <v>0.33954861111111112</v>
      </c>
      <c r="S684" s="8">
        <v>16</v>
      </c>
      <c r="T684" s="7" t="s">
        <v>4456</v>
      </c>
      <c r="U684" s="7" t="s">
        <v>4455</v>
      </c>
      <c r="V6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85" spans="1:22" x14ac:dyDescent="0.35">
      <c r="A685" s="7" t="s">
        <v>2076</v>
      </c>
      <c r="B685" s="7" t="s">
        <v>130</v>
      </c>
      <c r="C685" s="5">
        <v>120.62</v>
      </c>
      <c r="D685" s="2">
        <v>0.69248842592787696</v>
      </c>
      <c r="E685" s="4">
        <v>44984</v>
      </c>
      <c r="F685" s="7" t="s">
        <v>17</v>
      </c>
      <c r="G685" s="7" t="s">
        <v>40</v>
      </c>
      <c r="H685" s="7" t="s">
        <v>1697</v>
      </c>
      <c r="I685" s="7" t="s">
        <v>500</v>
      </c>
      <c r="J685" s="7" t="s">
        <v>343</v>
      </c>
      <c r="K685" s="7" t="s">
        <v>22</v>
      </c>
      <c r="L685" s="8">
        <v>23</v>
      </c>
      <c r="M685" s="7" t="s">
        <v>37</v>
      </c>
      <c r="N685" s="8">
        <v>85</v>
      </c>
      <c r="O685" s="8">
        <v>1</v>
      </c>
      <c r="P685" s="5">
        <v>9379.5300000000007</v>
      </c>
      <c r="Q685" s="4">
        <v>45600</v>
      </c>
      <c r="R685" s="9">
        <v>0.33795138888888887</v>
      </c>
      <c r="S685" s="8">
        <v>16</v>
      </c>
      <c r="T685" s="7" t="s">
        <v>4456</v>
      </c>
      <c r="U685" s="7" t="s">
        <v>4455</v>
      </c>
      <c r="V6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86" spans="1:22" x14ac:dyDescent="0.35">
      <c r="A686" s="7" t="s">
        <v>2077</v>
      </c>
      <c r="B686" s="7" t="s">
        <v>2078</v>
      </c>
      <c r="C686" s="5">
        <v>578.49</v>
      </c>
      <c r="D686" s="2">
        <v>0.74086805555270985</v>
      </c>
      <c r="E686" s="4">
        <v>45215</v>
      </c>
      <c r="F686" s="7" t="s">
        <v>17</v>
      </c>
      <c r="G686" s="7" t="s">
        <v>80</v>
      </c>
      <c r="H686" s="7" t="s">
        <v>2079</v>
      </c>
      <c r="I686" s="7" t="s">
        <v>849</v>
      </c>
      <c r="J686" s="7" t="s">
        <v>418</v>
      </c>
      <c r="K686" s="7" t="s">
        <v>69</v>
      </c>
      <c r="L686" s="8">
        <v>59</v>
      </c>
      <c r="M686" s="7" t="s">
        <v>70</v>
      </c>
      <c r="N686" s="8">
        <v>180</v>
      </c>
      <c r="O686" s="8">
        <v>1</v>
      </c>
      <c r="P686" s="5">
        <v>6475.13</v>
      </c>
      <c r="Q686" s="4">
        <v>45600</v>
      </c>
      <c r="R686" s="9">
        <v>0.33807870370370369</v>
      </c>
      <c r="S686" s="8">
        <v>17</v>
      </c>
      <c r="T686" s="7" t="s">
        <v>4454</v>
      </c>
      <c r="U686" s="7" t="s">
        <v>4455</v>
      </c>
      <c r="V6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87" spans="1:22" x14ac:dyDescent="0.35">
      <c r="A687" s="7" t="s">
        <v>2080</v>
      </c>
      <c r="B687" s="7" t="s">
        <v>2024</v>
      </c>
      <c r="C687" s="5">
        <v>119.3</v>
      </c>
      <c r="D687" s="2">
        <v>0.67284722222393611</v>
      </c>
      <c r="E687" s="4">
        <v>45166</v>
      </c>
      <c r="F687" s="7" t="s">
        <v>17</v>
      </c>
      <c r="G687" s="7" t="s">
        <v>32</v>
      </c>
      <c r="H687" s="7" t="s">
        <v>1290</v>
      </c>
      <c r="I687" s="7" t="s">
        <v>1540</v>
      </c>
      <c r="J687" s="7" t="s">
        <v>707</v>
      </c>
      <c r="K687" s="7" t="s">
        <v>69</v>
      </c>
      <c r="L687" s="8">
        <v>34</v>
      </c>
      <c r="M687" s="7" t="s">
        <v>77</v>
      </c>
      <c r="N687" s="8">
        <v>22</v>
      </c>
      <c r="O687" s="8">
        <v>5</v>
      </c>
      <c r="P687" s="5">
        <v>319.04000000000002</v>
      </c>
      <c r="Q687" s="4">
        <v>45600</v>
      </c>
      <c r="R687" s="9">
        <v>0.33952546296296299</v>
      </c>
      <c r="S687" s="8">
        <v>16</v>
      </c>
      <c r="T687" s="7" t="s">
        <v>4456</v>
      </c>
      <c r="U687" s="7" t="s">
        <v>4458</v>
      </c>
      <c r="V6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88" spans="1:22" x14ac:dyDescent="0.35">
      <c r="A688" s="7" t="s">
        <v>2081</v>
      </c>
      <c r="B688" s="7" t="s">
        <v>884</v>
      </c>
      <c r="C688" s="5">
        <v>280.92</v>
      </c>
      <c r="D688" s="2">
        <v>0.76516203703795327</v>
      </c>
      <c r="E688" s="4">
        <v>45292</v>
      </c>
      <c r="F688" s="7" t="s">
        <v>17</v>
      </c>
      <c r="G688" s="7" t="s">
        <v>425</v>
      </c>
      <c r="H688" s="7" t="s">
        <v>1160</v>
      </c>
      <c r="I688" s="7" t="s">
        <v>136</v>
      </c>
      <c r="J688" s="7" t="s">
        <v>122</v>
      </c>
      <c r="K688" s="7" t="s">
        <v>36</v>
      </c>
      <c r="L688" s="8">
        <v>41</v>
      </c>
      <c r="M688" s="7" t="s">
        <v>23</v>
      </c>
      <c r="N688" s="8">
        <v>168</v>
      </c>
      <c r="O688" s="8">
        <v>1</v>
      </c>
      <c r="P688" s="5">
        <v>5298.85</v>
      </c>
      <c r="Q688" s="4">
        <v>45600</v>
      </c>
      <c r="R688" s="9">
        <v>0.33797453703703706</v>
      </c>
      <c r="S688" s="8">
        <v>18</v>
      </c>
      <c r="T688" s="7" t="s">
        <v>4457</v>
      </c>
      <c r="U688" s="7" t="s">
        <v>4455</v>
      </c>
      <c r="V6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89" spans="1:22" x14ac:dyDescent="0.35">
      <c r="A689" s="7" t="s">
        <v>2082</v>
      </c>
      <c r="B689" s="7" t="s">
        <v>2083</v>
      </c>
      <c r="C689" s="5">
        <v>42.42</v>
      </c>
      <c r="D689" s="2">
        <v>0.72218750000320142</v>
      </c>
      <c r="E689" s="4">
        <v>45078</v>
      </c>
      <c r="F689" s="7" t="s">
        <v>17</v>
      </c>
      <c r="G689" s="7" t="s">
        <v>285</v>
      </c>
      <c r="H689" s="7" t="s">
        <v>2084</v>
      </c>
      <c r="I689" s="7" t="s">
        <v>791</v>
      </c>
      <c r="J689" s="7" t="s">
        <v>564</v>
      </c>
      <c r="K689" s="7" t="s">
        <v>36</v>
      </c>
      <c r="L689" s="8">
        <v>21</v>
      </c>
      <c r="M689" s="7" t="s">
        <v>37</v>
      </c>
      <c r="N689" s="8">
        <v>102</v>
      </c>
      <c r="O689" s="8">
        <v>1</v>
      </c>
      <c r="P689" s="5">
        <v>490.57</v>
      </c>
      <c r="Q689" s="4">
        <v>45600</v>
      </c>
      <c r="R689" s="9">
        <v>0.33971064814814816</v>
      </c>
      <c r="S689" s="8">
        <v>17</v>
      </c>
      <c r="T689" s="7" t="s">
        <v>4456</v>
      </c>
      <c r="U689" s="7" t="s">
        <v>4455</v>
      </c>
      <c r="V6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90" spans="1:22" x14ac:dyDescent="0.35">
      <c r="A690" s="7" t="s">
        <v>2085</v>
      </c>
      <c r="B690" s="7" t="s">
        <v>1612</v>
      </c>
      <c r="C690" s="5">
        <v>77.03</v>
      </c>
      <c r="D690" s="2">
        <v>0.70686342592671281</v>
      </c>
      <c r="E690" s="4">
        <v>45096</v>
      </c>
      <c r="F690" s="7" t="s">
        <v>17</v>
      </c>
      <c r="G690" s="7" t="s">
        <v>558</v>
      </c>
      <c r="H690" s="7" t="s">
        <v>2086</v>
      </c>
      <c r="I690" s="7" t="s">
        <v>662</v>
      </c>
      <c r="J690" s="7" t="s">
        <v>95</v>
      </c>
      <c r="K690" s="7" t="s">
        <v>22</v>
      </c>
      <c r="L690" s="8">
        <v>67</v>
      </c>
      <c r="M690" s="7" t="s">
        <v>23</v>
      </c>
      <c r="N690" s="8">
        <v>259</v>
      </c>
      <c r="O690" s="8">
        <v>1</v>
      </c>
      <c r="P690" s="5">
        <v>11310.27</v>
      </c>
      <c r="Q690" s="4">
        <v>45600</v>
      </c>
      <c r="R690" s="9">
        <v>0.33895833333333331</v>
      </c>
      <c r="S690" s="8">
        <v>16</v>
      </c>
      <c r="T690" s="7" t="s">
        <v>4454</v>
      </c>
      <c r="U690" s="7" t="s">
        <v>4455</v>
      </c>
      <c r="V6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91" spans="1:22" x14ac:dyDescent="0.35">
      <c r="A691" s="7" t="s">
        <v>2087</v>
      </c>
      <c r="B691" s="7" t="s">
        <v>460</v>
      </c>
      <c r="C691" s="5">
        <v>22.59</v>
      </c>
      <c r="D691" s="2">
        <v>0.67541666666511446</v>
      </c>
      <c r="E691" s="4">
        <v>45012</v>
      </c>
      <c r="F691" s="7" t="s">
        <v>17</v>
      </c>
      <c r="G691" s="7" t="s">
        <v>59</v>
      </c>
      <c r="H691" s="7" t="s">
        <v>2088</v>
      </c>
      <c r="I691" s="7" t="s">
        <v>271</v>
      </c>
      <c r="J691" s="7" t="s">
        <v>406</v>
      </c>
      <c r="K691" s="7" t="s">
        <v>22</v>
      </c>
      <c r="L691" s="8">
        <v>62</v>
      </c>
      <c r="M691" s="7" t="s">
        <v>70</v>
      </c>
      <c r="N691" s="8">
        <v>45</v>
      </c>
      <c r="O691" s="8">
        <v>1</v>
      </c>
      <c r="P691" s="5">
        <v>3988.75</v>
      </c>
      <c r="Q691" s="4">
        <v>45600</v>
      </c>
      <c r="R691" s="9">
        <v>0.33914351851851854</v>
      </c>
      <c r="S691" s="8">
        <v>16</v>
      </c>
      <c r="T691" s="7" t="s">
        <v>4454</v>
      </c>
      <c r="U691" s="7" t="s">
        <v>4455</v>
      </c>
      <c r="V6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92" spans="1:22" x14ac:dyDescent="0.35">
      <c r="A692" s="7" t="s">
        <v>2089</v>
      </c>
      <c r="B692" s="7" t="s">
        <v>2090</v>
      </c>
      <c r="C692" s="5">
        <v>568.76</v>
      </c>
      <c r="D692" s="2">
        <v>0.700578703705105</v>
      </c>
      <c r="E692" s="4">
        <v>45208</v>
      </c>
      <c r="F692" s="7" t="s">
        <v>17</v>
      </c>
      <c r="G692" s="7" t="s">
        <v>197</v>
      </c>
      <c r="H692" s="7" t="s">
        <v>982</v>
      </c>
      <c r="I692" s="7" t="s">
        <v>2091</v>
      </c>
      <c r="J692" s="7" t="s">
        <v>348</v>
      </c>
      <c r="K692" s="7" t="s">
        <v>22</v>
      </c>
      <c r="L692" s="8">
        <v>51</v>
      </c>
      <c r="M692" s="7" t="s">
        <v>70</v>
      </c>
      <c r="N692" s="8">
        <v>155</v>
      </c>
      <c r="O692" s="8">
        <v>1</v>
      </c>
      <c r="P692" s="5">
        <v>7484.32</v>
      </c>
      <c r="Q692" s="4">
        <v>45600</v>
      </c>
      <c r="R692" s="9">
        <v>0.34177083333333336</v>
      </c>
      <c r="S692" s="8">
        <v>16</v>
      </c>
      <c r="T692" s="7" t="s">
        <v>4457</v>
      </c>
      <c r="U692" s="7" t="s">
        <v>4455</v>
      </c>
      <c r="V6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93" spans="1:22" x14ac:dyDescent="0.35">
      <c r="A693" s="7" t="s">
        <v>2092</v>
      </c>
      <c r="B693" s="7" t="s">
        <v>1264</v>
      </c>
      <c r="C693" s="5">
        <v>25.94</v>
      </c>
      <c r="D693" s="2">
        <v>0.78716435185197042</v>
      </c>
      <c r="E693" s="4">
        <v>45215</v>
      </c>
      <c r="F693" s="7" t="s">
        <v>46</v>
      </c>
      <c r="G693" s="7" t="s">
        <v>223</v>
      </c>
      <c r="H693" s="7" t="s">
        <v>184</v>
      </c>
      <c r="I693" s="7" t="s">
        <v>307</v>
      </c>
      <c r="J693" s="7" t="s">
        <v>362</v>
      </c>
      <c r="K693" s="7" t="s">
        <v>36</v>
      </c>
      <c r="L693" s="8">
        <v>58</v>
      </c>
      <c r="M693" s="7" t="s">
        <v>70</v>
      </c>
      <c r="N693" s="8">
        <v>211</v>
      </c>
      <c r="O693" s="8">
        <v>5</v>
      </c>
      <c r="P693" s="5">
        <v>4815.1099999999997</v>
      </c>
      <c r="Q693" s="4">
        <v>45600</v>
      </c>
      <c r="R693" s="9">
        <v>0.33793981481481483</v>
      </c>
      <c r="S693" s="8">
        <v>18</v>
      </c>
      <c r="T693" s="7" t="s">
        <v>4454</v>
      </c>
      <c r="U693" s="7" t="s">
        <v>4458</v>
      </c>
      <c r="V6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94" spans="1:22" x14ac:dyDescent="0.35">
      <c r="A694" s="7" t="s">
        <v>2093</v>
      </c>
      <c r="B694" s="7" t="s">
        <v>1796</v>
      </c>
      <c r="C694" s="5">
        <v>105.94</v>
      </c>
      <c r="D694" s="2">
        <v>0.66869212962774327</v>
      </c>
      <c r="E694" s="4">
        <v>45145</v>
      </c>
      <c r="F694" s="7" t="s">
        <v>17</v>
      </c>
      <c r="G694" s="7" t="s">
        <v>53</v>
      </c>
      <c r="H694" s="7" t="s">
        <v>1958</v>
      </c>
      <c r="I694" s="7" t="s">
        <v>2094</v>
      </c>
      <c r="J694" s="7" t="s">
        <v>226</v>
      </c>
      <c r="K694" s="7" t="s">
        <v>69</v>
      </c>
      <c r="L694" s="8">
        <v>51</v>
      </c>
      <c r="M694" s="7" t="s">
        <v>77</v>
      </c>
      <c r="N694" s="8">
        <v>207</v>
      </c>
      <c r="O694" s="8">
        <v>1</v>
      </c>
      <c r="P694" s="5">
        <v>5963.1</v>
      </c>
      <c r="Q694" s="4">
        <v>45600</v>
      </c>
      <c r="R694" s="9">
        <v>0.3402662037037037</v>
      </c>
      <c r="S694" s="8">
        <v>16</v>
      </c>
      <c r="T694" s="7" t="s">
        <v>4457</v>
      </c>
      <c r="U694" s="7" t="s">
        <v>4455</v>
      </c>
      <c r="V6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95" spans="1:22" x14ac:dyDescent="0.35">
      <c r="A695" s="7" t="s">
        <v>2095</v>
      </c>
      <c r="B695" s="7" t="s">
        <v>259</v>
      </c>
      <c r="C695" s="5">
        <v>733.29</v>
      </c>
      <c r="D695" s="2">
        <v>0.77935185185197042</v>
      </c>
      <c r="E695" s="4">
        <v>45000</v>
      </c>
      <c r="F695" s="7" t="s">
        <v>17</v>
      </c>
      <c r="G695" s="7" t="s">
        <v>301</v>
      </c>
      <c r="H695" s="7" t="s">
        <v>1091</v>
      </c>
      <c r="I695" s="7" t="s">
        <v>866</v>
      </c>
      <c r="J695" s="7" t="s">
        <v>418</v>
      </c>
      <c r="K695" s="7" t="s">
        <v>22</v>
      </c>
      <c r="L695" s="8">
        <v>52</v>
      </c>
      <c r="M695" s="7" t="s">
        <v>23</v>
      </c>
      <c r="N695" s="8">
        <v>94</v>
      </c>
      <c r="O695" s="8">
        <v>5</v>
      </c>
      <c r="P695" s="5">
        <v>10427</v>
      </c>
      <c r="Q695" s="4">
        <v>45600</v>
      </c>
      <c r="R695" s="9">
        <v>0.33833333333333332</v>
      </c>
      <c r="S695" s="8">
        <v>18</v>
      </c>
      <c r="T695" s="7" t="s">
        <v>4457</v>
      </c>
      <c r="U695" s="7" t="s">
        <v>4458</v>
      </c>
      <c r="V6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96" spans="1:22" x14ac:dyDescent="0.35">
      <c r="A696" s="7" t="s">
        <v>2096</v>
      </c>
      <c r="B696" s="7" t="s">
        <v>2097</v>
      </c>
      <c r="C696" s="5">
        <v>350.15</v>
      </c>
      <c r="D696" s="2">
        <v>0.67945601851533866</v>
      </c>
      <c r="E696" s="4">
        <v>45257</v>
      </c>
      <c r="F696" s="7" t="s">
        <v>46</v>
      </c>
      <c r="G696" s="7" t="s">
        <v>558</v>
      </c>
      <c r="H696" s="7" t="s">
        <v>1502</v>
      </c>
      <c r="I696" s="7" t="s">
        <v>1925</v>
      </c>
      <c r="J696" s="7" t="s">
        <v>29</v>
      </c>
      <c r="K696" s="7" t="s">
        <v>22</v>
      </c>
      <c r="L696" s="8">
        <v>21</v>
      </c>
      <c r="M696" s="7" t="s">
        <v>37</v>
      </c>
      <c r="N696" s="8">
        <v>195</v>
      </c>
      <c r="O696" s="8">
        <v>1</v>
      </c>
      <c r="P696" s="5">
        <v>296.47000000000003</v>
      </c>
      <c r="Q696" s="4">
        <v>45600</v>
      </c>
      <c r="R696" s="9">
        <v>0.33931712962962962</v>
      </c>
      <c r="S696" s="8">
        <v>16</v>
      </c>
      <c r="T696" s="7" t="s">
        <v>4456</v>
      </c>
      <c r="U696" s="7" t="s">
        <v>4455</v>
      </c>
      <c r="V6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97" spans="1:22" x14ac:dyDescent="0.35">
      <c r="A697" s="7" t="s">
        <v>2098</v>
      </c>
      <c r="B697" s="7" t="s">
        <v>1832</v>
      </c>
      <c r="C697" s="5">
        <v>1151.18</v>
      </c>
      <c r="D697" s="2">
        <v>0.726701388892252</v>
      </c>
      <c r="E697" s="4">
        <v>45163</v>
      </c>
      <c r="F697" s="7" t="s">
        <v>17</v>
      </c>
      <c r="G697" s="7" t="s">
        <v>291</v>
      </c>
      <c r="H697" s="7" t="s">
        <v>814</v>
      </c>
      <c r="I697" s="7" t="s">
        <v>1366</v>
      </c>
      <c r="J697" s="7" t="s">
        <v>288</v>
      </c>
      <c r="K697" s="7" t="s">
        <v>22</v>
      </c>
      <c r="L697" s="8">
        <v>65</v>
      </c>
      <c r="M697" s="7" t="s">
        <v>23</v>
      </c>
      <c r="N697" s="8">
        <v>105</v>
      </c>
      <c r="O697" s="8">
        <v>1</v>
      </c>
      <c r="P697" s="5">
        <v>1100.06</v>
      </c>
      <c r="Q697" s="4">
        <v>45600</v>
      </c>
      <c r="R697" s="9">
        <v>0.3382175925925926</v>
      </c>
      <c r="S697" s="8">
        <v>17</v>
      </c>
      <c r="T697" s="7" t="s">
        <v>4454</v>
      </c>
      <c r="U697" s="7" t="s">
        <v>4455</v>
      </c>
      <c r="V6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698" spans="1:22" x14ac:dyDescent="0.35">
      <c r="A698" s="7" t="s">
        <v>2099</v>
      </c>
      <c r="B698" s="7" t="s">
        <v>2056</v>
      </c>
      <c r="C698" s="5">
        <v>183.67</v>
      </c>
      <c r="D698" s="2">
        <v>0.67464120370277669</v>
      </c>
      <c r="E698" s="4">
        <v>45103</v>
      </c>
      <c r="F698" s="7" t="s">
        <v>17</v>
      </c>
      <c r="G698" s="7" t="s">
        <v>18</v>
      </c>
      <c r="H698" s="7" t="s">
        <v>41</v>
      </c>
      <c r="I698" s="7" t="s">
        <v>542</v>
      </c>
      <c r="J698" s="7" t="s">
        <v>674</v>
      </c>
      <c r="K698" s="7" t="s">
        <v>36</v>
      </c>
      <c r="L698" s="8">
        <v>19</v>
      </c>
      <c r="M698" s="7" t="s">
        <v>37</v>
      </c>
      <c r="N698" s="8">
        <v>238</v>
      </c>
      <c r="O698" s="8">
        <v>1</v>
      </c>
      <c r="P698" s="5">
        <v>910.26</v>
      </c>
      <c r="Q698" s="4">
        <v>45600</v>
      </c>
      <c r="R698" s="9">
        <v>0.34103009259259259</v>
      </c>
      <c r="S698" s="8">
        <v>16</v>
      </c>
      <c r="T698" s="7" t="s">
        <v>4456</v>
      </c>
      <c r="U698" s="7" t="s">
        <v>4455</v>
      </c>
      <c r="V6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699" spans="1:22" x14ac:dyDescent="0.35">
      <c r="A699" s="7" t="s">
        <v>2100</v>
      </c>
      <c r="B699" s="7" t="s">
        <v>989</v>
      </c>
      <c r="C699" s="5">
        <v>278.27</v>
      </c>
      <c r="D699" s="2">
        <v>0.69994212962774327</v>
      </c>
      <c r="E699" s="4">
        <v>45026</v>
      </c>
      <c r="F699" s="7" t="s">
        <v>17</v>
      </c>
      <c r="G699" s="7" t="s">
        <v>255</v>
      </c>
      <c r="H699" s="7" t="s">
        <v>461</v>
      </c>
      <c r="I699" s="7" t="s">
        <v>1254</v>
      </c>
      <c r="J699" s="7" t="s">
        <v>1562</v>
      </c>
      <c r="K699" s="7" t="s">
        <v>69</v>
      </c>
      <c r="L699" s="8">
        <v>29</v>
      </c>
      <c r="M699" s="7" t="s">
        <v>23</v>
      </c>
      <c r="N699" s="8">
        <v>123</v>
      </c>
      <c r="O699" s="8">
        <v>1</v>
      </c>
      <c r="P699" s="5">
        <v>6684.34</v>
      </c>
      <c r="Q699" s="4">
        <v>45600</v>
      </c>
      <c r="R699" s="9">
        <v>0.34025462962962966</v>
      </c>
      <c r="S699" s="8">
        <v>16</v>
      </c>
      <c r="T699" s="7" t="s">
        <v>4456</v>
      </c>
      <c r="U699" s="7" t="s">
        <v>4455</v>
      </c>
      <c r="V6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00" spans="1:22" x14ac:dyDescent="0.35">
      <c r="A700" s="7" t="s">
        <v>2101</v>
      </c>
      <c r="B700" s="7" t="s">
        <v>2102</v>
      </c>
      <c r="C700" s="5">
        <v>470.3</v>
      </c>
      <c r="D700" s="2">
        <v>0.78246527777810115</v>
      </c>
      <c r="E700" s="4">
        <v>45181</v>
      </c>
      <c r="F700" s="7" t="s">
        <v>17</v>
      </c>
      <c r="G700" s="7" t="s">
        <v>119</v>
      </c>
      <c r="H700" s="7" t="s">
        <v>2103</v>
      </c>
      <c r="I700" s="7" t="s">
        <v>2104</v>
      </c>
      <c r="J700" s="7" t="s">
        <v>50</v>
      </c>
      <c r="K700" s="7" t="s">
        <v>22</v>
      </c>
      <c r="L700" s="8">
        <v>40</v>
      </c>
      <c r="M700" s="7" t="s">
        <v>23</v>
      </c>
      <c r="N700" s="8">
        <v>88</v>
      </c>
      <c r="O700" s="8">
        <v>1</v>
      </c>
      <c r="P700" s="5">
        <v>8524.09</v>
      </c>
      <c r="Q700" s="4">
        <v>45600</v>
      </c>
      <c r="R700" s="9">
        <v>0.33888888888888891</v>
      </c>
      <c r="S700" s="8">
        <v>18</v>
      </c>
      <c r="T700" s="7" t="s">
        <v>4457</v>
      </c>
      <c r="U700" s="7" t="s">
        <v>4455</v>
      </c>
      <c r="V7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01" spans="1:22" x14ac:dyDescent="0.35">
      <c r="A701" s="7" t="s">
        <v>2105</v>
      </c>
      <c r="B701" s="7" t="s">
        <v>1425</v>
      </c>
      <c r="C701" s="5">
        <v>261.69</v>
      </c>
      <c r="D701" s="2">
        <v>0.72876157407154096</v>
      </c>
      <c r="E701" s="4">
        <v>45257</v>
      </c>
      <c r="F701" s="7" t="s">
        <v>17</v>
      </c>
      <c r="G701" s="7" t="s">
        <v>243</v>
      </c>
      <c r="H701" s="7" t="s">
        <v>2106</v>
      </c>
      <c r="I701" s="7" t="s">
        <v>2107</v>
      </c>
      <c r="J701" s="7" t="s">
        <v>564</v>
      </c>
      <c r="K701" s="7" t="s">
        <v>22</v>
      </c>
      <c r="L701" s="8">
        <v>53</v>
      </c>
      <c r="M701" s="7" t="s">
        <v>70</v>
      </c>
      <c r="N701" s="8">
        <v>84</v>
      </c>
      <c r="O701" s="8">
        <v>1</v>
      </c>
      <c r="P701" s="5">
        <v>5126.6499999999996</v>
      </c>
      <c r="Q701" s="4">
        <v>45600</v>
      </c>
      <c r="R701" s="9">
        <v>0.33968749999999998</v>
      </c>
      <c r="S701" s="8">
        <v>17</v>
      </c>
      <c r="T701" s="7" t="s">
        <v>4457</v>
      </c>
      <c r="U701" s="7" t="s">
        <v>4455</v>
      </c>
      <c r="V7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02" spans="1:22" x14ac:dyDescent="0.35">
      <c r="A702" s="7" t="s">
        <v>2108</v>
      </c>
      <c r="B702" s="7" t="s">
        <v>192</v>
      </c>
      <c r="C702" s="5">
        <v>365.04</v>
      </c>
      <c r="D702" s="2">
        <v>0.687465277776937</v>
      </c>
      <c r="E702" s="4">
        <v>44991</v>
      </c>
      <c r="F702" s="7" t="s">
        <v>17</v>
      </c>
      <c r="G702" s="7" t="s">
        <v>301</v>
      </c>
      <c r="H702" s="7" t="s">
        <v>184</v>
      </c>
      <c r="I702" s="7" t="s">
        <v>1208</v>
      </c>
      <c r="J702" s="7" t="s">
        <v>362</v>
      </c>
      <c r="K702" s="7" t="s">
        <v>69</v>
      </c>
      <c r="L702" s="8">
        <v>22</v>
      </c>
      <c r="M702" s="7" t="s">
        <v>37</v>
      </c>
      <c r="N702" s="8">
        <v>94</v>
      </c>
      <c r="O702" s="8">
        <v>1</v>
      </c>
      <c r="P702" s="5">
        <v>873.89</v>
      </c>
      <c r="Q702" s="4">
        <v>45600</v>
      </c>
      <c r="R702" s="9">
        <v>0.34175925925925926</v>
      </c>
      <c r="S702" s="8">
        <v>16</v>
      </c>
      <c r="T702" s="7" t="s">
        <v>4456</v>
      </c>
      <c r="U702" s="7" t="s">
        <v>4455</v>
      </c>
      <c r="V7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03" spans="1:22" x14ac:dyDescent="0.35">
      <c r="A703" s="7" t="s">
        <v>2109</v>
      </c>
      <c r="B703" s="7" t="s">
        <v>1814</v>
      </c>
      <c r="C703" s="5">
        <v>211.1</v>
      </c>
      <c r="D703" s="2">
        <v>0.70749999999679858</v>
      </c>
      <c r="E703" s="4">
        <v>45183</v>
      </c>
      <c r="F703" s="7" t="s">
        <v>17</v>
      </c>
      <c r="G703" s="7" t="s">
        <v>172</v>
      </c>
      <c r="H703" s="7" t="s">
        <v>2110</v>
      </c>
      <c r="I703" s="7" t="s">
        <v>2111</v>
      </c>
      <c r="J703" s="7" t="s">
        <v>272</v>
      </c>
      <c r="K703" s="7" t="s">
        <v>69</v>
      </c>
      <c r="L703" s="8">
        <v>57</v>
      </c>
      <c r="M703" s="7" t="s">
        <v>70</v>
      </c>
      <c r="N703" s="8">
        <v>136</v>
      </c>
      <c r="O703" s="8">
        <v>1</v>
      </c>
      <c r="P703" s="5">
        <v>7059.77</v>
      </c>
      <c r="Q703" s="4">
        <v>45600</v>
      </c>
      <c r="R703" s="9">
        <v>0.3382060185185185</v>
      </c>
      <c r="S703" s="8">
        <v>16</v>
      </c>
      <c r="T703" s="7" t="s">
        <v>4454</v>
      </c>
      <c r="U703" s="7" t="s">
        <v>4455</v>
      </c>
      <c r="V7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04" spans="1:22" x14ac:dyDescent="0.35">
      <c r="A704" s="7" t="s">
        <v>2112</v>
      </c>
      <c r="B704" s="7" t="s">
        <v>712</v>
      </c>
      <c r="C704" s="5">
        <v>21.49</v>
      </c>
      <c r="D704" s="2">
        <v>0.70228009259153623</v>
      </c>
      <c r="E704" s="4">
        <v>45050</v>
      </c>
      <c r="F704" s="7" t="s">
        <v>17</v>
      </c>
      <c r="G704" s="7" t="s">
        <v>114</v>
      </c>
      <c r="H704" s="7" t="s">
        <v>713</v>
      </c>
      <c r="I704" s="7" t="s">
        <v>473</v>
      </c>
      <c r="J704" s="7" t="s">
        <v>1345</v>
      </c>
      <c r="K704" s="7" t="s">
        <v>22</v>
      </c>
      <c r="L704" s="8">
        <v>58</v>
      </c>
      <c r="M704" s="7" t="s">
        <v>23</v>
      </c>
      <c r="N704" s="8">
        <v>240</v>
      </c>
      <c r="O704" s="8">
        <v>1</v>
      </c>
      <c r="P704" s="5">
        <v>11991.24</v>
      </c>
      <c r="Q704" s="4">
        <v>45600</v>
      </c>
      <c r="R704" s="9">
        <v>0.33898148148148149</v>
      </c>
      <c r="S704" s="8">
        <v>16</v>
      </c>
      <c r="T704" s="7" t="s">
        <v>4454</v>
      </c>
      <c r="U704" s="7" t="s">
        <v>4455</v>
      </c>
      <c r="V7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05" spans="1:22" x14ac:dyDescent="0.35">
      <c r="A705" s="7" t="s">
        <v>2113</v>
      </c>
      <c r="B705" s="7" t="s">
        <v>434</v>
      </c>
      <c r="C705" s="5">
        <v>63.58</v>
      </c>
      <c r="D705" s="2">
        <v>0.73835648148087785</v>
      </c>
      <c r="E705" s="4">
        <v>45180</v>
      </c>
      <c r="F705" s="7" t="s">
        <v>17</v>
      </c>
      <c r="G705" s="7" t="s">
        <v>125</v>
      </c>
      <c r="H705" s="7" t="s">
        <v>2114</v>
      </c>
      <c r="I705" s="7" t="s">
        <v>673</v>
      </c>
      <c r="J705" s="7" t="s">
        <v>482</v>
      </c>
      <c r="K705" s="7" t="s">
        <v>22</v>
      </c>
      <c r="L705" s="8">
        <v>18</v>
      </c>
      <c r="M705" s="7" t="s">
        <v>37</v>
      </c>
      <c r="N705" s="8">
        <v>199</v>
      </c>
      <c r="O705" s="8">
        <v>1</v>
      </c>
      <c r="P705" s="5">
        <v>8086.04</v>
      </c>
      <c r="Q705" s="4">
        <v>45600</v>
      </c>
      <c r="R705" s="9">
        <v>0.34162037037037035</v>
      </c>
      <c r="S705" s="8">
        <v>17</v>
      </c>
      <c r="T705" s="7" t="s">
        <v>4456</v>
      </c>
      <c r="U705" s="7" t="s">
        <v>4455</v>
      </c>
      <c r="V7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06" spans="1:22" x14ac:dyDescent="0.35">
      <c r="A706" s="7" t="s">
        <v>2115</v>
      </c>
      <c r="B706" s="7" t="s">
        <v>581</v>
      </c>
      <c r="C706" s="5">
        <v>321.86</v>
      </c>
      <c r="D706" s="2">
        <v>0.68461805555853061</v>
      </c>
      <c r="E706" s="4">
        <v>45131</v>
      </c>
      <c r="F706" s="7" t="s">
        <v>17</v>
      </c>
      <c r="G706" s="7" t="s">
        <v>237</v>
      </c>
      <c r="H706" s="7" t="s">
        <v>2116</v>
      </c>
      <c r="I706" s="7" t="s">
        <v>1605</v>
      </c>
      <c r="J706" s="7" t="s">
        <v>262</v>
      </c>
      <c r="K706" s="7" t="s">
        <v>22</v>
      </c>
      <c r="L706" s="8">
        <v>63</v>
      </c>
      <c r="M706" s="7" t="s">
        <v>23</v>
      </c>
      <c r="N706" s="8">
        <v>167</v>
      </c>
      <c r="O706" s="8">
        <v>1</v>
      </c>
      <c r="P706" s="5">
        <v>12626.49</v>
      </c>
      <c r="Q706" s="4">
        <v>45600</v>
      </c>
      <c r="R706" s="9">
        <v>0.3379050925925926</v>
      </c>
      <c r="S706" s="8">
        <v>16</v>
      </c>
      <c r="T706" s="7" t="s">
        <v>4454</v>
      </c>
      <c r="U706" s="7" t="s">
        <v>4455</v>
      </c>
      <c r="V7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07" spans="1:22" x14ac:dyDescent="0.35">
      <c r="A707" s="7" t="s">
        <v>2117</v>
      </c>
      <c r="B707" s="7" t="s">
        <v>2118</v>
      </c>
      <c r="C707" s="5">
        <v>12.11</v>
      </c>
      <c r="D707" s="2">
        <v>0.67878472222218988</v>
      </c>
      <c r="E707" s="4">
        <v>45272</v>
      </c>
      <c r="F707" s="7" t="s">
        <v>17</v>
      </c>
      <c r="G707" s="7" t="s">
        <v>392</v>
      </c>
      <c r="H707" s="7" t="s">
        <v>2119</v>
      </c>
      <c r="I707" s="7" t="s">
        <v>2120</v>
      </c>
      <c r="J707" s="7" t="s">
        <v>858</v>
      </c>
      <c r="K707" s="7" t="s">
        <v>69</v>
      </c>
      <c r="L707" s="8">
        <v>75</v>
      </c>
      <c r="M707" s="7" t="s">
        <v>70</v>
      </c>
      <c r="N707" s="8">
        <v>127</v>
      </c>
      <c r="O707" s="8">
        <v>1</v>
      </c>
      <c r="P707" s="5">
        <v>1730.28</v>
      </c>
      <c r="Q707" s="4">
        <v>45600</v>
      </c>
      <c r="R707" s="9">
        <v>0.33831018518518519</v>
      </c>
      <c r="S707" s="8">
        <v>16</v>
      </c>
      <c r="T707" s="7" t="s">
        <v>4454</v>
      </c>
      <c r="U707" s="7" t="s">
        <v>4455</v>
      </c>
      <c r="V7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08" spans="1:22" x14ac:dyDescent="0.35">
      <c r="A708" s="7" t="s">
        <v>2121</v>
      </c>
      <c r="B708" s="7" t="s">
        <v>935</v>
      </c>
      <c r="C708" s="5">
        <v>642.54</v>
      </c>
      <c r="D708" s="2">
        <v>0.78425925925694173</v>
      </c>
      <c r="E708" s="4">
        <v>45056</v>
      </c>
      <c r="F708" s="7" t="s">
        <v>17</v>
      </c>
      <c r="G708" s="7" t="s">
        <v>178</v>
      </c>
      <c r="H708" s="7" t="s">
        <v>579</v>
      </c>
      <c r="I708" s="7" t="s">
        <v>1819</v>
      </c>
      <c r="J708" s="7" t="s">
        <v>105</v>
      </c>
      <c r="K708" s="7" t="s">
        <v>69</v>
      </c>
      <c r="L708" s="8">
        <v>44</v>
      </c>
      <c r="M708" s="7" t="s">
        <v>77</v>
      </c>
      <c r="N708" s="8">
        <v>28</v>
      </c>
      <c r="O708" s="8">
        <v>1</v>
      </c>
      <c r="P708" s="5">
        <v>3143.17</v>
      </c>
      <c r="Q708" s="4">
        <v>45600</v>
      </c>
      <c r="R708" s="9">
        <v>0.34070601851851851</v>
      </c>
      <c r="S708" s="8">
        <v>18</v>
      </c>
      <c r="T708" s="7" t="s">
        <v>4457</v>
      </c>
      <c r="U708" s="7" t="s">
        <v>4455</v>
      </c>
      <c r="V7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09" spans="1:22" x14ac:dyDescent="0.35">
      <c r="A709" s="7" t="s">
        <v>2122</v>
      </c>
      <c r="B709" s="7" t="s">
        <v>698</v>
      </c>
      <c r="C709" s="5">
        <v>210.45</v>
      </c>
      <c r="D709" s="2">
        <v>0.69936342592700385</v>
      </c>
      <c r="E709" s="4">
        <v>45271</v>
      </c>
      <c r="F709" s="7" t="s">
        <v>17</v>
      </c>
      <c r="G709" s="7" t="s">
        <v>146</v>
      </c>
      <c r="H709" s="7" t="s">
        <v>2123</v>
      </c>
      <c r="I709" s="7" t="s">
        <v>1779</v>
      </c>
      <c r="J709" s="7" t="s">
        <v>1349</v>
      </c>
      <c r="K709" s="7" t="s">
        <v>22</v>
      </c>
      <c r="L709" s="8">
        <v>27</v>
      </c>
      <c r="M709" s="7" t="s">
        <v>37</v>
      </c>
      <c r="N709" s="8">
        <v>146</v>
      </c>
      <c r="O709" s="8">
        <v>1</v>
      </c>
      <c r="P709" s="5">
        <v>1242.49</v>
      </c>
      <c r="Q709" s="4">
        <v>45600</v>
      </c>
      <c r="R709" s="9">
        <v>0.33777777777777779</v>
      </c>
      <c r="S709" s="8">
        <v>16</v>
      </c>
      <c r="T709" s="7" t="s">
        <v>4456</v>
      </c>
      <c r="U709" s="7" t="s">
        <v>4455</v>
      </c>
      <c r="V7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10" spans="1:22" x14ac:dyDescent="0.35">
      <c r="A710" s="7" t="s">
        <v>2124</v>
      </c>
      <c r="B710" s="7" t="s">
        <v>2125</v>
      </c>
      <c r="C710" s="5">
        <v>313.64999999999998</v>
      </c>
      <c r="D710" s="2">
        <v>0.67230324073898373</v>
      </c>
      <c r="E710" s="4">
        <v>44956</v>
      </c>
      <c r="F710" s="7" t="s">
        <v>46</v>
      </c>
      <c r="G710" s="7" t="s">
        <v>265</v>
      </c>
      <c r="H710" s="7" t="s">
        <v>2126</v>
      </c>
      <c r="I710" s="7" t="s">
        <v>1262</v>
      </c>
      <c r="J710" s="7" t="s">
        <v>111</v>
      </c>
      <c r="K710" s="7" t="s">
        <v>69</v>
      </c>
      <c r="L710" s="8">
        <v>55</v>
      </c>
      <c r="M710" s="7" t="s">
        <v>70</v>
      </c>
      <c r="N710" s="8">
        <v>173</v>
      </c>
      <c r="O710" s="8">
        <v>1</v>
      </c>
      <c r="P710" s="5">
        <v>1886.36</v>
      </c>
      <c r="Q710" s="4">
        <v>45600</v>
      </c>
      <c r="R710" s="9">
        <v>0.34084490740740742</v>
      </c>
      <c r="S710" s="8">
        <v>16</v>
      </c>
      <c r="T710" s="7" t="s">
        <v>4454</v>
      </c>
      <c r="U710" s="7" t="s">
        <v>4455</v>
      </c>
      <c r="V7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11" spans="1:22" x14ac:dyDescent="0.35">
      <c r="A711" s="7" t="s">
        <v>2127</v>
      </c>
      <c r="B711" s="7" t="s">
        <v>2128</v>
      </c>
      <c r="C711" s="5">
        <v>99.76</v>
      </c>
      <c r="D711" s="2">
        <v>0.68167824074043892</v>
      </c>
      <c r="E711" s="4">
        <v>45145</v>
      </c>
      <c r="F711" s="7" t="s">
        <v>17</v>
      </c>
      <c r="G711" s="7" t="s">
        <v>285</v>
      </c>
      <c r="H711" s="7" t="s">
        <v>1584</v>
      </c>
      <c r="I711" s="7" t="s">
        <v>2129</v>
      </c>
      <c r="J711" s="7" t="s">
        <v>137</v>
      </c>
      <c r="K711" s="7" t="s">
        <v>69</v>
      </c>
      <c r="L711" s="8">
        <v>26</v>
      </c>
      <c r="M711" s="7" t="s">
        <v>37</v>
      </c>
      <c r="N711" s="8">
        <v>131</v>
      </c>
      <c r="O711" s="8">
        <v>1</v>
      </c>
      <c r="P711" s="5">
        <v>416.89</v>
      </c>
      <c r="Q711" s="4">
        <v>45600</v>
      </c>
      <c r="R711" s="9">
        <v>0.33780092592592592</v>
      </c>
      <c r="S711" s="8">
        <v>16</v>
      </c>
      <c r="T711" s="7" t="s">
        <v>4456</v>
      </c>
      <c r="U711" s="7" t="s">
        <v>4455</v>
      </c>
      <c r="V7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12" spans="1:22" x14ac:dyDescent="0.35">
      <c r="A712" s="7" t="s">
        <v>2130</v>
      </c>
      <c r="B712" s="7" t="s">
        <v>183</v>
      </c>
      <c r="C712" s="5">
        <v>115.32</v>
      </c>
      <c r="D712" s="2">
        <v>0.72508101852145046</v>
      </c>
      <c r="E712" s="4">
        <v>45132</v>
      </c>
      <c r="F712" s="7" t="s">
        <v>17</v>
      </c>
      <c r="G712" s="7" t="s">
        <v>114</v>
      </c>
      <c r="H712" s="7" t="s">
        <v>579</v>
      </c>
      <c r="I712" s="7" t="s">
        <v>2131</v>
      </c>
      <c r="J712" s="7" t="s">
        <v>326</v>
      </c>
      <c r="K712" s="7" t="s">
        <v>69</v>
      </c>
      <c r="L712" s="8">
        <v>53</v>
      </c>
      <c r="M712" s="7" t="s">
        <v>70</v>
      </c>
      <c r="N712" s="8">
        <v>113</v>
      </c>
      <c r="O712" s="8">
        <v>1</v>
      </c>
      <c r="P712" s="5">
        <v>5929.08</v>
      </c>
      <c r="Q712" s="4">
        <v>45600</v>
      </c>
      <c r="R712" s="9">
        <v>0.33930555555555558</v>
      </c>
      <c r="S712" s="8">
        <v>17</v>
      </c>
      <c r="T712" s="7" t="s">
        <v>4457</v>
      </c>
      <c r="U712" s="7" t="s">
        <v>4455</v>
      </c>
      <c r="V7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13" spans="1:22" x14ac:dyDescent="0.35">
      <c r="A713" s="7" t="s">
        <v>2132</v>
      </c>
      <c r="B713" s="7" t="s">
        <v>2133</v>
      </c>
      <c r="C713" s="5">
        <v>33.61</v>
      </c>
      <c r="D713" s="2">
        <v>0.72569444444525288</v>
      </c>
      <c r="E713" s="4">
        <v>45159</v>
      </c>
      <c r="F713" s="7" t="s">
        <v>17</v>
      </c>
      <c r="G713" s="7" t="s">
        <v>178</v>
      </c>
      <c r="H713" s="7" t="s">
        <v>1610</v>
      </c>
      <c r="I713" s="7" t="s">
        <v>1641</v>
      </c>
      <c r="J713" s="7" t="s">
        <v>240</v>
      </c>
      <c r="K713" s="7" t="s">
        <v>36</v>
      </c>
      <c r="L713" s="8">
        <v>23</v>
      </c>
      <c r="M713" s="7" t="s">
        <v>37</v>
      </c>
      <c r="N713" s="8">
        <v>72</v>
      </c>
      <c r="O713" s="8">
        <v>1</v>
      </c>
      <c r="P713" s="5">
        <v>479.08</v>
      </c>
      <c r="Q713" s="4">
        <v>45600</v>
      </c>
      <c r="R713" s="9">
        <v>0.33935185185185185</v>
      </c>
      <c r="S713" s="8">
        <v>17</v>
      </c>
      <c r="T713" s="7" t="s">
        <v>4456</v>
      </c>
      <c r="U713" s="7" t="s">
        <v>4455</v>
      </c>
      <c r="V7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14" spans="1:22" x14ac:dyDescent="0.35">
      <c r="A714" s="7" t="s">
        <v>2134</v>
      </c>
      <c r="B714" s="7" t="s">
        <v>1745</v>
      </c>
      <c r="C714" s="5">
        <v>498.59</v>
      </c>
      <c r="D714" s="2">
        <v>0.6808564814782585</v>
      </c>
      <c r="E714" s="4">
        <v>44956</v>
      </c>
      <c r="F714" s="7" t="s">
        <v>46</v>
      </c>
      <c r="G714" s="7" t="s">
        <v>53</v>
      </c>
      <c r="H714" s="7" t="s">
        <v>1685</v>
      </c>
      <c r="I714" s="7" t="s">
        <v>1443</v>
      </c>
      <c r="J714" s="7" t="s">
        <v>418</v>
      </c>
      <c r="K714" s="7" t="s">
        <v>36</v>
      </c>
      <c r="L714" s="8">
        <v>33</v>
      </c>
      <c r="M714" s="7" t="s">
        <v>23</v>
      </c>
      <c r="N714" s="8">
        <v>32</v>
      </c>
      <c r="O714" s="8">
        <v>1</v>
      </c>
      <c r="P714" s="5">
        <v>5862.99</v>
      </c>
      <c r="Q714" s="4">
        <v>45600</v>
      </c>
      <c r="R714" s="9">
        <v>0.33817129629629628</v>
      </c>
      <c r="S714" s="8">
        <v>16</v>
      </c>
      <c r="T714" s="7" t="s">
        <v>4456</v>
      </c>
      <c r="U714" s="7" t="s">
        <v>4455</v>
      </c>
      <c r="V7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15" spans="1:22" x14ac:dyDescent="0.35">
      <c r="A715" s="7" t="s">
        <v>2135</v>
      </c>
      <c r="B715" s="7" t="s">
        <v>621</v>
      </c>
      <c r="C715" s="5">
        <v>98.81</v>
      </c>
      <c r="D715" s="2">
        <v>0.70015046296612127</v>
      </c>
      <c r="E715" s="4">
        <v>45173</v>
      </c>
      <c r="F715" s="7" t="s">
        <v>17</v>
      </c>
      <c r="G715" s="7" t="s">
        <v>212</v>
      </c>
      <c r="H715" s="7" t="s">
        <v>1588</v>
      </c>
      <c r="I715" s="7" t="s">
        <v>1249</v>
      </c>
      <c r="J715" s="7" t="s">
        <v>478</v>
      </c>
      <c r="K715" s="7" t="s">
        <v>69</v>
      </c>
      <c r="L715" s="8">
        <v>27</v>
      </c>
      <c r="M715" s="7" t="s">
        <v>37</v>
      </c>
      <c r="N715" s="8">
        <v>91</v>
      </c>
      <c r="O715" s="8">
        <v>1</v>
      </c>
      <c r="P715" s="5">
        <v>797.1</v>
      </c>
      <c r="Q715" s="4">
        <v>45600</v>
      </c>
      <c r="R715" s="9">
        <v>0.33901620370370372</v>
      </c>
      <c r="S715" s="8">
        <v>16</v>
      </c>
      <c r="T715" s="7" t="s">
        <v>4456</v>
      </c>
      <c r="U715" s="7" t="s">
        <v>4455</v>
      </c>
      <c r="V7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16" spans="1:22" x14ac:dyDescent="0.35">
      <c r="A716" s="7" t="s">
        <v>2136</v>
      </c>
      <c r="B716" s="7" t="s">
        <v>974</v>
      </c>
      <c r="C716" s="5">
        <v>1.87</v>
      </c>
      <c r="D716" s="2">
        <v>0.77408564814686542</v>
      </c>
      <c r="E716" s="4">
        <v>45219</v>
      </c>
      <c r="F716" s="7" t="s">
        <v>17</v>
      </c>
      <c r="G716" s="7" t="s">
        <v>453</v>
      </c>
      <c r="H716" s="7" t="s">
        <v>1721</v>
      </c>
      <c r="I716" s="7" t="s">
        <v>811</v>
      </c>
      <c r="J716" s="7" t="s">
        <v>240</v>
      </c>
      <c r="K716" s="7" t="s">
        <v>22</v>
      </c>
      <c r="L716" s="8">
        <v>65</v>
      </c>
      <c r="M716" s="7" t="s">
        <v>70</v>
      </c>
      <c r="N716" s="8">
        <v>147</v>
      </c>
      <c r="O716" s="8">
        <v>1</v>
      </c>
      <c r="P716" s="5">
        <v>7287.94</v>
      </c>
      <c r="Q716" s="4">
        <v>45600</v>
      </c>
      <c r="R716" s="9">
        <v>0.34013888888888888</v>
      </c>
      <c r="S716" s="8">
        <v>18</v>
      </c>
      <c r="T716" s="7" t="s">
        <v>4454</v>
      </c>
      <c r="U716" s="7" t="s">
        <v>4455</v>
      </c>
      <c r="V7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17" spans="1:22" x14ac:dyDescent="0.35">
      <c r="A717" s="7" t="s">
        <v>2137</v>
      </c>
      <c r="B717" s="7" t="s">
        <v>777</v>
      </c>
      <c r="C717" s="5">
        <v>78.92</v>
      </c>
      <c r="D717" s="2">
        <v>0.79006944444699911</v>
      </c>
      <c r="E717" s="4">
        <v>45092</v>
      </c>
      <c r="F717" s="7" t="s">
        <v>46</v>
      </c>
      <c r="G717" s="7" t="s">
        <v>392</v>
      </c>
      <c r="H717" s="7" t="s">
        <v>622</v>
      </c>
      <c r="I717" s="7" t="s">
        <v>496</v>
      </c>
      <c r="J717" s="7" t="s">
        <v>326</v>
      </c>
      <c r="K717" s="7" t="s">
        <v>36</v>
      </c>
      <c r="L717" s="8">
        <v>59</v>
      </c>
      <c r="M717" s="7" t="s">
        <v>77</v>
      </c>
      <c r="N717" s="8">
        <v>95</v>
      </c>
      <c r="O717" s="8">
        <v>1</v>
      </c>
      <c r="P717" s="5">
        <v>5624.86</v>
      </c>
      <c r="Q717" s="4">
        <v>45600</v>
      </c>
      <c r="R717" s="9">
        <v>0.33921296296296294</v>
      </c>
      <c r="S717" s="8">
        <v>18</v>
      </c>
      <c r="T717" s="7" t="s">
        <v>4454</v>
      </c>
      <c r="U717" s="7" t="s">
        <v>4455</v>
      </c>
      <c r="V7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18" spans="1:22" x14ac:dyDescent="0.35">
      <c r="A718" s="7" t="s">
        <v>2138</v>
      </c>
      <c r="B718" s="7" t="s">
        <v>1206</v>
      </c>
      <c r="C718" s="5">
        <v>194.29</v>
      </c>
      <c r="D718" s="2">
        <v>0.67062499999883585</v>
      </c>
      <c r="E718" s="4">
        <v>44949</v>
      </c>
      <c r="F718" s="7" t="s">
        <v>46</v>
      </c>
      <c r="G718" s="7" t="s">
        <v>59</v>
      </c>
      <c r="H718" s="7" t="s">
        <v>2139</v>
      </c>
      <c r="I718" s="7" t="s">
        <v>2140</v>
      </c>
      <c r="J718" s="7" t="s">
        <v>128</v>
      </c>
      <c r="K718" s="7" t="s">
        <v>69</v>
      </c>
      <c r="L718" s="8">
        <v>39</v>
      </c>
      <c r="M718" s="7" t="s">
        <v>77</v>
      </c>
      <c r="N718" s="8">
        <v>10</v>
      </c>
      <c r="O718" s="8">
        <v>1</v>
      </c>
      <c r="P718" s="5">
        <v>2988.41</v>
      </c>
      <c r="Q718" s="4">
        <v>45600</v>
      </c>
      <c r="R718" s="9">
        <v>0.33954861111111112</v>
      </c>
      <c r="S718" s="8">
        <v>16</v>
      </c>
      <c r="T718" s="7" t="s">
        <v>4457</v>
      </c>
      <c r="U718" s="7" t="s">
        <v>4455</v>
      </c>
      <c r="V7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19" spans="1:22" x14ac:dyDescent="0.35">
      <c r="A719" s="7" t="s">
        <v>2141</v>
      </c>
      <c r="B719" s="7" t="s">
        <v>1982</v>
      </c>
      <c r="C719" s="5">
        <v>28.73</v>
      </c>
      <c r="D719" s="2">
        <v>0.67496527777984738</v>
      </c>
      <c r="E719" s="4">
        <v>45230</v>
      </c>
      <c r="F719" s="7" t="s">
        <v>17</v>
      </c>
      <c r="G719" s="7" t="s">
        <v>291</v>
      </c>
      <c r="H719" s="7" t="s">
        <v>2142</v>
      </c>
      <c r="I719" s="7" t="s">
        <v>783</v>
      </c>
      <c r="J719" s="7" t="s">
        <v>1810</v>
      </c>
      <c r="K719" s="7" t="s">
        <v>22</v>
      </c>
      <c r="L719" s="8">
        <v>53</v>
      </c>
      <c r="M719" s="7" t="s">
        <v>77</v>
      </c>
      <c r="N719" s="8">
        <v>185</v>
      </c>
      <c r="O719" s="8">
        <v>1</v>
      </c>
      <c r="P719" s="5">
        <v>2712.96</v>
      </c>
      <c r="Q719" s="4">
        <v>45600</v>
      </c>
      <c r="R719" s="9">
        <v>0.33931712962962962</v>
      </c>
      <c r="S719" s="8">
        <v>16</v>
      </c>
      <c r="T719" s="7" t="s">
        <v>4457</v>
      </c>
      <c r="U719" s="7" t="s">
        <v>4455</v>
      </c>
      <c r="V7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20" spans="1:22" x14ac:dyDescent="0.35">
      <c r="A720" s="7" t="s">
        <v>2143</v>
      </c>
      <c r="B720" s="7" t="s">
        <v>1781</v>
      </c>
      <c r="C720" s="5">
        <v>105.53</v>
      </c>
      <c r="D720" s="2">
        <v>0.69189814815035788</v>
      </c>
      <c r="E720" s="4">
        <v>45093</v>
      </c>
      <c r="F720" s="7" t="s">
        <v>17</v>
      </c>
      <c r="G720" s="7" t="s">
        <v>521</v>
      </c>
      <c r="H720" s="7" t="s">
        <v>2144</v>
      </c>
      <c r="I720" s="7" t="s">
        <v>2145</v>
      </c>
      <c r="J720" s="7" t="s">
        <v>607</v>
      </c>
      <c r="K720" s="7" t="s">
        <v>36</v>
      </c>
      <c r="L720" s="8">
        <v>24</v>
      </c>
      <c r="M720" s="7" t="s">
        <v>37</v>
      </c>
      <c r="N720" s="8">
        <v>88</v>
      </c>
      <c r="O720" s="8">
        <v>1</v>
      </c>
      <c r="P720" s="5">
        <v>1433.66</v>
      </c>
      <c r="Q720" s="4">
        <v>45600</v>
      </c>
      <c r="R720" s="9">
        <v>0.34043981481481483</v>
      </c>
      <c r="S720" s="8">
        <v>16</v>
      </c>
      <c r="T720" s="7" t="s">
        <v>4456</v>
      </c>
      <c r="U720" s="7" t="s">
        <v>4455</v>
      </c>
      <c r="V7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21" spans="1:22" x14ac:dyDescent="0.35">
      <c r="A721" s="7" t="s">
        <v>2146</v>
      </c>
      <c r="B721" s="7" t="s">
        <v>1796</v>
      </c>
      <c r="C721" s="5">
        <v>737.34</v>
      </c>
      <c r="D721" s="2">
        <v>0.73983796295942739</v>
      </c>
      <c r="E721" s="4">
        <v>45005</v>
      </c>
      <c r="F721" s="7" t="s">
        <v>17</v>
      </c>
      <c r="G721" s="7" t="s">
        <v>172</v>
      </c>
      <c r="H721" s="7" t="s">
        <v>2147</v>
      </c>
      <c r="I721" s="7" t="s">
        <v>281</v>
      </c>
      <c r="J721" s="7" t="s">
        <v>598</v>
      </c>
      <c r="K721" s="7" t="s">
        <v>36</v>
      </c>
      <c r="L721" s="8">
        <v>30</v>
      </c>
      <c r="M721" s="7" t="s">
        <v>23</v>
      </c>
      <c r="N721" s="8">
        <v>34</v>
      </c>
      <c r="O721" s="8">
        <v>1</v>
      </c>
      <c r="P721" s="5">
        <v>7336.56</v>
      </c>
      <c r="Q721" s="4">
        <v>45600</v>
      </c>
      <c r="R721" s="9">
        <v>0.33895833333333331</v>
      </c>
      <c r="S721" s="8">
        <v>17</v>
      </c>
      <c r="T721" s="7" t="s">
        <v>4456</v>
      </c>
      <c r="U721" s="7" t="s">
        <v>4455</v>
      </c>
      <c r="V7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22" spans="1:22" x14ac:dyDescent="0.35">
      <c r="A722" s="7" t="s">
        <v>2148</v>
      </c>
      <c r="B722" s="7" t="s">
        <v>2149</v>
      </c>
      <c r="C722" s="5">
        <v>237.86</v>
      </c>
      <c r="D722" s="2">
        <v>0.742118055553874</v>
      </c>
      <c r="E722" s="4">
        <v>44963</v>
      </c>
      <c r="F722" s="7" t="s">
        <v>17</v>
      </c>
      <c r="G722" s="7" t="s">
        <v>243</v>
      </c>
      <c r="H722" s="7" t="s">
        <v>1419</v>
      </c>
      <c r="I722" s="7" t="s">
        <v>2150</v>
      </c>
      <c r="J722" s="7" t="s">
        <v>252</v>
      </c>
      <c r="K722" s="7" t="s">
        <v>22</v>
      </c>
      <c r="L722" s="8">
        <v>18</v>
      </c>
      <c r="M722" s="7" t="s">
        <v>37</v>
      </c>
      <c r="N722" s="8">
        <v>210</v>
      </c>
      <c r="O722" s="8">
        <v>1</v>
      </c>
      <c r="P722" s="5">
        <v>475.63</v>
      </c>
      <c r="Q722" s="4">
        <v>45600</v>
      </c>
      <c r="R722" s="9">
        <v>0.34050925925925923</v>
      </c>
      <c r="S722" s="8">
        <v>17</v>
      </c>
      <c r="T722" s="7" t="s">
        <v>4456</v>
      </c>
      <c r="U722" s="7" t="s">
        <v>4455</v>
      </c>
      <c r="V7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23" spans="1:22" x14ac:dyDescent="0.35">
      <c r="A723" s="7" t="s">
        <v>2151</v>
      </c>
      <c r="B723" s="7" t="s">
        <v>1167</v>
      </c>
      <c r="C723" s="5">
        <v>409.61</v>
      </c>
      <c r="D723" s="2">
        <v>0.67069444444496185</v>
      </c>
      <c r="E723" s="4">
        <v>45133</v>
      </c>
      <c r="F723" s="7" t="s">
        <v>17</v>
      </c>
      <c r="G723" s="7" t="s">
        <v>291</v>
      </c>
      <c r="H723" s="7" t="s">
        <v>1091</v>
      </c>
      <c r="I723" s="7" t="s">
        <v>1852</v>
      </c>
      <c r="J723" s="7" t="s">
        <v>1209</v>
      </c>
      <c r="K723" s="7" t="s">
        <v>69</v>
      </c>
      <c r="L723" s="8">
        <v>65</v>
      </c>
      <c r="M723" s="7" t="s">
        <v>23</v>
      </c>
      <c r="N723" s="8">
        <v>89</v>
      </c>
      <c r="O723" s="8">
        <v>1</v>
      </c>
      <c r="P723" s="5">
        <v>11698.15</v>
      </c>
      <c r="Q723" s="4">
        <v>45600</v>
      </c>
      <c r="R723" s="9">
        <v>0.34046296296296297</v>
      </c>
      <c r="S723" s="8">
        <v>16</v>
      </c>
      <c r="T723" s="7" t="s">
        <v>4454</v>
      </c>
      <c r="U723" s="7" t="s">
        <v>4455</v>
      </c>
      <c r="V7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24" spans="1:22" x14ac:dyDescent="0.35">
      <c r="A724" s="7" t="s">
        <v>2152</v>
      </c>
      <c r="B724" s="7" t="s">
        <v>1264</v>
      </c>
      <c r="C724" s="5">
        <v>75.53</v>
      </c>
      <c r="D724" s="2">
        <v>0.73339120370656019</v>
      </c>
      <c r="E724" s="4">
        <v>45159</v>
      </c>
      <c r="F724" s="7" t="s">
        <v>46</v>
      </c>
      <c r="G724" s="7" t="s">
        <v>558</v>
      </c>
      <c r="H724" s="7" t="s">
        <v>1290</v>
      </c>
      <c r="I724" s="7" t="s">
        <v>1683</v>
      </c>
      <c r="J724" s="7" t="s">
        <v>35</v>
      </c>
      <c r="K724" s="7" t="s">
        <v>36</v>
      </c>
      <c r="L724" s="8">
        <v>21</v>
      </c>
      <c r="M724" s="7" t="s">
        <v>37</v>
      </c>
      <c r="N724" s="8">
        <v>157</v>
      </c>
      <c r="O724" s="8">
        <v>1</v>
      </c>
      <c r="P724" s="5">
        <v>1034.3499999999999</v>
      </c>
      <c r="Q724" s="4">
        <v>45600</v>
      </c>
      <c r="R724" s="9">
        <v>0.33832175925925928</v>
      </c>
      <c r="S724" s="8">
        <v>17</v>
      </c>
      <c r="T724" s="7" t="s">
        <v>4456</v>
      </c>
      <c r="U724" s="7" t="s">
        <v>4455</v>
      </c>
      <c r="V7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25" spans="1:22" x14ac:dyDescent="0.35">
      <c r="A725" s="7" t="s">
        <v>2153</v>
      </c>
      <c r="B725" s="7" t="s">
        <v>855</v>
      </c>
      <c r="C725" s="5">
        <v>72.75</v>
      </c>
      <c r="D725" s="2">
        <v>0.687534722223063</v>
      </c>
      <c r="E725" s="4">
        <v>45047</v>
      </c>
      <c r="F725" s="7" t="s">
        <v>17</v>
      </c>
      <c r="G725" s="7" t="s">
        <v>425</v>
      </c>
      <c r="H725" s="7" t="s">
        <v>692</v>
      </c>
      <c r="I725" s="7" t="s">
        <v>1420</v>
      </c>
      <c r="J725" s="7" t="s">
        <v>652</v>
      </c>
      <c r="K725" s="7" t="s">
        <v>22</v>
      </c>
      <c r="L725" s="8">
        <v>64</v>
      </c>
      <c r="M725" s="7" t="s">
        <v>23</v>
      </c>
      <c r="N725" s="8">
        <v>15</v>
      </c>
      <c r="O725" s="8">
        <v>1</v>
      </c>
      <c r="P725" s="5">
        <v>12042.79</v>
      </c>
      <c r="Q725" s="4">
        <v>45600</v>
      </c>
      <c r="R725" s="9">
        <v>0.33841435185185187</v>
      </c>
      <c r="S725" s="8">
        <v>16</v>
      </c>
      <c r="T725" s="7" t="s">
        <v>4454</v>
      </c>
      <c r="U725" s="7" t="s">
        <v>4455</v>
      </c>
      <c r="V7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26" spans="1:22" x14ac:dyDescent="0.35">
      <c r="A726" s="7" t="s">
        <v>2154</v>
      </c>
      <c r="B726" s="7" t="s">
        <v>687</v>
      </c>
      <c r="C726" s="5">
        <v>39.11</v>
      </c>
      <c r="D726" s="2">
        <v>0.75390046296524815</v>
      </c>
      <c r="E726" s="4">
        <v>45170</v>
      </c>
      <c r="F726" s="7" t="s">
        <v>17</v>
      </c>
      <c r="G726" s="7" t="s">
        <v>125</v>
      </c>
      <c r="H726" s="7" t="s">
        <v>60</v>
      </c>
      <c r="I726" s="7" t="s">
        <v>1025</v>
      </c>
      <c r="J726" s="7" t="s">
        <v>29</v>
      </c>
      <c r="K726" s="7" t="s">
        <v>36</v>
      </c>
      <c r="L726" s="8">
        <v>26</v>
      </c>
      <c r="M726" s="7" t="s">
        <v>37</v>
      </c>
      <c r="N726" s="8">
        <v>143</v>
      </c>
      <c r="O726" s="8">
        <v>1</v>
      </c>
      <c r="P726" s="5">
        <v>518.54</v>
      </c>
      <c r="Q726" s="4">
        <v>45600</v>
      </c>
      <c r="R726" s="9">
        <v>0.3392013888888889</v>
      </c>
      <c r="S726" s="8">
        <v>18</v>
      </c>
      <c r="T726" s="7" t="s">
        <v>4456</v>
      </c>
      <c r="U726" s="7" t="s">
        <v>4455</v>
      </c>
      <c r="V7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27" spans="1:22" x14ac:dyDescent="0.35">
      <c r="A727" s="7" t="s">
        <v>2155</v>
      </c>
      <c r="B727" s="7" t="s">
        <v>1193</v>
      </c>
      <c r="C727" s="5">
        <v>1309.79</v>
      </c>
      <c r="D727" s="2">
        <v>0.690081018517958</v>
      </c>
      <c r="E727" s="4">
        <v>44991</v>
      </c>
      <c r="F727" s="7" t="s">
        <v>17</v>
      </c>
      <c r="G727" s="7" t="s">
        <v>212</v>
      </c>
      <c r="H727" s="7" t="s">
        <v>2156</v>
      </c>
      <c r="I727" s="7" t="s">
        <v>2157</v>
      </c>
      <c r="J727" s="7" t="s">
        <v>432</v>
      </c>
      <c r="K727" s="7" t="s">
        <v>22</v>
      </c>
      <c r="L727" s="8">
        <v>23</v>
      </c>
      <c r="M727" s="7" t="s">
        <v>37</v>
      </c>
      <c r="N727" s="8">
        <v>139</v>
      </c>
      <c r="O727" s="8">
        <v>1</v>
      </c>
      <c r="P727" s="5">
        <v>1258.93</v>
      </c>
      <c r="Q727" s="4">
        <v>45600</v>
      </c>
      <c r="R727" s="9">
        <v>0.34113425925925928</v>
      </c>
      <c r="S727" s="8">
        <v>16</v>
      </c>
      <c r="T727" s="7" t="s">
        <v>4456</v>
      </c>
      <c r="U727" s="7" t="s">
        <v>4455</v>
      </c>
      <c r="V7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28" spans="1:22" x14ac:dyDescent="0.35">
      <c r="A728" s="7" t="s">
        <v>2158</v>
      </c>
      <c r="B728" s="7" t="s">
        <v>1739</v>
      </c>
      <c r="C728" s="5">
        <v>729.38</v>
      </c>
      <c r="D728" s="2">
        <v>0.72480324074422242</v>
      </c>
      <c r="E728" s="4">
        <v>45244</v>
      </c>
      <c r="F728" s="7" t="s">
        <v>17</v>
      </c>
      <c r="G728" s="7" t="s">
        <v>140</v>
      </c>
      <c r="H728" s="7" t="s">
        <v>1187</v>
      </c>
      <c r="I728" s="7" t="s">
        <v>2010</v>
      </c>
      <c r="J728" s="7" t="s">
        <v>482</v>
      </c>
      <c r="K728" s="7" t="s">
        <v>22</v>
      </c>
      <c r="L728" s="8">
        <v>68</v>
      </c>
      <c r="M728" s="7" t="s">
        <v>23</v>
      </c>
      <c r="N728" s="8">
        <v>90</v>
      </c>
      <c r="O728" s="8">
        <v>1</v>
      </c>
      <c r="P728" s="5">
        <v>9127.65</v>
      </c>
      <c r="Q728" s="4">
        <v>45600</v>
      </c>
      <c r="R728" s="9">
        <v>0.33907407407407408</v>
      </c>
      <c r="S728" s="8">
        <v>17</v>
      </c>
      <c r="T728" s="7" t="s">
        <v>4454</v>
      </c>
      <c r="U728" s="7" t="s">
        <v>4455</v>
      </c>
      <c r="V7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29" spans="1:22" x14ac:dyDescent="0.35">
      <c r="A729" s="7" t="s">
        <v>2159</v>
      </c>
      <c r="B729" s="7" t="s">
        <v>1710</v>
      </c>
      <c r="C729" s="5">
        <v>137.49</v>
      </c>
      <c r="D729" s="2">
        <v>0.70425925926247146</v>
      </c>
      <c r="E729" s="4">
        <v>45133</v>
      </c>
      <c r="F729" s="7" t="s">
        <v>17</v>
      </c>
      <c r="G729" s="7" t="s">
        <v>157</v>
      </c>
      <c r="H729" s="7" t="s">
        <v>2160</v>
      </c>
      <c r="I729" s="7" t="s">
        <v>837</v>
      </c>
      <c r="J729" s="7" t="s">
        <v>143</v>
      </c>
      <c r="K729" s="7" t="s">
        <v>22</v>
      </c>
      <c r="L729" s="8">
        <v>34</v>
      </c>
      <c r="M729" s="7" t="s">
        <v>77</v>
      </c>
      <c r="N729" s="8">
        <v>50</v>
      </c>
      <c r="O729" s="8">
        <v>1</v>
      </c>
      <c r="P729" s="5">
        <v>4471.05</v>
      </c>
      <c r="Q729" s="4">
        <v>45600</v>
      </c>
      <c r="R729" s="9">
        <v>0.33824074074074073</v>
      </c>
      <c r="S729" s="8">
        <v>16</v>
      </c>
      <c r="T729" s="7" t="s">
        <v>4456</v>
      </c>
      <c r="U729" s="7" t="s">
        <v>4455</v>
      </c>
      <c r="V7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30" spans="1:22" x14ac:dyDescent="0.35">
      <c r="A730" s="7" t="s">
        <v>2161</v>
      </c>
      <c r="B730" s="7" t="s">
        <v>2162</v>
      </c>
      <c r="C730" s="5">
        <v>504.71</v>
      </c>
      <c r="D730" s="2">
        <v>0.76934027778042946</v>
      </c>
      <c r="E730" s="4">
        <v>45026</v>
      </c>
      <c r="F730" s="7" t="s">
        <v>17</v>
      </c>
      <c r="G730" s="7" t="s">
        <v>73</v>
      </c>
      <c r="H730" s="7" t="s">
        <v>2163</v>
      </c>
      <c r="I730" s="7" t="s">
        <v>75</v>
      </c>
      <c r="J730" s="7" t="s">
        <v>406</v>
      </c>
      <c r="K730" s="7" t="s">
        <v>36</v>
      </c>
      <c r="L730" s="8">
        <v>29</v>
      </c>
      <c r="M730" s="7" t="s">
        <v>77</v>
      </c>
      <c r="N730" s="8">
        <v>61</v>
      </c>
      <c r="O730" s="8">
        <v>1</v>
      </c>
      <c r="P730" s="5">
        <v>6214.54</v>
      </c>
      <c r="Q730" s="4">
        <v>45600</v>
      </c>
      <c r="R730" s="9">
        <v>0.33931712962962962</v>
      </c>
      <c r="S730" s="8">
        <v>18</v>
      </c>
      <c r="T730" s="7" t="s">
        <v>4456</v>
      </c>
      <c r="U730" s="7" t="s">
        <v>4455</v>
      </c>
      <c r="V7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31" spans="1:22" x14ac:dyDescent="0.35">
      <c r="A731" s="7" t="s">
        <v>2164</v>
      </c>
      <c r="B731" s="7" t="s">
        <v>376</v>
      </c>
      <c r="C731" s="5">
        <v>371.47</v>
      </c>
      <c r="D731" s="2">
        <v>0.67719907407445135</v>
      </c>
      <c r="E731" s="4">
        <v>45076</v>
      </c>
      <c r="F731" s="7" t="s">
        <v>46</v>
      </c>
      <c r="G731" s="7" t="s">
        <v>178</v>
      </c>
      <c r="H731" s="7" t="s">
        <v>292</v>
      </c>
      <c r="I731" s="7" t="s">
        <v>1518</v>
      </c>
      <c r="J731" s="7" t="s">
        <v>348</v>
      </c>
      <c r="K731" s="7" t="s">
        <v>69</v>
      </c>
      <c r="L731" s="8">
        <v>24</v>
      </c>
      <c r="M731" s="7" t="s">
        <v>37</v>
      </c>
      <c r="N731" s="8">
        <v>58</v>
      </c>
      <c r="O731" s="8">
        <v>1</v>
      </c>
      <c r="P731" s="5">
        <v>1187.04</v>
      </c>
      <c r="Q731" s="4">
        <v>45600</v>
      </c>
      <c r="R731" s="9">
        <v>0.33829861111111109</v>
      </c>
      <c r="S731" s="8">
        <v>16</v>
      </c>
      <c r="T731" s="7" t="s">
        <v>4456</v>
      </c>
      <c r="U731" s="7" t="s">
        <v>4455</v>
      </c>
      <c r="V7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32" spans="1:22" x14ac:dyDescent="0.35">
      <c r="A732" s="7" t="s">
        <v>2165</v>
      </c>
      <c r="B732" s="7" t="s">
        <v>1020</v>
      </c>
      <c r="C732" s="5">
        <v>430.35</v>
      </c>
      <c r="D732" s="2">
        <v>0.72434027777489973</v>
      </c>
      <c r="E732" s="4">
        <v>44977</v>
      </c>
      <c r="F732" s="7" t="s">
        <v>17</v>
      </c>
      <c r="G732" s="7" t="s">
        <v>249</v>
      </c>
      <c r="H732" s="7" t="s">
        <v>1800</v>
      </c>
      <c r="I732" s="7" t="s">
        <v>1133</v>
      </c>
      <c r="J732" s="7" t="s">
        <v>83</v>
      </c>
      <c r="K732" s="7" t="s">
        <v>36</v>
      </c>
      <c r="L732" s="8">
        <v>36</v>
      </c>
      <c r="M732" s="7" t="s">
        <v>23</v>
      </c>
      <c r="N732" s="8">
        <v>205</v>
      </c>
      <c r="O732" s="8">
        <v>1</v>
      </c>
      <c r="P732" s="5">
        <v>354.9</v>
      </c>
      <c r="Q732" s="4">
        <v>45600</v>
      </c>
      <c r="R732" s="9">
        <v>0.34086805555555555</v>
      </c>
      <c r="S732" s="8">
        <v>17</v>
      </c>
      <c r="T732" s="7" t="s">
        <v>4457</v>
      </c>
      <c r="U732" s="7" t="s">
        <v>4455</v>
      </c>
      <c r="V7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33" spans="1:22" x14ac:dyDescent="0.35">
      <c r="A733" s="7" t="s">
        <v>2166</v>
      </c>
      <c r="B733" s="7" t="s">
        <v>986</v>
      </c>
      <c r="C733" s="5">
        <v>230.32</v>
      </c>
      <c r="D733" s="2">
        <v>0.76079861111065838</v>
      </c>
      <c r="E733" s="4">
        <v>45061</v>
      </c>
      <c r="F733" s="7" t="s">
        <v>17</v>
      </c>
      <c r="G733" s="7" t="s">
        <v>146</v>
      </c>
      <c r="H733" s="7" t="s">
        <v>802</v>
      </c>
      <c r="I733" s="7" t="s">
        <v>2167</v>
      </c>
      <c r="J733" s="7" t="s">
        <v>21</v>
      </c>
      <c r="K733" s="7" t="s">
        <v>69</v>
      </c>
      <c r="L733" s="8">
        <v>35</v>
      </c>
      <c r="M733" s="7" t="s">
        <v>77</v>
      </c>
      <c r="N733" s="8">
        <v>56</v>
      </c>
      <c r="O733" s="8">
        <v>1</v>
      </c>
      <c r="P733" s="5">
        <v>791.46</v>
      </c>
      <c r="Q733" s="4">
        <v>45600</v>
      </c>
      <c r="R733" s="9">
        <v>0.33928240740740739</v>
      </c>
      <c r="S733" s="8">
        <v>18</v>
      </c>
      <c r="T733" s="7" t="s">
        <v>4457</v>
      </c>
      <c r="U733" s="7" t="s">
        <v>4455</v>
      </c>
      <c r="V7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34" spans="1:22" x14ac:dyDescent="0.35">
      <c r="A734" s="7" t="s">
        <v>2168</v>
      </c>
      <c r="B734" s="7" t="s">
        <v>2169</v>
      </c>
      <c r="C734" s="5">
        <v>121.71</v>
      </c>
      <c r="D734" s="2">
        <v>0.70998842592234723</v>
      </c>
      <c r="E734" s="4">
        <v>45174</v>
      </c>
      <c r="F734" s="7" t="s">
        <v>17</v>
      </c>
      <c r="G734" s="7" t="s">
        <v>265</v>
      </c>
      <c r="H734" s="7" t="s">
        <v>2170</v>
      </c>
      <c r="I734" s="7" t="s">
        <v>261</v>
      </c>
      <c r="J734" s="7" t="s">
        <v>21</v>
      </c>
      <c r="K734" s="7" t="s">
        <v>22</v>
      </c>
      <c r="L734" s="8">
        <v>52</v>
      </c>
      <c r="M734" s="7" t="s">
        <v>70</v>
      </c>
      <c r="N734" s="8">
        <v>140</v>
      </c>
      <c r="O734" s="8">
        <v>1</v>
      </c>
      <c r="P734" s="5">
        <v>5878.89</v>
      </c>
      <c r="Q734" s="4">
        <v>45600</v>
      </c>
      <c r="R734" s="9">
        <v>0.3412384259259259</v>
      </c>
      <c r="S734" s="8">
        <v>17</v>
      </c>
      <c r="T734" s="7" t="s">
        <v>4457</v>
      </c>
      <c r="U734" s="7" t="s">
        <v>4455</v>
      </c>
      <c r="V7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35" spans="1:22" x14ac:dyDescent="0.35">
      <c r="A735" s="7" t="s">
        <v>2171</v>
      </c>
      <c r="B735" s="7" t="s">
        <v>2172</v>
      </c>
      <c r="C735" s="5">
        <v>98.87</v>
      </c>
      <c r="D735" s="2">
        <v>0.74383101851708489</v>
      </c>
      <c r="E735" s="4">
        <v>44929</v>
      </c>
      <c r="F735" s="7" t="s">
        <v>17</v>
      </c>
      <c r="G735" s="7" t="s">
        <v>73</v>
      </c>
      <c r="H735" s="7" t="s">
        <v>1967</v>
      </c>
      <c r="I735" s="7" t="s">
        <v>1830</v>
      </c>
      <c r="J735" s="7" t="s">
        <v>406</v>
      </c>
      <c r="K735" s="7" t="s">
        <v>36</v>
      </c>
      <c r="L735" s="8">
        <v>20</v>
      </c>
      <c r="M735" s="7" t="s">
        <v>37</v>
      </c>
      <c r="N735" s="8">
        <v>179</v>
      </c>
      <c r="O735" s="8">
        <v>1</v>
      </c>
      <c r="P735" s="5">
        <v>533.20000000000005</v>
      </c>
      <c r="Q735" s="4">
        <v>45600</v>
      </c>
      <c r="R735" s="9">
        <v>0.33817129629629628</v>
      </c>
      <c r="S735" s="8">
        <v>17</v>
      </c>
      <c r="T735" s="7" t="s">
        <v>4456</v>
      </c>
      <c r="U735" s="7" t="s">
        <v>4455</v>
      </c>
      <c r="V7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36" spans="1:22" x14ac:dyDescent="0.35">
      <c r="A736" s="7" t="s">
        <v>2173</v>
      </c>
      <c r="B736" s="7" t="s">
        <v>259</v>
      </c>
      <c r="C736" s="5">
        <v>117.55</v>
      </c>
      <c r="D736" s="2">
        <v>0.69105324074189411</v>
      </c>
      <c r="E736" s="4">
        <v>45065</v>
      </c>
      <c r="F736" s="7" t="s">
        <v>17</v>
      </c>
      <c r="G736" s="7" t="s">
        <v>558</v>
      </c>
      <c r="H736" s="7" t="s">
        <v>1941</v>
      </c>
      <c r="I736" s="7" t="s">
        <v>1921</v>
      </c>
      <c r="J736" s="7" t="s">
        <v>246</v>
      </c>
      <c r="K736" s="7" t="s">
        <v>22</v>
      </c>
      <c r="L736" s="8">
        <v>24</v>
      </c>
      <c r="M736" s="7" t="s">
        <v>37</v>
      </c>
      <c r="N736" s="8">
        <v>35</v>
      </c>
      <c r="O736" s="8">
        <v>1</v>
      </c>
      <c r="P736" s="5">
        <v>897.94</v>
      </c>
      <c r="Q736" s="4">
        <v>45600</v>
      </c>
      <c r="R736" s="9">
        <v>0.34112268518518518</v>
      </c>
      <c r="S736" s="8">
        <v>16</v>
      </c>
      <c r="T736" s="7" t="s">
        <v>4456</v>
      </c>
      <c r="U736" s="7" t="s">
        <v>4455</v>
      </c>
      <c r="V7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37" spans="1:22" x14ac:dyDescent="0.35">
      <c r="A737" s="7" t="s">
        <v>2174</v>
      </c>
      <c r="B737" s="7" t="s">
        <v>1785</v>
      </c>
      <c r="C737" s="5">
        <v>244.64</v>
      </c>
      <c r="D737" s="2">
        <v>0.77892361111298669</v>
      </c>
      <c r="E737" s="4">
        <v>44978</v>
      </c>
      <c r="F737" s="7" t="s">
        <v>17</v>
      </c>
      <c r="G737" s="7" t="s">
        <v>255</v>
      </c>
      <c r="H737" s="7" t="s">
        <v>1945</v>
      </c>
      <c r="I737" s="7" t="s">
        <v>2175</v>
      </c>
      <c r="J737" s="7" t="s">
        <v>831</v>
      </c>
      <c r="K737" s="7" t="s">
        <v>69</v>
      </c>
      <c r="L737" s="8">
        <v>30</v>
      </c>
      <c r="M737" s="7" t="s">
        <v>23</v>
      </c>
      <c r="N737" s="8">
        <v>103</v>
      </c>
      <c r="O737" s="8">
        <v>1</v>
      </c>
      <c r="P737" s="5">
        <v>9159.56</v>
      </c>
      <c r="Q737" s="4">
        <v>45600</v>
      </c>
      <c r="R737" s="9">
        <v>0.33811342592592591</v>
      </c>
      <c r="S737" s="8">
        <v>18</v>
      </c>
      <c r="T737" s="7" t="s">
        <v>4456</v>
      </c>
      <c r="U737" s="7" t="s">
        <v>4455</v>
      </c>
      <c r="V7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38" spans="1:22" x14ac:dyDescent="0.35">
      <c r="A738" s="7" t="s">
        <v>2176</v>
      </c>
      <c r="B738" s="7" t="s">
        <v>880</v>
      </c>
      <c r="C738" s="5">
        <v>321.93</v>
      </c>
      <c r="D738" s="2">
        <v>0.76887731481838273</v>
      </c>
      <c r="E738" s="4">
        <v>45264</v>
      </c>
      <c r="F738" s="7" t="s">
        <v>17</v>
      </c>
      <c r="G738" s="7" t="s">
        <v>80</v>
      </c>
      <c r="H738" s="7" t="s">
        <v>1469</v>
      </c>
      <c r="I738" s="7" t="s">
        <v>1242</v>
      </c>
      <c r="J738" s="7" t="s">
        <v>186</v>
      </c>
      <c r="K738" s="7" t="s">
        <v>22</v>
      </c>
      <c r="L738" s="8">
        <v>45</v>
      </c>
      <c r="M738" s="7" t="s">
        <v>77</v>
      </c>
      <c r="N738" s="8">
        <v>12</v>
      </c>
      <c r="O738" s="8">
        <v>1</v>
      </c>
      <c r="P738" s="5">
        <v>4392.7299999999996</v>
      </c>
      <c r="Q738" s="4">
        <v>45600</v>
      </c>
      <c r="R738" s="9">
        <v>0.33878472222222222</v>
      </c>
      <c r="S738" s="8">
        <v>18</v>
      </c>
      <c r="T738" s="7" t="s">
        <v>4457</v>
      </c>
      <c r="U738" s="7" t="s">
        <v>4455</v>
      </c>
      <c r="V7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39" spans="1:22" x14ac:dyDescent="0.35">
      <c r="A739" s="7" t="s">
        <v>2177</v>
      </c>
      <c r="B739" s="7" t="s">
        <v>471</v>
      </c>
      <c r="C739" s="5">
        <v>1092.73</v>
      </c>
      <c r="D739" s="2">
        <v>0.72533564814511919</v>
      </c>
      <c r="E739" s="4">
        <v>44949</v>
      </c>
      <c r="F739" s="7" t="s">
        <v>17</v>
      </c>
      <c r="G739" s="7" t="s">
        <v>125</v>
      </c>
      <c r="H739" s="7" t="s">
        <v>1987</v>
      </c>
      <c r="I739" s="7" t="s">
        <v>1551</v>
      </c>
      <c r="J739" s="7" t="s">
        <v>331</v>
      </c>
      <c r="K739" s="7" t="s">
        <v>69</v>
      </c>
      <c r="L739" s="8">
        <v>58</v>
      </c>
      <c r="M739" s="7" t="s">
        <v>70</v>
      </c>
      <c r="N739" s="8">
        <v>11</v>
      </c>
      <c r="O739" s="8">
        <v>1</v>
      </c>
      <c r="P739" s="5">
        <v>1390.98</v>
      </c>
      <c r="Q739" s="4">
        <v>45600</v>
      </c>
      <c r="R739" s="9">
        <v>0.33877314814814813</v>
      </c>
      <c r="S739" s="8">
        <v>17</v>
      </c>
      <c r="T739" s="7" t="s">
        <v>4454</v>
      </c>
      <c r="U739" s="7" t="s">
        <v>4455</v>
      </c>
      <c r="V7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40" spans="1:22" x14ac:dyDescent="0.35">
      <c r="A740" s="7" t="s">
        <v>2178</v>
      </c>
      <c r="B740" s="7" t="s">
        <v>2179</v>
      </c>
      <c r="C740" s="5">
        <v>283.23</v>
      </c>
      <c r="D740" s="2">
        <v>0.70052083333575865</v>
      </c>
      <c r="E740" s="4">
        <v>44963</v>
      </c>
      <c r="F740" s="7" t="s">
        <v>17</v>
      </c>
      <c r="G740" s="7" t="s">
        <v>506</v>
      </c>
      <c r="H740" s="7" t="s">
        <v>2103</v>
      </c>
      <c r="I740" s="7" t="s">
        <v>1119</v>
      </c>
      <c r="J740" s="7" t="s">
        <v>885</v>
      </c>
      <c r="K740" s="7" t="s">
        <v>36</v>
      </c>
      <c r="L740" s="8">
        <v>40</v>
      </c>
      <c r="M740" s="7" t="s">
        <v>77</v>
      </c>
      <c r="N740" s="8">
        <v>98</v>
      </c>
      <c r="O740" s="8">
        <v>1</v>
      </c>
      <c r="P740" s="5">
        <v>2008.77</v>
      </c>
      <c r="Q740" s="4">
        <v>45600</v>
      </c>
      <c r="R740" s="9">
        <v>0.33863425925925927</v>
      </c>
      <c r="S740" s="8">
        <v>16</v>
      </c>
      <c r="T740" s="7" t="s">
        <v>4457</v>
      </c>
      <c r="U740" s="7" t="s">
        <v>4455</v>
      </c>
      <c r="V7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41" spans="1:22" x14ac:dyDescent="0.35">
      <c r="A741" s="7" t="s">
        <v>2180</v>
      </c>
      <c r="B741" s="7" t="s">
        <v>145</v>
      </c>
      <c r="C741" s="5">
        <v>346.65</v>
      </c>
      <c r="D741" s="2">
        <v>0.67862268518365454</v>
      </c>
      <c r="E741" s="4">
        <v>45292</v>
      </c>
      <c r="F741" s="7" t="s">
        <v>17</v>
      </c>
      <c r="G741" s="7" t="s">
        <v>453</v>
      </c>
      <c r="H741" s="7" t="s">
        <v>229</v>
      </c>
      <c r="I741" s="7" t="s">
        <v>2181</v>
      </c>
      <c r="J741" s="7" t="s">
        <v>619</v>
      </c>
      <c r="K741" s="7" t="s">
        <v>36</v>
      </c>
      <c r="L741" s="8">
        <v>30</v>
      </c>
      <c r="M741" s="7" t="s">
        <v>77</v>
      </c>
      <c r="N741" s="8">
        <v>60</v>
      </c>
      <c r="O741" s="8">
        <v>1</v>
      </c>
      <c r="P741" s="5">
        <v>6356.96</v>
      </c>
      <c r="Q741" s="4">
        <v>45600</v>
      </c>
      <c r="R741" s="9">
        <v>0.33817129629629628</v>
      </c>
      <c r="S741" s="8">
        <v>16</v>
      </c>
      <c r="T741" s="7" t="s">
        <v>4456</v>
      </c>
      <c r="U741" s="7" t="s">
        <v>4455</v>
      </c>
      <c r="V7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42" spans="1:22" x14ac:dyDescent="0.35">
      <c r="A742" s="7" t="s">
        <v>2182</v>
      </c>
      <c r="B742" s="7" t="s">
        <v>1707</v>
      </c>
      <c r="C742" s="5">
        <v>381.62</v>
      </c>
      <c r="D742" s="2">
        <v>0.69476851851504762</v>
      </c>
      <c r="E742" s="4">
        <v>44953</v>
      </c>
      <c r="F742" s="7" t="s">
        <v>17</v>
      </c>
      <c r="G742" s="7" t="s">
        <v>146</v>
      </c>
      <c r="H742" s="7" t="s">
        <v>1522</v>
      </c>
      <c r="I742" s="7" t="s">
        <v>2183</v>
      </c>
      <c r="J742" s="7" t="s">
        <v>348</v>
      </c>
      <c r="K742" s="7" t="s">
        <v>36</v>
      </c>
      <c r="L742" s="8">
        <v>64</v>
      </c>
      <c r="M742" s="7" t="s">
        <v>70</v>
      </c>
      <c r="N742" s="8">
        <v>164</v>
      </c>
      <c r="O742" s="8">
        <v>1</v>
      </c>
      <c r="P742" s="5">
        <v>6009.12</v>
      </c>
      <c r="Q742" s="4">
        <v>45600</v>
      </c>
      <c r="R742" s="9">
        <v>0.34150462962962963</v>
      </c>
      <c r="S742" s="8">
        <v>16</v>
      </c>
      <c r="T742" s="7" t="s">
        <v>4454</v>
      </c>
      <c r="U742" s="7" t="s">
        <v>4455</v>
      </c>
      <c r="V7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43" spans="1:22" x14ac:dyDescent="0.35">
      <c r="A743" s="7" t="s">
        <v>2184</v>
      </c>
      <c r="B743" s="7" t="s">
        <v>1217</v>
      </c>
      <c r="C743" s="5">
        <v>388.65</v>
      </c>
      <c r="D743" s="2">
        <v>0.66843749999679858</v>
      </c>
      <c r="E743" s="4">
        <v>44978</v>
      </c>
      <c r="F743" s="7" t="s">
        <v>17</v>
      </c>
      <c r="G743" s="7" t="s">
        <v>53</v>
      </c>
      <c r="H743" s="7" t="s">
        <v>280</v>
      </c>
      <c r="I743" s="7" t="s">
        <v>2041</v>
      </c>
      <c r="J743" s="7" t="s">
        <v>149</v>
      </c>
      <c r="K743" s="7" t="s">
        <v>22</v>
      </c>
      <c r="L743" s="8">
        <v>76</v>
      </c>
      <c r="M743" s="7" t="s">
        <v>70</v>
      </c>
      <c r="N743" s="8">
        <v>43</v>
      </c>
      <c r="O743" s="8">
        <v>1</v>
      </c>
      <c r="P743" s="5">
        <v>7896.85</v>
      </c>
      <c r="Q743" s="4">
        <v>45600</v>
      </c>
      <c r="R743" s="9">
        <v>0.33906249999999999</v>
      </c>
      <c r="S743" s="8">
        <v>16</v>
      </c>
      <c r="T743" s="7" t="s">
        <v>4454</v>
      </c>
      <c r="U743" s="7" t="s">
        <v>4455</v>
      </c>
      <c r="V7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44" spans="1:22" x14ac:dyDescent="0.35">
      <c r="A744" s="7" t="s">
        <v>2185</v>
      </c>
      <c r="B744" s="7" t="s">
        <v>290</v>
      </c>
      <c r="C744" s="5">
        <v>29.22</v>
      </c>
      <c r="D744" s="2">
        <v>0.76116898148029577</v>
      </c>
      <c r="E744" s="4">
        <v>45113</v>
      </c>
      <c r="F744" s="7" t="s">
        <v>17</v>
      </c>
      <c r="G744" s="7" t="s">
        <v>237</v>
      </c>
      <c r="H744" s="7" t="s">
        <v>126</v>
      </c>
      <c r="I744" s="7" t="s">
        <v>2186</v>
      </c>
      <c r="J744" s="7" t="s">
        <v>1524</v>
      </c>
      <c r="K744" s="7" t="s">
        <v>22</v>
      </c>
      <c r="L744" s="8">
        <v>24</v>
      </c>
      <c r="M744" s="7" t="s">
        <v>37</v>
      </c>
      <c r="N744" s="8">
        <v>151</v>
      </c>
      <c r="O744" s="8">
        <v>1</v>
      </c>
      <c r="P744" s="5">
        <v>1649.43</v>
      </c>
      <c r="Q744" s="4">
        <v>45600</v>
      </c>
      <c r="R744" s="9">
        <v>0.33961805555555558</v>
      </c>
      <c r="S744" s="8">
        <v>18</v>
      </c>
      <c r="T744" s="7" t="s">
        <v>4456</v>
      </c>
      <c r="U744" s="7" t="s">
        <v>4455</v>
      </c>
      <c r="V7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45" spans="1:22" x14ac:dyDescent="0.35">
      <c r="A745" s="7" t="s">
        <v>2187</v>
      </c>
      <c r="B745" s="7" t="s">
        <v>1736</v>
      </c>
      <c r="C745" s="5">
        <v>46.75</v>
      </c>
      <c r="D745" s="2">
        <v>0.73438657407677965</v>
      </c>
      <c r="E745" s="4">
        <v>45138</v>
      </c>
      <c r="F745" s="7" t="s">
        <v>17</v>
      </c>
      <c r="G745" s="7" t="s">
        <v>521</v>
      </c>
      <c r="H745" s="7" t="s">
        <v>538</v>
      </c>
      <c r="I745" s="7" t="s">
        <v>1484</v>
      </c>
      <c r="J745" s="7" t="s">
        <v>303</v>
      </c>
      <c r="K745" s="7" t="s">
        <v>69</v>
      </c>
      <c r="L745" s="8">
        <v>67</v>
      </c>
      <c r="M745" s="7" t="s">
        <v>70</v>
      </c>
      <c r="N745" s="8">
        <v>150</v>
      </c>
      <c r="O745" s="8">
        <v>1</v>
      </c>
      <c r="P745" s="5">
        <v>2840.43</v>
      </c>
      <c r="Q745" s="4">
        <v>45600</v>
      </c>
      <c r="R745" s="9">
        <v>0.33981481481481479</v>
      </c>
      <c r="S745" s="8">
        <v>17</v>
      </c>
      <c r="T745" s="7" t="s">
        <v>4454</v>
      </c>
      <c r="U745" s="7" t="s">
        <v>4455</v>
      </c>
      <c r="V7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46" spans="1:22" x14ac:dyDescent="0.35">
      <c r="A746" s="7" t="s">
        <v>2188</v>
      </c>
      <c r="B746" s="7" t="s">
        <v>1433</v>
      </c>
      <c r="C746" s="5">
        <v>348.64</v>
      </c>
      <c r="D746" s="2">
        <v>0.71677083333634073</v>
      </c>
      <c r="E746" s="4">
        <v>45086</v>
      </c>
      <c r="F746" s="7" t="s">
        <v>17</v>
      </c>
      <c r="G746" s="7" t="s">
        <v>223</v>
      </c>
      <c r="H746" s="7" t="s">
        <v>982</v>
      </c>
      <c r="I746" s="7" t="s">
        <v>500</v>
      </c>
      <c r="J746" s="7" t="s">
        <v>634</v>
      </c>
      <c r="K746" s="7" t="s">
        <v>36</v>
      </c>
      <c r="L746" s="8">
        <v>57</v>
      </c>
      <c r="M746" s="7" t="s">
        <v>70</v>
      </c>
      <c r="N746" s="8">
        <v>128</v>
      </c>
      <c r="O746" s="8">
        <v>1</v>
      </c>
      <c r="P746" s="5">
        <v>3274.96</v>
      </c>
      <c r="Q746" s="4">
        <v>45600</v>
      </c>
      <c r="R746" s="9">
        <v>0.34122685185185186</v>
      </c>
      <c r="S746" s="8">
        <v>17</v>
      </c>
      <c r="T746" s="7" t="s">
        <v>4454</v>
      </c>
      <c r="U746" s="7" t="s">
        <v>4455</v>
      </c>
      <c r="V7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47" spans="1:22" x14ac:dyDescent="0.35">
      <c r="A747" s="7" t="s">
        <v>2189</v>
      </c>
      <c r="B747" s="7" t="s">
        <v>391</v>
      </c>
      <c r="C747" s="5">
        <v>319.17</v>
      </c>
      <c r="D747" s="2">
        <v>0.70696759259590181</v>
      </c>
      <c r="E747" s="4">
        <v>44937</v>
      </c>
      <c r="F747" s="7" t="s">
        <v>17</v>
      </c>
      <c r="G747" s="7" t="s">
        <v>255</v>
      </c>
      <c r="H747" s="7" t="s">
        <v>1550</v>
      </c>
      <c r="I747" s="7" t="s">
        <v>2190</v>
      </c>
      <c r="J747" s="7" t="s">
        <v>769</v>
      </c>
      <c r="K747" s="7" t="s">
        <v>36</v>
      </c>
      <c r="L747" s="8">
        <v>73</v>
      </c>
      <c r="M747" s="7" t="s">
        <v>70</v>
      </c>
      <c r="N747" s="8">
        <v>81</v>
      </c>
      <c r="O747" s="8">
        <v>1</v>
      </c>
      <c r="P747" s="5">
        <v>6501.56</v>
      </c>
      <c r="Q747" s="4">
        <v>45600</v>
      </c>
      <c r="R747" s="9">
        <v>0.33945601851851853</v>
      </c>
      <c r="S747" s="8">
        <v>16</v>
      </c>
      <c r="T747" s="7" t="s">
        <v>4454</v>
      </c>
      <c r="U747" s="7" t="s">
        <v>4455</v>
      </c>
      <c r="V7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48" spans="1:22" x14ac:dyDescent="0.35">
      <c r="A748" s="7" t="s">
        <v>2191</v>
      </c>
      <c r="B748" s="7" t="s">
        <v>391</v>
      </c>
      <c r="C748" s="5">
        <v>73.95</v>
      </c>
      <c r="D748" s="2">
        <v>0.69427083332993789</v>
      </c>
      <c r="E748" s="4">
        <v>45233</v>
      </c>
      <c r="F748" s="7" t="s">
        <v>17</v>
      </c>
      <c r="G748" s="7" t="s">
        <v>291</v>
      </c>
      <c r="H748" s="7" t="s">
        <v>2192</v>
      </c>
      <c r="I748" s="7" t="s">
        <v>2193</v>
      </c>
      <c r="J748" s="7" t="s">
        <v>445</v>
      </c>
      <c r="K748" s="7" t="s">
        <v>22</v>
      </c>
      <c r="L748" s="8">
        <v>26</v>
      </c>
      <c r="M748" s="7" t="s">
        <v>37</v>
      </c>
      <c r="N748" s="8">
        <v>76</v>
      </c>
      <c r="O748" s="8">
        <v>1</v>
      </c>
      <c r="P748" s="5">
        <v>363.92</v>
      </c>
      <c r="Q748" s="4">
        <v>45600</v>
      </c>
      <c r="R748" s="9">
        <v>0.3384490740740741</v>
      </c>
      <c r="S748" s="8">
        <v>16</v>
      </c>
      <c r="T748" s="7" t="s">
        <v>4456</v>
      </c>
      <c r="U748" s="7" t="s">
        <v>4455</v>
      </c>
      <c r="V7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49" spans="1:22" x14ac:dyDescent="0.35">
      <c r="A749" s="7" t="s">
        <v>2194</v>
      </c>
      <c r="B749" s="7" t="s">
        <v>729</v>
      </c>
      <c r="C749" s="5">
        <v>389.63</v>
      </c>
      <c r="D749" s="2">
        <v>0.68062500000087311</v>
      </c>
      <c r="E749" s="4">
        <v>44973</v>
      </c>
      <c r="F749" s="7" t="s">
        <v>17</v>
      </c>
      <c r="G749" s="7" t="s">
        <v>32</v>
      </c>
      <c r="H749" s="7" t="s">
        <v>476</v>
      </c>
      <c r="I749" s="7" t="s">
        <v>1202</v>
      </c>
      <c r="J749" s="7" t="s">
        <v>740</v>
      </c>
      <c r="K749" s="7" t="s">
        <v>36</v>
      </c>
      <c r="L749" s="8">
        <v>27</v>
      </c>
      <c r="M749" s="7" t="s">
        <v>77</v>
      </c>
      <c r="N749" s="8">
        <v>99</v>
      </c>
      <c r="O749" s="8">
        <v>1</v>
      </c>
      <c r="P749" s="5">
        <v>9748.48</v>
      </c>
      <c r="Q749" s="4">
        <v>45600</v>
      </c>
      <c r="R749" s="9">
        <v>0.33952546296296299</v>
      </c>
      <c r="S749" s="8">
        <v>16</v>
      </c>
      <c r="T749" s="7" t="s">
        <v>4456</v>
      </c>
      <c r="U749" s="7" t="s">
        <v>4455</v>
      </c>
      <c r="V7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50" spans="1:22" x14ac:dyDescent="0.35">
      <c r="A750" s="7" t="s">
        <v>2195</v>
      </c>
      <c r="B750" s="7" t="s">
        <v>1446</v>
      </c>
      <c r="C750" s="5">
        <v>217.61</v>
      </c>
      <c r="D750" s="2">
        <v>0.73369212963007158</v>
      </c>
      <c r="E750" s="4">
        <v>45001</v>
      </c>
      <c r="F750" s="7" t="s">
        <v>17</v>
      </c>
      <c r="G750" s="7" t="s">
        <v>265</v>
      </c>
      <c r="H750" s="7" t="s">
        <v>1945</v>
      </c>
      <c r="I750" s="7" t="s">
        <v>696</v>
      </c>
      <c r="J750" s="7" t="s">
        <v>105</v>
      </c>
      <c r="K750" s="7" t="s">
        <v>22</v>
      </c>
      <c r="L750" s="8">
        <v>19</v>
      </c>
      <c r="M750" s="7" t="s">
        <v>37</v>
      </c>
      <c r="N750" s="8">
        <v>45</v>
      </c>
      <c r="O750" s="8">
        <v>1</v>
      </c>
      <c r="P750" s="5">
        <v>1404.53</v>
      </c>
      <c r="Q750" s="4">
        <v>45600</v>
      </c>
      <c r="R750" s="9">
        <v>0.34037037037037038</v>
      </c>
      <c r="S750" s="8">
        <v>17</v>
      </c>
      <c r="T750" s="7" t="s">
        <v>4456</v>
      </c>
      <c r="U750" s="7" t="s">
        <v>4455</v>
      </c>
      <c r="V7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51" spans="1:22" x14ac:dyDescent="0.35">
      <c r="A751" s="7" t="s">
        <v>2196</v>
      </c>
      <c r="B751" s="7" t="s">
        <v>25</v>
      </c>
      <c r="C751" s="5">
        <v>199.84</v>
      </c>
      <c r="D751" s="2">
        <v>0.66775462962687016</v>
      </c>
      <c r="E751" s="4">
        <v>44942</v>
      </c>
      <c r="F751" s="7" t="s">
        <v>17</v>
      </c>
      <c r="G751" s="7" t="s">
        <v>323</v>
      </c>
      <c r="H751" s="7" t="s">
        <v>685</v>
      </c>
      <c r="I751" s="7" t="s">
        <v>1295</v>
      </c>
      <c r="J751" s="7" t="s">
        <v>984</v>
      </c>
      <c r="K751" s="7" t="s">
        <v>22</v>
      </c>
      <c r="L751" s="8">
        <v>21</v>
      </c>
      <c r="M751" s="7" t="s">
        <v>37</v>
      </c>
      <c r="N751" s="8">
        <v>150</v>
      </c>
      <c r="O751" s="8">
        <v>1</v>
      </c>
      <c r="P751" s="5">
        <v>706.44</v>
      </c>
      <c r="Q751" s="4">
        <v>45600</v>
      </c>
      <c r="R751" s="9">
        <v>0.33974537037037039</v>
      </c>
      <c r="S751" s="8">
        <v>16</v>
      </c>
      <c r="T751" s="7" t="s">
        <v>4456</v>
      </c>
      <c r="U751" s="7" t="s">
        <v>4455</v>
      </c>
      <c r="V7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52" spans="1:22" x14ac:dyDescent="0.35">
      <c r="A752" s="7" t="s">
        <v>2197</v>
      </c>
      <c r="B752" s="7" t="s">
        <v>269</v>
      </c>
      <c r="C752" s="5">
        <v>56.35</v>
      </c>
      <c r="D752" s="2">
        <v>0.67291666667006211</v>
      </c>
      <c r="E752" s="4">
        <v>44966</v>
      </c>
      <c r="F752" s="7" t="s">
        <v>17</v>
      </c>
      <c r="G752" s="7" t="s">
        <v>249</v>
      </c>
      <c r="H752" s="7" t="s">
        <v>566</v>
      </c>
      <c r="I752" s="7" t="s">
        <v>1819</v>
      </c>
      <c r="J752" s="7" t="s">
        <v>450</v>
      </c>
      <c r="K752" s="7" t="s">
        <v>22</v>
      </c>
      <c r="L752" s="8">
        <v>44</v>
      </c>
      <c r="M752" s="7" t="s">
        <v>23</v>
      </c>
      <c r="N752" s="8">
        <v>75</v>
      </c>
      <c r="O752" s="8">
        <v>1</v>
      </c>
      <c r="P752" s="5">
        <v>5095.7299999999996</v>
      </c>
      <c r="Q752" s="4">
        <v>45600</v>
      </c>
      <c r="R752" s="9">
        <v>0.33861111111111108</v>
      </c>
      <c r="S752" s="8">
        <v>16</v>
      </c>
      <c r="T752" s="7" t="s">
        <v>4457</v>
      </c>
      <c r="U752" s="7" t="s">
        <v>4455</v>
      </c>
      <c r="V7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53" spans="1:22" x14ac:dyDescent="0.35">
      <c r="A753" s="7" t="s">
        <v>2198</v>
      </c>
      <c r="B753" s="7" t="s">
        <v>1785</v>
      </c>
      <c r="C753" s="5">
        <v>248.95</v>
      </c>
      <c r="D753" s="2">
        <v>0.68026620370073942</v>
      </c>
      <c r="E753" s="4">
        <v>45093</v>
      </c>
      <c r="F753" s="7" t="s">
        <v>46</v>
      </c>
      <c r="G753" s="7" t="s">
        <v>212</v>
      </c>
      <c r="H753" s="7" t="s">
        <v>2199</v>
      </c>
      <c r="I753" s="7" t="s">
        <v>1249</v>
      </c>
      <c r="J753" s="7" t="s">
        <v>1524</v>
      </c>
      <c r="K753" s="7" t="s">
        <v>69</v>
      </c>
      <c r="L753" s="8">
        <v>65</v>
      </c>
      <c r="M753" s="7" t="s">
        <v>70</v>
      </c>
      <c r="N753" s="8">
        <v>29</v>
      </c>
      <c r="O753" s="8">
        <v>1</v>
      </c>
      <c r="P753" s="5">
        <v>3059.79</v>
      </c>
      <c r="Q753" s="4">
        <v>45600</v>
      </c>
      <c r="R753" s="9">
        <v>0.3399537037037037</v>
      </c>
      <c r="S753" s="8">
        <v>16</v>
      </c>
      <c r="T753" s="7" t="s">
        <v>4454</v>
      </c>
      <c r="U753" s="7" t="s">
        <v>4455</v>
      </c>
      <c r="V7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54" spans="1:22" x14ac:dyDescent="0.35">
      <c r="A754" s="7" t="s">
        <v>2200</v>
      </c>
      <c r="B754" s="7" t="s">
        <v>183</v>
      </c>
      <c r="C754" s="5">
        <v>142.58000000000001</v>
      </c>
      <c r="D754" s="2">
        <v>0.68114583333226619</v>
      </c>
      <c r="E754" s="4">
        <v>45096</v>
      </c>
      <c r="F754" s="7" t="s">
        <v>17</v>
      </c>
      <c r="G754" s="7" t="s">
        <v>237</v>
      </c>
      <c r="H754" s="7" t="s">
        <v>517</v>
      </c>
      <c r="I754" s="7" t="s">
        <v>293</v>
      </c>
      <c r="J754" s="7" t="s">
        <v>122</v>
      </c>
      <c r="K754" s="7" t="s">
        <v>22</v>
      </c>
      <c r="L754" s="8">
        <v>33</v>
      </c>
      <c r="M754" s="7" t="s">
        <v>77</v>
      </c>
      <c r="N754" s="8">
        <v>145</v>
      </c>
      <c r="O754" s="8">
        <v>1</v>
      </c>
      <c r="P754" s="5">
        <v>7844.23</v>
      </c>
      <c r="Q754" s="4">
        <v>45600</v>
      </c>
      <c r="R754" s="9">
        <v>0.33803240740740742</v>
      </c>
      <c r="S754" s="8">
        <v>16</v>
      </c>
      <c r="T754" s="7" t="s">
        <v>4456</v>
      </c>
      <c r="U754" s="7" t="s">
        <v>4455</v>
      </c>
      <c r="V7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55" spans="1:22" x14ac:dyDescent="0.35">
      <c r="A755" s="7" t="s">
        <v>2201</v>
      </c>
      <c r="B755" s="7" t="s">
        <v>1992</v>
      </c>
      <c r="C755" s="5">
        <v>1020.73</v>
      </c>
      <c r="D755" s="2">
        <v>0.69590277777751908</v>
      </c>
      <c r="E755" s="4">
        <v>45131</v>
      </c>
      <c r="F755" s="7" t="s">
        <v>17</v>
      </c>
      <c r="G755" s="7" t="s">
        <v>157</v>
      </c>
      <c r="H755" s="7" t="s">
        <v>924</v>
      </c>
      <c r="I755" s="7" t="s">
        <v>1819</v>
      </c>
      <c r="J755" s="7" t="s">
        <v>343</v>
      </c>
      <c r="K755" s="7" t="s">
        <v>22</v>
      </c>
      <c r="L755" s="8">
        <v>28</v>
      </c>
      <c r="M755" s="7" t="s">
        <v>37</v>
      </c>
      <c r="N755" s="8">
        <v>87</v>
      </c>
      <c r="O755" s="8">
        <v>1</v>
      </c>
      <c r="P755" s="5">
        <v>1119.6099999999999</v>
      </c>
      <c r="Q755" s="4">
        <v>45600</v>
      </c>
      <c r="R755" s="9">
        <v>0.34134259259259259</v>
      </c>
      <c r="S755" s="8">
        <v>16</v>
      </c>
      <c r="T755" s="7" t="s">
        <v>4456</v>
      </c>
      <c r="U755" s="7" t="s">
        <v>4455</v>
      </c>
      <c r="V7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56" spans="1:22" x14ac:dyDescent="0.35">
      <c r="A756" s="7" t="s">
        <v>2202</v>
      </c>
      <c r="B756" s="7" t="s">
        <v>1707</v>
      </c>
      <c r="C756" s="5">
        <v>84.34</v>
      </c>
      <c r="D756" s="2">
        <v>0.68606481481401715</v>
      </c>
      <c r="E756" s="4">
        <v>45085</v>
      </c>
      <c r="F756" s="7" t="s">
        <v>17</v>
      </c>
      <c r="G756" s="7" t="s">
        <v>92</v>
      </c>
      <c r="H756" s="7" t="s">
        <v>2203</v>
      </c>
      <c r="I756" s="7" t="s">
        <v>1414</v>
      </c>
      <c r="J756" s="7" t="s">
        <v>137</v>
      </c>
      <c r="K756" s="7" t="s">
        <v>36</v>
      </c>
      <c r="L756" s="8">
        <v>58</v>
      </c>
      <c r="M756" s="7" t="s">
        <v>70</v>
      </c>
      <c r="N756" s="8">
        <v>248</v>
      </c>
      <c r="O756" s="8">
        <v>3</v>
      </c>
      <c r="P756" s="5">
        <v>5313.97</v>
      </c>
      <c r="Q756" s="4">
        <v>45600</v>
      </c>
      <c r="R756" s="9">
        <v>0.33994212962962961</v>
      </c>
      <c r="S756" s="8">
        <v>16</v>
      </c>
      <c r="T756" s="7" t="s">
        <v>4454</v>
      </c>
      <c r="U756" s="7" t="s">
        <v>4458</v>
      </c>
      <c r="V7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57" spans="1:22" x14ac:dyDescent="0.35">
      <c r="A757" s="7" t="s">
        <v>2204</v>
      </c>
      <c r="B757" s="7" t="s">
        <v>367</v>
      </c>
      <c r="C757" s="5">
        <v>1607.55</v>
      </c>
      <c r="D757" s="2">
        <v>0.68545138889021473</v>
      </c>
      <c r="E757" s="4">
        <v>45176</v>
      </c>
      <c r="F757" s="7" t="s">
        <v>17</v>
      </c>
      <c r="G757" s="7" t="s">
        <v>425</v>
      </c>
      <c r="H757" s="7" t="s">
        <v>404</v>
      </c>
      <c r="I757" s="7" t="s">
        <v>410</v>
      </c>
      <c r="J757" s="7" t="s">
        <v>1000</v>
      </c>
      <c r="K757" s="7" t="s">
        <v>22</v>
      </c>
      <c r="L757" s="8">
        <v>31</v>
      </c>
      <c r="M757" s="7" t="s">
        <v>77</v>
      </c>
      <c r="N757" s="8">
        <v>156</v>
      </c>
      <c r="O757" s="8">
        <v>1</v>
      </c>
      <c r="P757" s="5">
        <v>6227.99</v>
      </c>
      <c r="Q757" s="4">
        <v>45600</v>
      </c>
      <c r="R757" s="9">
        <v>0.33857638888888891</v>
      </c>
      <c r="S757" s="8">
        <v>16</v>
      </c>
      <c r="T757" s="7" t="s">
        <v>4456</v>
      </c>
      <c r="U757" s="7" t="s">
        <v>4455</v>
      </c>
      <c r="V7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58" spans="1:22" x14ac:dyDescent="0.35">
      <c r="A758" s="7" t="s">
        <v>2205</v>
      </c>
      <c r="B758" s="7" t="s">
        <v>537</v>
      </c>
      <c r="C758" s="5">
        <v>333.78</v>
      </c>
      <c r="D758" s="2">
        <v>0.74569444444205146</v>
      </c>
      <c r="E758" s="4">
        <v>45260</v>
      </c>
      <c r="F758" s="7" t="s">
        <v>17</v>
      </c>
      <c r="G758" s="7" t="s">
        <v>18</v>
      </c>
      <c r="H758" s="7" t="s">
        <v>1550</v>
      </c>
      <c r="I758" s="7" t="s">
        <v>2206</v>
      </c>
      <c r="J758" s="7" t="s">
        <v>100</v>
      </c>
      <c r="K758" s="7" t="s">
        <v>22</v>
      </c>
      <c r="L758" s="8">
        <v>60</v>
      </c>
      <c r="M758" s="7" t="s">
        <v>70</v>
      </c>
      <c r="N758" s="8">
        <v>98</v>
      </c>
      <c r="O758" s="8">
        <v>1</v>
      </c>
      <c r="P758" s="5">
        <v>6810.94</v>
      </c>
      <c r="Q758" s="4">
        <v>45600</v>
      </c>
      <c r="R758" s="9">
        <v>0.33877314814814813</v>
      </c>
      <c r="S758" s="8">
        <v>17</v>
      </c>
      <c r="T758" s="7" t="s">
        <v>4454</v>
      </c>
      <c r="U758" s="7" t="s">
        <v>4455</v>
      </c>
      <c r="V7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59" spans="1:22" x14ac:dyDescent="0.35">
      <c r="A759" s="7" t="s">
        <v>2207</v>
      </c>
      <c r="B759" s="7" t="s">
        <v>2208</v>
      </c>
      <c r="C759" s="5">
        <v>332.59</v>
      </c>
      <c r="D759" s="2">
        <v>0.74320601851650281</v>
      </c>
      <c r="E759" s="4">
        <v>45120</v>
      </c>
      <c r="F759" s="7" t="s">
        <v>17</v>
      </c>
      <c r="G759" s="7" t="s">
        <v>237</v>
      </c>
      <c r="H759" s="7" t="s">
        <v>2209</v>
      </c>
      <c r="I759" s="7" t="s">
        <v>1571</v>
      </c>
      <c r="J759" s="7" t="s">
        <v>406</v>
      </c>
      <c r="K759" s="7" t="s">
        <v>36</v>
      </c>
      <c r="L759" s="8">
        <v>55</v>
      </c>
      <c r="M759" s="7" t="s">
        <v>70</v>
      </c>
      <c r="N759" s="8">
        <v>143</v>
      </c>
      <c r="O759" s="8">
        <v>1</v>
      </c>
      <c r="P759" s="5">
        <v>1457.07</v>
      </c>
      <c r="Q759" s="4">
        <v>45600</v>
      </c>
      <c r="R759" s="9">
        <v>0.33964120370370371</v>
      </c>
      <c r="S759" s="8">
        <v>17</v>
      </c>
      <c r="T759" s="7" t="s">
        <v>4454</v>
      </c>
      <c r="U759" s="7" t="s">
        <v>4455</v>
      </c>
      <c r="V7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60" spans="1:22" x14ac:dyDescent="0.35">
      <c r="A760" s="7" t="s">
        <v>2210</v>
      </c>
      <c r="B760" s="7" t="s">
        <v>789</v>
      </c>
      <c r="C760" s="5">
        <v>236.81</v>
      </c>
      <c r="D760" s="2">
        <v>0.70827546296641231</v>
      </c>
      <c r="E760" s="4">
        <v>45225</v>
      </c>
      <c r="F760" s="7" t="s">
        <v>17</v>
      </c>
      <c r="G760" s="7" t="s">
        <v>53</v>
      </c>
      <c r="H760" s="7" t="s">
        <v>1419</v>
      </c>
      <c r="I760" s="7" t="s">
        <v>2211</v>
      </c>
      <c r="J760" s="7" t="s">
        <v>759</v>
      </c>
      <c r="K760" s="7" t="s">
        <v>69</v>
      </c>
      <c r="L760" s="8">
        <v>22</v>
      </c>
      <c r="M760" s="7" t="s">
        <v>37</v>
      </c>
      <c r="N760" s="8">
        <v>15</v>
      </c>
      <c r="O760" s="8">
        <v>1</v>
      </c>
      <c r="P760" s="5">
        <v>813.68</v>
      </c>
      <c r="Q760" s="4">
        <v>45600</v>
      </c>
      <c r="R760" s="9">
        <v>0.33840277777777777</v>
      </c>
      <c r="S760" s="8">
        <v>16</v>
      </c>
      <c r="T760" s="7" t="s">
        <v>4456</v>
      </c>
      <c r="U760" s="7" t="s">
        <v>4455</v>
      </c>
      <c r="V7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61" spans="1:22" x14ac:dyDescent="0.35">
      <c r="A761" s="7" t="s">
        <v>2212</v>
      </c>
      <c r="B761" s="7" t="s">
        <v>843</v>
      </c>
      <c r="C761" s="5">
        <v>417.8</v>
      </c>
      <c r="D761" s="2">
        <v>0.68141203703999054</v>
      </c>
      <c r="E761" s="4">
        <v>45103</v>
      </c>
      <c r="F761" s="7" t="s">
        <v>46</v>
      </c>
      <c r="G761" s="7" t="s">
        <v>243</v>
      </c>
      <c r="H761" s="7" t="s">
        <v>1600</v>
      </c>
      <c r="I761" s="7" t="s">
        <v>2206</v>
      </c>
      <c r="J761" s="7" t="s">
        <v>386</v>
      </c>
      <c r="K761" s="7" t="s">
        <v>69</v>
      </c>
      <c r="L761" s="8">
        <v>27</v>
      </c>
      <c r="M761" s="7" t="s">
        <v>37</v>
      </c>
      <c r="N761" s="8">
        <v>130</v>
      </c>
      <c r="O761" s="8">
        <v>1</v>
      </c>
      <c r="P761" s="5">
        <v>1518.82</v>
      </c>
      <c r="Q761" s="4">
        <v>45600</v>
      </c>
      <c r="R761" s="9">
        <v>0.33978009259259262</v>
      </c>
      <c r="S761" s="8">
        <v>16</v>
      </c>
      <c r="T761" s="7" t="s">
        <v>4456</v>
      </c>
      <c r="U761" s="7" t="s">
        <v>4455</v>
      </c>
      <c r="V7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62" spans="1:22" x14ac:dyDescent="0.35">
      <c r="A762" s="7" t="s">
        <v>2213</v>
      </c>
      <c r="B762" s="7" t="s">
        <v>1023</v>
      </c>
      <c r="C762" s="5">
        <v>319.27</v>
      </c>
      <c r="D762" s="2">
        <v>0.70483796296321088</v>
      </c>
      <c r="E762" s="4">
        <v>45145</v>
      </c>
      <c r="F762" s="7" t="s">
        <v>17</v>
      </c>
      <c r="G762" s="7" t="s">
        <v>237</v>
      </c>
      <c r="H762" s="7" t="s">
        <v>1945</v>
      </c>
      <c r="I762" s="7" t="s">
        <v>999</v>
      </c>
      <c r="J762" s="7" t="s">
        <v>29</v>
      </c>
      <c r="K762" s="7" t="s">
        <v>22</v>
      </c>
      <c r="L762" s="8">
        <v>50</v>
      </c>
      <c r="M762" s="7" t="s">
        <v>23</v>
      </c>
      <c r="N762" s="8">
        <v>150</v>
      </c>
      <c r="O762" s="8">
        <v>1</v>
      </c>
      <c r="P762" s="5">
        <v>10269.780000000001</v>
      </c>
      <c r="Q762" s="4">
        <v>45600</v>
      </c>
      <c r="R762" s="9">
        <v>0.34187499999999998</v>
      </c>
      <c r="S762" s="8">
        <v>16</v>
      </c>
      <c r="T762" s="7" t="s">
        <v>4457</v>
      </c>
      <c r="U762" s="7" t="s">
        <v>4455</v>
      </c>
      <c r="V7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63" spans="1:22" x14ac:dyDescent="0.35">
      <c r="A763" s="7" t="s">
        <v>2214</v>
      </c>
      <c r="B763" s="7" t="s">
        <v>2125</v>
      </c>
      <c r="C763" s="5">
        <v>384.1</v>
      </c>
      <c r="D763" s="2">
        <v>0.77289351851504762</v>
      </c>
      <c r="E763" s="4">
        <v>45070</v>
      </c>
      <c r="F763" s="7" t="s">
        <v>17</v>
      </c>
      <c r="G763" s="7" t="s">
        <v>73</v>
      </c>
      <c r="H763" s="7" t="s">
        <v>2215</v>
      </c>
      <c r="I763" s="7" t="s">
        <v>1467</v>
      </c>
      <c r="J763" s="7" t="s">
        <v>432</v>
      </c>
      <c r="K763" s="7" t="s">
        <v>69</v>
      </c>
      <c r="L763" s="8">
        <v>42</v>
      </c>
      <c r="M763" s="7" t="s">
        <v>77</v>
      </c>
      <c r="N763" s="8">
        <v>172</v>
      </c>
      <c r="O763" s="8">
        <v>1</v>
      </c>
      <c r="P763" s="5">
        <v>672.79</v>
      </c>
      <c r="Q763" s="4">
        <v>45600</v>
      </c>
      <c r="R763" s="9">
        <v>0.34145833333333331</v>
      </c>
      <c r="S763" s="8">
        <v>18</v>
      </c>
      <c r="T763" s="7" t="s">
        <v>4457</v>
      </c>
      <c r="U763" s="7" t="s">
        <v>4455</v>
      </c>
      <c r="V7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64" spans="1:22" x14ac:dyDescent="0.35">
      <c r="A764" s="7" t="s">
        <v>2216</v>
      </c>
      <c r="B764" s="7" t="s">
        <v>1333</v>
      </c>
      <c r="C764" s="5">
        <v>820.62</v>
      </c>
      <c r="D764" s="2">
        <v>0.72151620370277669</v>
      </c>
      <c r="E764" s="4">
        <v>44988</v>
      </c>
      <c r="F764" s="7" t="s">
        <v>46</v>
      </c>
      <c r="G764" s="7" t="s">
        <v>558</v>
      </c>
      <c r="H764" s="7" t="s">
        <v>485</v>
      </c>
      <c r="I764" s="7" t="s">
        <v>1291</v>
      </c>
      <c r="J764" s="7" t="s">
        <v>820</v>
      </c>
      <c r="K764" s="7" t="s">
        <v>69</v>
      </c>
      <c r="L764" s="8">
        <v>61</v>
      </c>
      <c r="M764" s="7" t="s">
        <v>23</v>
      </c>
      <c r="N764" s="8">
        <v>158</v>
      </c>
      <c r="O764" s="8">
        <v>1</v>
      </c>
      <c r="P764" s="5">
        <v>6024.8</v>
      </c>
      <c r="Q764" s="4">
        <v>45600</v>
      </c>
      <c r="R764" s="9">
        <v>0.3385185185185185</v>
      </c>
      <c r="S764" s="8">
        <v>17</v>
      </c>
      <c r="T764" s="7" t="s">
        <v>4454</v>
      </c>
      <c r="U764" s="7" t="s">
        <v>4455</v>
      </c>
      <c r="V7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65" spans="1:22" x14ac:dyDescent="0.35">
      <c r="A765" s="7" t="s">
        <v>2217</v>
      </c>
      <c r="B765" s="7" t="s">
        <v>1542</v>
      </c>
      <c r="C765" s="5">
        <v>474.77</v>
      </c>
      <c r="D765" s="2">
        <v>0.68634259259124519</v>
      </c>
      <c r="E765" s="4">
        <v>45285</v>
      </c>
      <c r="F765" s="7" t="s">
        <v>46</v>
      </c>
      <c r="G765" s="7" t="s">
        <v>65</v>
      </c>
      <c r="H765" s="7" t="s">
        <v>173</v>
      </c>
      <c r="I765" s="7" t="s">
        <v>1277</v>
      </c>
      <c r="J765" s="7" t="s">
        <v>89</v>
      </c>
      <c r="K765" s="7" t="s">
        <v>36</v>
      </c>
      <c r="L765" s="8">
        <v>56</v>
      </c>
      <c r="M765" s="7" t="s">
        <v>77</v>
      </c>
      <c r="N765" s="8">
        <v>50</v>
      </c>
      <c r="O765" s="8">
        <v>1</v>
      </c>
      <c r="P765" s="5">
        <v>2158.59</v>
      </c>
      <c r="Q765" s="4">
        <v>45600</v>
      </c>
      <c r="R765" s="9">
        <v>0.33930555555555558</v>
      </c>
      <c r="S765" s="8">
        <v>16</v>
      </c>
      <c r="T765" s="7" t="s">
        <v>4454</v>
      </c>
      <c r="U765" s="7" t="s">
        <v>4455</v>
      </c>
      <c r="V7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66" spans="1:22" x14ac:dyDescent="0.35">
      <c r="A766" s="7" t="s">
        <v>2218</v>
      </c>
      <c r="B766" s="7" t="s">
        <v>1391</v>
      </c>
      <c r="C766" s="5">
        <v>542.72</v>
      </c>
      <c r="D766" s="2">
        <v>0.77635416666453239</v>
      </c>
      <c r="E766" s="4">
        <v>45173</v>
      </c>
      <c r="F766" s="7" t="s">
        <v>46</v>
      </c>
      <c r="G766" s="7" t="s">
        <v>65</v>
      </c>
      <c r="H766" s="7" t="s">
        <v>1453</v>
      </c>
      <c r="I766" s="7" t="s">
        <v>1629</v>
      </c>
      <c r="J766" s="7" t="s">
        <v>740</v>
      </c>
      <c r="K766" s="7" t="s">
        <v>69</v>
      </c>
      <c r="L766" s="8">
        <v>43</v>
      </c>
      <c r="M766" s="7" t="s">
        <v>23</v>
      </c>
      <c r="N766" s="8">
        <v>92</v>
      </c>
      <c r="O766" s="8">
        <v>1</v>
      </c>
      <c r="P766" s="5">
        <v>6011.8</v>
      </c>
      <c r="Q766" s="4">
        <v>45600</v>
      </c>
      <c r="R766" s="9">
        <v>0.3395023148148148</v>
      </c>
      <c r="S766" s="8">
        <v>18</v>
      </c>
      <c r="T766" s="7" t="s">
        <v>4457</v>
      </c>
      <c r="U766" s="7" t="s">
        <v>4455</v>
      </c>
      <c r="V7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67" spans="1:22" x14ac:dyDescent="0.35">
      <c r="A767" s="7" t="s">
        <v>2219</v>
      </c>
      <c r="B767" s="7" t="s">
        <v>2220</v>
      </c>
      <c r="C767" s="5">
        <v>79.8</v>
      </c>
      <c r="D767" s="2">
        <v>0.72053240740933688</v>
      </c>
      <c r="E767" s="4">
        <v>45282</v>
      </c>
      <c r="F767" s="7" t="s">
        <v>17</v>
      </c>
      <c r="G767" s="7" t="s">
        <v>157</v>
      </c>
      <c r="H767" s="7" t="s">
        <v>551</v>
      </c>
      <c r="I767" s="7" t="s">
        <v>1235</v>
      </c>
      <c r="J767" s="7" t="s">
        <v>272</v>
      </c>
      <c r="K767" s="7" t="s">
        <v>22</v>
      </c>
      <c r="L767" s="8">
        <v>73</v>
      </c>
      <c r="M767" s="7" t="s">
        <v>70</v>
      </c>
      <c r="N767" s="8">
        <v>76</v>
      </c>
      <c r="O767" s="8">
        <v>1</v>
      </c>
      <c r="P767" s="5">
        <v>6372.58</v>
      </c>
      <c r="Q767" s="4">
        <v>45600</v>
      </c>
      <c r="R767" s="9">
        <v>0.33805555555555555</v>
      </c>
      <c r="S767" s="8">
        <v>17</v>
      </c>
      <c r="T767" s="7" t="s">
        <v>4454</v>
      </c>
      <c r="U767" s="7" t="s">
        <v>4455</v>
      </c>
      <c r="V7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68" spans="1:22" x14ac:dyDescent="0.35">
      <c r="A768" s="7" t="s">
        <v>2221</v>
      </c>
      <c r="B768" s="7" t="s">
        <v>1440</v>
      </c>
      <c r="C768" s="5">
        <v>46.24</v>
      </c>
      <c r="D768" s="2">
        <v>0.6706712962986785</v>
      </c>
      <c r="E768" s="4">
        <v>44998</v>
      </c>
      <c r="F768" s="7" t="s">
        <v>17</v>
      </c>
      <c r="G768" s="7" t="s">
        <v>18</v>
      </c>
      <c r="H768" s="7" t="s">
        <v>2222</v>
      </c>
      <c r="I768" s="7" t="s">
        <v>2223</v>
      </c>
      <c r="J768" s="7" t="s">
        <v>169</v>
      </c>
      <c r="K768" s="7" t="s">
        <v>69</v>
      </c>
      <c r="L768" s="8">
        <v>57</v>
      </c>
      <c r="M768" s="7" t="s">
        <v>77</v>
      </c>
      <c r="N768" s="8">
        <v>52</v>
      </c>
      <c r="O768" s="8">
        <v>1</v>
      </c>
      <c r="P768" s="5">
        <v>2569.56</v>
      </c>
      <c r="Q768" s="4">
        <v>45600</v>
      </c>
      <c r="R768" s="9">
        <v>0.33847222222222223</v>
      </c>
      <c r="S768" s="8">
        <v>16</v>
      </c>
      <c r="T768" s="7" t="s">
        <v>4454</v>
      </c>
      <c r="U768" s="7" t="s">
        <v>4455</v>
      </c>
      <c r="V7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69" spans="1:22" x14ac:dyDescent="0.35">
      <c r="A769" s="7" t="s">
        <v>2224</v>
      </c>
      <c r="B769" s="7" t="s">
        <v>2225</v>
      </c>
      <c r="C769" s="5">
        <v>327.8</v>
      </c>
      <c r="D769" s="2">
        <v>0.73922453703562496</v>
      </c>
      <c r="E769" s="4">
        <v>45253</v>
      </c>
      <c r="F769" s="7" t="s">
        <v>17</v>
      </c>
      <c r="G769" s="7" t="s">
        <v>212</v>
      </c>
      <c r="H769" s="7" t="s">
        <v>914</v>
      </c>
      <c r="I769" s="7" t="s">
        <v>1540</v>
      </c>
      <c r="J769" s="7" t="s">
        <v>56</v>
      </c>
      <c r="K769" s="7" t="s">
        <v>22</v>
      </c>
      <c r="L769" s="8">
        <v>61</v>
      </c>
      <c r="M769" s="7" t="s">
        <v>23</v>
      </c>
      <c r="N769" s="8">
        <v>54</v>
      </c>
      <c r="O769" s="8">
        <v>1</v>
      </c>
      <c r="P769" s="5">
        <v>10585.48</v>
      </c>
      <c r="Q769" s="4">
        <v>45600</v>
      </c>
      <c r="R769" s="9">
        <v>0.33979166666666666</v>
      </c>
      <c r="S769" s="8">
        <v>17</v>
      </c>
      <c r="T769" s="7" t="s">
        <v>4454</v>
      </c>
      <c r="U769" s="7" t="s">
        <v>4455</v>
      </c>
      <c r="V7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70" spans="1:22" x14ac:dyDescent="0.35">
      <c r="A770" s="7" t="s">
        <v>2226</v>
      </c>
      <c r="B770" s="7" t="s">
        <v>1186</v>
      </c>
      <c r="C770" s="5">
        <v>445.79</v>
      </c>
      <c r="D770" s="2">
        <v>0.72197916666482342</v>
      </c>
      <c r="E770" s="4">
        <v>45114</v>
      </c>
      <c r="F770" s="7" t="s">
        <v>17</v>
      </c>
      <c r="G770" s="7" t="s">
        <v>146</v>
      </c>
      <c r="H770" s="7" t="s">
        <v>48</v>
      </c>
      <c r="I770" s="7" t="s">
        <v>1100</v>
      </c>
      <c r="J770" s="7" t="s">
        <v>29</v>
      </c>
      <c r="K770" s="7" t="s">
        <v>22</v>
      </c>
      <c r="L770" s="8">
        <v>52</v>
      </c>
      <c r="M770" s="7" t="s">
        <v>23</v>
      </c>
      <c r="N770" s="8">
        <v>161</v>
      </c>
      <c r="O770" s="8">
        <v>1</v>
      </c>
      <c r="P770" s="5">
        <v>717.99</v>
      </c>
      <c r="Q770" s="4">
        <v>45600</v>
      </c>
      <c r="R770" s="9">
        <v>0.34172453703703703</v>
      </c>
      <c r="S770" s="8">
        <v>17</v>
      </c>
      <c r="T770" s="7" t="s">
        <v>4457</v>
      </c>
      <c r="U770" s="7" t="s">
        <v>4455</v>
      </c>
      <c r="V7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71" spans="1:22" x14ac:dyDescent="0.35">
      <c r="A771" s="7" t="s">
        <v>2227</v>
      </c>
      <c r="B771" s="7" t="s">
        <v>520</v>
      </c>
      <c r="C771" s="5">
        <v>55.89</v>
      </c>
      <c r="D771" s="2">
        <v>0.70451388888614019</v>
      </c>
      <c r="E771" s="4">
        <v>45155</v>
      </c>
      <c r="F771" s="7" t="s">
        <v>17</v>
      </c>
      <c r="G771" s="7" t="s">
        <v>558</v>
      </c>
      <c r="H771" s="7" t="s">
        <v>356</v>
      </c>
      <c r="I771" s="7" t="s">
        <v>490</v>
      </c>
      <c r="J771" s="7" t="s">
        <v>607</v>
      </c>
      <c r="K771" s="7" t="s">
        <v>36</v>
      </c>
      <c r="L771" s="8">
        <v>72</v>
      </c>
      <c r="M771" s="7" t="s">
        <v>70</v>
      </c>
      <c r="N771" s="8">
        <v>150</v>
      </c>
      <c r="O771" s="8">
        <v>1</v>
      </c>
      <c r="P771" s="5">
        <v>3689.65</v>
      </c>
      <c r="Q771" s="4">
        <v>45600</v>
      </c>
      <c r="R771" s="9">
        <v>0.34135416666666668</v>
      </c>
      <c r="S771" s="8">
        <v>16</v>
      </c>
      <c r="T771" s="7" t="s">
        <v>4454</v>
      </c>
      <c r="U771" s="7" t="s">
        <v>4455</v>
      </c>
      <c r="V7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72" spans="1:22" x14ac:dyDescent="0.35">
      <c r="A772" s="7" t="s">
        <v>2228</v>
      </c>
      <c r="B772" s="7" t="s">
        <v>2229</v>
      </c>
      <c r="C772" s="5">
        <v>158.41</v>
      </c>
      <c r="D772" s="2">
        <v>0.68678240740700858</v>
      </c>
      <c r="E772" s="4">
        <v>44966</v>
      </c>
      <c r="F772" s="7" t="s">
        <v>17</v>
      </c>
      <c r="G772" s="7" t="s">
        <v>285</v>
      </c>
      <c r="H772" s="7" t="s">
        <v>2230</v>
      </c>
      <c r="I772" s="7" t="s">
        <v>1595</v>
      </c>
      <c r="J772" s="7" t="s">
        <v>759</v>
      </c>
      <c r="K772" s="7" t="s">
        <v>69</v>
      </c>
      <c r="L772" s="8">
        <v>28</v>
      </c>
      <c r="M772" s="7" t="s">
        <v>37</v>
      </c>
      <c r="N772" s="8">
        <v>16</v>
      </c>
      <c r="O772" s="8">
        <v>1</v>
      </c>
      <c r="P772" s="5">
        <v>1512.16</v>
      </c>
      <c r="Q772" s="4">
        <v>45600</v>
      </c>
      <c r="R772" s="9">
        <v>0.34031250000000002</v>
      </c>
      <c r="S772" s="8">
        <v>16</v>
      </c>
      <c r="T772" s="7" t="s">
        <v>4456</v>
      </c>
      <c r="U772" s="7" t="s">
        <v>4455</v>
      </c>
      <c r="V7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73" spans="1:22" x14ac:dyDescent="0.35">
      <c r="A773" s="7" t="s">
        <v>2231</v>
      </c>
      <c r="B773" s="7" t="s">
        <v>1311</v>
      </c>
      <c r="C773" s="5">
        <v>101.19</v>
      </c>
      <c r="D773" s="2">
        <v>0.77686342592642177</v>
      </c>
      <c r="E773" s="4">
        <v>45259</v>
      </c>
      <c r="F773" s="7" t="s">
        <v>46</v>
      </c>
      <c r="G773" s="7" t="s">
        <v>114</v>
      </c>
      <c r="H773" s="7" t="s">
        <v>2232</v>
      </c>
      <c r="I773" s="7" t="s">
        <v>2223</v>
      </c>
      <c r="J773" s="7" t="s">
        <v>450</v>
      </c>
      <c r="K773" s="7" t="s">
        <v>36</v>
      </c>
      <c r="L773" s="8">
        <v>64</v>
      </c>
      <c r="M773" s="7" t="s">
        <v>23</v>
      </c>
      <c r="N773" s="8">
        <v>75</v>
      </c>
      <c r="O773" s="8">
        <v>1</v>
      </c>
      <c r="P773" s="5">
        <v>14389.45</v>
      </c>
      <c r="Q773" s="4">
        <v>45600</v>
      </c>
      <c r="R773" s="9">
        <v>0.34009259259259261</v>
      </c>
      <c r="S773" s="8">
        <v>18</v>
      </c>
      <c r="T773" s="7" t="s">
        <v>4454</v>
      </c>
      <c r="U773" s="7" t="s">
        <v>4455</v>
      </c>
      <c r="V7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74" spans="1:22" x14ac:dyDescent="0.35">
      <c r="A774" s="7" t="s">
        <v>2233</v>
      </c>
      <c r="B774" s="7" t="s">
        <v>1137</v>
      </c>
      <c r="C774" s="5">
        <v>827.14</v>
      </c>
      <c r="D774" s="2">
        <v>0.72584490740700858</v>
      </c>
      <c r="E774" s="4">
        <v>44943</v>
      </c>
      <c r="F774" s="7" t="s">
        <v>17</v>
      </c>
      <c r="G774" s="7" t="s">
        <v>506</v>
      </c>
      <c r="H774" s="7" t="s">
        <v>476</v>
      </c>
      <c r="I774" s="7" t="s">
        <v>34</v>
      </c>
      <c r="J774" s="7" t="s">
        <v>762</v>
      </c>
      <c r="K774" s="7" t="s">
        <v>69</v>
      </c>
      <c r="L774" s="8">
        <v>36</v>
      </c>
      <c r="M774" s="7" t="s">
        <v>77</v>
      </c>
      <c r="N774" s="8">
        <v>265</v>
      </c>
      <c r="O774" s="8">
        <v>4</v>
      </c>
      <c r="P774" s="5">
        <v>9800.2099999999991</v>
      </c>
      <c r="Q774" s="4">
        <v>45600</v>
      </c>
      <c r="R774" s="9">
        <v>0.33905092592592595</v>
      </c>
      <c r="S774" s="8">
        <v>17</v>
      </c>
      <c r="T774" s="7" t="s">
        <v>4457</v>
      </c>
      <c r="U774" s="7" t="s">
        <v>4458</v>
      </c>
      <c r="V7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75" spans="1:22" x14ac:dyDescent="0.35">
      <c r="A775" s="7" t="s">
        <v>2234</v>
      </c>
      <c r="B775" s="7" t="s">
        <v>1272</v>
      </c>
      <c r="C775" s="5">
        <v>61.97</v>
      </c>
      <c r="D775" s="2">
        <v>0.78151620370044839</v>
      </c>
      <c r="E775" s="4">
        <v>45068</v>
      </c>
      <c r="F775" s="7" t="s">
        <v>17</v>
      </c>
      <c r="G775" s="7" t="s">
        <v>425</v>
      </c>
      <c r="H775" s="7" t="s">
        <v>2235</v>
      </c>
      <c r="I775" s="7" t="s">
        <v>2236</v>
      </c>
      <c r="J775" s="7" t="s">
        <v>682</v>
      </c>
      <c r="K775" s="7" t="s">
        <v>22</v>
      </c>
      <c r="L775" s="8">
        <v>74</v>
      </c>
      <c r="M775" s="7" t="s">
        <v>70</v>
      </c>
      <c r="N775" s="8">
        <v>95</v>
      </c>
      <c r="O775" s="8">
        <v>1</v>
      </c>
      <c r="P775" s="5">
        <v>7014.69</v>
      </c>
      <c r="Q775" s="4">
        <v>45600</v>
      </c>
      <c r="R775" s="9">
        <v>0.34082175925925928</v>
      </c>
      <c r="S775" s="8">
        <v>18</v>
      </c>
      <c r="T775" s="7" t="s">
        <v>4454</v>
      </c>
      <c r="U775" s="7" t="s">
        <v>4455</v>
      </c>
      <c r="V7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76" spans="1:22" x14ac:dyDescent="0.35">
      <c r="A776" s="7" t="s">
        <v>2237</v>
      </c>
      <c r="B776" s="7" t="s">
        <v>2238</v>
      </c>
      <c r="C776" s="5">
        <v>27.21</v>
      </c>
      <c r="D776" s="2">
        <v>0.69090277778013842</v>
      </c>
      <c r="E776" s="4">
        <v>45091</v>
      </c>
      <c r="F776" s="7" t="s">
        <v>17</v>
      </c>
      <c r="G776" s="7" t="s">
        <v>223</v>
      </c>
      <c r="H776" s="7" t="s">
        <v>893</v>
      </c>
      <c r="I776" s="7" t="s">
        <v>921</v>
      </c>
      <c r="J776" s="7" t="s">
        <v>1345</v>
      </c>
      <c r="K776" s="7" t="s">
        <v>22</v>
      </c>
      <c r="L776" s="8">
        <v>79</v>
      </c>
      <c r="M776" s="7" t="s">
        <v>70</v>
      </c>
      <c r="N776" s="8">
        <v>102</v>
      </c>
      <c r="O776" s="8">
        <v>1</v>
      </c>
      <c r="P776" s="5">
        <v>3520.61</v>
      </c>
      <c r="Q776" s="4">
        <v>45600</v>
      </c>
      <c r="R776" s="9">
        <v>0.33806712962962965</v>
      </c>
      <c r="S776" s="8">
        <v>16</v>
      </c>
      <c r="T776" s="7" t="s">
        <v>4454</v>
      </c>
      <c r="U776" s="7" t="s">
        <v>4455</v>
      </c>
      <c r="V7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77" spans="1:22" x14ac:dyDescent="0.35">
      <c r="A777" s="7" t="s">
        <v>2239</v>
      </c>
      <c r="B777" s="7" t="s">
        <v>578</v>
      </c>
      <c r="C777" s="5">
        <v>173.74</v>
      </c>
      <c r="D777" s="2">
        <v>0.74192129629955161</v>
      </c>
      <c r="E777" s="4">
        <v>45177</v>
      </c>
      <c r="F777" s="7" t="s">
        <v>17</v>
      </c>
      <c r="G777" s="7" t="s">
        <v>26</v>
      </c>
      <c r="H777" s="7" t="s">
        <v>2037</v>
      </c>
      <c r="I777" s="7" t="s">
        <v>643</v>
      </c>
      <c r="J777" s="7" t="s">
        <v>226</v>
      </c>
      <c r="K777" s="7" t="s">
        <v>36</v>
      </c>
      <c r="L777" s="8">
        <v>80</v>
      </c>
      <c r="M777" s="7" t="s">
        <v>70</v>
      </c>
      <c r="N777" s="8">
        <v>64</v>
      </c>
      <c r="O777" s="8">
        <v>1</v>
      </c>
      <c r="P777" s="5">
        <v>4913.42</v>
      </c>
      <c r="Q777" s="4">
        <v>45600</v>
      </c>
      <c r="R777" s="9">
        <v>0.34157407407407409</v>
      </c>
      <c r="S777" s="8">
        <v>17</v>
      </c>
      <c r="T777" s="7" t="s">
        <v>4454</v>
      </c>
      <c r="U777" s="7" t="s">
        <v>4455</v>
      </c>
      <c r="V7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78" spans="1:22" x14ac:dyDescent="0.35">
      <c r="A778" s="7" t="s">
        <v>2240</v>
      </c>
      <c r="B778" s="7" t="s">
        <v>1955</v>
      </c>
      <c r="C778" s="5">
        <v>176.11</v>
      </c>
      <c r="D778" s="2">
        <v>0.70063657407445135</v>
      </c>
      <c r="E778" s="4">
        <v>45148</v>
      </c>
      <c r="F778" s="7" t="s">
        <v>17</v>
      </c>
      <c r="G778" s="7" t="s">
        <v>223</v>
      </c>
      <c r="H778" s="7" t="s">
        <v>2241</v>
      </c>
      <c r="I778" s="7" t="s">
        <v>1208</v>
      </c>
      <c r="J778" s="7" t="s">
        <v>50</v>
      </c>
      <c r="K778" s="7" t="s">
        <v>69</v>
      </c>
      <c r="L778" s="8">
        <v>38</v>
      </c>
      <c r="M778" s="7" t="s">
        <v>77</v>
      </c>
      <c r="N778" s="8">
        <v>105</v>
      </c>
      <c r="O778" s="8">
        <v>1</v>
      </c>
      <c r="P778" s="5">
        <v>9155.35</v>
      </c>
      <c r="Q778" s="4">
        <v>45600</v>
      </c>
      <c r="R778" s="9">
        <v>0.34062500000000001</v>
      </c>
      <c r="S778" s="8">
        <v>16</v>
      </c>
      <c r="T778" s="7" t="s">
        <v>4457</v>
      </c>
      <c r="U778" s="7" t="s">
        <v>4455</v>
      </c>
      <c r="V7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79" spans="1:22" x14ac:dyDescent="0.35">
      <c r="A779" s="7" t="s">
        <v>2242</v>
      </c>
      <c r="B779" s="7" t="s">
        <v>585</v>
      </c>
      <c r="C779" s="5">
        <v>88.4</v>
      </c>
      <c r="D779" s="2">
        <v>0.75146990740904585</v>
      </c>
      <c r="E779" s="4">
        <v>45240</v>
      </c>
      <c r="F779" s="7" t="s">
        <v>17</v>
      </c>
      <c r="G779" s="7" t="s">
        <v>157</v>
      </c>
      <c r="H779" s="7" t="s">
        <v>605</v>
      </c>
      <c r="I779" s="7" t="s">
        <v>1459</v>
      </c>
      <c r="J779" s="7" t="s">
        <v>149</v>
      </c>
      <c r="K779" s="7" t="s">
        <v>36</v>
      </c>
      <c r="L779" s="8">
        <v>46</v>
      </c>
      <c r="M779" s="7" t="s">
        <v>77</v>
      </c>
      <c r="N779" s="8">
        <v>174</v>
      </c>
      <c r="O779" s="8">
        <v>1</v>
      </c>
      <c r="P779" s="5">
        <v>2567.5300000000002</v>
      </c>
      <c r="Q779" s="4">
        <v>45600</v>
      </c>
      <c r="R779" s="9">
        <v>0.34005787037037039</v>
      </c>
      <c r="S779" s="8">
        <v>18</v>
      </c>
      <c r="T779" s="7" t="s">
        <v>4457</v>
      </c>
      <c r="U779" s="7" t="s">
        <v>4455</v>
      </c>
      <c r="V7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80" spans="1:22" x14ac:dyDescent="0.35">
      <c r="A780" s="7" t="s">
        <v>2243</v>
      </c>
      <c r="B780" s="7" t="s">
        <v>1927</v>
      </c>
      <c r="C780" s="5">
        <v>567.91999999999996</v>
      </c>
      <c r="D780" s="2">
        <v>0.68549768518278142</v>
      </c>
      <c r="E780" s="4">
        <v>45097</v>
      </c>
      <c r="F780" s="7" t="s">
        <v>17</v>
      </c>
      <c r="G780" s="7" t="s">
        <v>125</v>
      </c>
      <c r="H780" s="7" t="s">
        <v>2244</v>
      </c>
      <c r="I780" s="7" t="s">
        <v>2245</v>
      </c>
      <c r="J780" s="7" t="s">
        <v>564</v>
      </c>
      <c r="K780" s="7" t="s">
        <v>36</v>
      </c>
      <c r="L780" s="8">
        <v>53</v>
      </c>
      <c r="M780" s="7" t="s">
        <v>70</v>
      </c>
      <c r="N780" s="8">
        <v>14</v>
      </c>
      <c r="O780" s="8">
        <v>1</v>
      </c>
      <c r="P780" s="5">
        <v>3779.47</v>
      </c>
      <c r="Q780" s="4">
        <v>45600</v>
      </c>
      <c r="R780" s="9">
        <v>0.34180555555555553</v>
      </c>
      <c r="S780" s="8">
        <v>16</v>
      </c>
      <c r="T780" s="7" t="s">
        <v>4457</v>
      </c>
      <c r="U780" s="7" t="s">
        <v>4455</v>
      </c>
      <c r="V7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81" spans="1:22" x14ac:dyDescent="0.35">
      <c r="A781" s="7" t="s">
        <v>2246</v>
      </c>
      <c r="B781" s="7" t="s">
        <v>525</v>
      </c>
      <c r="C781" s="5">
        <v>138.11000000000001</v>
      </c>
      <c r="D781" s="2">
        <v>0.72849537037109258</v>
      </c>
      <c r="E781" s="4">
        <v>45271</v>
      </c>
      <c r="F781" s="7" t="s">
        <v>46</v>
      </c>
      <c r="G781" s="7" t="s">
        <v>425</v>
      </c>
      <c r="H781" s="7" t="s">
        <v>2247</v>
      </c>
      <c r="I781" s="7" t="s">
        <v>1474</v>
      </c>
      <c r="J781" s="7" t="s">
        <v>353</v>
      </c>
      <c r="K781" s="7" t="s">
        <v>36</v>
      </c>
      <c r="L781" s="8">
        <v>68</v>
      </c>
      <c r="M781" s="7" t="s">
        <v>70</v>
      </c>
      <c r="N781" s="8">
        <v>104</v>
      </c>
      <c r="O781" s="8">
        <v>1</v>
      </c>
      <c r="P781" s="5">
        <v>4177.6499999999996</v>
      </c>
      <c r="Q781" s="4">
        <v>45600</v>
      </c>
      <c r="R781" s="9">
        <v>0.33824074074074073</v>
      </c>
      <c r="S781" s="8">
        <v>17</v>
      </c>
      <c r="T781" s="7" t="s">
        <v>4454</v>
      </c>
      <c r="U781" s="7" t="s">
        <v>4455</v>
      </c>
      <c r="V7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82" spans="1:22" x14ac:dyDescent="0.35">
      <c r="A782" s="7" t="s">
        <v>2248</v>
      </c>
      <c r="B782" s="7" t="s">
        <v>1814</v>
      </c>
      <c r="C782" s="5">
        <v>456.93</v>
      </c>
      <c r="D782" s="2">
        <v>0.679548611107748</v>
      </c>
      <c r="E782" s="4">
        <v>45195</v>
      </c>
      <c r="F782" s="7" t="s">
        <v>46</v>
      </c>
      <c r="G782" s="7" t="s">
        <v>301</v>
      </c>
      <c r="H782" s="7" t="s">
        <v>193</v>
      </c>
      <c r="I782" s="7" t="s">
        <v>1637</v>
      </c>
      <c r="J782" s="7" t="s">
        <v>598</v>
      </c>
      <c r="K782" s="7" t="s">
        <v>69</v>
      </c>
      <c r="L782" s="8">
        <v>28</v>
      </c>
      <c r="M782" s="7" t="s">
        <v>77</v>
      </c>
      <c r="N782" s="8">
        <v>193</v>
      </c>
      <c r="O782" s="8">
        <v>1</v>
      </c>
      <c r="P782" s="5">
        <v>7284.76</v>
      </c>
      <c r="Q782" s="4">
        <v>45600</v>
      </c>
      <c r="R782" s="9">
        <v>0.33991898148148147</v>
      </c>
      <c r="S782" s="8">
        <v>16</v>
      </c>
      <c r="T782" s="7" t="s">
        <v>4456</v>
      </c>
      <c r="U782" s="7" t="s">
        <v>4455</v>
      </c>
      <c r="V7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83" spans="1:22" x14ac:dyDescent="0.35">
      <c r="A783" s="7" t="s">
        <v>2249</v>
      </c>
      <c r="B783" s="7" t="s">
        <v>1599</v>
      </c>
      <c r="C783" s="5">
        <v>101.42</v>
      </c>
      <c r="D783" s="2">
        <v>0.70850694444379769</v>
      </c>
      <c r="E783" s="4">
        <v>45041</v>
      </c>
      <c r="F783" s="7" t="s">
        <v>17</v>
      </c>
      <c r="G783" s="7" t="s">
        <v>47</v>
      </c>
      <c r="H783" s="7" t="s">
        <v>1645</v>
      </c>
      <c r="I783" s="7" t="s">
        <v>1109</v>
      </c>
      <c r="J783" s="7" t="s">
        <v>308</v>
      </c>
      <c r="K783" s="7" t="s">
        <v>36</v>
      </c>
      <c r="L783" s="8">
        <v>66</v>
      </c>
      <c r="M783" s="7" t="s">
        <v>70</v>
      </c>
      <c r="N783" s="8">
        <v>146</v>
      </c>
      <c r="O783" s="8">
        <v>1</v>
      </c>
      <c r="P783" s="5">
        <v>6530.59</v>
      </c>
      <c r="Q783" s="4">
        <v>45600</v>
      </c>
      <c r="R783" s="9">
        <v>0.34192129629629631</v>
      </c>
      <c r="S783" s="8">
        <v>17</v>
      </c>
      <c r="T783" s="7" t="s">
        <v>4454</v>
      </c>
      <c r="U783" s="7" t="s">
        <v>4455</v>
      </c>
      <c r="V7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84" spans="1:22" x14ac:dyDescent="0.35">
      <c r="A784" s="7" t="s">
        <v>2250</v>
      </c>
      <c r="B784" s="7" t="s">
        <v>2251</v>
      </c>
      <c r="C784" s="5">
        <v>300.61</v>
      </c>
      <c r="D784" s="2">
        <v>0.72344907407386927</v>
      </c>
      <c r="E784" s="4">
        <v>45047</v>
      </c>
      <c r="F784" s="7" t="s">
        <v>17</v>
      </c>
      <c r="G784" s="7" t="s">
        <v>506</v>
      </c>
      <c r="H784" s="7" t="s">
        <v>2252</v>
      </c>
      <c r="I784" s="7" t="s">
        <v>2030</v>
      </c>
      <c r="J784" s="7" t="s">
        <v>598</v>
      </c>
      <c r="K784" s="7" t="s">
        <v>36</v>
      </c>
      <c r="L784" s="8">
        <v>44</v>
      </c>
      <c r="M784" s="7" t="s">
        <v>23</v>
      </c>
      <c r="N784" s="8">
        <v>51</v>
      </c>
      <c r="O784" s="8">
        <v>1</v>
      </c>
      <c r="P784" s="5">
        <v>7895.54</v>
      </c>
      <c r="Q784" s="4">
        <v>45600</v>
      </c>
      <c r="R784" s="9">
        <v>0.34162037037037035</v>
      </c>
      <c r="S784" s="8">
        <v>17</v>
      </c>
      <c r="T784" s="7" t="s">
        <v>4457</v>
      </c>
      <c r="U784" s="7" t="s">
        <v>4455</v>
      </c>
      <c r="V7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85" spans="1:22" x14ac:dyDescent="0.35">
      <c r="A785" s="7" t="s">
        <v>2253</v>
      </c>
      <c r="B785" s="7" t="s">
        <v>2050</v>
      </c>
      <c r="C785" s="5">
        <v>265.94</v>
      </c>
      <c r="D785" s="2">
        <v>0.674386574071832</v>
      </c>
      <c r="E785" s="4">
        <v>45082</v>
      </c>
      <c r="F785" s="7" t="s">
        <v>17</v>
      </c>
      <c r="G785" s="7" t="s">
        <v>388</v>
      </c>
      <c r="H785" s="7" t="s">
        <v>1218</v>
      </c>
      <c r="I785" s="7" t="s">
        <v>2254</v>
      </c>
      <c r="J785" s="7" t="s">
        <v>674</v>
      </c>
      <c r="K785" s="7" t="s">
        <v>36</v>
      </c>
      <c r="L785" s="8">
        <v>54</v>
      </c>
      <c r="M785" s="7" t="s">
        <v>77</v>
      </c>
      <c r="N785" s="8">
        <v>132</v>
      </c>
      <c r="O785" s="8">
        <v>1</v>
      </c>
      <c r="P785" s="5">
        <v>6781.3</v>
      </c>
      <c r="Q785" s="4">
        <v>45600</v>
      </c>
      <c r="R785" s="9">
        <v>0.33792824074074074</v>
      </c>
      <c r="S785" s="8">
        <v>16</v>
      </c>
      <c r="T785" s="7" t="s">
        <v>4457</v>
      </c>
      <c r="U785" s="7" t="s">
        <v>4455</v>
      </c>
      <c r="V7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86" spans="1:22" x14ac:dyDescent="0.35">
      <c r="A786" s="7" t="s">
        <v>2255</v>
      </c>
      <c r="B786" s="7" t="s">
        <v>851</v>
      </c>
      <c r="C786" s="5">
        <v>345.54</v>
      </c>
      <c r="D786" s="2">
        <v>0.6706018518525525</v>
      </c>
      <c r="E786" s="4">
        <v>44950</v>
      </c>
      <c r="F786" s="7" t="s">
        <v>17</v>
      </c>
      <c r="G786" s="7" t="s">
        <v>18</v>
      </c>
      <c r="H786" s="7" t="s">
        <v>103</v>
      </c>
      <c r="I786" s="7" t="s">
        <v>34</v>
      </c>
      <c r="J786" s="7" t="s">
        <v>1345</v>
      </c>
      <c r="K786" s="7" t="s">
        <v>36</v>
      </c>
      <c r="L786" s="8">
        <v>29</v>
      </c>
      <c r="M786" s="7" t="s">
        <v>77</v>
      </c>
      <c r="N786" s="8">
        <v>50</v>
      </c>
      <c r="O786" s="8">
        <v>1</v>
      </c>
      <c r="P786" s="5">
        <v>2091.7800000000002</v>
      </c>
      <c r="Q786" s="4">
        <v>45600</v>
      </c>
      <c r="R786" s="9">
        <v>0.34107638888888892</v>
      </c>
      <c r="S786" s="8">
        <v>16</v>
      </c>
      <c r="T786" s="7" t="s">
        <v>4456</v>
      </c>
      <c r="U786" s="7" t="s">
        <v>4455</v>
      </c>
      <c r="V7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87" spans="1:22" x14ac:dyDescent="0.35">
      <c r="A787" s="7" t="s">
        <v>2256</v>
      </c>
      <c r="B787" s="7" t="s">
        <v>1900</v>
      </c>
      <c r="C787" s="5">
        <v>411.52</v>
      </c>
      <c r="D787" s="2">
        <v>0.73629629629431292</v>
      </c>
      <c r="E787" s="4">
        <v>44936</v>
      </c>
      <c r="F787" s="7" t="s">
        <v>17</v>
      </c>
      <c r="G787" s="7" t="s">
        <v>140</v>
      </c>
      <c r="H787" s="7" t="s">
        <v>439</v>
      </c>
      <c r="I787" s="7" t="s">
        <v>1046</v>
      </c>
      <c r="J787" s="7" t="s">
        <v>282</v>
      </c>
      <c r="K787" s="7" t="s">
        <v>22</v>
      </c>
      <c r="L787" s="8">
        <v>41</v>
      </c>
      <c r="M787" s="7" t="s">
        <v>23</v>
      </c>
      <c r="N787" s="8">
        <v>88</v>
      </c>
      <c r="O787" s="8">
        <v>1</v>
      </c>
      <c r="P787" s="5">
        <v>11108.39</v>
      </c>
      <c r="Q787" s="4">
        <v>45600</v>
      </c>
      <c r="R787" s="9">
        <v>0.3397337962962963</v>
      </c>
      <c r="S787" s="8">
        <v>17</v>
      </c>
      <c r="T787" s="7" t="s">
        <v>4457</v>
      </c>
      <c r="U787" s="7" t="s">
        <v>4455</v>
      </c>
      <c r="V7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88" spans="1:22" x14ac:dyDescent="0.35">
      <c r="A788" s="7" t="s">
        <v>2257</v>
      </c>
      <c r="B788" s="7" t="s">
        <v>2133</v>
      </c>
      <c r="C788" s="5">
        <v>111.21</v>
      </c>
      <c r="D788" s="2">
        <v>0.77547453704028158</v>
      </c>
      <c r="E788" s="4">
        <v>45159</v>
      </c>
      <c r="F788" s="7" t="s">
        <v>17</v>
      </c>
      <c r="G788" s="7" t="s">
        <v>595</v>
      </c>
      <c r="H788" s="7" t="s">
        <v>1777</v>
      </c>
      <c r="I788" s="7" t="s">
        <v>535</v>
      </c>
      <c r="J788" s="7" t="s">
        <v>592</v>
      </c>
      <c r="K788" s="7" t="s">
        <v>69</v>
      </c>
      <c r="L788" s="8">
        <v>35</v>
      </c>
      <c r="M788" s="7" t="s">
        <v>23</v>
      </c>
      <c r="N788" s="8">
        <v>111</v>
      </c>
      <c r="O788" s="8">
        <v>1</v>
      </c>
      <c r="P788" s="5">
        <v>9088.36</v>
      </c>
      <c r="Q788" s="4">
        <v>45600</v>
      </c>
      <c r="R788" s="9">
        <v>0.34180555555555553</v>
      </c>
      <c r="S788" s="8">
        <v>18</v>
      </c>
      <c r="T788" s="7" t="s">
        <v>4457</v>
      </c>
      <c r="U788" s="7" t="s">
        <v>4455</v>
      </c>
      <c r="V7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89" spans="1:22" x14ac:dyDescent="0.35">
      <c r="A789" s="7" t="s">
        <v>2258</v>
      </c>
      <c r="B789" s="7" t="s">
        <v>2149</v>
      </c>
      <c r="C789" s="5">
        <v>316.37</v>
      </c>
      <c r="D789" s="2">
        <v>0.73214120370539604</v>
      </c>
      <c r="E789" s="4">
        <v>45166</v>
      </c>
      <c r="F789" s="7" t="s">
        <v>17</v>
      </c>
      <c r="G789" s="7" t="s">
        <v>521</v>
      </c>
      <c r="H789" s="7" t="s">
        <v>1493</v>
      </c>
      <c r="I789" s="7" t="s">
        <v>2259</v>
      </c>
      <c r="J789" s="7" t="s">
        <v>769</v>
      </c>
      <c r="K789" s="7" t="s">
        <v>22</v>
      </c>
      <c r="L789" s="8">
        <v>53</v>
      </c>
      <c r="M789" s="7" t="s">
        <v>77</v>
      </c>
      <c r="N789" s="8">
        <v>86</v>
      </c>
      <c r="O789" s="8">
        <v>1</v>
      </c>
      <c r="P789" s="5">
        <v>4671.6899999999996</v>
      </c>
      <c r="Q789" s="4">
        <v>45600</v>
      </c>
      <c r="R789" s="9">
        <v>0.33888888888888891</v>
      </c>
      <c r="S789" s="8">
        <v>17</v>
      </c>
      <c r="T789" s="7" t="s">
        <v>4457</v>
      </c>
      <c r="U789" s="7" t="s">
        <v>4455</v>
      </c>
      <c r="V7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90" spans="1:22" x14ac:dyDescent="0.35">
      <c r="A790" s="7" t="s">
        <v>2260</v>
      </c>
      <c r="B790" s="7" t="s">
        <v>1512</v>
      </c>
      <c r="C790" s="5">
        <v>260.63</v>
      </c>
      <c r="D790" s="2">
        <v>0.79059027777839219</v>
      </c>
      <c r="E790" s="4">
        <v>45280</v>
      </c>
      <c r="F790" s="7" t="s">
        <v>17</v>
      </c>
      <c r="G790" s="7" t="s">
        <v>157</v>
      </c>
      <c r="H790" s="7" t="s">
        <v>1347</v>
      </c>
      <c r="I790" s="7" t="s">
        <v>436</v>
      </c>
      <c r="J790" s="7" t="s">
        <v>262</v>
      </c>
      <c r="K790" s="7" t="s">
        <v>69</v>
      </c>
      <c r="L790" s="8">
        <v>37</v>
      </c>
      <c r="M790" s="7" t="s">
        <v>77</v>
      </c>
      <c r="N790" s="8">
        <v>142</v>
      </c>
      <c r="O790" s="8">
        <v>1</v>
      </c>
      <c r="P790" s="5">
        <v>7534.73</v>
      </c>
      <c r="Q790" s="4">
        <v>45600</v>
      </c>
      <c r="R790" s="9">
        <v>0.33945601851851853</v>
      </c>
      <c r="S790" s="8">
        <v>18</v>
      </c>
      <c r="T790" s="7" t="s">
        <v>4457</v>
      </c>
      <c r="U790" s="7" t="s">
        <v>4455</v>
      </c>
      <c r="V7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91" spans="1:22" x14ac:dyDescent="0.35">
      <c r="A791" s="7" t="s">
        <v>2261</v>
      </c>
      <c r="B791" s="7" t="s">
        <v>2262</v>
      </c>
      <c r="C791" s="5">
        <v>92.36</v>
      </c>
      <c r="D791" s="2">
        <v>0.70039351852028631</v>
      </c>
      <c r="E791" s="4">
        <v>45012</v>
      </c>
      <c r="F791" s="7" t="s">
        <v>17</v>
      </c>
      <c r="G791" s="7" t="s">
        <v>323</v>
      </c>
      <c r="H791" s="7" t="s">
        <v>297</v>
      </c>
      <c r="I791" s="7" t="s">
        <v>2157</v>
      </c>
      <c r="J791" s="7" t="s">
        <v>186</v>
      </c>
      <c r="K791" s="7" t="s">
        <v>22</v>
      </c>
      <c r="L791" s="8">
        <v>29</v>
      </c>
      <c r="M791" s="7" t="s">
        <v>77</v>
      </c>
      <c r="N791" s="8">
        <v>144</v>
      </c>
      <c r="O791" s="8">
        <v>1</v>
      </c>
      <c r="P791" s="5">
        <v>6353.14</v>
      </c>
      <c r="Q791" s="4">
        <v>45600</v>
      </c>
      <c r="R791" s="9">
        <v>0.33883101851851855</v>
      </c>
      <c r="S791" s="8">
        <v>16</v>
      </c>
      <c r="T791" s="7" t="s">
        <v>4456</v>
      </c>
      <c r="U791" s="7" t="s">
        <v>4455</v>
      </c>
      <c r="V7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92" spans="1:22" x14ac:dyDescent="0.35">
      <c r="A792" s="7" t="s">
        <v>2263</v>
      </c>
      <c r="B792" s="7" t="s">
        <v>2264</v>
      </c>
      <c r="C792" s="5">
        <v>262.06</v>
      </c>
      <c r="D792" s="2">
        <v>0.67309027777810115</v>
      </c>
      <c r="E792" s="4">
        <v>45180</v>
      </c>
      <c r="F792" s="7" t="s">
        <v>17</v>
      </c>
      <c r="G792" s="7" t="s">
        <v>53</v>
      </c>
      <c r="H792" s="7" t="s">
        <v>2265</v>
      </c>
      <c r="I792" s="7" t="s">
        <v>563</v>
      </c>
      <c r="J792" s="7" t="s">
        <v>175</v>
      </c>
      <c r="K792" s="7" t="s">
        <v>69</v>
      </c>
      <c r="L792" s="8">
        <v>63</v>
      </c>
      <c r="M792" s="7" t="s">
        <v>23</v>
      </c>
      <c r="N792" s="8">
        <v>118</v>
      </c>
      <c r="O792" s="8">
        <v>1</v>
      </c>
      <c r="P792" s="5">
        <v>13587.52</v>
      </c>
      <c r="Q792" s="4">
        <v>45600</v>
      </c>
      <c r="R792" s="9">
        <v>0.34054398148148146</v>
      </c>
      <c r="S792" s="8">
        <v>16</v>
      </c>
      <c r="T792" s="7" t="s">
        <v>4454</v>
      </c>
      <c r="U792" s="7" t="s">
        <v>4455</v>
      </c>
      <c r="V7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93" spans="1:22" x14ac:dyDescent="0.35">
      <c r="A793" s="7" t="s">
        <v>2266</v>
      </c>
      <c r="B793" s="7" t="s">
        <v>889</v>
      </c>
      <c r="C793" s="5">
        <v>64.5</v>
      </c>
      <c r="D793" s="2">
        <v>0.77244212962978054</v>
      </c>
      <c r="E793" s="4">
        <v>45155</v>
      </c>
      <c r="F793" s="7" t="s">
        <v>17</v>
      </c>
      <c r="G793" s="7" t="s">
        <v>114</v>
      </c>
      <c r="H793" s="7" t="s">
        <v>726</v>
      </c>
      <c r="I793" s="7" t="s">
        <v>503</v>
      </c>
      <c r="J793" s="7" t="s">
        <v>619</v>
      </c>
      <c r="K793" s="7" t="s">
        <v>22</v>
      </c>
      <c r="L793" s="8">
        <v>74</v>
      </c>
      <c r="M793" s="7" t="s">
        <v>70</v>
      </c>
      <c r="N793" s="8">
        <v>230</v>
      </c>
      <c r="O793" s="8">
        <v>1</v>
      </c>
      <c r="P793" s="5">
        <v>1351.24</v>
      </c>
      <c r="Q793" s="4">
        <v>45600</v>
      </c>
      <c r="R793" s="9">
        <v>0.33924768518518517</v>
      </c>
      <c r="S793" s="8">
        <v>18</v>
      </c>
      <c r="T793" s="7" t="s">
        <v>4454</v>
      </c>
      <c r="U793" s="7" t="s">
        <v>4455</v>
      </c>
      <c r="V7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94" spans="1:22" x14ac:dyDescent="0.35">
      <c r="A794" s="7" t="s">
        <v>2267</v>
      </c>
      <c r="B794" s="7" t="s">
        <v>561</v>
      </c>
      <c r="C794" s="5">
        <v>253.55</v>
      </c>
      <c r="D794" s="2">
        <v>0.70622685184935108</v>
      </c>
      <c r="E794" s="4">
        <v>44937</v>
      </c>
      <c r="F794" s="7" t="s">
        <v>17</v>
      </c>
      <c r="G794" s="7" t="s">
        <v>392</v>
      </c>
      <c r="H794" s="7" t="s">
        <v>605</v>
      </c>
      <c r="I794" s="7" t="s">
        <v>2268</v>
      </c>
      <c r="J794" s="7" t="s">
        <v>83</v>
      </c>
      <c r="K794" s="7" t="s">
        <v>22</v>
      </c>
      <c r="L794" s="8">
        <v>28</v>
      </c>
      <c r="M794" s="7" t="s">
        <v>77</v>
      </c>
      <c r="N794" s="8">
        <v>85</v>
      </c>
      <c r="O794" s="8">
        <v>5</v>
      </c>
      <c r="P794" s="5">
        <v>2797.26</v>
      </c>
      <c r="Q794" s="4">
        <v>45600</v>
      </c>
      <c r="R794" s="9">
        <v>0.3397222222222222</v>
      </c>
      <c r="S794" s="8">
        <v>16</v>
      </c>
      <c r="T794" s="7" t="s">
        <v>4456</v>
      </c>
      <c r="U794" s="7" t="s">
        <v>4458</v>
      </c>
      <c r="V7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95" spans="1:22" x14ac:dyDescent="0.35">
      <c r="A795" s="7" t="s">
        <v>2269</v>
      </c>
      <c r="B795" s="7" t="s">
        <v>1501</v>
      </c>
      <c r="C795" s="5">
        <v>408.28</v>
      </c>
      <c r="D795" s="2">
        <v>0.68968750000203727</v>
      </c>
      <c r="E795" s="4">
        <v>45000</v>
      </c>
      <c r="F795" s="7" t="s">
        <v>46</v>
      </c>
      <c r="G795" s="7" t="s">
        <v>80</v>
      </c>
      <c r="H795" s="7" t="s">
        <v>2270</v>
      </c>
      <c r="I795" s="7" t="s">
        <v>1705</v>
      </c>
      <c r="J795" s="7" t="s">
        <v>165</v>
      </c>
      <c r="K795" s="7" t="s">
        <v>69</v>
      </c>
      <c r="L795" s="8">
        <v>21</v>
      </c>
      <c r="M795" s="7" t="s">
        <v>37</v>
      </c>
      <c r="N795" s="8">
        <v>125</v>
      </c>
      <c r="O795" s="8">
        <v>3</v>
      </c>
      <c r="P795" s="5">
        <v>1222.77</v>
      </c>
      <c r="Q795" s="4">
        <v>45600</v>
      </c>
      <c r="R795" s="9">
        <v>0.34039351851851851</v>
      </c>
      <c r="S795" s="8">
        <v>16</v>
      </c>
      <c r="T795" s="7" t="s">
        <v>4456</v>
      </c>
      <c r="U795" s="7" t="s">
        <v>4458</v>
      </c>
      <c r="V7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96" spans="1:22" x14ac:dyDescent="0.35">
      <c r="A796" s="7" t="s">
        <v>2271</v>
      </c>
      <c r="B796" s="7" t="s">
        <v>345</v>
      </c>
      <c r="C796" s="5">
        <v>175.94</v>
      </c>
      <c r="D796" s="2">
        <v>0.67792824074422242</v>
      </c>
      <c r="E796" s="4">
        <v>45082</v>
      </c>
      <c r="F796" s="7" t="s">
        <v>17</v>
      </c>
      <c r="G796" s="7" t="s">
        <v>65</v>
      </c>
      <c r="H796" s="7" t="s">
        <v>2272</v>
      </c>
      <c r="I796" s="7" t="s">
        <v>2273</v>
      </c>
      <c r="J796" s="7" t="s">
        <v>252</v>
      </c>
      <c r="K796" s="7" t="s">
        <v>22</v>
      </c>
      <c r="L796" s="8">
        <v>57</v>
      </c>
      <c r="M796" s="7" t="s">
        <v>70</v>
      </c>
      <c r="N796" s="8">
        <v>89</v>
      </c>
      <c r="O796" s="8">
        <v>1</v>
      </c>
      <c r="P796" s="5">
        <v>3728.04</v>
      </c>
      <c r="Q796" s="4">
        <v>45600</v>
      </c>
      <c r="R796" s="9">
        <v>0.33832175925925928</v>
      </c>
      <c r="S796" s="8">
        <v>16</v>
      </c>
      <c r="T796" s="7" t="s">
        <v>4454</v>
      </c>
      <c r="U796" s="7" t="s">
        <v>4455</v>
      </c>
      <c r="V7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97" spans="1:22" x14ac:dyDescent="0.35">
      <c r="A797" s="7" t="s">
        <v>2274</v>
      </c>
      <c r="B797" s="7" t="s">
        <v>679</v>
      </c>
      <c r="C797" s="5">
        <v>199.47</v>
      </c>
      <c r="D797" s="2">
        <v>0.68516203703620704</v>
      </c>
      <c r="E797" s="4">
        <v>45152</v>
      </c>
      <c r="F797" s="7" t="s">
        <v>17</v>
      </c>
      <c r="G797" s="7" t="s">
        <v>73</v>
      </c>
      <c r="H797" s="7" t="s">
        <v>1194</v>
      </c>
      <c r="I797" s="7" t="s">
        <v>702</v>
      </c>
      <c r="J797" s="7" t="s">
        <v>576</v>
      </c>
      <c r="K797" s="7" t="s">
        <v>36</v>
      </c>
      <c r="L797" s="8">
        <v>57</v>
      </c>
      <c r="M797" s="7" t="s">
        <v>23</v>
      </c>
      <c r="N797" s="8">
        <v>142</v>
      </c>
      <c r="O797" s="8">
        <v>1</v>
      </c>
      <c r="P797" s="5">
        <v>6067.44</v>
      </c>
      <c r="Q797" s="4">
        <v>45600</v>
      </c>
      <c r="R797" s="9">
        <v>0.3384490740740741</v>
      </c>
      <c r="S797" s="8">
        <v>16</v>
      </c>
      <c r="T797" s="7" t="s">
        <v>4454</v>
      </c>
      <c r="U797" s="7" t="s">
        <v>4455</v>
      </c>
      <c r="V7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798" spans="1:22" x14ac:dyDescent="0.35">
      <c r="A798" s="7" t="s">
        <v>2275</v>
      </c>
      <c r="B798" s="7" t="s">
        <v>923</v>
      </c>
      <c r="C798" s="5">
        <v>51.07</v>
      </c>
      <c r="D798" s="2">
        <v>0.75483796296612127</v>
      </c>
      <c r="E798" s="4">
        <v>44949</v>
      </c>
      <c r="F798" s="7" t="s">
        <v>17</v>
      </c>
      <c r="G798" s="7" t="s">
        <v>323</v>
      </c>
      <c r="H798" s="7" t="s">
        <v>2276</v>
      </c>
      <c r="I798" s="7" t="s">
        <v>20</v>
      </c>
      <c r="J798" s="7" t="s">
        <v>111</v>
      </c>
      <c r="K798" s="7" t="s">
        <v>69</v>
      </c>
      <c r="L798" s="8">
        <v>63</v>
      </c>
      <c r="M798" s="7" t="s">
        <v>70</v>
      </c>
      <c r="N798" s="8">
        <v>133</v>
      </c>
      <c r="O798" s="8">
        <v>1</v>
      </c>
      <c r="P798" s="5">
        <v>4292.16</v>
      </c>
      <c r="Q798" s="4">
        <v>45600</v>
      </c>
      <c r="R798" s="9">
        <v>0.34180555555555553</v>
      </c>
      <c r="S798" s="8">
        <v>18</v>
      </c>
      <c r="T798" s="7" t="s">
        <v>4454</v>
      </c>
      <c r="U798" s="7" t="s">
        <v>4455</v>
      </c>
      <c r="V7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799" spans="1:22" x14ac:dyDescent="0.35">
      <c r="A799" s="7" t="s">
        <v>2277</v>
      </c>
      <c r="B799" s="7" t="s">
        <v>609</v>
      </c>
      <c r="C799" s="5">
        <v>435.86</v>
      </c>
      <c r="D799" s="2">
        <v>0.72069444444787223</v>
      </c>
      <c r="E799" s="4">
        <v>45289</v>
      </c>
      <c r="F799" s="7" t="s">
        <v>17</v>
      </c>
      <c r="G799" s="7" t="s">
        <v>392</v>
      </c>
      <c r="H799" s="7" t="s">
        <v>2278</v>
      </c>
      <c r="I799" s="7" t="s">
        <v>1913</v>
      </c>
      <c r="J799" s="7" t="s">
        <v>326</v>
      </c>
      <c r="K799" s="7" t="s">
        <v>22</v>
      </c>
      <c r="L799" s="8">
        <v>56</v>
      </c>
      <c r="M799" s="7" t="s">
        <v>70</v>
      </c>
      <c r="N799" s="8">
        <v>134</v>
      </c>
      <c r="O799" s="8">
        <v>1</v>
      </c>
      <c r="P799" s="5">
        <v>3801.82</v>
      </c>
      <c r="Q799" s="4">
        <v>45600</v>
      </c>
      <c r="R799" s="9">
        <v>0.33979166666666666</v>
      </c>
      <c r="S799" s="8">
        <v>17</v>
      </c>
      <c r="T799" s="7" t="s">
        <v>4454</v>
      </c>
      <c r="U799" s="7" t="s">
        <v>4455</v>
      </c>
      <c r="V7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00" spans="1:22" x14ac:dyDescent="0.35">
      <c r="A800" s="7" t="s">
        <v>2279</v>
      </c>
      <c r="B800" s="7" t="s">
        <v>1027</v>
      </c>
      <c r="C800" s="5">
        <v>74.73</v>
      </c>
      <c r="D800" s="2">
        <v>0.72057870370190358</v>
      </c>
      <c r="E800" s="4">
        <v>44956</v>
      </c>
      <c r="F800" s="7" t="s">
        <v>46</v>
      </c>
      <c r="G800" s="7" t="s">
        <v>392</v>
      </c>
      <c r="H800" s="7" t="s">
        <v>2241</v>
      </c>
      <c r="I800" s="7" t="s">
        <v>2280</v>
      </c>
      <c r="J800" s="7" t="s">
        <v>35</v>
      </c>
      <c r="K800" s="7" t="s">
        <v>69</v>
      </c>
      <c r="L800" s="8">
        <v>64</v>
      </c>
      <c r="M800" s="7" t="s">
        <v>70</v>
      </c>
      <c r="N800" s="8">
        <v>162</v>
      </c>
      <c r="O800" s="8">
        <v>1</v>
      </c>
      <c r="P800" s="5">
        <v>6353.22</v>
      </c>
      <c r="Q800" s="4">
        <v>45600</v>
      </c>
      <c r="R800" s="9">
        <v>0.33918981481481481</v>
      </c>
      <c r="S800" s="8">
        <v>17</v>
      </c>
      <c r="T800" s="7" t="s">
        <v>4454</v>
      </c>
      <c r="U800" s="7" t="s">
        <v>4455</v>
      </c>
      <c r="V8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01" spans="1:22" x14ac:dyDescent="0.35">
      <c r="A801" s="7" t="s">
        <v>2281</v>
      </c>
      <c r="B801" s="7" t="s">
        <v>1659</v>
      </c>
      <c r="C801" s="5">
        <v>182.79</v>
      </c>
      <c r="D801" s="2">
        <v>0.68142361110949423</v>
      </c>
      <c r="E801" s="4">
        <v>45224</v>
      </c>
      <c r="F801" s="7" t="s">
        <v>46</v>
      </c>
      <c r="G801" s="7" t="s">
        <v>108</v>
      </c>
      <c r="H801" s="7" t="s">
        <v>2282</v>
      </c>
      <c r="I801" s="7" t="s">
        <v>1623</v>
      </c>
      <c r="J801" s="7" t="s">
        <v>759</v>
      </c>
      <c r="K801" s="7" t="s">
        <v>36</v>
      </c>
      <c r="L801" s="8">
        <v>23</v>
      </c>
      <c r="M801" s="7" t="s">
        <v>37</v>
      </c>
      <c r="N801" s="8">
        <v>14</v>
      </c>
      <c r="O801" s="8">
        <v>1</v>
      </c>
      <c r="P801" s="5">
        <v>1251.8499999999999</v>
      </c>
      <c r="Q801" s="4">
        <v>45600</v>
      </c>
      <c r="R801" s="9">
        <v>0.33812500000000001</v>
      </c>
      <c r="S801" s="8">
        <v>16</v>
      </c>
      <c r="T801" s="7" t="s">
        <v>4456</v>
      </c>
      <c r="U801" s="7" t="s">
        <v>4455</v>
      </c>
      <c r="V8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02" spans="1:22" x14ac:dyDescent="0.35">
      <c r="A802" s="7" t="s">
        <v>2283</v>
      </c>
      <c r="B802" s="7" t="s">
        <v>687</v>
      </c>
      <c r="C802" s="5">
        <v>628.36</v>
      </c>
      <c r="D802" s="2">
        <v>0.67334490740904585</v>
      </c>
      <c r="E802" s="4">
        <v>44946</v>
      </c>
      <c r="F802" s="7" t="s">
        <v>17</v>
      </c>
      <c r="G802" s="7" t="s">
        <v>119</v>
      </c>
      <c r="H802" s="7" t="s">
        <v>2284</v>
      </c>
      <c r="I802" s="7" t="s">
        <v>1025</v>
      </c>
      <c r="J802" s="7" t="s">
        <v>262</v>
      </c>
      <c r="K802" s="7" t="s">
        <v>36</v>
      </c>
      <c r="L802" s="8">
        <v>44</v>
      </c>
      <c r="M802" s="7" t="s">
        <v>23</v>
      </c>
      <c r="N802" s="8">
        <v>108</v>
      </c>
      <c r="O802" s="8">
        <v>1</v>
      </c>
      <c r="P802" s="5">
        <v>11869.71</v>
      </c>
      <c r="Q802" s="4">
        <v>45600</v>
      </c>
      <c r="R802" s="9">
        <v>0.33856481481481482</v>
      </c>
      <c r="S802" s="8">
        <v>16</v>
      </c>
      <c r="T802" s="7" t="s">
        <v>4457</v>
      </c>
      <c r="U802" s="7" t="s">
        <v>4455</v>
      </c>
      <c r="V8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03" spans="1:22" x14ac:dyDescent="0.35">
      <c r="A803" s="7" t="s">
        <v>2285</v>
      </c>
      <c r="B803" s="7" t="s">
        <v>660</v>
      </c>
      <c r="C803" s="5">
        <v>268.39</v>
      </c>
      <c r="D803" s="2">
        <v>0.7590509259243845</v>
      </c>
      <c r="E803" s="4">
        <v>44978</v>
      </c>
      <c r="F803" s="7" t="s">
        <v>17</v>
      </c>
      <c r="G803" s="7" t="s">
        <v>237</v>
      </c>
      <c r="H803" s="7" t="s">
        <v>1245</v>
      </c>
      <c r="I803" s="7" t="s">
        <v>316</v>
      </c>
      <c r="J803" s="7" t="s">
        <v>1037</v>
      </c>
      <c r="K803" s="7" t="s">
        <v>36</v>
      </c>
      <c r="L803" s="8">
        <v>29</v>
      </c>
      <c r="M803" s="7" t="s">
        <v>23</v>
      </c>
      <c r="N803" s="8">
        <v>177</v>
      </c>
      <c r="O803" s="8">
        <v>1</v>
      </c>
      <c r="P803" s="5">
        <v>9409.43</v>
      </c>
      <c r="Q803" s="4">
        <v>45600</v>
      </c>
      <c r="R803" s="9">
        <v>0.34149305555555554</v>
      </c>
      <c r="S803" s="8">
        <v>18</v>
      </c>
      <c r="T803" s="7" t="s">
        <v>4456</v>
      </c>
      <c r="U803" s="7" t="s">
        <v>4455</v>
      </c>
      <c r="V8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04" spans="1:22" x14ac:dyDescent="0.35">
      <c r="A804" s="7" t="s">
        <v>2286</v>
      </c>
      <c r="B804" s="7" t="s">
        <v>45</v>
      </c>
      <c r="C804" s="5">
        <v>362.27</v>
      </c>
      <c r="D804" s="2">
        <v>0.69210648148145992</v>
      </c>
      <c r="E804" s="4">
        <v>45057</v>
      </c>
      <c r="F804" s="7" t="s">
        <v>17</v>
      </c>
      <c r="G804" s="7" t="s">
        <v>392</v>
      </c>
      <c r="H804" s="7" t="s">
        <v>400</v>
      </c>
      <c r="I804" s="7" t="s">
        <v>2287</v>
      </c>
      <c r="J804" s="7" t="s">
        <v>267</v>
      </c>
      <c r="K804" s="7" t="s">
        <v>22</v>
      </c>
      <c r="L804" s="8">
        <v>80</v>
      </c>
      <c r="M804" s="7" t="s">
        <v>70</v>
      </c>
      <c r="N804" s="8">
        <v>47</v>
      </c>
      <c r="O804" s="8">
        <v>1</v>
      </c>
      <c r="P804" s="5">
        <v>6003.59</v>
      </c>
      <c r="Q804" s="4">
        <v>45600</v>
      </c>
      <c r="R804" s="9">
        <v>0.33859953703703705</v>
      </c>
      <c r="S804" s="8">
        <v>16</v>
      </c>
      <c r="T804" s="7" t="s">
        <v>4454</v>
      </c>
      <c r="U804" s="7" t="s">
        <v>4455</v>
      </c>
      <c r="V8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05" spans="1:22" x14ac:dyDescent="0.35">
      <c r="A805" s="7" t="s">
        <v>2288</v>
      </c>
      <c r="B805" s="7" t="s">
        <v>722</v>
      </c>
      <c r="C805" s="5">
        <v>560.15</v>
      </c>
      <c r="D805" s="2">
        <v>0.75111111110891216</v>
      </c>
      <c r="E805" s="4">
        <v>45152</v>
      </c>
      <c r="F805" s="7" t="s">
        <v>46</v>
      </c>
      <c r="G805" s="7" t="s">
        <v>92</v>
      </c>
      <c r="H805" s="7" t="s">
        <v>2203</v>
      </c>
      <c r="I805" s="7" t="s">
        <v>1443</v>
      </c>
      <c r="J805" s="7" t="s">
        <v>128</v>
      </c>
      <c r="K805" s="7" t="s">
        <v>36</v>
      </c>
      <c r="L805" s="8">
        <v>50</v>
      </c>
      <c r="M805" s="7" t="s">
        <v>77</v>
      </c>
      <c r="N805" s="8">
        <v>92</v>
      </c>
      <c r="O805" s="8">
        <v>1</v>
      </c>
      <c r="P805" s="5">
        <v>817.83</v>
      </c>
      <c r="Q805" s="4">
        <v>45600</v>
      </c>
      <c r="R805" s="9">
        <v>0.34086805555555555</v>
      </c>
      <c r="S805" s="8">
        <v>18</v>
      </c>
      <c r="T805" s="7" t="s">
        <v>4457</v>
      </c>
      <c r="U805" s="7" t="s">
        <v>4455</v>
      </c>
      <c r="V8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06" spans="1:22" x14ac:dyDescent="0.35">
      <c r="A806" s="7" t="s">
        <v>2289</v>
      </c>
      <c r="B806" s="7" t="s">
        <v>648</v>
      </c>
      <c r="C806" s="5">
        <v>351.99</v>
      </c>
      <c r="D806" s="2">
        <v>0.70699074074218515</v>
      </c>
      <c r="E806" s="4">
        <v>45089</v>
      </c>
      <c r="F806" s="7" t="s">
        <v>17</v>
      </c>
      <c r="G806" s="7" t="s">
        <v>265</v>
      </c>
      <c r="H806" s="7" t="s">
        <v>2290</v>
      </c>
      <c r="I806" s="7" t="s">
        <v>2291</v>
      </c>
      <c r="J806" s="7" t="s">
        <v>353</v>
      </c>
      <c r="K806" s="7" t="s">
        <v>22</v>
      </c>
      <c r="L806" s="8">
        <v>80</v>
      </c>
      <c r="M806" s="7" t="s">
        <v>70</v>
      </c>
      <c r="N806" s="8">
        <v>45</v>
      </c>
      <c r="O806" s="8">
        <v>2</v>
      </c>
      <c r="P806" s="5">
        <v>3663.64</v>
      </c>
      <c r="Q806" s="4">
        <v>45600</v>
      </c>
      <c r="R806" s="9">
        <v>0.3412384259259259</v>
      </c>
      <c r="S806" s="8">
        <v>16</v>
      </c>
      <c r="T806" s="7" t="s">
        <v>4454</v>
      </c>
      <c r="U806" s="7" t="s">
        <v>4458</v>
      </c>
      <c r="V8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07" spans="1:22" x14ac:dyDescent="0.35">
      <c r="A807" s="7" t="s">
        <v>2292</v>
      </c>
      <c r="B807" s="7" t="s">
        <v>222</v>
      </c>
      <c r="C807" s="5">
        <v>132.36000000000001</v>
      </c>
      <c r="D807" s="2">
        <v>0.70968749999883585</v>
      </c>
      <c r="E807" s="4">
        <v>44998</v>
      </c>
      <c r="F807" s="7" t="s">
        <v>17</v>
      </c>
      <c r="G807" s="7" t="s">
        <v>521</v>
      </c>
      <c r="H807" s="7" t="s">
        <v>928</v>
      </c>
      <c r="I807" s="7" t="s">
        <v>1127</v>
      </c>
      <c r="J807" s="7" t="s">
        <v>209</v>
      </c>
      <c r="K807" s="7" t="s">
        <v>69</v>
      </c>
      <c r="L807" s="8">
        <v>28</v>
      </c>
      <c r="M807" s="7" t="s">
        <v>37</v>
      </c>
      <c r="N807" s="8">
        <v>160</v>
      </c>
      <c r="O807" s="8">
        <v>1</v>
      </c>
      <c r="P807" s="5">
        <v>319.64999999999998</v>
      </c>
      <c r="Q807" s="4">
        <v>45600</v>
      </c>
      <c r="R807" s="9">
        <v>0.34033564814814815</v>
      </c>
      <c r="S807" s="8">
        <v>17</v>
      </c>
      <c r="T807" s="7" t="s">
        <v>4456</v>
      </c>
      <c r="U807" s="7" t="s">
        <v>4455</v>
      </c>
      <c r="V8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08" spans="1:22" x14ac:dyDescent="0.35">
      <c r="A808" s="7" t="s">
        <v>2293</v>
      </c>
      <c r="B808" s="7" t="s">
        <v>384</v>
      </c>
      <c r="C808" s="5">
        <v>24.77</v>
      </c>
      <c r="D808" s="2">
        <v>0.70553240740991896</v>
      </c>
      <c r="E808" s="4">
        <v>45231</v>
      </c>
      <c r="F808" s="7" t="s">
        <v>46</v>
      </c>
      <c r="G808" s="7" t="s">
        <v>80</v>
      </c>
      <c r="H808" s="7" t="s">
        <v>1903</v>
      </c>
      <c r="I808" s="7" t="s">
        <v>799</v>
      </c>
      <c r="J808" s="7" t="s">
        <v>43</v>
      </c>
      <c r="K808" s="7" t="s">
        <v>36</v>
      </c>
      <c r="L808" s="8">
        <v>40</v>
      </c>
      <c r="M808" s="7" t="s">
        <v>77</v>
      </c>
      <c r="N808" s="8">
        <v>17</v>
      </c>
      <c r="O808" s="8">
        <v>1</v>
      </c>
      <c r="P808" s="5">
        <v>478.23</v>
      </c>
      <c r="Q808" s="4">
        <v>45600</v>
      </c>
      <c r="R808" s="9">
        <v>0.33842592592592591</v>
      </c>
      <c r="S808" s="8">
        <v>16</v>
      </c>
      <c r="T808" s="7" t="s">
        <v>4457</v>
      </c>
      <c r="U808" s="7" t="s">
        <v>4455</v>
      </c>
      <c r="V8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09" spans="1:22" x14ac:dyDescent="0.35">
      <c r="A809" s="7" t="s">
        <v>2294</v>
      </c>
      <c r="B809" s="7" t="s">
        <v>1256</v>
      </c>
      <c r="C809" s="5">
        <v>668.67</v>
      </c>
      <c r="D809" s="2">
        <v>0.73478009259270038</v>
      </c>
      <c r="E809" s="4">
        <v>45237</v>
      </c>
      <c r="F809" s="7" t="s">
        <v>17</v>
      </c>
      <c r="G809" s="7" t="s">
        <v>73</v>
      </c>
      <c r="H809" s="7" t="s">
        <v>2295</v>
      </c>
      <c r="I809" s="7" t="s">
        <v>773</v>
      </c>
      <c r="J809" s="7" t="s">
        <v>62</v>
      </c>
      <c r="K809" s="7" t="s">
        <v>36</v>
      </c>
      <c r="L809" s="8">
        <v>44</v>
      </c>
      <c r="M809" s="7" t="s">
        <v>23</v>
      </c>
      <c r="N809" s="8">
        <v>143</v>
      </c>
      <c r="O809" s="8">
        <v>4</v>
      </c>
      <c r="P809" s="5">
        <v>13446.81</v>
      </c>
      <c r="Q809" s="4">
        <v>45600</v>
      </c>
      <c r="R809" s="9">
        <v>0.33783564814814815</v>
      </c>
      <c r="S809" s="8">
        <v>17</v>
      </c>
      <c r="T809" s="7" t="s">
        <v>4457</v>
      </c>
      <c r="U809" s="7" t="s">
        <v>4458</v>
      </c>
      <c r="V8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10" spans="1:22" x14ac:dyDescent="0.35">
      <c r="A810" s="7" t="s">
        <v>2296</v>
      </c>
      <c r="B810" s="7" t="s">
        <v>2297</v>
      </c>
      <c r="C810" s="5">
        <v>80.239999999999995</v>
      </c>
      <c r="D810" s="2">
        <v>0.72826388888643123</v>
      </c>
      <c r="E810" s="4">
        <v>45065</v>
      </c>
      <c r="F810" s="7" t="s">
        <v>46</v>
      </c>
      <c r="G810" s="7" t="s">
        <v>203</v>
      </c>
      <c r="H810" s="7" t="s">
        <v>1685</v>
      </c>
      <c r="I810" s="7" t="s">
        <v>2298</v>
      </c>
      <c r="J810" s="7" t="s">
        <v>1810</v>
      </c>
      <c r="K810" s="7" t="s">
        <v>69</v>
      </c>
      <c r="L810" s="8">
        <v>53</v>
      </c>
      <c r="M810" s="7" t="s">
        <v>23</v>
      </c>
      <c r="N810" s="8">
        <v>58</v>
      </c>
      <c r="O810" s="8">
        <v>1</v>
      </c>
      <c r="P810" s="5">
        <v>8012.81</v>
      </c>
      <c r="Q810" s="4">
        <v>45600</v>
      </c>
      <c r="R810" s="9">
        <v>0.34181712962962962</v>
      </c>
      <c r="S810" s="8">
        <v>17</v>
      </c>
      <c r="T810" s="7" t="s">
        <v>4457</v>
      </c>
      <c r="U810" s="7" t="s">
        <v>4455</v>
      </c>
      <c r="V8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11" spans="1:22" x14ac:dyDescent="0.35">
      <c r="A811" s="7" t="s">
        <v>2299</v>
      </c>
      <c r="B811" s="7" t="s">
        <v>1806</v>
      </c>
      <c r="C811" s="5">
        <v>8.65</v>
      </c>
      <c r="D811" s="2">
        <v>0.6863310185217415</v>
      </c>
      <c r="E811" s="4">
        <v>45250</v>
      </c>
      <c r="F811" s="7" t="s">
        <v>17</v>
      </c>
      <c r="G811" s="7" t="s">
        <v>32</v>
      </c>
      <c r="H811" s="7" t="s">
        <v>2012</v>
      </c>
      <c r="I811" s="7" t="s">
        <v>1133</v>
      </c>
      <c r="J811" s="7" t="s">
        <v>406</v>
      </c>
      <c r="K811" s="7" t="s">
        <v>22</v>
      </c>
      <c r="L811" s="8">
        <v>68</v>
      </c>
      <c r="M811" s="7" t="s">
        <v>70</v>
      </c>
      <c r="N811" s="8">
        <v>198</v>
      </c>
      <c r="O811" s="8">
        <v>1</v>
      </c>
      <c r="P811" s="5">
        <v>4201.22</v>
      </c>
      <c r="Q811" s="4">
        <v>45600</v>
      </c>
      <c r="R811" s="9">
        <v>0.34137731481481481</v>
      </c>
      <c r="S811" s="8">
        <v>16</v>
      </c>
      <c r="T811" s="7" t="s">
        <v>4454</v>
      </c>
      <c r="U811" s="7" t="s">
        <v>4455</v>
      </c>
      <c r="V8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12" spans="1:22" x14ac:dyDescent="0.35">
      <c r="A812" s="7" t="s">
        <v>2300</v>
      </c>
      <c r="B812" s="7" t="s">
        <v>1765</v>
      </c>
      <c r="C812" s="5">
        <v>178.91</v>
      </c>
      <c r="D812" s="2">
        <v>0.69240740740497131</v>
      </c>
      <c r="E812" s="4">
        <v>45000</v>
      </c>
      <c r="F812" s="7" t="s">
        <v>17</v>
      </c>
      <c r="G812" s="7" t="s">
        <v>296</v>
      </c>
      <c r="H812" s="7" t="s">
        <v>2147</v>
      </c>
      <c r="I812" s="7" t="s">
        <v>194</v>
      </c>
      <c r="J812" s="7" t="s">
        <v>76</v>
      </c>
      <c r="K812" s="7" t="s">
        <v>22</v>
      </c>
      <c r="L812" s="8">
        <v>18</v>
      </c>
      <c r="M812" s="7" t="s">
        <v>37</v>
      </c>
      <c r="N812" s="8">
        <v>19</v>
      </c>
      <c r="O812" s="8">
        <v>1</v>
      </c>
      <c r="P812" s="5">
        <v>8870.89</v>
      </c>
      <c r="Q812" s="4">
        <v>45600</v>
      </c>
      <c r="R812" s="9">
        <v>0.33826388888888886</v>
      </c>
      <c r="S812" s="8">
        <v>16</v>
      </c>
      <c r="T812" s="7" t="s">
        <v>4456</v>
      </c>
      <c r="U812" s="7" t="s">
        <v>4455</v>
      </c>
      <c r="V8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13" spans="1:22" x14ac:dyDescent="0.35">
      <c r="A813" s="7" t="s">
        <v>2301</v>
      </c>
      <c r="B813" s="7" t="s">
        <v>725</v>
      </c>
      <c r="C813" s="5">
        <v>115.22</v>
      </c>
      <c r="D813" s="2">
        <v>0.71218750000116415</v>
      </c>
      <c r="E813" s="4">
        <v>45268</v>
      </c>
      <c r="F813" s="7" t="s">
        <v>17</v>
      </c>
      <c r="G813" s="7" t="s">
        <v>212</v>
      </c>
      <c r="H813" s="7" t="s">
        <v>2302</v>
      </c>
      <c r="I813" s="7" t="s">
        <v>1309</v>
      </c>
      <c r="J813" s="7" t="s">
        <v>370</v>
      </c>
      <c r="K813" s="7" t="s">
        <v>69</v>
      </c>
      <c r="L813" s="8">
        <v>27</v>
      </c>
      <c r="M813" s="7" t="s">
        <v>77</v>
      </c>
      <c r="N813" s="8">
        <v>108</v>
      </c>
      <c r="O813" s="8">
        <v>1</v>
      </c>
      <c r="P813" s="5">
        <v>906.2</v>
      </c>
      <c r="Q813" s="4">
        <v>45600</v>
      </c>
      <c r="R813" s="9">
        <v>0.33966435185185184</v>
      </c>
      <c r="S813" s="8">
        <v>17</v>
      </c>
      <c r="T813" s="7" t="s">
        <v>4456</v>
      </c>
      <c r="U813" s="7" t="s">
        <v>4455</v>
      </c>
      <c r="V8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14" spans="1:22" x14ac:dyDescent="0.35">
      <c r="A814" s="7" t="s">
        <v>2303</v>
      </c>
      <c r="B814" s="7" t="s">
        <v>1452</v>
      </c>
      <c r="C814" s="5">
        <v>161.63</v>
      </c>
      <c r="D814" s="2">
        <v>0.68939814814802958</v>
      </c>
      <c r="E814" s="4">
        <v>45285</v>
      </c>
      <c r="F814" s="7" t="s">
        <v>17</v>
      </c>
      <c r="G814" s="7" t="s">
        <v>223</v>
      </c>
      <c r="H814" s="7" t="s">
        <v>807</v>
      </c>
      <c r="I814" s="7" t="s">
        <v>1629</v>
      </c>
      <c r="J814" s="7" t="s">
        <v>543</v>
      </c>
      <c r="K814" s="7" t="s">
        <v>36</v>
      </c>
      <c r="L814" s="8">
        <v>46</v>
      </c>
      <c r="M814" s="7" t="s">
        <v>23</v>
      </c>
      <c r="N814" s="8">
        <v>276</v>
      </c>
      <c r="O814" s="8">
        <v>1</v>
      </c>
      <c r="P814" s="5">
        <v>9286.3700000000008</v>
      </c>
      <c r="Q814" s="4">
        <v>45600</v>
      </c>
      <c r="R814" s="9">
        <v>0.33913194444444444</v>
      </c>
      <c r="S814" s="8">
        <v>16</v>
      </c>
      <c r="T814" s="7" t="s">
        <v>4457</v>
      </c>
      <c r="U814" s="7" t="s">
        <v>4455</v>
      </c>
      <c r="V8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15" spans="1:22" x14ac:dyDescent="0.35">
      <c r="A815" s="7" t="s">
        <v>2304</v>
      </c>
      <c r="B815" s="7" t="s">
        <v>364</v>
      </c>
      <c r="C815" s="5">
        <v>542.75</v>
      </c>
      <c r="D815" s="2">
        <v>0.77002314815035788</v>
      </c>
      <c r="E815" s="4">
        <v>45267</v>
      </c>
      <c r="F815" s="7" t="s">
        <v>46</v>
      </c>
      <c r="G815" s="7" t="s">
        <v>80</v>
      </c>
      <c r="H815" s="7" t="s">
        <v>1108</v>
      </c>
      <c r="I815" s="7" t="s">
        <v>2305</v>
      </c>
      <c r="J815" s="7" t="s">
        <v>414</v>
      </c>
      <c r="K815" s="7" t="s">
        <v>69</v>
      </c>
      <c r="L815" s="8">
        <v>70</v>
      </c>
      <c r="M815" s="7" t="s">
        <v>70</v>
      </c>
      <c r="N815" s="8">
        <v>63</v>
      </c>
      <c r="O815" s="8">
        <v>1</v>
      </c>
      <c r="P815" s="5">
        <v>2224.08</v>
      </c>
      <c r="Q815" s="4">
        <v>45600</v>
      </c>
      <c r="R815" s="9">
        <v>0.3392013888888889</v>
      </c>
      <c r="S815" s="8">
        <v>18</v>
      </c>
      <c r="T815" s="7" t="s">
        <v>4454</v>
      </c>
      <c r="U815" s="7" t="s">
        <v>4455</v>
      </c>
      <c r="V8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16" spans="1:22" x14ac:dyDescent="0.35">
      <c r="A816" s="7" t="s">
        <v>2306</v>
      </c>
      <c r="B816" s="7" t="s">
        <v>1183</v>
      </c>
      <c r="C816" s="5">
        <v>317.47000000000003</v>
      </c>
      <c r="D816" s="2">
        <v>0.73025462962687016</v>
      </c>
      <c r="E816" s="4">
        <v>45047</v>
      </c>
      <c r="F816" s="7" t="s">
        <v>46</v>
      </c>
      <c r="G816" s="7" t="s">
        <v>285</v>
      </c>
      <c r="H816" s="7" t="s">
        <v>1916</v>
      </c>
      <c r="I816" s="7" t="s">
        <v>915</v>
      </c>
      <c r="J816" s="7" t="s">
        <v>160</v>
      </c>
      <c r="K816" s="7" t="s">
        <v>36</v>
      </c>
      <c r="L816" s="8">
        <v>67</v>
      </c>
      <c r="M816" s="7" t="s">
        <v>23</v>
      </c>
      <c r="N816" s="8">
        <v>16</v>
      </c>
      <c r="O816" s="8">
        <v>1</v>
      </c>
      <c r="P816" s="5">
        <v>14639.28</v>
      </c>
      <c r="Q816" s="4">
        <v>45600</v>
      </c>
      <c r="R816" s="9">
        <v>0.33886574074074072</v>
      </c>
      <c r="S816" s="8">
        <v>17</v>
      </c>
      <c r="T816" s="7" t="s">
        <v>4454</v>
      </c>
      <c r="U816" s="7" t="s">
        <v>4455</v>
      </c>
      <c r="V8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17" spans="1:22" x14ac:dyDescent="0.35">
      <c r="A817" s="7" t="s">
        <v>2307</v>
      </c>
      <c r="B817" s="7" t="s">
        <v>211</v>
      </c>
      <c r="C817" s="5">
        <v>280.99</v>
      </c>
      <c r="D817" s="2">
        <v>0.75209490740962792</v>
      </c>
      <c r="E817" s="4">
        <v>44977</v>
      </c>
      <c r="F817" s="7" t="s">
        <v>17</v>
      </c>
      <c r="G817" s="7" t="s">
        <v>26</v>
      </c>
      <c r="H817" s="7" t="s">
        <v>873</v>
      </c>
      <c r="I817" s="7" t="s">
        <v>1925</v>
      </c>
      <c r="J817" s="7" t="s">
        <v>1287</v>
      </c>
      <c r="K817" s="7" t="s">
        <v>69</v>
      </c>
      <c r="L817" s="8">
        <v>45</v>
      </c>
      <c r="M817" s="7" t="s">
        <v>77</v>
      </c>
      <c r="N817" s="8">
        <v>29</v>
      </c>
      <c r="O817" s="8">
        <v>1</v>
      </c>
      <c r="P817" s="5">
        <v>9733.59</v>
      </c>
      <c r="Q817" s="4">
        <v>45600</v>
      </c>
      <c r="R817" s="9">
        <v>0.33847222222222223</v>
      </c>
      <c r="S817" s="8">
        <v>18</v>
      </c>
      <c r="T817" s="7" t="s">
        <v>4457</v>
      </c>
      <c r="U817" s="7" t="s">
        <v>4455</v>
      </c>
      <c r="V8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18" spans="1:22" x14ac:dyDescent="0.35">
      <c r="A818" s="7" t="s">
        <v>2308</v>
      </c>
      <c r="B818" s="7" t="s">
        <v>2309</v>
      </c>
      <c r="C818" s="5">
        <v>24.19</v>
      </c>
      <c r="D818" s="2">
        <v>0.73134259258949896</v>
      </c>
      <c r="E818" s="4">
        <v>44965</v>
      </c>
      <c r="F818" s="7" t="s">
        <v>17</v>
      </c>
      <c r="G818" s="7" t="s">
        <v>18</v>
      </c>
      <c r="H818" s="7" t="s">
        <v>1971</v>
      </c>
      <c r="I818" s="7" t="s">
        <v>276</v>
      </c>
      <c r="J818" s="7" t="s">
        <v>885</v>
      </c>
      <c r="K818" s="7" t="s">
        <v>22</v>
      </c>
      <c r="L818" s="8">
        <v>29</v>
      </c>
      <c r="M818" s="7" t="s">
        <v>77</v>
      </c>
      <c r="N818" s="8">
        <v>28</v>
      </c>
      <c r="O818" s="8">
        <v>1</v>
      </c>
      <c r="P818" s="5">
        <v>2756.2</v>
      </c>
      <c r="Q818" s="4">
        <v>45600</v>
      </c>
      <c r="R818" s="9">
        <v>0.33849537037037036</v>
      </c>
      <c r="S818" s="8">
        <v>17</v>
      </c>
      <c r="T818" s="7" t="s">
        <v>4456</v>
      </c>
      <c r="U818" s="7" t="s">
        <v>4455</v>
      </c>
      <c r="V8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19" spans="1:22" x14ac:dyDescent="0.35">
      <c r="A819" s="7" t="s">
        <v>2310</v>
      </c>
      <c r="B819" s="7" t="s">
        <v>2311</v>
      </c>
      <c r="C819" s="5">
        <v>586.85</v>
      </c>
      <c r="D819" s="2">
        <v>0.70656250000320142</v>
      </c>
      <c r="E819" s="4">
        <v>45153</v>
      </c>
      <c r="F819" s="7" t="s">
        <v>17</v>
      </c>
      <c r="G819" s="7" t="s">
        <v>32</v>
      </c>
      <c r="H819" s="7" t="s">
        <v>2312</v>
      </c>
      <c r="I819" s="7" t="s">
        <v>199</v>
      </c>
      <c r="J819" s="7" t="s">
        <v>240</v>
      </c>
      <c r="K819" s="7" t="s">
        <v>22</v>
      </c>
      <c r="L819" s="8">
        <v>36</v>
      </c>
      <c r="M819" s="7" t="s">
        <v>23</v>
      </c>
      <c r="N819" s="8">
        <v>86</v>
      </c>
      <c r="O819" s="8">
        <v>1</v>
      </c>
      <c r="P819" s="5">
        <v>6655.15</v>
      </c>
      <c r="Q819" s="4">
        <v>45600</v>
      </c>
      <c r="R819" s="9">
        <v>0.34187499999999998</v>
      </c>
      <c r="S819" s="8">
        <v>16</v>
      </c>
      <c r="T819" s="7" t="s">
        <v>4457</v>
      </c>
      <c r="U819" s="7" t="s">
        <v>4455</v>
      </c>
      <c r="V8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20" spans="1:22" x14ac:dyDescent="0.35">
      <c r="A820" s="7" t="s">
        <v>2313</v>
      </c>
      <c r="B820" s="7" t="s">
        <v>1066</v>
      </c>
      <c r="C820" s="5">
        <v>372.41</v>
      </c>
      <c r="D820" s="2">
        <v>0.75851851851621177</v>
      </c>
      <c r="E820" s="4">
        <v>45096</v>
      </c>
      <c r="F820" s="7" t="s">
        <v>17</v>
      </c>
      <c r="G820" s="7" t="s">
        <v>18</v>
      </c>
      <c r="H820" s="7" t="s">
        <v>1891</v>
      </c>
      <c r="I820" s="7" t="s">
        <v>2314</v>
      </c>
      <c r="J820" s="7" t="s">
        <v>769</v>
      </c>
      <c r="K820" s="7" t="s">
        <v>22</v>
      </c>
      <c r="L820" s="8">
        <v>55</v>
      </c>
      <c r="M820" s="7" t="s">
        <v>70</v>
      </c>
      <c r="N820" s="8">
        <v>143</v>
      </c>
      <c r="O820" s="8">
        <v>1</v>
      </c>
      <c r="P820" s="5">
        <v>3233.87</v>
      </c>
      <c r="Q820" s="4">
        <v>45600</v>
      </c>
      <c r="R820" s="9">
        <v>0.33789351851851851</v>
      </c>
      <c r="S820" s="8">
        <v>18</v>
      </c>
      <c r="T820" s="7" t="s">
        <v>4454</v>
      </c>
      <c r="U820" s="7" t="s">
        <v>4455</v>
      </c>
      <c r="V8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21" spans="1:22" x14ac:dyDescent="0.35">
      <c r="A821" s="7" t="s">
        <v>2315</v>
      </c>
      <c r="B821" s="7" t="s">
        <v>872</v>
      </c>
      <c r="C821" s="5">
        <v>63.17</v>
      </c>
      <c r="D821" s="2">
        <v>0.77010416666598758</v>
      </c>
      <c r="E821" s="4">
        <v>45132</v>
      </c>
      <c r="F821" s="7" t="s">
        <v>17</v>
      </c>
      <c r="G821" s="7" t="s">
        <v>558</v>
      </c>
      <c r="H821" s="7" t="s">
        <v>517</v>
      </c>
      <c r="I821" s="7" t="s">
        <v>2316</v>
      </c>
      <c r="J821" s="7" t="s">
        <v>137</v>
      </c>
      <c r="K821" s="7" t="s">
        <v>22</v>
      </c>
      <c r="L821" s="8">
        <v>20</v>
      </c>
      <c r="M821" s="7" t="s">
        <v>37</v>
      </c>
      <c r="N821" s="8">
        <v>148</v>
      </c>
      <c r="O821" s="8">
        <v>1</v>
      </c>
      <c r="P821" s="5">
        <v>1676.57</v>
      </c>
      <c r="Q821" s="4">
        <v>45600</v>
      </c>
      <c r="R821" s="9">
        <v>0.33840277777777777</v>
      </c>
      <c r="S821" s="8">
        <v>18</v>
      </c>
      <c r="T821" s="7" t="s">
        <v>4456</v>
      </c>
      <c r="U821" s="7" t="s">
        <v>4455</v>
      </c>
      <c r="V8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22" spans="1:22" x14ac:dyDescent="0.35">
      <c r="A822" s="7" t="s">
        <v>2317</v>
      </c>
      <c r="B822" s="7" t="s">
        <v>889</v>
      </c>
      <c r="C822" s="5">
        <v>383.69</v>
      </c>
      <c r="D822" s="2">
        <v>0.71259259259386454</v>
      </c>
      <c r="E822" s="4">
        <v>45230</v>
      </c>
      <c r="F822" s="7" t="s">
        <v>17</v>
      </c>
      <c r="G822" s="7" t="s">
        <v>521</v>
      </c>
      <c r="H822" s="7" t="s">
        <v>2318</v>
      </c>
      <c r="I822" s="7" t="s">
        <v>2319</v>
      </c>
      <c r="J822" s="7" t="s">
        <v>331</v>
      </c>
      <c r="K822" s="7" t="s">
        <v>36</v>
      </c>
      <c r="L822" s="8">
        <v>54</v>
      </c>
      <c r="M822" s="7" t="s">
        <v>77</v>
      </c>
      <c r="N822" s="8">
        <v>285</v>
      </c>
      <c r="O822" s="8">
        <v>1</v>
      </c>
      <c r="P822" s="5">
        <v>8371.11</v>
      </c>
      <c r="Q822" s="4">
        <v>45600</v>
      </c>
      <c r="R822" s="9">
        <v>0.34031250000000002</v>
      </c>
      <c r="S822" s="8">
        <v>17</v>
      </c>
      <c r="T822" s="7" t="s">
        <v>4457</v>
      </c>
      <c r="U822" s="7" t="s">
        <v>4455</v>
      </c>
      <c r="V8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23" spans="1:22" x14ac:dyDescent="0.35">
      <c r="A823" s="7" t="s">
        <v>2320</v>
      </c>
      <c r="B823" s="7" t="s">
        <v>1190</v>
      </c>
      <c r="C823" s="5">
        <v>247.17</v>
      </c>
      <c r="D823" s="2">
        <v>0.74924768518394558</v>
      </c>
      <c r="E823" s="4">
        <v>45068</v>
      </c>
      <c r="F823" s="7" t="s">
        <v>46</v>
      </c>
      <c r="G823" s="7" t="s">
        <v>265</v>
      </c>
      <c r="H823" s="7" t="s">
        <v>2114</v>
      </c>
      <c r="I823" s="7" t="s">
        <v>1551</v>
      </c>
      <c r="J823" s="7" t="s">
        <v>1287</v>
      </c>
      <c r="K823" s="7" t="s">
        <v>69</v>
      </c>
      <c r="L823" s="8">
        <v>65</v>
      </c>
      <c r="M823" s="7" t="s">
        <v>70</v>
      </c>
      <c r="N823" s="8">
        <v>149</v>
      </c>
      <c r="O823" s="8">
        <v>1</v>
      </c>
      <c r="P823" s="5">
        <v>2611.64</v>
      </c>
      <c r="Q823" s="4">
        <v>45600</v>
      </c>
      <c r="R823" s="9">
        <v>0.33869212962962963</v>
      </c>
      <c r="S823" s="8">
        <v>17</v>
      </c>
      <c r="T823" s="7" t="s">
        <v>4454</v>
      </c>
      <c r="U823" s="7" t="s">
        <v>4455</v>
      </c>
      <c r="V8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24" spans="1:22" x14ac:dyDescent="0.35">
      <c r="A824" s="7" t="s">
        <v>2321</v>
      </c>
      <c r="B824" s="7" t="s">
        <v>1398</v>
      </c>
      <c r="C824" s="5">
        <v>48.78</v>
      </c>
      <c r="D824" s="2">
        <v>0.69700231481692754</v>
      </c>
      <c r="E824" s="4">
        <v>45149</v>
      </c>
      <c r="F824" s="7" t="s">
        <v>46</v>
      </c>
      <c r="G824" s="7" t="s">
        <v>291</v>
      </c>
      <c r="H824" s="7" t="s">
        <v>2322</v>
      </c>
      <c r="I824" s="7" t="s">
        <v>1490</v>
      </c>
      <c r="J824" s="7" t="s">
        <v>598</v>
      </c>
      <c r="K824" s="7" t="s">
        <v>69</v>
      </c>
      <c r="L824" s="8">
        <v>18</v>
      </c>
      <c r="M824" s="7" t="s">
        <v>37</v>
      </c>
      <c r="N824" s="8">
        <v>136</v>
      </c>
      <c r="O824" s="8">
        <v>1</v>
      </c>
      <c r="P824" s="5">
        <v>552.05999999999995</v>
      </c>
      <c r="Q824" s="4">
        <v>45600</v>
      </c>
      <c r="R824" s="9">
        <v>0.34040509259259261</v>
      </c>
      <c r="S824" s="8">
        <v>16</v>
      </c>
      <c r="T824" s="7" t="s">
        <v>4456</v>
      </c>
      <c r="U824" s="7" t="s">
        <v>4455</v>
      </c>
      <c r="V8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25" spans="1:22" x14ac:dyDescent="0.35">
      <c r="A825" s="7" t="s">
        <v>2323</v>
      </c>
      <c r="B825" s="7" t="s">
        <v>1438</v>
      </c>
      <c r="C825" s="5">
        <v>4.1500000000000004</v>
      </c>
      <c r="D825" s="2">
        <v>0.69072916666482342</v>
      </c>
      <c r="E825" s="4">
        <v>45218</v>
      </c>
      <c r="F825" s="7" t="s">
        <v>46</v>
      </c>
      <c r="G825" s="7" t="s">
        <v>296</v>
      </c>
      <c r="H825" s="7" t="s">
        <v>939</v>
      </c>
      <c r="I825" s="7" t="s">
        <v>1571</v>
      </c>
      <c r="J825" s="7" t="s">
        <v>62</v>
      </c>
      <c r="K825" s="7" t="s">
        <v>69</v>
      </c>
      <c r="L825" s="8">
        <v>60</v>
      </c>
      <c r="M825" s="7" t="s">
        <v>70</v>
      </c>
      <c r="N825" s="8">
        <v>119</v>
      </c>
      <c r="O825" s="8">
        <v>1</v>
      </c>
      <c r="P825" s="5">
        <v>6017.36</v>
      </c>
      <c r="Q825" s="4">
        <v>45600</v>
      </c>
      <c r="R825" s="9">
        <v>0.34013888888888888</v>
      </c>
      <c r="S825" s="8">
        <v>16</v>
      </c>
      <c r="T825" s="7" t="s">
        <v>4454</v>
      </c>
      <c r="U825" s="7" t="s">
        <v>4455</v>
      </c>
      <c r="V8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26" spans="1:22" x14ac:dyDescent="0.35">
      <c r="A826" s="7" t="s">
        <v>2324</v>
      </c>
      <c r="B826" s="7" t="s">
        <v>364</v>
      </c>
      <c r="C826" s="5">
        <v>60.99</v>
      </c>
      <c r="D826" s="2">
        <v>0.71825231481489027</v>
      </c>
      <c r="E826" s="4">
        <v>45139</v>
      </c>
      <c r="F826" s="7" t="s">
        <v>17</v>
      </c>
      <c r="G826" s="7" t="s">
        <v>53</v>
      </c>
      <c r="H826" s="7" t="s">
        <v>1028</v>
      </c>
      <c r="I826" s="7" t="s">
        <v>2325</v>
      </c>
      <c r="J826" s="7" t="s">
        <v>980</v>
      </c>
      <c r="K826" s="7" t="s">
        <v>69</v>
      </c>
      <c r="L826" s="8">
        <v>34</v>
      </c>
      <c r="M826" s="7" t="s">
        <v>77</v>
      </c>
      <c r="N826" s="8">
        <v>58</v>
      </c>
      <c r="O826" s="8">
        <v>1</v>
      </c>
      <c r="P826" s="5">
        <v>7281.46</v>
      </c>
      <c r="Q826" s="4">
        <v>45600</v>
      </c>
      <c r="R826" s="9">
        <v>0.33878472222222222</v>
      </c>
      <c r="S826" s="8">
        <v>17</v>
      </c>
      <c r="T826" s="7" t="s">
        <v>4456</v>
      </c>
      <c r="U826" s="7" t="s">
        <v>4455</v>
      </c>
      <c r="V8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27" spans="1:22" x14ac:dyDescent="0.35">
      <c r="A827" s="7" t="s">
        <v>2326</v>
      </c>
      <c r="B827" s="7" t="s">
        <v>804</v>
      </c>
      <c r="C827" s="5">
        <v>408.19</v>
      </c>
      <c r="D827" s="2">
        <v>0.70009259258949896</v>
      </c>
      <c r="E827" s="4">
        <v>45275</v>
      </c>
      <c r="F827" s="7" t="s">
        <v>17</v>
      </c>
      <c r="G827" s="7" t="s">
        <v>32</v>
      </c>
      <c r="H827" s="7" t="s">
        <v>670</v>
      </c>
      <c r="I827" s="7" t="s">
        <v>2327</v>
      </c>
      <c r="J827" s="7" t="s">
        <v>858</v>
      </c>
      <c r="K827" s="7" t="s">
        <v>69</v>
      </c>
      <c r="L827" s="8">
        <v>26</v>
      </c>
      <c r="M827" s="7" t="s">
        <v>77</v>
      </c>
      <c r="N827" s="8">
        <v>241</v>
      </c>
      <c r="O827" s="8">
        <v>1</v>
      </c>
      <c r="P827" s="5">
        <v>6847.47</v>
      </c>
      <c r="Q827" s="4">
        <v>45600</v>
      </c>
      <c r="R827" s="9">
        <v>0.33922453703703703</v>
      </c>
      <c r="S827" s="8">
        <v>16</v>
      </c>
      <c r="T827" s="7" t="s">
        <v>4456</v>
      </c>
      <c r="U827" s="7" t="s">
        <v>4455</v>
      </c>
      <c r="V8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28" spans="1:22" x14ac:dyDescent="0.35">
      <c r="A828" s="7" t="s">
        <v>2328</v>
      </c>
      <c r="B828" s="7" t="s">
        <v>1381</v>
      </c>
      <c r="C828" s="5">
        <v>524.6</v>
      </c>
      <c r="D828" s="2">
        <v>0.73442129629984265</v>
      </c>
      <c r="E828" s="4">
        <v>45023</v>
      </c>
      <c r="F828" s="7" t="s">
        <v>17</v>
      </c>
      <c r="G828" s="7" t="s">
        <v>506</v>
      </c>
      <c r="H828" s="7" t="s">
        <v>1555</v>
      </c>
      <c r="I828" s="7" t="s">
        <v>563</v>
      </c>
      <c r="J828" s="7" t="s">
        <v>43</v>
      </c>
      <c r="K828" s="7" t="s">
        <v>69</v>
      </c>
      <c r="L828" s="8">
        <v>58</v>
      </c>
      <c r="M828" s="7" t="s">
        <v>23</v>
      </c>
      <c r="N828" s="8">
        <v>76</v>
      </c>
      <c r="O828" s="8">
        <v>1</v>
      </c>
      <c r="P828" s="5">
        <v>13017.7</v>
      </c>
      <c r="Q828" s="4">
        <v>45600</v>
      </c>
      <c r="R828" s="9">
        <v>0.34011574074074075</v>
      </c>
      <c r="S828" s="8">
        <v>17</v>
      </c>
      <c r="T828" s="7" t="s">
        <v>4454</v>
      </c>
      <c r="U828" s="7" t="s">
        <v>4455</v>
      </c>
      <c r="V8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29" spans="1:22" x14ac:dyDescent="0.35">
      <c r="A829" s="7" t="s">
        <v>2329</v>
      </c>
      <c r="B829" s="7" t="s">
        <v>2330</v>
      </c>
      <c r="C829" s="5">
        <v>108.96</v>
      </c>
      <c r="D829" s="2">
        <v>0.75841435185429873</v>
      </c>
      <c r="E829" s="4">
        <v>45209</v>
      </c>
      <c r="F829" s="7" t="s">
        <v>17</v>
      </c>
      <c r="G829" s="7" t="s">
        <v>178</v>
      </c>
      <c r="H829" s="7" t="s">
        <v>2331</v>
      </c>
      <c r="I829" s="7" t="s">
        <v>2206</v>
      </c>
      <c r="J829" s="7" t="s">
        <v>272</v>
      </c>
      <c r="K829" s="7" t="s">
        <v>22</v>
      </c>
      <c r="L829" s="8">
        <v>26</v>
      </c>
      <c r="M829" s="7" t="s">
        <v>37</v>
      </c>
      <c r="N829" s="8">
        <v>247</v>
      </c>
      <c r="O829" s="8">
        <v>1</v>
      </c>
      <c r="P829" s="5">
        <v>7597.66</v>
      </c>
      <c r="Q829" s="4">
        <v>45600</v>
      </c>
      <c r="R829" s="9">
        <v>0.33796296296296297</v>
      </c>
      <c r="S829" s="8">
        <v>18</v>
      </c>
      <c r="T829" s="7" t="s">
        <v>4456</v>
      </c>
      <c r="U829" s="7" t="s">
        <v>4455</v>
      </c>
      <c r="V8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0" spans="1:22" x14ac:dyDescent="0.35">
      <c r="A830" s="7" t="s">
        <v>2332</v>
      </c>
      <c r="B830" s="7" t="s">
        <v>892</v>
      </c>
      <c r="C830" s="5">
        <v>70.03</v>
      </c>
      <c r="D830" s="2">
        <v>0.77399305555445608</v>
      </c>
      <c r="E830" s="4">
        <v>45278</v>
      </c>
      <c r="F830" s="7" t="s">
        <v>17</v>
      </c>
      <c r="G830" s="7" t="s">
        <v>80</v>
      </c>
      <c r="H830" s="7" t="s">
        <v>2333</v>
      </c>
      <c r="I830" s="7" t="s">
        <v>2044</v>
      </c>
      <c r="J830" s="7" t="s">
        <v>89</v>
      </c>
      <c r="K830" s="7" t="s">
        <v>69</v>
      </c>
      <c r="L830" s="8">
        <v>63</v>
      </c>
      <c r="M830" s="7" t="s">
        <v>70</v>
      </c>
      <c r="N830" s="8">
        <v>49</v>
      </c>
      <c r="O830" s="8">
        <v>1</v>
      </c>
      <c r="P830" s="5">
        <v>7330.31</v>
      </c>
      <c r="Q830" s="4">
        <v>45600</v>
      </c>
      <c r="R830" s="9">
        <v>0.33883101851851855</v>
      </c>
      <c r="S830" s="8">
        <v>18</v>
      </c>
      <c r="T830" s="7" t="s">
        <v>4454</v>
      </c>
      <c r="U830" s="7" t="s">
        <v>4455</v>
      </c>
      <c r="V8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1" spans="1:22" x14ac:dyDescent="0.35">
      <c r="A831" s="7" t="s">
        <v>2334</v>
      </c>
      <c r="B831" s="7" t="s">
        <v>1096</v>
      </c>
      <c r="C831" s="5">
        <v>124.84</v>
      </c>
      <c r="D831" s="2">
        <v>0.73937499999738066</v>
      </c>
      <c r="E831" s="4">
        <v>45191</v>
      </c>
      <c r="F831" s="7" t="s">
        <v>17</v>
      </c>
      <c r="G831" s="7" t="s">
        <v>108</v>
      </c>
      <c r="H831" s="7" t="s">
        <v>1148</v>
      </c>
      <c r="I831" s="7" t="s">
        <v>503</v>
      </c>
      <c r="J831" s="7" t="s">
        <v>267</v>
      </c>
      <c r="K831" s="7" t="s">
        <v>36</v>
      </c>
      <c r="L831" s="8">
        <v>52</v>
      </c>
      <c r="M831" s="7" t="s">
        <v>70</v>
      </c>
      <c r="N831" s="8">
        <v>79</v>
      </c>
      <c r="O831" s="8">
        <v>1</v>
      </c>
      <c r="P831" s="5">
        <v>6711.78</v>
      </c>
      <c r="Q831" s="4">
        <v>45600</v>
      </c>
      <c r="R831" s="9">
        <v>0.34129629629629632</v>
      </c>
      <c r="S831" s="8">
        <v>17</v>
      </c>
      <c r="T831" s="7" t="s">
        <v>4457</v>
      </c>
      <c r="U831" s="7" t="s">
        <v>4455</v>
      </c>
      <c r="V8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2" spans="1:22" x14ac:dyDescent="0.35">
      <c r="A832" s="7" t="s">
        <v>2335</v>
      </c>
      <c r="B832" s="7" t="s">
        <v>993</v>
      </c>
      <c r="C832" s="5">
        <v>324.04000000000002</v>
      </c>
      <c r="D832" s="2">
        <v>0.70075231481314404</v>
      </c>
      <c r="E832" s="4">
        <v>45112</v>
      </c>
      <c r="F832" s="7" t="s">
        <v>17</v>
      </c>
      <c r="G832" s="7" t="s">
        <v>301</v>
      </c>
      <c r="H832" s="7" t="s">
        <v>311</v>
      </c>
      <c r="I832" s="7" t="s">
        <v>2336</v>
      </c>
      <c r="J832" s="7" t="s">
        <v>169</v>
      </c>
      <c r="K832" s="7" t="s">
        <v>22</v>
      </c>
      <c r="L832" s="8">
        <v>54</v>
      </c>
      <c r="M832" s="7" t="s">
        <v>70</v>
      </c>
      <c r="N832" s="8">
        <v>30</v>
      </c>
      <c r="O832" s="8">
        <v>1</v>
      </c>
      <c r="P832" s="5">
        <v>2248.06</v>
      </c>
      <c r="Q832" s="4">
        <v>45600</v>
      </c>
      <c r="R832" s="9">
        <v>0.3389699074074074</v>
      </c>
      <c r="S832" s="8">
        <v>16</v>
      </c>
      <c r="T832" s="7" t="s">
        <v>4457</v>
      </c>
      <c r="U832" s="7" t="s">
        <v>4455</v>
      </c>
      <c r="V8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33" spans="1:22" x14ac:dyDescent="0.35">
      <c r="A833" s="7" t="s">
        <v>2337</v>
      </c>
      <c r="B833" s="7" t="s">
        <v>1200</v>
      </c>
      <c r="C833" s="5">
        <v>39.69</v>
      </c>
      <c r="D833" s="2">
        <v>0.71975694444699911</v>
      </c>
      <c r="E833" s="4">
        <v>45040</v>
      </c>
      <c r="F833" s="7" t="s">
        <v>17</v>
      </c>
      <c r="G833" s="7" t="s">
        <v>119</v>
      </c>
      <c r="H833" s="7" t="s">
        <v>1434</v>
      </c>
      <c r="I833" s="7" t="s">
        <v>1477</v>
      </c>
      <c r="J833" s="7" t="s">
        <v>548</v>
      </c>
      <c r="K833" s="7" t="s">
        <v>36</v>
      </c>
      <c r="L833" s="8">
        <v>70</v>
      </c>
      <c r="M833" s="7" t="s">
        <v>70</v>
      </c>
      <c r="N833" s="8">
        <v>163</v>
      </c>
      <c r="O833" s="8">
        <v>1</v>
      </c>
      <c r="P833" s="5">
        <v>3524.68</v>
      </c>
      <c r="Q833" s="4">
        <v>45600</v>
      </c>
      <c r="R833" s="9">
        <v>0.33870370370370373</v>
      </c>
      <c r="S833" s="8">
        <v>17</v>
      </c>
      <c r="T833" s="7" t="s">
        <v>4454</v>
      </c>
      <c r="U833" s="7" t="s">
        <v>4455</v>
      </c>
      <c r="V8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4" spans="1:22" x14ac:dyDescent="0.35">
      <c r="A834" s="7" t="s">
        <v>2338</v>
      </c>
      <c r="B834" s="7" t="s">
        <v>1229</v>
      </c>
      <c r="C834" s="5">
        <v>157.69999999999999</v>
      </c>
      <c r="D834" s="2">
        <v>0.72864583333284827</v>
      </c>
      <c r="E834" s="4">
        <v>45261</v>
      </c>
      <c r="F834" s="7" t="s">
        <v>46</v>
      </c>
      <c r="G834" s="7" t="s">
        <v>296</v>
      </c>
      <c r="H834" s="7" t="s">
        <v>1931</v>
      </c>
      <c r="I834" s="7" t="s">
        <v>894</v>
      </c>
      <c r="J834" s="7" t="s">
        <v>62</v>
      </c>
      <c r="K834" s="7" t="s">
        <v>69</v>
      </c>
      <c r="L834" s="8">
        <v>58</v>
      </c>
      <c r="M834" s="7" t="s">
        <v>77</v>
      </c>
      <c r="N834" s="8">
        <v>46</v>
      </c>
      <c r="O834" s="8">
        <v>1</v>
      </c>
      <c r="P834" s="5">
        <v>8332.58</v>
      </c>
      <c r="Q834" s="4">
        <v>45600</v>
      </c>
      <c r="R834" s="9">
        <v>0.34097222222222223</v>
      </c>
      <c r="S834" s="8">
        <v>17</v>
      </c>
      <c r="T834" s="7" t="s">
        <v>4454</v>
      </c>
      <c r="U834" s="7" t="s">
        <v>4455</v>
      </c>
      <c r="V8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5" spans="1:22" x14ac:dyDescent="0.35">
      <c r="A835" s="7" t="s">
        <v>2339</v>
      </c>
      <c r="B835" s="7" t="s">
        <v>1052</v>
      </c>
      <c r="C835" s="5">
        <v>81.27</v>
      </c>
      <c r="D835" s="2">
        <v>0.69206018518161727</v>
      </c>
      <c r="E835" s="4">
        <v>45237</v>
      </c>
      <c r="F835" s="7" t="s">
        <v>46</v>
      </c>
      <c r="G835" s="7" t="s">
        <v>59</v>
      </c>
      <c r="H835" s="7" t="s">
        <v>2340</v>
      </c>
      <c r="I835" s="7" t="s">
        <v>1953</v>
      </c>
      <c r="J835" s="7" t="s">
        <v>267</v>
      </c>
      <c r="K835" s="7" t="s">
        <v>36</v>
      </c>
      <c r="L835" s="8">
        <v>22</v>
      </c>
      <c r="M835" s="7" t="s">
        <v>37</v>
      </c>
      <c r="N835" s="8">
        <v>68</v>
      </c>
      <c r="O835" s="8">
        <v>1</v>
      </c>
      <c r="P835" s="5">
        <v>1814.48</v>
      </c>
      <c r="Q835" s="4">
        <v>45600</v>
      </c>
      <c r="R835" s="9">
        <v>0.34082175925925928</v>
      </c>
      <c r="S835" s="8">
        <v>16</v>
      </c>
      <c r="T835" s="7" t="s">
        <v>4456</v>
      </c>
      <c r="U835" s="7" t="s">
        <v>4455</v>
      </c>
      <c r="V8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36" spans="1:22" x14ac:dyDescent="0.35">
      <c r="A836" s="7" t="s">
        <v>2341</v>
      </c>
      <c r="B836" s="7" t="s">
        <v>529</v>
      </c>
      <c r="C836" s="5">
        <v>193.82</v>
      </c>
      <c r="D836" s="2">
        <v>0.74497685184906004</v>
      </c>
      <c r="E836" s="4">
        <v>45036</v>
      </c>
      <c r="F836" s="7" t="s">
        <v>17</v>
      </c>
      <c r="G836" s="7" t="s">
        <v>291</v>
      </c>
      <c r="H836" s="7" t="s">
        <v>902</v>
      </c>
      <c r="I836" s="7" t="s">
        <v>1669</v>
      </c>
      <c r="J836" s="7" t="s">
        <v>564</v>
      </c>
      <c r="K836" s="7" t="s">
        <v>69</v>
      </c>
      <c r="L836" s="8">
        <v>37</v>
      </c>
      <c r="M836" s="7" t="s">
        <v>77</v>
      </c>
      <c r="N836" s="8">
        <v>176</v>
      </c>
      <c r="O836" s="8">
        <v>1</v>
      </c>
      <c r="P836" s="5">
        <v>3886.77</v>
      </c>
      <c r="Q836" s="4">
        <v>45600</v>
      </c>
      <c r="R836" s="9">
        <v>0.34177083333333336</v>
      </c>
      <c r="S836" s="8">
        <v>17</v>
      </c>
      <c r="T836" s="7" t="s">
        <v>4457</v>
      </c>
      <c r="U836" s="7" t="s">
        <v>4455</v>
      </c>
      <c r="V8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7" spans="1:22" x14ac:dyDescent="0.35">
      <c r="A837" s="7" t="s">
        <v>2342</v>
      </c>
      <c r="B837" s="7" t="s">
        <v>1927</v>
      </c>
      <c r="C837" s="5">
        <v>16.73</v>
      </c>
      <c r="D837" s="2">
        <v>0.742083333330811</v>
      </c>
      <c r="E837" s="4">
        <v>45260</v>
      </c>
      <c r="F837" s="7" t="s">
        <v>17</v>
      </c>
      <c r="G837" s="7" t="s">
        <v>296</v>
      </c>
      <c r="H837" s="7" t="s">
        <v>1498</v>
      </c>
      <c r="I837" s="7" t="s">
        <v>963</v>
      </c>
      <c r="J837" s="7" t="s">
        <v>154</v>
      </c>
      <c r="K837" s="7" t="s">
        <v>36</v>
      </c>
      <c r="L837" s="8">
        <v>79</v>
      </c>
      <c r="M837" s="7" t="s">
        <v>70</v>
      </c>
      <c r="N837" s="8">
        <v>165</v>
      </c>
      <c r="O837" s="8">
        <v>1</v>
      </c>
      <c r="P837" s="5">
        <v>7591.13</v>
      </c>
      <c r="Q837" s="4">
        <v>45600</v>
      </c>
      <c r="R837" s="9">
        <v>0.33893518518518517</v>
      </c>
      <c r="S837" s="8">
        <v>17</v>
      </c>
      <c r="T837" s="7" t="s">
        <v>4454</v>
      </c>
      <c r="U837" s="7" t="s">
        <v>4455</v>
      </c>
      <c r="V8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8" spans="1:22" x14ac:dyDescent="0.35">
      <c r="A838" s="7" t="s">
        <v>2343</v>
      </c>
      <c r="B838" s="7" t="s">
        <v>488</v>
      </c>
      <c r="C838" s="5">
        <v>474.05</v>
      </c>
      <c r="D838" s="2">
        <v>0.77126157407474238</v>
      </c>
      <c r="E838" s="4">
        <v>45148</v>
      </c>
      <c r="F838" s="7" t="s">
        <v>17</v>
      </c>
      <c r="G838" s="7" t="s">
        <v>223</v>
      </c>
      <c r="H838" s="7" t="s">
        <v>1937</v>
      </c>
      <c r="I838" s="7" t="s">
        <v>1910</v>
      </c>
      <c r="J838" s="7" t="s">
        <v>1000</v>
      </c>
      <c r="K838" s="7" t="s">
        <v>22</v>
      </c>
      <c r="L838" s="8">
        <v>57</v>
      </c>
      <c r="M838" s="7" t="s">
        <v>70</v>
      </c>
      <c r="N838" s="8">
        <v>214</v>
      </c>
      <c r="O838" s="8">
        <v>1</v>
      </c>
      <c r="P838" s="5">
        <v>1484.31</v>
      </c>
      <c r="Q838" s="4">
        <v>45600</v>
      </c>
      <c r="R838" s="9">
        <v>0.34081018518518519</v>
      </c>
      <c r="S838" s="8">
        <v>18</v>
      </c>
      <c r="T838" s="7" t="s">
        <v>4454</v>
      </c>
      <c r="U838" s="7" t="s">
        <v>4455</v>
      </c>
      <c r="V8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39" spans="1:22" x14ac:dyDescent="0.35">
      <c r="A839" s="7" t="s">
        <v>2344</v>
      </c>
      <c r="B839" s="7" t="s">
        <v>2345</v>
      </c>
      <c r="C839" s="5">
        <v>39.21</v>
      </c>
      <c r="D839" s="2">
        <v>0.67744212962861639</v>
      </c>
      <c r="E839" s="4">
        <v>45056</v>
      </c>
      <c r="F839" s="7" t="s">
        <v>17</v>
      </c>
      <c r="G839" s="7" t="s">
        <v>172</v>
      </c>
      <c r="H839" s="7" t="s">
        <v>778</v>
      </c>
      <c r="I839" s="7" t="s">
        <v>2346</v>
      </c>
      <c r="J839" s="7" t="s">
        <v>482</v>
      </c>
      <c r="K839" s="7" t="s">
        <v>22</v>
      </c>
      <c r="L839" s="8">
        <v>66</v>
      </c>
      <c r="M839" s="7" t="s">
        <v>23</v>
      </c>
      <c r="N839" s="8">
        <v>245</v>
      </c>
      <c r="O839" s="8">
        <v>4</v>
      </c>
      <c r="P839" s="5">
        <v>9385.57</v>
      </c>
      <c r="Q839" s="4">
        <v>45600</v>
      </c>
      <c r="R839" s="9">
        <v>0.34157407407407409</v>
      </c>
      <c r="S839" s="8">
        <v>16</v>
      </c>
      <c r="T839" s="7" t="s">
        <v>4454</v>
      </c>
      <c r="U839" s="7" t="s">
        <v>4458</v>
      </c>
      <c r="V8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40" spans="1:22" x14ac:dyDescent="0.35">
      <c r="A840" s="7" t="s">
        <v>2347</v>
      </c>
      <c r="B840" s="7" t="s">
        <v>403</v>
      </c>
      <c r="C840" s="5">
        <v>637.75</v>
      </c>
      <c r="D840" s="2">
        <v>0.67158564814599231</v>
      </c>
      <c r="E840" s="4">
        <v>45131</v>
      </c>
      <c r="F840" s="7" t="s">
        <v>17</v>
      </c>
      <c r="G840" s="7" t="s">
        <v>323</v>
      </c>
      <c r="H840" s="7" t="s">
        <v>413</v>
      </c>
      <c r="I840" s="7" t="s">
        <v>2348</v>
      </c>
      <c r="J840" s="7" t="s">
        <v>165</v>
      </c>
      <c r="K840" s="7" t="s">
        <v>69</v>
      </c>
      <c r="L840" s="8">
        <v>79</v>
      </c>
      <c r="M840" s="7" t="s">
        <v>70</v>
      </c>
      <c r="N840" s="8">
        <v>152</v>
      </c>
      <c r="O840" s="8">
        <v>1</v>
      </c>
      <c r="P840" s="5">
        <v>4202.92</v>
      </c>
      <c r="Q840" s="4">
        <v>45600</v>
      </c>
      <c r="R840" s="9">
        <v>0.33947916666666667</v>
      </c>
      <c r="S840" s="8">
        <v>16</v>
      </c>
      <c r="T840" s="7" t="s">
        <v>4454</v>
      </c>
      <c r="U840" s="7" t="s">
        <v>4455</v>
      </c>
      <c r="V8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41" spans="1:22" x14ac:dyDescent="0.35">
      <c r="A841" s="7" t="s">
        <v>2349</v>
      </c>
      <c r="B841" s="7" t="s">
        <v>1106</v>
      </c>
      <c r="C841" s="5">
        <v>153.59</v>
      </c>
      <c r="D841" s="2">
        <v>0.73887731481227092</v>
      </c>
      <c r="E841" s="4">
        <v>45050</v>
      </c>
      <c r="F841" s="7" t="s">
        <v>46</v>
      </c>
      <c r="G841" s="7" t="s">
        <v>595</v>
      </c>
      <c r="H841" s="7" t="s">
        <v>1129</v>
      </c>
      <c r="I841" s="7" t="s">
        <v>2350</v>
      </c>
      <c r="J841" s="7" t="s">
        <v>353</v>
      </c>
      <c r="K841" s="7" t="s">
        <v>69</v>
      </c>
      <c r="L841" s="8">
        <v>66</v>
      </c>
      <c r="M841" s="7" t="s">
        <v>70</v>
      </c>
      <c r="N841" s="8">
        <v>174</v>
      </c>
      <c r="O841" s="8">
        <v>1</v>
      </c>
      <c r="P841" s="5">
        <v>4813.12</v>
      </c>
      <c r="Q841" s="4">
        <v>45600</v>
      </c>
      <c r="R841" s="9">
        <v>0.34008101851851852</v>
      </c>
      <c r="S841" s="8">
        <v>17</v>
      </c>
      <c r="T841" s="7" t="s">
        <v>4454</v>
      </c>
      <c r="U841" s="7" t="s">
        <v>4455</v>
      </c>
      <c r="V8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42" spans="1:22" x14ac:dyDescent="0.35">
      <c r="A842" s="7" t="s">
        <v>2351</v>
      </c>
      <c r="B842" s="7" t="s">
        <v>2352</v>
      </c>
      <c r="C842" s="5">
        <v>186.6</v>
      </c>
      <c r="D842" s="2">
        <v>0.66893518518190831</v>
      </c>
      <c r="E842" s="4">
        <v>45224</v>
      </c>
      <c r="F842" s="7" t="s">
        <v>17</v>
      </c>
      <c r="G842" s="7" t="s">
        <v>255</v>
      </c>
      <c r="H842" s="7" t="s">
        <v>2116</v>
      </c>
      <c r="I842" s="7" t="s">
        <v>2353</v>
      </c>
      <c r="J842" s="7" t="s">
        <v>572</v>
      </c>
      <c r="K842" s="7" t="s">
        <v>69</v>
      </c>
      <c r="L842" s="8">
        <v>18</v>
      </c>
      <c r="M842" s="7" t="s">
        <v>37</v>
      </c>
      <c r="N842" s="8">
        <v>139</v>
      </c>
      <c r="O842" s="8">
        <v>1</v>
      </c>
      <c r="P842" s="5">
        <v>9716.68</v>
      </c>
      <c r="Q842" s="4">
        <v>45600</v>
      </c>
      <c r="R842" s="9">
        <v>0.34070601851851851</v>
      </c>
      <c r="S842" s="8">
        <v>16</v>
      </c>
      <c r="T842" s="7" t="s">
        <v>4456</v>
      </c>
      <c r="U842" s="7" t="s">
        <v>4455</v>
      </c>
      <c r="V8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43" spans="1:22" x14ac:dyDescent="0.35">
      <c r="A843" s="7" t="s">
        <v>2354</v>
      </c>
      <c r="B843" s="7" t="s">
        <v>1114</v>
      </c>
      <c r="C843" s="5">
        <v>644.08000000000004</v>
      </c>
      <c r="D843" s="2">
        <v>0.72847222222480923</v>
      </c>
      <c r="E843" s="4">
        <v>45054</v>
      </c>
      <c r="F843" s="7" t="s">
        <v>17</v>
      </c>
      <c r="G843" s="7" t="s">
        <v>47</v>
      </c>
      <c r="H843" s="7" t="s">
        <v>2355</v>
      </c>
      <c r="I843" s="7" t="s">
        <v>1262</v>
      </c>
      <c r="J843" s="7" t="s">
        <v>762</v>
      </c>
      <c r="K843" s="7" t="s">
        <v>36</v>
      </c>
      <c r="L843" s="8">
        <v>24</v>
      </c>
      <c r="M843" s="7" t="s">
        <v>37</v>
      </c>
      <c r="N843" s="8">
        <v>55</v>
      </c>
      <c r="O843" s="8">
        <v>1</v>
      </c>
      <c r="P843" s="5">
        <v>1980.62</v>
      </c>
      <c r="Q843" s="4">
        <v>45600</v>
      </c>
      <c r="R843" s="9">
        <v>0.33840277777777777</v>
      </c>
      <c r="S843" s="8">
        <v>17</v>
      </c>
      <c r="T843" s="7" t="s">
        <v>4456</v>
      </c>
      <c r="U843" s="7" t="s">
        <v>4455</v>
      </c>
      <c r="V8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44" spans="1:22" x14ac:dyDescent="0.35">
      <c r="A844" s="7" t="s">
        <v>2356</v>
      </c>
      <c r="B844" s="7" t="s">
        <v>1229</v>
      </c>
      <c r="C844" s="5">
        <v>226.66</v>
      </c>
      <c r="D844" s="2">
        <v>0.78834490740700858</v>
      </c>
      <c r="E844" s="4">
        <v>45287</v>
      </c>
      <c r="F844" s="7" t="s">
        <v>17</v>
      </c>
      <c r="G844" s="7" t="s">
        <v>119</v>
      </c>
      <c r="H844" s="7" t="s">
        <v>2357</v>
      </c>
      <c r="I844" s="7" t="s">
        <v>2025</v>
      </c>
      <c r="J844" s="7" t="s">
        <v>353</v>
      </c>
      <c r="K844" s="7" t="s">
        <v>69</v>
      </c>
      <c r="L844" s="8">
        <v>41</v>
      </c>
      <c r="M844" s="7" t="s">
        <v>23</v>
      </c>
      <c r="N844" s="8">
        <v>168</v>
      </c>
      <c r="O844" s="8">
        <v>1</v>
      </c>
      <c r="P844" s="5">
        <v>10216.25</v>
      </c>
      <c r="Q844" s="4">
        <v>45600</v>
      </c>
      <c r="R844" s="9">
        <v>0.33871527777777777</v>
      </c>
      <c r="S844" s="8">
        <v>18</v>
      </c>
      <c r="T844" s="7" t="s">
        <v>4457</v>
      </c>
      <c r="U844" s="7" t="s">
        <v>4455</v>
      </c>
      <c r="V8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45" spans="1:22" x14ac:dyDescent="0.35">
      <c r="A845" s="7" t="s">
        <v>2358</v>
      </c>
      <c r="B845" s="7" t="s">
        <v>463</v>
      </c>
      <c r="C845" s="5">
        <v>305</v>
      </c>
      <c r="D845" s="2">
        <v>0.7225694444423425</v>
      </c>
      <c r="E845" s="4">
        <v>45211</v>
      </c>
      <c r="F845" s="7" t="s">
        <v>17</v>
      </c>
      <c r="G845" s="7" t="s">
        <v>425</v>
      </c>
      <c r="H845" s="7" t="s">
        <v>2359</v>
      </c>
      <c r="I845" s="7" t="s">
        <v>1467</v>
      </c>
      <c r="J845" s="7" t="s">
        <v>362</v>
      </c>
      <c r="K845" s="7" t="s">
        <v>22</v>
      </c>
      <c r="L845" s="8">
        <v>22</v>
      </c>
      <c r="M845" s="7" t="s">
        <v>37</v>
      </c>
      <c r="N845" s="8">
        <v>222</v>
      </c>
      <c r="O845" s="8">
        <v>1</v>
      </c>
      <c r="P845" s="5">
        <v>944.83</v>
      </c>
      <c r="Q845" s="4">
        <v>45600</v>
      </c>
      <c r="R845" s="9">
        <v>0.33807870370370369</v>
      </c>
      <c r="S845" s="8">
        <v>17</v>
      </c>
      <c r="T845" s="7" t="s">
        <v>4456</v>
      </c>
      <c r="U845" s="7" t="s">
        <v>4455</v>
      </c>
      <c r="V8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46" spans="1:22" x14ac:dyDescent="0.35">
      <c r="A846" s="7" t="s">
        <v>2360</v>
      </c>
      <c r="B846" s="7" t="s">
        <v>162</v>
      </c>
      <c r="C846" s="5">
        <v>233.1</v>
      </c>
      <c r="D846" s="2">
        <v>0.72833333333255723</v>
      </c>
      <c r="E846" s="4">
        <v>44942</v>
      </c>
      <c r="F846" s="7" t="s">
        <v>46</v>
      </c>
      <c r="G846" s="7" t="s">
        <v>80</v>
      </c>
      <c r="H846" s="7" t="s">
        <v>2361</v>
      </c>
      <c r="I846" s="7" t="s">
        <v>2129</v>
      </c>
      <c r="J846" s="7" t="s">
        <v>1349</v>
      </c>
      <c r="K846" s="7" t="s">
        <v>69</v>
      </c>
      <c r="L846" s="8">
        <v>42</v>
      </c>
      <c r="M846" s="7" t="s">
        <v>23</v>
      </c>
      <c r="N846" s="8">
        <v>37</v>
      </c>
      <c r="O846" s="8">
        <v>1</v>
      </c>
      <c r="P846" s="5">
        <v>7469.2</v>
      </c>
      <c r="Q846" s="4">
        <v>45600</v>
      </c>
      <c r="R846" s="9">
        <v>0.34142361111111114</v>
      </c>
      <c r="S846" s="8">
        <v>17</v>
      </c>
      <c r="T846" s="7" t="s">
        <v>4457</v>
      </c>
      <c r="U846" s="7" t="s">
        <v>4455</v>
      </c>
      <c r="V8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47" spans="1:22" x14ac:dyDescent="0.35">
      <c r="A847" s="7" t="s">
        <v>2362</v>
      </c>
      <c r="B847" s="7" t="s">
        <v>578</v>
      </c>
      <c r="C847" s="5">
        <v>793.13</v>
      </c>
      <c r="D847" s="2">
        <v>0.69313657407474238</v>
      </c>
      <c r="E847" s="4">
        <v>45056</v>
      </c>
      <c r="F847" s="7" t="s">
        <v>17</v>
      </c>
      <c r="G847" s="7" t="s">
        <v>92</v>
      </c>
      <c r="H847" s="7" t="s">
        <v>534</v>
      </c>
      <c r="I847" s="7" t="s">
        <v>1149</v>
      </c>
      <c r="J847" s="7" t="s">
        <v>76</v>
      </c>
      <c r="K847" s="7" t="s">
        <v>36</v>
      </c>
      <c r="L847" s="8">
        <v>68</v>
      </c>
      <c r="M847" s="7" t="s">
        <v>23</v>
      </c>
      <c r="N847" s="8">
        <v>76</v>
      </c>
      <c r="O847" s="8">
        <v>1</v>
      </c>
      <c r="P847" s="5">
        <v>13389.16</v>
      </c>
      <c r="Q847" s="4">
        <v>45600</v>
      </c>
      <c r="R847" s="9">
        <v>0.34010416666666665</v>
      </c>
      <c r="S847" s="8">
        <v>16</v>
      </c>
      <c r="T847" s="7" t="s">
        <v>4454</v>
      </c>
      <c r="U847" s="7" t="s">
        <v>4455</v>
      </c>
      <c r="V8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48" spans="1:22" x14ac:dyDescent="0.35">
      <c r="A848" s="7" t="s">
        <v>2363</v>
      </c>
      <c r="B848" s="7" t="s">
        <v>1745</v>
      </c>
      <c r="C848" s="5">
        <v>224.19</v>
      </c>
      <c r="D848" s="2">
        <v>0.69627314814715646</v>
      </c>
      <c r="E848" s="4">
        <v>45190</v>
      </c>
      <c r="F848" s="7" t="s">
        <v>17</v>
      </c>
      <c r="G848" s="7" t="s">
        <v>26</v>
      </c>
      <c r="H848" s="7" t="s">
        <v>566</v>
      </c>
      <c r="I848" s="7" t="s">
        <v>374</v>
      </c>
      <c r="J848" s="7" t="s">
        <v>111</v>
      </c>
      <c r="K848" s="7" t="s">
        <v>22</v>
      </c>
      <c r="L848" s="8">
        <v>52</v>
      </c>
      <c r="M848" s="7" t="s">
        <v>23</v>
      </c>
      <c r="N848" s="8">
        <v>93</v>
      </c>
      <c r="O848" s="8">
        <v>1</v>
      </c>
      <c r="P848" s="5">
        <v>8475.4699999999993</v>
      </c>
      <c r="Q848" s="4">
        <v>45600</v>
      </c>
      <c r="R848" s="9">
        <v>0.33858796296296295</v>
      </c>
      <c r="S848" s="8">
        <v>16</v>
      </c>
      <c r="T848" s="7" t="s">
        <v>4457</v>
      </c>
      <c r="U848" s="7" t="s">
        <v>4455</v>
      </c>
      <c r="V8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49" spans="1:22" x14ac:dyDescent="0.35">
      <c r="A849" s="7" t="s">
        <v>2364</v>
      </c>
      <c r="B849" s="7" t="s">
        <v>781</v>
      </c>
      <c r="C849" s="5">
        <v>214.83</v>
      </c>
      <c r="D849" s="2">
        <v>0.75868055555474712</v>
      </c>
      <c r="E849" s="4">
        <v>45005</v>
      </c>
      <c r="F849" s="7" t="s">
        <v>46</v>
      </c>
      <c r="G849" s="7" t="s">
        <v>255</v>
      </c>
      <c r="H849" s="7" t="s">
        <v>2340</v>
      </c>
      <c r="I849" s="7" t="s">
        <v>963</v>
      </c>
      <c r="J849" s="7" t="s">
        <v>35</v>
      </c>
      <c r="K849" s="7" t="s">
        <v>22</v>
      </c>
      <c r="L849" s="8">
        <v>23</v>
      </c>
      <c r="M849" s="7" t="s">
        <v>37</v>
      </c>
      <c r="N849" s="8">
        <v>63</v>
      </c>
      <c r="O849" s="8">
        <v>1</v>
      </c>
      <c r="P849" s="5">
        <v>991.69</v>
      </c>
      <c r="Q849" s="4">
        <v>45600</v>
      </c>
      <c r="R849" s="9">
        <v>0.34149305555555554</v>
      </c>
      <c r="S849" s="8">
        <v>18</v>
      </c>
      <c r="T849" s="7" t="s">
        <v>4456</v>
      </c>
      <c r="U849" s="7" t="s">
        <v>4455</v>
      </c>
      <c r="V8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50" spans="1:22" x14ac:dyDescent="0.35">
      <c r="A850" s="7" t="s">
        <v>2365</v>
      </c>
      <c r="B850" s="7" t="s">
        <v>2366</v>
      </c>
      <c r="C850" s="5">
        <v>163.46</v>
      </c>
      <c r="D850" s="2">
        <v>0.71520833333488554</v>
      </c>
      <c r="E850" s="4">
        <v>45177</v>
      </c>
      <c r="F850" s="7" t="s">
        <v>46</v>
      </c>
      <c r="G850" s="7" t="s">
        <v>197</v>
      </c>
      <c r="H850" s="7" t="s">
        <v>798</v>
      </c>
      <c r="I850" s="7" t="s">
        <v>2367</v>
      </c>
      <c r="J850" s="7" t="s">
        <v>980</v>
      </c>
      <c r="K850" s="7" t="s">
        <v>69</v>
      </c>
      <c r="L850" s="8">
        <v>63</v>
      </c>
      <c r="M850" s="7" t="s">
        <v>70</v>
      </c>
      <c r="N850" s="8">
        <v>111</v>
      </c>
      <c r="O850" s="8">
        <v>1</v>
      </c>
      <c r="P850" s="5">
        <v>6953.8</v>
      </c>
      <c r="Q850" s="4">
        <v>45600</v>
      </c>
      <c r="R850" s="9">
        <v>0.34134259259259259</v>
      </c>
      <c r="S850" s="8">
        <v>17</v>
      </c>
      <c r="T850" s="7" t="s">
        <v>4454</v>
      </c>
      <c r="U850" s="7" t="s">
        <v>4455</v>
      </c>
      <c r="V8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51" spans="1:22" x14ac:dyDescent="0.35">
      <c r="A851" s="7" t="s">
        <v>2368</v>
      </c>
      <c r="B851" s="7" t="s">
        <v>884</v>
      </c>
      <c r="C851" s="5">
        <v>194.99</v>
      </c>
      <c r="D851" s="2">
        <v>0.70937499999854481</v>
      </c>
      <c r="E851" s="4">
        <v>45261</v>
      </c>
      <c r="F851" s="7" t="s">
        <v>17</v>
      </c>
      <c r="G851" s="7" t="s">
        <v>392</v>
      </c>
      <c r="H851" s="7" t="s">
        <v>306</v>
      </c>
      <c r="I851" s="7" t="s">
        <v>1149</v>
      </c>
      <c r="J851" s="7" t="s">
        <v>348</v>
      </c>
      <c r="K851" s="7" t="s">
        <v>69</v>
      </c>
      <c r="L851" s="8">
        <v>34</v>
      </c>
      <c r="M851" s="7" t="s">
        <v>77</v>
      </c>
      <c r="N851" s="8">
        <v>91</v>
      </c>
      <c r="O851" s="8">
        <v>1</v>
      </c>
      <c r="P851" s="5">
        <v>1370.03</v>
      </c>
      <c r="Q851" s="4">
        <v>45600</v>
      </c>
      <c r="R851" s="9">
        <v>0.33877314814814813</v>
      </c>
      <c r="S851" s="8">
        <v>17</v>
      </c>
      <c r="T851" s="7" t="s">
        <v>4456</v>
      </c>
      <c r="U851" s="7" t="s">
        <v>4455</v>
      </c>
      <c r="V8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52" spans="1:22" x14ac:dyDescent="0.35">
      <c r="A852" s="7" t="s">
        <v>2369</v>
      </c>
      <c r="B852" s="7" t="s">
        <v>2370</v>
      </c>
      <c r="C852" s="5">
        <v>23.4</v>
      </c>
      <c r="D852" s="2">
        <v>0.76931712962687016</v>
      </c>
      <c r="E852" s="4">
        <v>44965</v>
      </c>
      <c r="F852" s="7" t="s">
        <v>17</v>
      </c>
      <c r="G852" s="7" t="s">
        <v>506</v>
      </c>
      <c r="H852" s="7" t="s">
        <v>1575</v>
      </c>
      <c r="I852" s="7" t="s">
        <v>1481</v>
      </c>
      <c r="J852" s="7" t="s">
        <v>1562</v>
      </c>
      <c r="K852" s="7" t="s">
        <v>22</v>
      </c>
      <c r="L852" s="8">
        <v>46</v>
      </c>
      <c r="M852" s="7" t="s">
        <v>23</v>
      </c>
      <c r="N852" s="8">
        <v>175</v>
      </c>
      <c r="O852" s="8">
        <v>4</v>
      </c>
      <c r="P852" s="5">
        <v>14851.28</v>
      </c>
      <c r="Q852" s="4">
        <v>45600</v>
      </c>
      <c r="R852" s="9">
        <v>0.33835648148148151</v>
      </c>
      <c r="S852" s="8">
        <v>18</v>
      </c>
      <c r="T852" s="7" t="s">
        <v>4457</v>
      </c>
      <c r="U852" s="7" t="s">
        <v>4458</v>
      </c>
      <c r="V8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53" spans="1:22" x14ac:dyDescent="0.35">
      <c r="A853" s="7" t="s">
        <v>2371</v>
      </c>
      <c r="B853" s="7" t="s">
        <v>2372</v>
      </c>
      <c r="C853" s="5">
        <v>227.5</v>
      </c>
      <c r="D853" s="2">
        <v>0.70802083333546761</v>
      </c>
      <c r="E853" s="4">
        <v>44998</v>
      </c>
      <c r="F853" s="7" t="s">
        <v>17</v>
      </c>
      <c r="G853" s="7" t="s">
        <v>285</v>
      </c>
      <c r="H853" s="7" t="s">
        <v>2247</v>
      </c>
      <c r="I853" s="7" t="s">
        <v>208</v>
      </c>
      <c r="J853" s="7" t="s">
        <v>288</v>
      </c>
      <c r="K853" s="7" t="s">
        <v>36</v>
      </c>
      <c r="L853" s="8">
        <v>34</v>
      </c>
      <c r="M853" s="7" t="s">
        <v>23</v>
      </c>
      <c r="N853" s="8">
        <v>277</v>
      </c>
      <c r="O853" s="8">
        <v>1</v>
      </c>
      <c r="P853" s="5">
        <v>11505.35</v>
      </c>
      <c r="Q853" s="4">
        <v>45600</v>
      </c>
      <c r="R853" s="9">
        <v>0.34137731481481481</v>
      </c>
      <c r="S853" s="8">
        <v>16</v>
      </c>
      <c r="T853" s="7" t="s">
        <v>4456</v>
      </c>
      <c r="U853" s="7" t="s">
        <v>4455</v>
      </c>
      <c r="V8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54" spans="1:22" x14ac:dyDescent="0.35">
      <c r="A854" s="7" t="s">
        <v>2373</v>
      </c>
      <c r="B854" s="7" t="s">
        <v>540</v>
      </c>
      <c r="C854" s="5">
        <v>259.89999999999998</v>
      </c>
      <c r="D854" s="2">
        <v>0.67271990740846377</v>
      </c>
      <c r="E854" s="4">
        <v>45099</v>
      </c>
      <c r="F854" s="7" t="s">
        <v>17</v>
      </c>
      <c r="G854" s="7" t="s">
        <v>53</v>
      </c>
      <c r="H854" s="7" t="s">
        <v>960</v>
      </c>
      <c r="I854" s="7" t="s">
        <v>1174</v>
      </c>
      <c r="J854" s="7" t="s">
        <v>160</v>
      </c>
      <c r="K854" s="7" t="s">
        <v>36</v>
      </c>
      <c r="L854" s="8">
        <v>26</v>
      </c>
      <c r="M854" s="7" t="s">
        <v>37</v>
      </c>
      <c r="N854" s="8">
        <v>100</v>
      </c>
      <c r="O854" s="8">
        <v>1</v>
      </c>
      <c r="P854" s="5">
        <v>914.28</v>
      </c>
      <c r="Q854" s="4">
        <v>45600</v>
      </c>
      <c r="R854" s="9">
        <v>0.33853009259259259</v>
      </c>
      <c r="S854" s="8">
        <v>16</v>
      </c>
      <c r="T854" s="7" t="s">
        <v>4456</v>
      </c>
      <c r="U854" s="7" t="s">
        <v>4455</v>
      </c>
      <c r="V8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55" spans="1:22" x14ac:dyDescent="0.35">
      <c r="A855" s="7" t="s">
        <v>2374</v>
      </c>
      <c r="B855" s="7" t="s">
        <v>809</v>
      </c>
      <c r="C855" s="5">
        <v>59.51</v>
      </c>
      <c r="D855" s="2">
        <v>0.67528935184964212</v>
      </c>
      <c r="E855" s="4">
        <v>45020</v>
      </c>
      <c r="F855" s="7" t="s">
        <v>46</v>
      </c>
      <c r="G855" s="7" t="s">
        <v>323</v>
      </c>
      <c r="H855" s="7" t="s">
        <v>1141</v>
      </c>
      <c r="I855" s="7" t="s">
        <v>1208</v>
      </c>
      <c r="J855" s="7" t="s">
        <v>572</v>
      </c>
      <c r="K855" s="7" t="s">
        <v>36</v>
      </c>
      <c r="L855" s="8">
        <v>36</v>
      </c>
      <c r="M855" s="7" t="s">
        <v>23</v>
      </c>
      <c r="N855" s="8">
        <v>55</v>
      </c>
      <c r="O855" s="8">
        <v>1</v>
      </c>
      <c r="P855" s="5">
        <v>9955.8799999999992</v>
      </c>
      <c r="Q855" s="4">
        <v>45600</v>
      </c>
      <c r="R855" s="9">
        <v>0.34187499999999998</v>
      </c>
      <c r="S855" s="8">
        <v>16</v>
      </c>
      <c r="T855" s="7" t="s">
        <v>4457</v>
      </c>
      <c r="U855" s="7" t="s">
        <v>4455</v>
      </c>
      <c r="V8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56" spans="1:22" x14ac:dyDescent="0.35">
      <c r="A856" s="7" t="s">
        <v>2375</v>
      </c>
      <c r="B856" s="7" t="s">
        <v>2376</v>
      </c>
      <c r="C856" s="5">
        <v>50.63</v>
      </c>
      <c r="D856" s="2">
        <v>0.68135416666336823</v>
      </c>
      <c r="E856" s="4">
        <v>45070</v>
      </c>
      <c r="F856" s="7" t="s">
        <v>17</v>
      </c>
      <c r="G856" s="7" t="s">
        <v>125</v>
      </c>
      <c r="H856" s="7" t="s">
        <v>590</v>
      </c>
      <c r="I856" s="7" t="s">
        <v>347</v>
      </c>
      <c r="J856" s="7" t="s">
        <v>414</v>
      </c>
      <c r="K856" s="7" t="s">
        <v>36</v>
      </c>
      <c r="L856" s="8">
        <v>64</v>
      </c>
      <c r="M856" s="7" t="s">
        <v>70</v>
      </c>
      <c r="N856" s="8">
        <v>143</v>
      </c>
      <c r="O856" s="8">
        <v>1</v>
      </c>
      <c r="P856" s="5">
        <v>4732.8100000000004</v>
      </c>
      <c r="Q856" s="4">
        <v>45600</v>
      </c>
      <c r="R856" s="9">
        <v>0.34192129629629631</v>
      </c>
      <c r="S856" s="8">
        <v>16</v>
      </c>
      <c r="T856" s="7" t="s">
        <v>4454</v>
      </c>
      <c r="U856" s="7" t="s">
        <v>4455</v>
      </c>
      <c r="V8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57" spans="1:22" x14ac:dyDescent="0.35">
      <c r="A857" s="7" t="s">
        <v>2377</v>
      </c>
      <c r="B857" s="7" t="s">
        <v>380</v>
      </c>
      <c r="C857" s="5">
        <v>1074.95</v>
      </c>
      <c r="D857" s="2">
        <v>0.70072916666686069</v>
      </c>
      <c r="E857" s="4">
        <v>45079</v>
      </c>
      <c r="F857" s="7" t="s">
        <v>17</v>
      </c>
      <c r="G857" s="7" t="s">
        <v>392</v>
      </c>
      <c r="H857" s="7" t="s">
        <v>2170</v>
      </c>
      <c r="I857" s="7" t="s">
        <v>2378</v>
      </c>
      <c r="J857" s="7" t="s">
        <v>548</v>
      </c>
      <c r="K857" s="7" t="s">
        <v>69</v>
      </c>
      <c r="L857" s="8">
        <v>20</v>
      </c>
      <c r="M857" s="7" t="s">
        <v>37</v>
      </c>
      <c r="N857" s="8">
        <v>91</v>
      </c>
      <c r="O857" s="8">
        <v>1</v>
      </c>
      <c r="P857" s="5">
        <v>530.86</v>
      </c>
      <c r="Q857" s="4">
        <v>45600</v>
      </c>
      <c r="R857" s="9">
        <v>0.34025462962962966</v>
      </c>
      <c r="S857" s="8">
        <v>16</v>
      </c>
      <c r="T857" s="7" t="s">
        <v>4456</v>
      </c>
      <c r="U857" s="7" t="s">
        <v>4455</v>
      </c>
      <c r="V8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58" spans="1:22" x14ac:dyDescent="0.35">
      <c r="A858" s="7" t="s">
        <v>2379</v>
      </c>
      <c r="B858" s="7" t="s">
        <v>771</v>
      </c>
      <c r="C858" s="5">
        <v>112.94</v>
      </c>
      <c r="D858" s="2">
        <v>0.73318287036818219</v>
      </c>
      <c r="E858" s="4">
        <v>45254</v>
      </c>
      <c r="F858" s="7" t="s">
        <v>46</v>
      </c>
      <c r="G858" s="7" t="s">
        <v>237</v>
      </c>
      <c r="H858" s="7" t="s">
        <v>2380</v>
      </c>
      <c r="I858" s="7" t="s">
        <v>2381</v>
      </c>
      <c r="J858" s="7" t="s">
        <v>50</v>
      </c>
      <c r="K858" s="7" t="s">
        <v>36</v>
      </c>
      <c r="L858" s="8">
        <v>73</v>
      </c>
      <c r="M858" s="7" t="s">
        <v>70</v>
      </c>
      <c r="N858" s="8">
        <v>31</v>
      </c>
      <c r="O858" s="8">
        <v>1</v>
      </c>
      <c r="P858" s="5">
        <v>3807.84</v>
      </c>
      <c r="Q858" s="4">
        <v>45600</v>
      </c>
      <c r="R858" s="9">
        <v>0.33841435185185187</v>
      </c>
      <c r="S858" s="8">
        <v>17</v>
      </c>
      <c r="T858" s="7" t="s">
        <v>4454</v>
      </c>
      <c r="U858" s="7" t="s">
        <v>4455</v>
      </c>
      <c r="V8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59" spans="1:22" x14ac:dyDescent="0.35">
      <c r="A859" s="7" t="s">
        <v>2382</v>
      </c>
      <c r="B859" s="7" t="s">
        <v>1357</v>
      </c>
      <c r="C859" s="5">
        <v>11.81</v>
      </c>
      <c r="D859" s="2">
        <v>0.67196759259240935</v>
      </c>
      <c r="E859" s="4">
        <v>44984</v>
      </c>
      <c r="F859" s="7" t="s">
        <v>17</v>
      </c>
      <c r="G859" s="7" t="s">
        <v>425</v>
      </c>
      <c r="H859" s="7" t="s">
        <v>393</v>
      </c>
      <c r="I859" s="7" t="s">
        <v>2383</v>
      </c>
      <c r="J859" s="7" t="s">
        <v>831</v>
      </c>
      <c r="K859" s="7" t="s">
        <v>22</v>
      </c>
      <c r="L859" s="8">
        <v>21</v>
      </c>
      <c r="M859" s="7" t="s">
        <v>37</v>
      </c>
      <c r="N859" s="8">
        <v>131</v>
      </c>
      <c r="O859" s="8">
        <v>1</v>
      </c>
      <c r="P859" s="5">
        <v>320.25</v>
      </c>
      <c r="Q859" s="4">
        <v>45600</v>
      </c>
      <c r="R859" s="9">
        <v>0.33880787037037036</v>
      </c>
      <c r="S859" s="8">
        <v>16</v>
      </c>
      <c r="T859" s="7" t="s">
        <v>4456</v>
      </c>
      <c r="U859" s="7" t="s">
        <v>4455</v>
      </c>
      <c r="V8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60" spans="1:22" x14ac:dyDescent="0.35">
      <c r="A860" s="7" t="s">
        <v>2384</v>
      </c>
      <c r="B860" s="7" t="s">
        <v>1631</v>
      </c>
      <c r="C860" s="5">
        <v>329.14</v>
      </c>
      <c r="D860" s="2">
        <v>0.69284722222073469</v>
      </c>
      <c r="E860" s="4">
        <v>45244</v>
      </c>
      <c r="F860" s="7" t="s">
        <v>17</v>
      </c>
      <c r="G860" s="7" t="s">
        <v>285</v>
      </c>
      <c r="H860" s="7" t="s">
        <v>1392</v>
      </c>
      <c r="I860" s="7" t="s">
        <v>2193</v>
      </c>
      <c r="J860" s="7" t="s">
        <v>762</v>
      </c>
      <c r="K860" s="7" t="s">
        <v>69</v>
      </c>
      <c r="L860" s="8">
        <v>55</v>
      </c>
      <c r="M860" s="7" t="s">
        <v>23</v>
      </c>
      <c r="N860" s="8">
        <v>14</v>
      </c>
      <c r="O860" s="8">
        <v>1</v>
      </c>
      <c r="P860" s="5">
        <v>12033.92</v>
      </c>
      <c r="Q860" s="4">
        <v>45600</v>
      </c>
      <c r="R860" s="9">
        <v>0.33958333333333335</v>
      </c>
      <c r="S860" s="8">
        <v>16</v>
      </c>
      <c r="T860" s="7" t="s">
        <v>4454</v>
      </c>
      <c r="U860" s="7" t="s">
        <v>4455</v>
      </c>
      <c r="V8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61" spans="1:22" x14ac:dyDescent="0.35">
      <c r="A861" s="7" t="s">
        <v>2385</v>
      </c>
      <c r="B861" s="7" t="s">
        <v>657</v>
      </c>
      <c r="C861" s="5">
        <v>154.24</v>
      </c>
      <c r="D861" s="2">
        <v>0.68021990740817273</v>
      </c>
      <c r="E861" s="4">
        <v>45236</v>
      </c>
      <c r="F861" s="7" t="s">
        <v>17</v>
      </c>
      <c r="G861" s="7" t="s">
        <v>32</v>
      </c>
      <c r="H861" s="7" t="s">
        <v>865</v>
      </c>
      <c r="I861" s="7" t="s">
        <v>1477</v>
      </c>
      <c r="J861" s="7" t="s">
        <v>474</v>
      </c>
      <c r="K861" s="7" t="s">
        <v>22</v>
      </c>
      <c r="L861" s="8">
        <v>61</v>
      </c>
      <c r="M861" s="7" t="s">
        <v>70</v>
      </c>
      <c r="N861" s="8">
        <v>82</v>
      </c>
      <c r="O861" s="8">
        <v>1</v>
      </c>
      <c r="P861" s="5">
        <v>6109.55</v>
      </c>
      <c r="Q861" s="4">
        <v>45600</v>
      </c>
      <c r="R861" s="9">
        <v>0.33927083333333335</v>
      </c>
      <c r="S861" s="8">
        <v>16</v>
      </c>
      <c r="T861" s="7" t="s">
        <v>4454</v>
      </c>
      <c r="U861" s="7" t="s">
        <v>4455</v>
      </c>
      <c r="V8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62" spans="1:22" x14ac:dyDescent="0.35">
      <c r="A862" s="7" t="s">
        <v>2386</v>
      </c>
      <c r="B862" s="7" t="s">
        <v>529</v>
      </c>
      <c r="C862" s="5">
        <v>233.44</v>
      </c>
      <c r="D862" s="2">
        <v>0.68319444444205146</v>
      </c>
      <c r="E862" s="4">
        <v>44946</v>
      </c>
      <c r="F862" s="7" t="s">
        <v>17</v>
      </c>
      <c r="G862" s="7" t="s">
        <v>265</v>
      </c>
      <c r="H862" s="7" t="s">
        <v>2387</v>
      </c>
      <c r="I862" s="7" t="s">
        <v>1450</v>
      </c>
      <c r="J862" s="7" t="s">
        <v>980</v>
      </c>
      <c r="K862" s="7" t="s">
        <v>36</v>
      </c>
      <c r="L862" s="8">
        <v>20</v>
      </c>
      <c r="M862" s="7" t="s">
        <v>37</v>
      </c>
      <c r="N862" s="8">
        <v>297</v>
      </c>
      <c r="O862" s="8">
        <v>1</v>
      </c>
      <c r="P862" s="5">
        <v>1691.88</v>
      </c>
      <c r="Q862" s="4">
        <v>45600</v>
      </c>
      <c r="R862" s="9">
        <v>0.33881944444444445</v>
      </c>
      <c r="S862" s="8">
        <v>16</v>
      </c>
      <c r="T862" s="7" t="s">
        <v>4456</v>
      </c>
      <c r="U862" s="7" t="s">
        <v>4455</v>
      </c>
      <c r="V8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63" spans="1:22" x14ac:dyDescent="0.35">
      <c r="A863" s="7" t="s">
        <v>2388</v>
      </c>
      <c r="B863" s="7" t="s">
        <v>737</v>
      </c>
      <c r="C863" s="5">
        <v>141.80000000000001</v>
      </c>
      <c r="D863" s="2">
        <v>0.78891203703824431</v>
      </c>
      <c r="E863" s="4">
        <v>45245</v>
      </c>
      <c r="F863" s="7" t="s">
        <v>17</v>
      </c>
      <c r="G863" s="7" t="s">
        <v>265</v>
      </c>
      <c r="H863" s="7" t="s">
        <v>173</v>
      </c>
      <c r="I863" s="7" t="s">
        <v>2389</v>
      </c>
      <c r="J863" s="7" t="s">
        <v>769</v>
      </c>
      <c r="K863" s="7" t="s">
        <v>22</v>
      </c>
      <c r="L863" s="8">
        <v>18</v>
      </c>
      <c r="M863" s="7" t="s">
        <v>37</v>
      </c>
      <c r="N863" s="8">
        <v>116</v>
      </c>
      <c r="O863" s="8">
        <v>1</v>
      </c>
      <c r="P863" s="5">
        <v>1697.67</v>
      </c>
      <c r="Q863" s="4">
        <v>45600</v>
      </c>
      <c r="R863" s="9">
        <v>0.33928240740740739</v>
      </c>
      <c r="S863" s="8">
        <v>18</v>
      </c>
      <c r="T863" s="7" t="s">
        <v>4456</v>
      </c>
      <c r="U863" s="7" t="s">
        <v>4455</v>
      </c>
      <c r="V8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64" spans="1:22" x14ac:dyDescent="0.35">
      <c r="A864" s="7" t="s">
        <v>2390</v>
      </c>
      <c r="B864" s="7" t="s">
        <v>1673</v>
      </c>
      <c r="C864" s="5">
        <v>209.03</v>
      </c>
      <c r="D864" s="2">
        <v>0.76434027777577285</v>
      </c>
      <c r="E864" s="4">
        <v>45208</v>
      </c>
      <c r="F864" s="7" t="s">
        <v>17</v>
      </c>
      <c r="G864" s="7" t="s">
        <v>73</v>
      </c>
      <c r="H864" s="7" t="s">
        <v>743</v>
      </c>
      <c r="I864" s="7" t="s">
        <v>2391</v>
      </c>
      <c r="J864" s="7" t="s">
        <v>445</v>
      </c>
      <c r="K864" s="7" t="s">
        <v>69</v>
      </c>
      <c r="L864" s="8">
        <v>55</v>
      </c>
      <c r="M864" s="7" t="s">
        <v>77</v>
      </c>
      <c r="N864" s="8">
        <v>126</v>
      </c>
      <c r="O864" s="8">
        <v>1</v>
      </c>
      <c r="P864" s="5">
        <v>8359.5</v>
      </c>
      <c r="Q864" s="4">
        <v>45600</v>
      </c>
      <c r="R864" s="9">
        <v>0.3409490740740741</v>
      </c>
      <c r="S864" s="8">
        <v>18</v>
      </c>
      <c r="T864" s="7" t="s">
        <v>4454</v>
      </c>
      <c r="U864" s="7" t="s">
        <v>4455</v>
      </c>
      <c r="V8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65" spans="1:22" x14ac:dyDescent="0.35">
      <c r="A865" s="7" t="s">
        <v>2392</v>
      </c>
      <c r="B865" s="7" t="s">
        <v>1802</v>
      </c>
      <c r="C865" s="5">
        <v>1137.6300000000001</v>
      </c>
      <c r="D865" s="2">
        <v>0.70516203704028158</v>
      </c>
      <c r="E865" s="4">
        <v>44971</v>
      </c>
      <c r="F865" s="7" t="s">
        <v>17</v>
      </c>
      <c r="G865" s="7" t="s">
        <v>197</v>
      </c>
      <c r="H865" s="7" t="s">
        <v>439</v>
      </c>
      <c r="I865" s="7" t="s">
        <v>2245</v>
      </c>
      <c r="J865" s="7" t="s">
        <v>226</v>
      </c>
      <c r="K865" s="7" t="s">
        <v>22</v>
      </c>
      <c r="L865" s="8">
        <v>26</v>
      </c>
      <c r="M865" s="7" t="s">
        <v>37</v>
      </c>
      <c r="N865" s="8">
        <v>144</v>
      </c>
      <c r="O865" s="8">
        <v>1</v>
      </c>
      <c r="P865" s="5">
        <v>1629.12</v>
      </c>
      <c r="Q865" s="4">
        <v>45600</v>
      </c>
      <c r="R865" s="9">
        <v>0.33892361111111113</v>
      </c>
      <c r="S865" s="8">
        <v>16</v>
      </c>
      <c r="T865" s="7" t="s">
        <v>4456</v>
      </c>
      <c r="U865" s="7" t="s">
        <v>4455</v>
      </c>
      <c r="V8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66" spans="1:22" x14ac:dyDescent="0.35">
      <c r="A866" s="7" t="s">
        <v>2393</v>
      </c>
      <c r="B866" s="7" t="s">
        <v>789</v>
      </c>
      <c r="C866" s="5">
        <v>261.14</v>
      </c>
      <c r="D866" s="2">
        <v>0.78060185185313458</v>
      </c>
      <c r="E866" s="4">
        <v>45061</v>
      </c>
      <c r="F866" s="7" t="s">
        <v>17</v>
      </c>
      <c r="G866" s="7" t="s">
        <v>237</v>
      </c>
      <c r="H866" s="7" t="s">
        <v>1731</v>
      </c>
      <c r="I866" s="7" t="s">
        <v>276</v>
      </c>
      <c r="J866" s="7" t="s">
        <v>143</v>
      </c>
      <c r="K866" s="7" t="s">
        <v>22</v>
      </c>
      <c r="L866" s="8">
        <v>42</v>
      </c>
      <c r="M866" s="7" t="s">
        <v>77</v>
      </c>
      <c r="N866" s="8">
        <v>162</v>
      </c>
      <c r="O866" s="8">
        <v>1</v>
      </c>
      <c r="P866" s="5">
        <v>6100.08</v>
      </c>
      <c r="Q866" s="4">
        <v>45600</v>
      </c>
      <c r="R866" s="9">
        <v>0.3395023148148148</v>
      </c>
      <c r="S866" s="8">
        <v>18</v>
      </c>
      <c r="T866" s="7" t="s">
        <v>4457</v>
      </c>
      <c r="U866" s="7" t="s">
        <v>4455</v>
      </c>
      <c r="V8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67" spans="1:22" x14ac:dyDescent="0.35">
      <c r="A867" s="7" t="s">
        <v>2394</v>
      </c>
      <c r="B867" s="7" t="s">
        <v>1264</v>
      </c>
      <c r="C867" s="5">
        <v>101.81</v>
      </c>
      <c r="D867" s="2">
        <v>0.74427083333284827</v>
      </c>
      <c r="E867" s="4">
        <v>45106</v>
      </c>
      <c r="F867" s="7" t="s">
        <v>17</v>
      </c>
      <c r="G867" s="7" t="s">
        <v>157</v>
      </c>
      <c r="H867" s="7" t="s">
        <v>1021</v>
      </c>
      <c r="I867" s="7" t="s">
        <v>2094</v>
      </c>
      <c r="J867" s="7" t="s">
        <v>343</v>
      </c>
      <c r="K867" s="7" t="s">
        <v>22</v>
      </c>
      <c r="L867" s="8">
        <v>45</v>
      </c>
      <c r="M867" s="7" t="s">
        <v>23</v>
      </c>
      <c r="N867" s="8">
        <v>105</v>
      </c>
      <c r="O867" s="8">
        <v>1</v>
      </c>
      <c r="P867" s="5">
        <v>13872.03</v>
      </c>
      <c r="Q867" s="4">
        <v>45600</v>
      </c>
      <c r="R867" s="9">
        <v>0.3412384259259259</v>
      </c>
      <c r="S867" s="8">
        <v>17</v>
      </c>
      <c r="T867" s="7" t="s">
        <v>4457</v>
      </c>
      <c r="U867" s="7" t="s">
        <v>4455</v>
      </c>
      <c r="V8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68" spans="1:22" x14ac:dyDescent="0.35">
      <c r="A868" s="7" t="s">
        <v>2395</v>
      </c>
      <c r="B868" s="7" t="s">
        <v>1088</v>
      </c>
      <c r="C868" s="5">
        <v>98.71</v>
      </c>
      <c r="D868" s="2">
        <v>0.73714120370277669</v>
      </c>
      <c r="E868" s="4">
        <v>45187</v>
      </c>
      <c r="F868" s="7" t="s">
        <v>17</v>
      </c>
      <c r="G868" s="7" t="s">
        <v>157</v>
      </c>
      <c r="H868" s="7" t="s">
        <v>612</v>
      </c>
      <c r="I868" s="7" t="s">
        <v>591</v>
      </c>
      <c r="J868" s="7" t="s">
        <v>272</v>
      </c>
      <c r="K868" s="7" t="s">
        <v>22</v>
      </c>
      <c r="L868" s="8">
        <v>32</v>
      </c>
      <c r="M868" s="7" t="s">
        <v>23</v>
      </c>
      <c r="N868" s="8">
        <v>117</v>
      </c>
      <c r="O868" s="8">
        <v>1</v>
      </c>
      <c r="P868" s="5">
        <v>10095.23</v>
      </c>
      <c r="Q868" s="4">
        <v>45600</v>
      </c>
      <c r="R868" s="9">
        <v>0.33868055555555554</v>
      </c>
      <c r="S868" s="8">
        <v>17</v>
      </c>
      <c r="T868" s="7" t="s">
        <v>4456</v>
      </c>
      <c r="U868" s="7" t="s">
        <v>4455</v>
      </c>
      <c r="V8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69" spans="1:22" x14ac:dyDescent="0.35">
      <c r="A869" s="7" t="s">
        <v>2396</v>
      </c>
      <c r="B869" s="7" t="s">
        <v>1106</v>
      </c>
      <c r="C869" s="5">
        <v>87.38</v>
      </c>
      <c r="D869" s="2">
        <v>0.76630787036992842</v>
      </c>
      <c r="E869" s="4">
        <v>44988</v>
      </c>
      <c r="F869" s="7" t="s">
        <v>17</v>
      </c>
      <c r="G869" s="7" t="s">
        <v>47</v>
      </c>
      <c r="H869" s="7" t="s">
        <v>2397</v>
      </c>
      <c r="I869" s="7" t="s">
        <v>2157</v>
      </c>
      <c r="J869" s="7" t="s">
        <v>56</v>
      </c>
      <c r="K869" s="7" t="s">
        <v>69</v>
      </c>
      <c r="L869" s="8">
        <v>21</v>
      </c>
      <c r="M869" s="7" t="s">
        <v>37</v>
      </c>
      <c r="N869" s="8">
        <v>252</v>
      </c>
      <c r="O869" s="8">
        <v>1</v>
      </c>
      <c r="P869" s="5">
        <v>1504.99</v>
      </c>
      <c r="Q869" s="4">
        <v>45600</v>
      </c>
      <c r="R869" s="9">
        <v>0.34010416666666665</v>
      </c>
      <c r="S869" s="8">
        <v>18</v>
      </c>
      <c r="T869" s="7" t="s">
        <v>4456</v>
      </c>
      <c r="U869" s="7" t="s">
        <v>4455</v>
      </c>
      <c r="V8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70" spans="1:22" x14ac:dyDescent="0.35">
      <c r="A870" s="7" t="s">
        <v>2398</v>
      </c>
      <c r="B870" s="7" t="s">
        <v>1905</v>
      </c>
      <c r="C870" s="5">
        <v>83.39</v>
      </c>
      <c r="D870" s="2">
        <v>0.66729166666482342</v>
      </c>
      <c r="E870" s="4">
        <v>45187</v>
      </c>
      <c r="F870" s="7" t="s">
        <v>17</v>
      </c>
      <c r="G870" s="7" t="s">
        <v>296</v>
      </c>
      <c r="H870" s="7" t="s">
        <v>2399</v>
      </c>
      <c r="I870" s="7" t="s">
        <v>2150</v>
      </c>
      <c r="J870" s="7" t="s">
        <v>564</v>
      </c>
      <c r="K870" s="7" t="s">
        <v>69</v>
      </c>
      <c r="L870" s="8">
        <v>32</v>
      </c>
      <c r="M870" s="7" t="s">
        <v>23</v>
      </c>
      <c r="N870" s="8">
        <v>158</v>
      </c>
      <c r="O870" s="8">
        <v>1</v>
      </c>
      <c r="P870" s="5">
        <v>13182.11</v>
      </c>
      <c r="Q870" s="4">
        <v>45600</v>
      </c>
      <c r="R870" s="9">
        <v>0.34189814814814817</v>
      </c>
      <c r="S870" s="8">
        <v>16</v>
      </c>
      <c r="T870" s="7" t="s">
        <v>4456</v>
      </c>
      <c r="U870" s="7" t="s">
        <v>4455</v>
      </c>
      <c r="V8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71" spans="1:22" x14ac:dyDescent="0.35">
      <c r="A871" s="7" t="s">
        <v>2400</v>
      </c>
      <c r="B871" s="7" t="s">
        <v>2251</v>
      </c>
      <c r="C871" s="5">
        <v>267.55</v>
      </c>
      <c r="D871" s="2">
        <v>0.67089120370656019</v>
      </c>
      <c r="E871" s="4">
        <v>45090</v>
      </c>
      <c r="F871" s="7" t="s">
        <v>17</v>
      </c>
      <c r="G871" s="7" t="s">
        <v>249</v>
      </c>
      <c r="H871" s="7" t="s">
        <v>2401</v>
      </c>
      <c r="I871" s="7" t="s">
        <v>2402</v>
      </c>
      <c r="J871" s="7" t="s">
        <v>820</v>
      </c>
      <c r="K871" s="7" t="s">
        <v>36</v>
      </c>
      <c r="L871" s="8">
        <v>46</v>
      </c>
      <c r="M871" s="7" t="s">
        <v>77</v>
      </c>
      <c r="N871" s="8">
        <v>40</v>
      </c>
      <c r="O871" s="8">
        <v>1</v>
      </c>
      <c r="P871" s="5">
        <v>4330.04</v>
      </c>
      <c r="Q871" s="4">
        <v>45600</v>
      </c>
      <c r="R871" s="9">
        <v>0.3417013888888889</v>
      </c>
      <c r="S871" s="8">
        <v>16</v>
      </c>
      <c r="T871" s="7" t="s">
        <v>4457</v>
      </c>
      <c r="U871" s="7" t="s">
        <v>4455</v>
      </c>
      <c r="V8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72" spans="1:22" x14ac:dyDescent="0.35">
      <c r="A872" s="7" t="s">
        <v>2403</v>
      </c>
      <c r="B872" s="7" t="s">
        <v>742</v>
      </c>
      <c r="C872" s="5">
        <v>870.05</v>
      </c>
      <c r="D872" s="2">
        <v>0.69604166666977108</v>
      </c>
      <c r="E872" s="4">
        <v>45169</v>
      </c>
      <c r="F872" s="7" t="s">
        <v>17</v>
      </c>
      <c r="G872" s="7" t="s">
        <v>506</v>
      </c>
      <c r="H872" s="7" t="s">
        <v>360</v>
      </c>
      <c r="I872" s="7" t="s">
        <v>2404</v>
      </c>
      <c r="J872" s="7" t="s">
        <v>543</v>
      </c>
      <c r="K872" s="7" t="s">
        <v>22</v>
      </c>
      <c r="L872" s="8">
        <v>29</v>
      </c>
      <c r="M872" s="7" t="s">
        <v>23</v>
      </c>
      <c r="N872" s="8">
        <v>39</v>
      </c>
      <c r="O872" s="8">
        <v>1</v>
      </c>
      <c r="P872" s="5">
        <v>905.25</v>
      </c>
      <c r="Q872" s="4">
        <v>45600</v>
      </c>
      <c r="R872" s="9">
        <v>0.34099537037037037</v>
      </c>
      <c r="S872" s="8">
        <v>16</v>
      </c>
      <c r="T872" s="7" t="s">
        <v>4456</v>
      </c>
      <c r="U872" s="7" t="s">
        <v>4455</v>
      </c>
      <c r="V8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73" spans="1:22" x14ac:dyDescent="0.35">
      <c r="A873" s="7" t="s">
        <v>2405</v>
      </c>
      <c r="B873" s="7" t="s">
        <v>295</v>
      </c>
      <c r="C873" s="5">
        <v>154.32</v>
      </c>
      <c r="D873" s="2">
        <v>0.70384259259299142</v>
      </c>
      <c r="E873" s="4">
        <v>45292</v>
      </c>
      <c r="F873" s="7" t="s">
        <v>46</v>
      </c>
      <c r="G873" s="7" t="s">
        <v>255</v>
      </c>
      <c r="H873" s="7" t="s">
        <v>2406</v>
      </c>
      <c r="I873" s="7" t="s">
        <v>882</v>
      </c>
      <c r="J873" s="7" t="s">
        <v>21</v>
      </c>
      <c r="K873" s="7" t="s">
        <v>22</v>
      </c>
      <c r="L873" s="8">
        <v>38</v>
      </c>
      <c r="M873" s="7" t="s">
        <v>77</v>
      </c>
      <c r="N873" s="8">
        <v>269</v>
      </c>
      <c r="O873" s="8">
        <v>1</v>
      </c>
      <c r="P873" s="5">
        <v>6972.5</v>
      </c>
      <c r="Q873" s="4">
        <v>45600</v>
      </c>
      <c r="R873" s="9">
        <v>0.3414699074074074</v>
      </c>
      <c r="S873" s="8">
        <v>16</v>
      </c>
      <c r="T873" s="7" t="s">
        <v>4457</v>
      </c>
      <c r="U873" s="7" t="s">
        <v>4455</v>
      </c>
      <c r="V8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74" spans="1:22" x14ac:dyDescent="0.35">
      <c r="A874" s="7" t="s">
        <v>2407</v>
      </c>
      <c r="B874" s="7" t="s">
        <v>1528</v>
      </c>
      <c r="C874" s="5">
        <v>164.51</v>
      </c>
      <c r="D874" s="2">
        <v>0.75675925926043419</v>
      </c>
      <c r="E874" s="4">
        <v>45082</v>
      </c>
      <c r="F874" s="7" t="s">
        <v>17</v>
      </c>
      <c r="G874" s="7" t="s">
        <v>108</v>
      </c>
      <c r="H874" s="7" t="s">
        <v>2012</v>
      </c>
      <c r="I874" s="7" t="s">
        <v>1845</v>
      </c>
      <c r="J874" s="7" t="s">
        <v>682</v>
      </c>
      <c r="K874" s="7" t="s">
        <v>69</v>
      </c>
      <c r="L874" s="8">
        <v>78</v>
      </c>
      <c r="M874" s="7" t="s">
        <v>70</v>
      </c>
      <c r="N874" s="8">
        <v>110</v>
      </c>
      <c r="O874" s="8">
        <v>1</v>
      </c>
      <c r="P874" s="5">
        <v>3553.69</v>
      </c>
      <c r="Q874" s="4">
        <v>45600</v>
      </c>
      <c r="R874" s="9">
        <v>0.33831018518518519</v>
      </c>
      <c r="S874" s="8">
        <v>18</v>
      </c>
      <c r="T874" s="7" t="s">
        <v>4454</v>
      </c>
      <c r="U874" s="7" t="s">
        <v>4455</v>
      </c>
      <c r="V8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75" spans="1:22" x14ac:dyDescent="0.35">
      <c r="A875" s="7" t="s">
        <v>2408</v>
      </c>
      <c r="B875" s="7" t="s">
        <v>1020</v>
      </c>
      <c r="C875" s="5">
        <v>758.12</v>
      </c>
      <c r="D875" s="2">
        <v>0.78228009259328246</v>
      </c>
      <c r="E875" s="4">
        <v>45110</v>
      </c>
      <c r="F875" s="7" t="s">
        <v>17</v>
      </c>
      <c r="G875" s="7" t="s">
        <v>212</v>
      </c>
      <c r="H875" s="7" t="s">
        <v>692</v>
      </c>
      <c r="I875" s="7" t="s">
        <v>2409</v>
      </c>
      <c r="J875" s="7" t="s">
        <v>165</v>
      </c>
      <c r="K875" s="7" t="s">
        <v>22</v>
      </c>
      <c r="L875" s="8">
        <v>69</v>
      </c>
      <c r="M875" s="7" t="s">
        <v>70</v>
      </c>
      <c r="N875" s="8">
        <v>90</v>
      </c>
      <c r="O875" s="8">
        <v>1</v>
      </c>
      <c r="P875" s="5">
        <v>6164.65</v>
      </c>
      <c r="Q875" s="4">
        <v>45600</v>
      </c>
      <c r="R875" s="9">
        <v>0.34113425925925928</v>
      </c>
      <c r="S875" s="8">
        <v>18</v>
      </c>
      <c r="T875" s="7" t="s">
        <v>4454</v>
      </c>
      <c r="U875" s="7" t="s">
        <v>4455</v>
      </c>
      <c r="V8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76" spans="1:22" x14ac:dyDescent="0.35">
      <c r="A876" s="7" t="s">
        <v>2410</v>
      </c>
      <c r="B876" s="7" t="s">
        <v>1308</v>
      </c>
      <c r="C876" s="5">
        <v>103.76</v>
      </c>
      <c r="D876" s="2">
        <v>0.68093750000116415</v>
      </c>
      <c r="E876" s="4">
        <v>45014</v>
      </c>
      <c r="F876" s="7" t="s">
        <v>17</v>
      </c>
      <c r="G876" s="7" t="s">
        <v>291</v>
      </c>
      <c r="H876" s="7" t="s">
        <v>1651</v>
      </c>
      <c r="I876" s="7" t="s">
        <v>2411</v>
      </c>
      <c r="J876" s="7" t="s">
        <v>674</v>
      </c>
      <c r="K876" s="7" t="s">
        <v>36</v>
      </c>
      <c r="L876" s="8">
        <v>28</v>
      </c>
      <c r="M876" s="7" t="s">
        <v>77</v>
      </c>
      <c r="N876" s="8">
        <v>188</v>
      </c>
      <c r="O876" s="8">
        <v>1</v>
      </c>
      <c r="P876" s="5">
        <v>9626.14</v>
      </c>
      <c r="Q876" s="4">
        <v>45600</v>
      </c>
      <c r="R876" s="9">
        <v>0.34133101851851849</v>
      </c>
      <c r="S876" s="8">
        <v>16</v>
      </c>
      <c r="T876" s="7" t="s">
        <v>4456</v>
      </c>
      <c r="U876" s="7" t="s">
        <v>4455</v>
      </c>
      <c r="V8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77" spans="1:22" x14ac:dyDescent="0.35">
      <c r="A877" s="7" t="s">
        <v>2412</v>
      </c>
      <c r="B877" s="7" t="s">
        <v>1984</v>
      </c>
      <c r="C877" s="5">
        <v>583.91999999999996</v>
      </c>
      <c r="D877" s="2">
        <v>0.67490740741050104</v>
      </c>
      <c r="E877" s="4">
        <v>45139</v>
      </c>
      <c r="F877" s="7" t="s">
        <v>17</v>
      </c>
      <c r="G877" s="7" t="s">
        <v>291</v>
      </c>
      <c r="H877" s="7" t="s">
        <v>2413</v>
      </c>
      <c r="I877" s="7" t="s">
        <v>82</v>
      </c>
      <c r="J877" s="7" t="s">
        <v>1209</v>
      </c>
      <c r="K877" s="7" t="s">
        <v>36</v>
      </c>
      <c r="L877" s="8">
        <v>55</v>
      </c>
      <c r="M877" s="7" t="s">
        <v>77</v>
      </c>
      <c r="N877" s="8">
        <v>139</v>
      </c>
      <c r="O877" s="8">
        <v>1</v>
      </c>
      <c r="P877" s="5">
        <v>6364.14</v>
      </c>
      <c r="Q877" s="4">
        <v>45600</v>
      </c>
      <c r="R877" s="9">
        <v>0.33787037037037038</v>
      </c>
      <c r="S877" s="8">
        <v>16</v>
      </c>
      <c r="T877" s="7" t="s">
        <v>4454</v>
      </c>
      <c r="U877" s="7" t="s">
        <v>4455</v>
      </c>
      <c r="V8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78" spans="1:22" x14ac:dyDescent="0.35">
      <c r="A878" s="7" t="s">
        <v>2414</v>
      </c>
      <c r="B878" s="7" t="s">
        <v>1027</v>
      </c>
      <c r="C878" s="5">
        <v>204.06</v>
      </c>
      <c r="D878" s="2">
        <v>0.67172453703824431</v>
      </c>
      <c r="E878" s="4">
        <v>44928</v>
      </c>
      <c r="F878" s="7" t="s">
        <v>17</v>
      </c>
      <c r="G878" s="7" t="s">
        <v>453</v>
      </c>
      <c r="H878" s="7" t="s">
        <v>260</v>
      </c>
      <c r="I878" s="7" t="s">
        <v>1032</v>
      </c>
      <c r="J878" s="7" t="s">
        <v>853</v>
      </c>
      <c r="K878" s="7" t="s">
        <v>36</v>
      </c>
      <c r="L878" s="8">
        <v>77</v>
      </c>
      <c r="M878" s="7" t="s">
        <v>70</v>
      </c>
      <c r="N878" s="8">
        <v>159</v>
      </c>
      <c r="O878" s="8">
        <v>1</v>
      </c>
      <c r="P878" s="5">
        <v>4351.83</v>
      </c>
      <c r="Q878" s="4">
        <v>45600</v>
      </c>
      <c r="R878" s="9">
        <v>0.3384490740740741</v>
      </c>
      <c r="S878" s="8">
        <v>16</v>
      </c>
      <c r="T878" s="7" t="s">
        <v>4454</v>
      </c>
      <c r="U878" s="7" t="s">
        <v>4455</v>
      </c>
      <c r="V8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79" spans="1:22" x14ac:dyDescent="0.35">
      <c r="A879" s="7" t="s">
        <v>2415</v>
      </c>
      <c r="B879" s="7" t="s">
        <v>777</v>
      </c>
      <c r="C879" s="5">
        <v>53.51</v>
      </c>
      <c r="D879" s="2">
        <v>0.7045370370396995</v>
      </c>
      <c r="E879" s="4">
        <v>45225</v>
      </c>
      <c r="F879" s="7" t="s">
        <v>17</v>
      </c>
      <c r="G879" s="7" t="s">
        <v>203</v>
      </c>
      <c r="H879" s="7" t="s">
        <v>120</v>
      </c>
      <c r="I879" s="7" t="s">
        <v>2416</v>
      </c>
      <c r="J879" s="7" t="s">
        <v>95</v>
      </c>
      <c r="K879" s="7" t="s">
        <v>36</v>
      </c>
      <c r="L879" s="8">
        <v>56</v>
      </c>
      <c r="M879" s="7" t="s">
        <v>70</v>
      </c>
      <c r="N879" s="8">
        <v>165</v>
      </c>
      <c r="O879" s="8">
        <v>1</v>
      </c>
      <c r="P879" s="5">
        <v>5773.5</v>
      </c>
      <c r="Q879" s="4">
        <v>45600</v>
      </c>
      <c r="R879" s="9">
        <v>0.34118055555555554</v>
      </c>
      <c r="S879" s="8">
        <v>16</v>
      </c>
      <c r="T879" s="7" t="s">
        <v>4454</v>
      </c>
      <c r="U879" s="7" t="s">
        <v>4455</v>
      </c>
      <c r="V8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80" spans="1:22" x14ac:dyDescent="0.35">
      <c r="A880" s="7" t="s">
        <v>2417</v>
      </c>
      <c r="B880" s="7" t="s">
        <v>1066</v>
      </c>
      <c r="C880" s="5">
        <v>1108.46</v>
      </c>
      <c r="D880" s="2">
        <v>0.67795138889050577</v>
      </c>
      <c r="E880" s="4">
        <v>45169</v>
      </c>
      <c r="F880" s="7" t="s">
        <v>17</v>
      </c>
      <c r="G880" s="7" t="s">
        <v>140</v>
      </c>
      <c r="H880" s="7" t="s">
        <v>1871</v>
      </c>
      <c r="I880" s="7" t="s">
        <v>1797</v>
      </c>
      <c r="J880" s="7" t="s">
        <v>246</v>
      </c>
      <c r="K880" s="7" t="s">
        <v>69</v>
      </c>
      <c r="L880" s="8">
        <v>30</v>
      </c>
      <c r="M880" s="7" t="s">
        <v>77</v>
      </c>
      <c r="N880" s="8">
        <v>262</v>
      </c>
      <c r="O880" s="8">
        <v>1</v>
      </c>
      <c r="P880" s="5">
        <v>9257.0400000000009</v>
      </c>
      <c r="Q880" s="4">
        <v>45600</v>
      </c>
      <c r="R880" s="9">
        <v>0.33791666666666664</v>
      </c>
      <c r="S880" s="8">
        <v>16</v>
      </c>
      <c r="T880" s="7" t="s">
        <v>4456</v>
      </c>
      <c r="U880" s="7" t="s">
        <v>4455</v>
      </c>
      <c r="V8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81" spans="1:22" x14ac:dyDescent="0.35">
      <c r="A881" s="7" t="s">
        <v>2418</v>
      </c>
      <c r="B881" s="7" t="s">
        <v>1114</v>
      </c>
      <c r="C881" s="5">
        <v>52.95</v>
      </c>
      <c r="D881" s="2">
        <v>0.75207175925606862</v>
      </c>
      <c r="E881" s="4">
        <v>45145</v>
      </c>
      <c r="F881" s="7" t="s">
        <v>46</v>
      </c>
      <c r="G881" s="7" t="s">
        <v>249</v>
      </c>
      <c r="H881" s="7" t="s">
        <v>955</v>
      </c>
      <c r="I881" s="7" t="s">
        <v>1448</v>
      </c>
      <c r="J881" s="7" t="s">
        <v>885</v>
      </c>
      <c r="K881" s="7" t="s">
        <v>36</v>
      </c>
      <c r="L881" s="8">
        <v>68</v>
      </c>
      <c r="M881" s="7" t="s">
        <v>70</v>
      </c>
      <c r="N881" s="8">
        <v>14</v>
      </c>
      <c r="O881" s="8">
        <v>1</v>
      </c>
      <c r="P881" s="5">
        <v>6335.58</v>
      </c>
      <c r="Q881" s="4">
        <v>45600</v>
      </c>
      <c r="R881" s="9">
        <v>0.33879629629629632</v>
      </c>
      <c r="S881" s="8">
        <v>18</v>
      </c>
      <c r="T881" s="7" t="s">
        <v>4454</v>
      </c>
      <c r="U881" s="7" t="s">
        <v>4455</v>
      </c>
      <c r="V8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82" spans="1:22" x14ac:dyDescent="0.35">
      <c r="A882" s="7" t="s">
        <v>2419</v>
      </c>
      <c r="B882" s="7" t="s">
        <v>2420</v>
      </c>
      <c r="C882" s="5">
        <v>120.17</v>
      </c>
      <c r="D882" s="2">
        <v>0.71368055555649335</v>
      </c>
      <c r="E882" s="4">
        <v>45146</v>
      </c>
      <c r="F882" s="7" t="s">
        <v>17</v>
      </c>
      <c r="G882" s="7" t="s">
        <v>595</v>
      </c>
      <c r="H882" s="7" t="s">
        <v>626</v>
      </c>
      <c r="I882" s="7" t="s">
        <v>2273</v>
      </c>
      <c r="J882" s="7" t="s">
        <v>282</v>
      </c>
      <c r="K882" s="7" t="s">
        <v>22</v>
      </c>
      <c r="L882" s="8">
        <v>49</v>
      </c>
      <c r="M882" s="7" t="s">
        <v>23</v>
      </c>
      <c r="N882" s="8">
        <v>105</v>
      </c>
      <c r="O882" s="8">
        <v>1</v>
      </c>
      <c r="P882" s="5">
        <v>5403.79</v>
      </c>
      <c r="Q882" s="4">
        <v>45600</v>
      </c>
      <c r="R882" s="9">
        <v>0.34155092592592595</v>
      </c>
      <c r="S882" s="8">
        <v>17</v>
      </c>
      <c r="T882" s="7" t="s">
        <v>4457</v>
      </c>
      <c r="U882" s="7" t="s">
        <v>4455</v>
      </c>
      <c r="V8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83" spans="1:22" x14ac:dyDescent="0.35">
      <c r="A883" s="7" t="s">
        <v>2421</v>
      </c>
      <c r="B883" s="7" t="s">
        <v>801</v>
      </c>
      <c r="C883" s="5">
        <v>220.8</v>
      </c>
      <c r="D883" s="2">
        <v>0.78046296296088258</v>
      </c>
      <c r="E883" s="4">
        <v>45175</v>
      </c>
      <c r="F883" s="7" t="s">
        <v>17</v>
      </c>
      <c r="G883" s="7" t="s">
        <v>65</v>
      </c>
      <c r="H883" s="7" t="s">
        <v>1958</v>
      </c>
      <c r="I883" s="7" t="s">
        <v>2236</v>
      </c>
      <c r="J883" s="7" t="s">
        <v>1037</v>
      </c>
      <c r="K883" s="7" t="s">
        <v>36</v>
      </c>
      <c r="L883" s="8">
        <v>31</v>
      </c>
      <c r="M883" s="7" t="s">
        <v>77</v>
      </c>
      <c r="N883" s="8">
        <v>28</v>
      </c>
      <c r="O883" s="8">
        <v>1</v>
      </c>
      <c r="P883" s="5">
        <v>8135.31</v>
      </c>
      <c r="Q883" s="4">
        <v>45600</v>
      </c>
      <c r="R883" s="9">
        <v>0.34027777777777779</v>
      </c>
      <c r="S883" s="8">
        <v>18</v>
      </c>
      <c r="T883" s="7" t="s">
        <v>4456</v>
      </c>
      <c r="U883" s="7" t="s">
        <v>4455</v>
      </c>
      <c r="V8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84" spans="1:22" x14ac:dyDescent="0.35">
      <c r="A884" s="7" t="s">
        <v>2422</v>
      </c>
      <c r="B884" s="7" t="s">
        <v>761</v>
      </c>
      <c r="C884" s="5">
        <v>119.01</v>
      </c>
      <c r="D884" s="2">
        <v>0.72686342592351139</v>
      </c>
      <c r="E884" s="4">
        <v>44998</v>
      </c>
      <c r="F884" s="7" t="s">
        <v>17</v>
      </c>
      <c r="G884" s="7" t="s">
        <v>243</v>
      </c>
      <c r="H884" s="7" t="s">
        <v>1649</v>
      </c>
      <c r="I884" s="7" t="s">
        <v>1174</v>
      </c>
      <c r="J884" s="7" t="s">
        <v>853</v>
      </c>
      <c r="K884" s="7" t="s">
        <v>22</v>
      </c>
      <c r="L884" s="8">
        <v>45</v>
      </c>
      <c r="M884" s="7" t="s">
        <v>23</v>
      </c>
      <c r="N884" s="8">
        <v>87</v>
      </c>
      <c r="O884" s="8">
        <v>1</v>
      </c>
      <c r="P884" s="5">
        <v>9798.26</v>
      </c>
      <c r="Q884" s="4">
        <v>45600</v>
      </c>
      <c r="R884" s="9">
        <v>0.33978009259259262</v>
      </c>
      <c r="S884" s="8">
        <v>17</v>
      </c>
      <c r="T884" s="7" t="s">
        <v>4457</v>
      </c>
      <c r="U884" s="7" t="s">
        <v>4455</v>
      </c>
      <c r="V8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85" spans="1:22" x14ac:dyDescent="0.35">
      <c r="A885" s="7" t="s">
        <v>2423</v>
      </c>
      <c r="B885" s="7" t="s">
        <v>1057</v>
      </c>
      <c r="C885" s="5">
        <v>183.32</v>
      </c>
      <c r="D885" s="2">
        <v>0.68600694444467081</v>
      </c>
      <c r="E885" s="4">
        <v>45056</v>
      </c>
      <c r="F885" s="7" t="s">
        <v>17</v>
      </c>
      <c r="G885" s="7" t="s">
        <v>40</v>
      </c>
      <c r="H885" s="7" t="s">
        <v>994</v>
      </c>
      <c r="I885" s="7" t="s">
        <v>1130</v>
      </c>
      <c r="J885" s="7" t="s">
        <v>576</v>
      </c>
      <c r="K885" s="7" t="s">
        <v>22</v>
      </c>
      <c r="L885" s="8">
        <v>21</v>
      </c>
      <c r="M885" s="7" t="s">
        <v>37</v>
      </c>
      <c r="N885" s="8">
        <v>74</v>
      </c>
      <c r="O885" s="8">
        <v>1</v>
      </c>
      <c r="P885" s="5">
        <v>137.41999999999999</v>
      </c>
      <c r="Q885" s="4">
        <v>45600</v>
      </c>
      <c r="R885" s="9">
        <v>0.33994212962962961</v>
      </c>
      <c r="S885" s="8">
        <v>16</v>
      </c>
      <c r="T885" s="7" t="s">
        <v>4456</v>
      </c>
      <c r="U885" s="7" t="s">
        <v>4455</v>
      </c>
      <c r="V8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86" spans="1:22" x14ac:dyDescent="0.35">
      <c r="A886" s="7" t="s">
        <v>2424</v>
      </c>
      <c r="B886" s="7" t="s">
        <v>274</v>
      </c>
      <c r="C886" s="5">
        <v>858.88</v>
      </c>
      <c r="D886" s="2">
        <v>0.68858796296262881</v>
      </c>
      <c r="E886" s="4">
        <v>45160</v>
      </c>
      <c r="F886" s="7" t="s">
        <v>17</v>
      </c>
      <c r="G886" s="7" t="s">
        <v>392</v>
      </c>
      <c r="H886" s="7" t="s">
        <v>1935</v>
      </c>
      <c r="I886" s="7" t="s">
        <v>2425</v>
      </c>
      <c r="J886" s="7" t="s">
        <v>674</v>
      </c>
      <c r="K886" s="7" t="s">
        <v>36</v>
      </c>
      <c r="L886" s="8">
        <v>60</v>
      </c>
      <c r="M886" s="7" t="s">
        <v>77</v>
      </c>
      <c r="N886" s="8">
        <v>227</v>
      </c>
      <c r="O886" s="8">
        <v>1</v>
      </c>
      <c r="P886" s="5">
        <v>7015.46</v>
      </c>
      <c r="Q886" s="4">
        <v>45600</v>
      </c>
      <c r="R886" s="9">
        <v>0.34179398148148149</v>
      </c>
      <c r="S886" s="8">
        <v>16</v>
      </c>
      <c r="T886" s="7" t="s">
        <v>4454</v>
      </c>
      <c r="U886" s="7" t="s">
        <v>4455</v>
      </c>
      <c r="V8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87" spans="1:22" x14ac:dyDescent="0.35">
      <c r="A887" s="7" t="s">
        <v>2426</v>
      </c>
      <c r="B887" s="7" t="s">
        <v>1111</v>
      </c>
      <c r="C887" s="5">
        <v>11.46</v>
      </c>
      <c r="D887" s="2">
        <v>0.70366898148495238</v>
      </c>
      <c r="E887" s="4">
        <v>44970</v>
      </c>
      <c r="F887" s="7" t="s">
        <v>46</v>
      </c>
      <c r="G887" s="7" t="s">
        <v>212</v>
      </c>
      <c r="H887" s="7" t="s">
        <v>943</v>
      </c>
      <c r="I887" s="7" t="s">
        <v>2051</v>
      </c>
      <c r="J887" s="7" t="s">
        <v>186</v>
      </c>
      <c r="K887" s="7" t="s">
        <v>36</v>
      </c>
      <c r="L887" s="8">
        <v>41</v>
      </c>
      <c r="M887" s="7" t="s">
        <v>77</v>
      </c>
      <c r="N887" s="8">
        <v>128</v>
      </c>
      <c r="O887" s="8">
        <v>1</v>
      </c>
      <c r="P887" s="5">
        <v>2356.71</v>
      </c>
      <c r="Q887" s="4">
        <v>45600</v>
      </c>
      <c r="R887" s="9">
        <v>0.33976851851851853</v>
      </c>
      <c r="S887" s="8">
        <v>16</v>
      </c>
      <c r="T887" s="7" t="s">
        <v>4457</v>
      </c>
      <c r="U887" s="7" t="s">
        <v>4455</v>
      </c>
      <c r="V8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88" spans="1:22" x14ac:dyDescent="0.35">
      <c r="A888" s="7" t="s">
        <v>2427</v>
      </c>
      <c r="B888" s="7" t="s">
        <v>242</v>
      </c>
      <c r="C888" s="5">
        <v>61.37</v>
      </c>
      <c r="D888" s="2">
        <v>0.70438657407066785</v>
      </c>
      <c r="E888" s="4">
        <v>44963</v>
      </c>
      <c r="F888" s="7" t="s">
        <v>17</v>
      </c>
      <c r="G888" s="7" t="s">
        <v>125</v>
      </c>
      <c r="H888" s="7" t="s">
        <v>2428</v>
      </c>
      <c r="I888" s="7" t="s">
        <v>2120</v>
      </c>
      <c r="J888" s="7" t="s">
        <v>353</v>
      </c>
      <c r="K888" s="7" t="s">
        <v>69</v>
      </c>
      <c r="L888" s="8">
        <v>75</v>
      </c>
      <c r="M888" s="7" t="s">
        <v>70</v>
      </c>
      <c r="N888" s="8">
        <v>164</v>
      </c>
      <c r="O888" s="8">
        <v>1</v>
      </c>
      <c r="P888" s="5">
        <v>4294.4399999999996</v>
      </c>
      <c r="Q888" s="4">
        <v>45600</v>
      </c>
      <c r="R888" s="9">
        <v>0.34091435185185187</v>
      </c>
      <c r="S888" s="8">
        <v>16</v>
      </c>
      <c r="T888" s="7" t="s">
        <v>4454</v>
      </c>
      <c r="U888" s="7" t="s">
        <v>4455</v>
      </c>
      <c r="V8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89" spans="1:22" x14ac:dyDescent="0.35">
      <c r="A889" s="7" t="s">
        <v>2429</v>
      </c>
      <c r="B889" s="7" t="s">
        <v>396</v>
      </c>
      <c r="C889" s="5">
        <v>103.08</v>
      </c>
      <c r="D889" s="2">
        <v>0.70002314815064892</v>
      </c>
      <c r="E889" s="4">
        <v>44984</v>
      </c>
      <c r="F889" s="7" t="s">
        <v>46</v>
      </c>
      <c r="G889" s="7" t="s">
        <v>178</v>
      </c>
      <c r="H889" s="7" t="s">
        <v>286</v>
      </c>
      <c r="I889" s="7" t="s">
        <v>2175</v>
      </c>
      <c r="J889" s="7" t="s">
        <v>1287</v>
      </c>
      <c r="K889" s="7" t="s">
        <v>69</v>
      </c>
      <c r="L889" s="8">
        <v>49</v>
      </c>
      <c r="M889" s="7" t="s">
        <v>77</v>
      </c>
      <c r="N889" s="8">
        <v>150</v>
      </c>
      <c r="O889" s="8">
        <v>1</v>
      </c>
      <c r="P889" s="5">
        <v>9251.3799999999992</v>
      </c>
      <c r="Q889" s="4">
        <v>45600</v>
      </c>
      <c r="R889" s="9">
        <v>0.3379861111111111</v>
      </c>
      <c r="S889" s="8">
        <v>16</v>
      </c>
      <c r="T889" s="7" t="s">
        <v>4457</v>
      </c>
      <c r="U889" s="7" t="s">
        <v>4455</v>
      </c>
      <c r="V8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90" spans="1:22" x14ac:dyDescent="0.35">
      <c r="A890" s="7" t="s">
        <v>2430</v>
      </c>
      <c r="B890" s="7" t="s">
        <v>611</v>
      </c>
      <c r="C890" s="5">
        <v>1.21</v>
      </c>
      <c r="D890" s="2">
        <v>0.72159722222568234</v>
      </c>
      <c r="E890" s="4">
        <v>45159</v>
      </c>
      <c r="F890" s="7" t="s">
        <v>17</v>
      </c>
      <c r="G890" s="7" t="s">
        <v>47</v>
      </c>
      <c r="H890" s="7" t="s">
        <v>670</v>
      </c>
      <c r="I890" s="7" t="s">
        <v>523</v>
      </c>
      <c r="J890" s="7" t="s">
        <v>137</v>
      </c>
      <c r="K890" s="7" t="s">
        <v>69</v>
      </c>
      <c r="L890" s="8">
        <v>55</v>
      </c>
      <c r="M890" s="7" t="s">
        <v>70</v>
      </c>
      <c r="N890" s="8">
        <v>196</v>
      </c>
      <c r="O890" s="8">
        <v>1</v>
      </c>
      <c r="P890" s="5">
        <v>7542.74</v>
      </c>
      <c r="Q890" s="4">
        <v>45600</v>
      </c>
      <c r="R890" s="9">
        <v>0.34136574074074072</v>
      </c>
      <c r="S890" s="8">
        <v>17</v>
      </c>
      <c r="T890" s="7" t="s">
        <v>4454</v>
      </c>
      <c r="U890" s="7" t="s">
        <v>4455</v>
      </c>
      <c r="V8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91" spans="1:22" x14ac:dyDescent="0.35">
      <c r="A891" s="7" t="s">
        <v>2431</v>
      </c>
      <c r="B891" s="7" t="s">
        <v>2432</v>
      </c>
      <c r="C891" s="5">
        <v>425.18</v>
      </c>
      <c r="D891" s="2">
        <v>0.66729166666482342</v>
      </c>
      <c r="E891" s="4">
        <v>45203</v>
      </c>
      <c r="F891" s="7" t="s">
        <v>46</v>
      </c>
      <c r="G891" s="7" t="s">
        <v>521</v>
      </c>
      <c r="H891" s="7" t="s">
        <v>2433</v>
      </c>
      <c r="I891" s="7" t="s">
        <v>2434</v>
      </c>
      <c r="J891" s="7" t="s">
        <v>267</v>
      </c>
      <c r="K891" s="7" t="s">
        <v>36</v>
      </c>
      <c r="L891" s="8">
        <v>26</v>
      </c>
      <c r="M891" s="7" t="s">
        <v>77</v>
      </c>
      <c r="N891" s="8">
        <v>172</v>
      </c>
      <c r="O891" s="8">
        <v>1</v>
      </c>
      <c r="P891" s="5">
        <v>9880.7099999999991</v>
      </c>
      <c r="Q891" s="4">
        <v>45600</v>
      </c>
      <c r="R891" s="9">
        <v>0.33934027777777775</v>
      </c>
      <c r="S891" s="8">
        <v>16</v>
      </c>
      <c r="T891" s="7" t="s">
        <v>4456</v>
      </c>
      <c r="U891" s="7" t="s">
        <v>4455</v>
      </c>
      <c r="V8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92" spans="1:22" x14ac:dyDescent="0.35">
      <c r="A892" s="7" t="s">
        <v>2435</v>
      </c>
      <c r="B892" s="7" t="s">
        <v>1821</v>
      </c>
      <c r="C892" s="5">
        <v>60.96</v>
      </c>
      <c r="D892" s="2">
        <v>0.6915277777807205</v>
      </c>
      <c r="E892" s="4">
        <v>45222</v>
      </c>
      <c r="F892" s="7" t="s">
        <v>17</v>
      </c>
      <c r="G892" s="7" t="s">
        <v>521</v>
      </c>
      <c r="H892" s="7" t="s">
        <v>2046</v>
      </c>
      <c r="I892" s="7" t="s">
        <v>2353</v>
      </c>
      <c r="J892" s="7" t="s">
        <v>149</v>
      </c>
      <c r="K892" s="7" t="s">
        <v>22</v>
      </c>
      <c r="L892" s="8">
        <v>52</v>
      </c>
      <c r="M892" s="7" t="s">
        <v>70</v>
      </c>
      <c r="N892" s="8">
        <v>238</v>
      </c>
      <c r="O892" s="8">
        <v>1</v>
      </c>
      <c r="P892" s="5">
        <v>6189.24</v>
      </c>
      <c r="Q892" s="4">
        <v>45600</v>
      </c>
      <c r="R892" s="9">
        <v>0.34025462962962966</v>
      </c>
      <c r="S892" s="8">
        <v>16</v>
      </c>
      <c r="T892" s="7" t="s">
        <v>4457</v>
      </c>
      <c r="U892" s="7" t="s">
        <v>4455</v>
      </c>
      <c r="V8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93" spans="1:22" x14ac:dyDescent="0.35">
      <c r="A893" s="7" t="s">
        <v>2436</v>
      </c>
      <c r="B893" s="7" t="s">
        <v>1183</v>
      </c>
      <c r="C893" s="5">
        <v>64.209999999999994</v>
      </c>
      <c r="D893" s="2">
        <v>0.69185185185051523</v>
      </c>
      <c r="E893" s="4">
        <v>44935</v>
      </c>
      <c r="F893" s="7" t="s">
        <v>17</v>
      </c>
      <c r="G893" s="7" t="s">
        <v>296</v>
      </c>
      <c r="H893" s="7" t="s">
        <v>2437</v>
      </c>
      <c r="I893" s="7" t="s">
        <v>500</v>
      </c>
      <c r="J893" s="7" t="s">
        <v>165</v>
      </c>
      <c r="K893" s="7" t="s">
        <v>22</v>
      </c>
      <c r="L893" s="8">
        <v>51</v>
      </c>
      <c r="M893" s="7" t="s">
        <v>23</v>
      </c>
      <c r="N893" s="8">
        <v>37</v>
      </c>
      <c r="O893" s="8">
        <v>1</v>
      </c>
      <c r="P893" s="5">
        <v>12540.18</v>
      </c>
      <c r="Q893" s="4">
        <v>45600</v>
      </c>
      <c r="R893" s="9">
        <v>0.33986111111111111</v>
      </c>
      <c r="S893" s="8">
        <v>16</v>
      </c>
      <c r="T893" s="7" t="s">
        <v>4457</v>
      </c>
      <c r="U893" s="7" t="s">
        <v>4455</v>
      </c>
      <c r="V8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94" spans="1:22" x14ac:dyDescent="0.35">
      <c r="A894" s="7" t="s">
        <v>2438</v>
      </c>
      <c r="B894" s="7" t="s">
        <v>1343</v>
      </c>
      <c r="C894" s="5">
        <v>523.02</v>
      </c>
      <c r="D894" s="2">
        <v>0.77274305555329192</v>
      </c>
      <c r="E894" s="4">
        <v>45065</v>
      </c>
      <c r="F894" s="7" t="s">
        <v>17</v>
      </c>
      <c r="G894" s="7" t="s">
        <v>392</v>
      </c>
      <c r="H894" s="7" t="s">
        <v>1286</v>
      </c>
      <c r="I894" s="7" t="s">
        <v>1034</v>
      </c>
      <c r="J894" s="7" t="s">
        <v>752</v>
      </c>
      <c r="K894" s="7" t="s">
        <v>36</v>
      </c>
      <c r="L894" s="8">
        <v>53</v>
      </c>
      <c r="M894" s="7" t="s">
        <v>70</v>
      </c>
      <c r="N894" s="8">
        <v>83</v>
      </c>
      <c r="O894" s="8">
        <v>1</v>
      </c>
      <c r="P894" s="5">
        <v>4586.1099999999997</v>
      </c>
      <c r="Q894" s="4">
        <v>45600</v>
      </c>
      <c r="R894" s="9">
        <v>0.33793981481481483</v>
      </c>
      <c r="S894" s="8">
        <v>18</v>
      </c>
      <c r="T894" s="7" t="s">
        <v>4457</v>
      </c>
      <c r="U894" s="7" t="s">
        <v>4455</v>
      </c>
      <c r="V8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95" spans="1:22" x14ac:dyDescent="0.35">
      <c r="A895" s="7" t="s">
        <v>2439</v>
      </c>
      <c r="B895" s="7" t="s">
        <v>1405</v>
      </c>
      <c r="C895" s="5">
        <v>50.26</v>
      </c>
      <c r="D895" s="2">
        <v>0.74415509259415558</v>
      </c>
      <c r="E895" s="4">
        <v>45239</v>
      </c>
      <c r="F895" s="7" t="s">
        <v>17</v>
      </c>
      <c r="G895" s="7" t="s">
        <v>146</v>
      </c>
      <c r="H895" s="7" t="s">
        <v>147</v>
      </c>
      <c r="I895" s="7" t="s">
        <v>1046</v>
      </c>
      <c r="J895" s="7" t="s">
        <v>288</v>
      </c>
      <c r="K895" s="7" t="s">
        <v>69</v>
      </c>
      <c r="L895" s="8">
        <v>65</v>
      </c>
      <c r="M895" s="7" t="s">
        <v>70</v>
      </c>
      <c r="N895" s="8">
        <v>164</v>
      </c>
      <c r="O895" s="8">
        <v>1</v>
      </c>
      <c r="P895" s="5">
        <v>1519.38</v>
      </c>
      <c r="Q895" s="4">
        <v>45600</v>
      </c>
      <c r="R895" s="9">
        <v>0.34082175925925928</v>
      </c>
      <c r="S895" s="8">
        <v>17</v>
      </c>
      <c r="T895" s="7" t="s">
        <v>4454</v>
      </c>
      <c r="U895" s="7" t="s">
        <v>4455</v>
      </c>
      <c r="V8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96" spans="1:22" x14ac:dyDescent="0.35">
      <c r="A896" s="7" t="s">
        <v>2440</v>
      </c>
      <c r="B896" s="7" t="s">
        <v>1111</v>
      </c>
      <c r="C896" s="5">
        <v>110.08</v>
      </c>
      <c r="D896" s="2">
        <v>0.71890046296175569</v>
      </c>
      <c r="E896" s="4">
        <v>45250</v>
      </c>
      <c r="F896" s="7" t="s">
        <v>17</v>
      </c>
      <c r="G896" s="7" t="s">
        <v>73</v>
      </c>
      <c r="H896" s="7" t="s">
        <v>1859</v>
      </c>
      <c r="I896" s="7" t="s">
        <v>1100</v>
      </c>
      <c r="J896" s="7" t="s">
        <v>128</v>
      </c>
      <c r="K896" s="7" t="s">
        <v>69</v>
      </c>
      <c r="L896" s="8">
        <v>19</v>
      </c>
      <c r="M896" s="7" t="s">
        <v>37</v>
      </c>
      <c r="N896" s="8">
        <v>95</v>
      </c>
      <c r="O896" s="8">
        <v>1</v>
      </c>
      <c r="P896" s="5">
        <v>1447.26</v>
      </c>
      <c r="Q896" s="4">
        <v>45600</v>
      </c>
      <c r="R896" s="9">
        <v>0.33910879629629631</v>
      </c>
      <c r="S896" s="8">
        <v>17</v>
      </c>
      <c r="T896" s="7" t="s">
        <v>4456</v>
      </c>
      <c r="U896" s="7" t="s">
        <v>4455</v>
      </c>
      <c r="V8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97" spans="1:22" x14ac:dyDescent="0.35">
      <c r="A897" s="7" t="s">
        <v>2441</v>
      </c>
      <c r="B897" s="7" t="s">
        <v>1517</v>
      </c>
      <c r="C897" s="5">
        <v>54.47</v>
      </c>
      <c r="D897" s="2">
        <v>0.74105324073752854</v>
      </c>
      <c r="E897" s="4">
        <v>45243</v>
      </c>
      <c r="F897" s="7" t="s">
        <v>46</v>
      </c>
      <c r="G897" s="7" t="s">
        <v>243</v>
      </c>
      <c r="H897" s="7" t="s">
        <v>586</v>
      </c>
      <c r="I897" s="7" t="s">
        <v>2298</v>
      </c>
      <c r="J897" s="7" t="s">
        <v>740</v>
      </c>
      <c r="K897" s="7" t="s">
        <v>69</v>
      </c>
      <c r="L897" s="8">
        <v>23</v>
      </c>
      <c r="M897" s="7" t="s">
        <v>37</v>
      </c>
      <c r="N897" s="8">
        <v>34</v>
      </c>
      <c r="O897" s="8">
        <v>1</v>
      </c>
      <c r="P897" s="5">
        <v>1131.42</v>
      </c>
      <c r="Q897" s="4">
        <v>45600</v>
      </c>
      <c r="R897" s="9">
        <v>0.34114583333333331</v>
      </c>
      <c r="S897" s="8">
        <v>17</v>
      </c>
      <c r="T897" s="7" t="s">
        <v>4456</v>
      </c>
      <c r="U897" s="7" t="s">
        <v>4455</v>
      </c>
      <c r="V8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898" spans="1:22" x14ac:dyDescent="0.35">
      <c r="A898" s="7" t="s">
        <v>2442</v>
      </c>
      <c r="B898" s="7" t="s">
        <v>219</v>
      </c>
      <c r="C898" s="5">
        <v>79.760000000000005</v>
      </c>
      <c r="D898" s="2">
        <v>0.68443287037371192</v>
      </c>
      <c r="E898" s="4">
        <v>45019</v>
      </c>
      <c r="F898" s="7" t="s">
        <v>17</v>
      </c>
      <c r="G898" s="7" t="s">
        <v>291</v>
      </c>
      <c r="H898" s="7" t="s">
        <v>1461</v>
      </c>
      <c r="I898" s="7" t="s">
        <v>116</v>
      </c>
      <c r="J898" s="7" t="s">
        <v>169</v>
      </c>
      <c r="K898" s="7" t="s">
        <v>36</v>
      </c>
      <c r="L898" s="8">
        <v>68</v>
      </c>
      <c r="M898" s="7" t="s">
        <v>23</v>
      </c>
      <c r="N898" s="8">
        <v>115</v>
      </c>
      <c r="O898" s="8">
        <v>1</v>
      </c>
      <c r="P898" s="5">
        <v>10278.75</v>
      </c>
      <c r="Q898" s="4">
        <v>45600</v>
      </c>
      <c r="R898" s="9">
        <v>0.33905092592592595</v>
      </c>
      <c r="S898" s="8">
        <v>16</v>
      </c>
      <c r="T898" s="7" t="s">
        <v>4454</v>
      </c>
      <c r="U898" s="7" t="s">
        <v>4455</v>
      </c>
      <c r="V8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899" spans="1:22" x14ac:dyDescent="0.35">
      <c r="A899" s="7" t="s">
        <v>2443</v>
      </c>
      <c r="B899" s="7" t="s">
        <v>183</v>
      </c>
      <c r="C899" s="5">
        <v>16.79</v>
      </c>
      <c r="D899" s="2">
        <v>0.69622685185458977</v>
      </c>
      <c r="E899" s="4">
        <v>45236</v>
      </c>
      <c r="F899" s="7" t="s">
        <v>46</v>
      </c>
      <c r="G899" s="7" t="s">
        <v>73</v>
      </c>
      <c r="H899" s="7" t="s">
        <v>1539</v>
      </c>
      <c r="I899" s="7" t="s">
        <v>2350</v>
      </c>
      <c r="J899" s="7" t="s">
        <v>282</v>
      </c>
      <c r="K899" s="7" t="s">
        <v>36</v>
      </c>
      <c r="L899" s="8">
        <v>30</v>
      </c>
      <c r="M899" s="7" t="s">
        <v>23</v>
      </c>
      <c r="N899" s="8">
        <v>146</v>
      </c>
      <c r="O899" s="8">
        <v>1</v>
      </c>
      <c r="P899" s="5">
        <v>535.15</v>
      </c>
      <c r="Q899" s="4">
        <v>45600</v>
      </c>
      <c r="R899" s="9">
        <v>0.34098379629629627</v>
      </c>
      <c r="S899" s="8">
        <v>16</v>
      </c>
      <c r="T899" s="7" t="s">
        <v>4456</v>
      </c>
      <c r="U899" s="7" t="s">
        <v>4455</v>
      </c>
      <c r="V8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00" spans="1:22" x14ac:dyDescent="0.35">
      <c r="A900" s="7" t="s">
        <v>2444</v>
      </c>
      <c r="B900" s="7" t="s">
        <v>1806</v>
      </c>
      <c r="C900" s="5">
        <v>1531.31</v>
      </c>
      <c r="D900" s="2">
        <v>0.75033564814657439</v>
      </c>
      <c r="E900" s="4">
        <v>45222</v>
      </c>
      <c r="F900" s="7" t="s">
        <v>17</v>
      </c>
      <c r="G900" s="7" t="s">
        <v>18</v>
      </c>
      <c r="H900" s="7" t="s">
        <v>2445</v>
      </c>
      <c r="I900" s="7" t="s">
        <v>933</v>
      </c>
      <c r="J900" s="7" t="s">
        <v>303</v>
      </c>
      <c r="K900" s="7" t="s">
        <v>36</v>
      </c>
      <c r="L900" s="8">
        <v>18</v>
      </c>
      <c r="M900" s="7" t="s">
        <v>37</v>
      </c>
      <c r="N900" s="8">
        <v>62</v>
      </c>
      <c r="O900" s="8">
        <v>4</v>
      </c>
      <c r="P900" s="5">
        <v>859.86</v>
      </c>
      <c r="Q900" s="4">
        <v>45600</v>
      </c>
      <c r="R900" s="9">
        <v>0.33796296296296297</v>
      </c>
      <c r="S900" s="8">
        <v>18</v>
      </c>
      <c r="T900" s="7" t="s">
        <v>4456</v>
      </c>
      <c r="U900" s="7" t="s">
        <v>4458</v>
      </c>
      <c r="V9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01" spans="1:22" x14ac:dyDescent="0.35">
      <c r="A901" s="7" t="s">
        <v>2446</v>
      </c>
      <c r="B901" s="7" t="s">
        <v>679</v>
      </c>
      <c r="C901" s="5">
        <v>68.62</v>
      </c>
      <c r="D901" s="2">
        <v>0.70685185184993315</v>
      </c>
      <c r="E901" s="4">
        <v>45106</v>
      </c>
      <c r="F901" s="7" t="s">
        <v>17</v>
      </c>
      <c r="G901" s="7" t="s">
        <v>296</v>
      </c>
      <c r="H901" s="7" t="s">
        <v>2447</v>
      </c>
      <c r="I901" s="7" t="s">
        <v>2059</v>
      </c>
      <c r="J901" s="7" t="s">
        <v>50</v>
      </c>
      <c r="K901" s="7" t="s">
        <v>69</v>
      </c>
      <c r="L901" s="8">
        <v>29</v>
      </c>
      <c r="M901" s="7" t="s">
        <v>23</v>
      </c>
      <c r="N901" s="8">
        <v>157</v>
      </c>
      <c r="O901" s="8">
        <v>1</v>
      </c>
      <c r="P901" s="5">
        <v>13891.47</v>
      </c>
      <c r="Q901" s="4">
        <v>45600</v>
      </c>
      <c r="R901" s="9">
        <v>0.34096064814814814</v>
      </c>
      <c r="S901" s="8">
        <v>16</v>
      </c>
      <c r="T901" s="7" t="s">
        <v>4456</v>
      </c>
      <c r="U901" s="7" t="s">
        <v>4455</v>
      </c>
      <c r="V9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02" spans="1:22" x14ac:dyDescent="0.35">
      <c r="A902" s="7" t="s">
        <v>2448</v>
      </c>
      <c r="B902" s="7" t="s">
        <v>345</v>
      </c>
      <c r="C902" s="5">
        <v>157.16</v>
      </c>
      <c r="D902" s="2">
        <v>0.73229166666715173</v>
      </c>
      <c r="E902" s="4">
        <v>44998</v>
      </c>
      <c r="F902" s="7" t="s">
        <v>17</v>
      </c>
      <c r="G902" s="7" t="s">
        <v>203</v>
      </c>
      <c r="H902" s="7" t="s">
        <v>2295</v>
      </c>
      <c r="I902" s="7" t="s">
        <v>469</v>
      </c>
      <c r="J902" s="7" t="s">
        <v>1524</v>
      </c>
      <c r="K902" s="7" t="s">
        <v>69</v>
      </c>
      <c r="L902" s="8">
        <v>20</v>
      </c>
      <c r="M902" s="7" t="s">
        <v>37</v>
      </c>
      <c r="N902" s="8">
        <v>280</v>
      </c>
      <c r="O902" s="8">
        <v>1</v>
      </c>
      <c r="P902" s="5">
        <v>1545.77</v>
      </c>
      <c r="Q902" s="4">
        <v>45600</v>
      </c>
      <c r="R902" s="9">
        <v>0.33850694444444446</v>
      </c>
      <c r="S902" s="8">
        <v>17</v>
      </c>
      <c r="T902" s="7" t="s">
        <v>4456</v>
      </c>
      <c r="U902" s="7" t="s">
        <v>4455</v>
      </c>
      <c r="V9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03" spans="1:22" x14ac:dyDescent="0.35">
      <c r="A903" s="7" t="s">
        <v>2449</v>
      </c>
      <c r="B903" s="7" t="s">
        <v>781</v>
      </c>
      <c r="C903" s="5">
        <v>643.38</v>
      </c>
      <c r="D903" s="2">
        <v>0.72177083333372138</v>
      </c>
      <c r="E903" s="4">
        <v>45236</v>
      </c>
      <c r="F903" s="7" t="s">
        <v>46</v>
      </c>
      <c r="G903" s="7" t="s">
        <v>73</v>
      </c>
      <c r="H903" s="7" t="s">
        <v>2156</v>
      </c>
      <c r="I903" s="7" t="s">
        <v>979</v>
      </c>
      <c r="J903" s="7" t="s">
        <v>252</v>
      </c>
      <c r="K903" s="7" t="s">
        <v>36</v>
      </c>
      <c r="L903" s="8">
        <v>18</v>
      </c>
      <c r="M903" s="7" t="s">
        <v>37</v>
      </c>
      <c r="N903" s="8">
        <v>105</v>
      </c>
      <c r="O903" s="8">
        <v>1</v>
      </c>
      <c r="P903" s="5">
        <v>1046.74</v>
      </c>
      <c r="Q903" s="4">
        <v>45600</v>
      </c>
      <c r="R903" s="9">
        <v>0.34167824074074077</v>
      </c>
      <c r="S903" s="8">
        <v>17</v>
      </c>
      <c r="T903" s="7" t="s">
        <v>4456</v>
      </c>
      <c r="U903" s="7" t="s">
        <v>4455</v>
      </c>
      <c r="V9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04" spans="1:22" x14ac:dyDescent="0.35">
      <c r="A904" s="7" t="s">
        <v>2450</v>
      </c>
      <c r="B904" s="7" t="s">
        <v>79</v>
      </c>
      <c r="C904" s="5">
        <v>328.34</v>
      </c>
      <c r="D904" s="2">
        <v>0.67901620370685123</v>
      </c>
      <c r="E904" s="4">
        <v>45211</v>
      </c>
      <c r="F904" s="7" t="s">
        <v>46</v>
      </c>
      <c r="G904" s="7" t="s">
        <v>18</v>
      </c>
      <c r="H904" s="7" t="s">
        <v>1191</v>
      </c>
      <c r="I904" s="7" t="s">
        <v>2254</v>
      </c>
      <c r="J904" s="7" t="s">
        <v>240</v>
      </c>
      <c r="K904" s="7" t="s">
        <v>36</v>
      </c>
      <c r="L904" s="8">
        <v>42</v>
      </c>
      <c r="M904" s="7" t="s">
        <v>77</v>
      </c>
      <c r="N904" s="8">
        <v>31</v>
      </c>
      <c r="O904" s="8">
        <v>1</v>
      </c>
      <c r="P904" s="5">
        <v>2840.45</v>
      </c>
      <c r="Q904" s="4">
        <v>45600</v>
      </c>
      <c r="R904" s="9">
        <v>0.33958333333333335</v>
      </c>
      <c r="S904" s="8">
        <v>16</v>
      </c>
      <c r="T904" s="7" t="s">
        <v>4457</v>
      </c>
      <c r="U904" s="7" t="s">
        <v>4455</v>
      </c>
      <c r="V9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05" spans="1:22" x14ac:dyDescent="0.35">
      <c r="A905" s="7" t="s">
        <v>2451</v>
      </c>
      <c r="B905" s="7" t="s">
        <v>1785</v>
      </c>
      <c r="C905" s="5">
        <v>72.680000000000007</v>
      </c>
      <c r="D905" s="2">
        <v>0.74778935185167938</v>
      </c>
      <c r="E905" s="4">
        <v>45128</v>
      </c>
      <c r="F905" s="7" t="s">
        <v>17</v>
      </c>
      <c r="G905" s="7" t="s">
        <v>59</v>
      </c>
      <c r="H905" s="7" t="s">
        <v>1633</v>
      </c>
      <c r="I905" s="7" t="s">
        <v>1254</v>
      </c>
      <c r="J905" s="7" t="s">
        <v>831</v>
      </c>
      <c r="K905" s="7" t="s">
        <v>36</v>
      </c>
      <c r="L905" s="8">
        <v>69</v>
      </c>
      <c r="M905" s="7" t="s">
        <v>70</v>
      </c>
      <c r="N905" s="8">
        <v>44</v>
      </c>
      <c r="O905" s="8">
        <v>1</v>
      </c>
      <c r="P905" s="5">
        <v>6216.77</v>
      </c>
      <c r="Q905" s="4">
        <v>45600</v>
      </c>
      <c r="R905" s="9">
        <v>0.34050925925925923</v>
      </c>
      <c r="S905" s="8">
        <v>17</v>
      </c>
      <c r="T905" s="7" t="s">
        <v>4454</v>
      </c>
      <c r="U905" s="7" t="s">
        <v>4455</v>
      </c>
      <c r="V9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06" spans="1:22" x14ac:dyDescent="0.35">
      <c r="A906" s="7" t="s">
        <v>2452</v>
      </c>
      <c r="B906" s="7" t="s">
        <v>242</v>
      </c>
      <c r="C906" s="5">
        <v>354.76</v>
      </c>
      <c r="D906" s="2">
        <v>0.68755787036934635</v>
      </c>
      <c r="E906" s="4">
        <v>45063</v>
      </c>
      <c r="F906" s="7" t="s">
        <v>17</v>
      </c>
      <c r="G906" s="7" t="s">
        <v>73</v>
      </c>
      <c r="H906" s="7" t="s">
        <v>2453</v>
      </c>
      <c r="I906" s="7" t="s">
        <v>1683</v>
      </c>
      <c r="J906" s="7" t="s">
        <v>149</v>
      </c>
      <c r="K906" s="7" t="s">
        <v>69</v>
      </c>
      <c r="L906" s="8">
        <v>51</v>
      </c>
      <c r="M906" s="7" t="s">
        <v>23</v>
      </c>
      <c r="N906" s="8">
        <v>279</v>
      </c>
      <c r="O906" s="8">
        <v>1</v>
      </c>
      <c r="P906" s="5">
        <v>10141.92</v>
      </c>
      <c r="Q906" s="4">
        <v>45600</v>
      </c>
      <c r="R906" s="9">
        <v>0.33864583333333331</v>
      </c>
      <c r="S906" s="8">
        <v>16</v>
      </c>
      <c r="T906" s="7" t="s">
        <v>4457</v>
      </c>
      <c r="U906" s="7" t="s">
        <v>4455</v>
      </c>
      <c r="V9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07" spans="1:22" x14ac:dyDescent="0.35">
      <c r="A907" s="7" t="s">
        <v>2454</v>
      </c>
      <c r="B907" s="7" t="s">
        <v>1753</v>
      </c>
      <c r="C907" s="5">
        <v>793.88</v>
      </c>
      <c r="D907" s="2">
        <v>0.67880787036847323</v>
      </c>
      <c r="E907" s="4">
        <v>44979</v>
      </c>
      <c r="F907" s="7" t="s">
        <v>46</v>
      </c>
      <c r="G907" s="7" t="s">
        <v>140</v>
      </c>
      <c r="H907" s="7" t="s">
        <v>1539</v>
      </c>
      <c r="I907" s="7" t="s">
        <v>1676</v>
      </c>
      <c r="J907" s="7" t="s">
        <v>308</v>
      </c>
      <c r="K907" s="7" t="s">
        <v>22</v>
      </c>
      <c r="L907" s="8">
        <v>22</v>
      </c>
      <c r="M907" s="7" t="s">
        <v>37</v>
      </c>
      <c r="N907" s="8">
        <v>252</v>
      </c>
      <c r="O907" s="8">
        <v>1</v>
      </c>
      <c r="P907" s="5">
        <v>1404.06</v>
      </c>
      <c r="Q907" s="4">
        <v>45600</v>
      </c>
      <c r="R907" s="9">
        <v>0.33834490740740741</v>
      </c>
      <c r="S907" s="8">
        <v>16</v>
      </c>
      <c r="T907" s="7" t="s">
        <v>4456</v>
      </c>
      <c r="U907" s="7" t="s">
        <v>4455</v>
      </c>
      <c r="V9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08" spans="1:22" x14ac:dyDescent="0.35">
      <c r="A908" s="7" t="s">
        <v>2455</v>
      </c>
      <c r="B908" s="7" t="s">
        <v>2456</v>
      </c>
      <c r="C908" s="5">
        <v>29.22</v>
      </c>
      <c r="D908" s="2">
        <v>0.773472222223063</v>
      </c>
      <c r="E908" s="4">
        <v>44984</v>
      </c>
      <c r="F908" s="7" t="s">
        <v>17</v>
      </c>
      <c r="G908" s="7" t="s">
        <v>73</v>
      </c>
      <c r="H908" s="7" t="s">
        <v>1498</v>
      </c>
      <c r="I908" s="7" t="s">
        <v>2259</v>
      </c>
      <c r="J908" s="7" t="s">
        <v>682</v>
      </c>
      <c r="K908" s="7" t="s">
        <v>22</v>
      </c>
      <c r="L908" s="8">
        <v>27</v>
      </c>
      <c r="M908" s="7" t="s">
        <v>77</v>
      </c>
      <c r="N908" s="8">
        <v>69</v>
      </c>
      <c r="O908" s="8">
        <v>1</v>
      </c>
      <c r="P908" s="5">
        <v>7795.79</v>
      </c>
      <c r="Q908" s="4">
        <v>45600</v>
      </c>
      <c r="R908" s="9">
        <v>0.34060185185185188</v>
      </c>
      <c r="S908" s="8">
        <v>18</v>
      </c>
      <c r="T908" s="7" t="s">
        <v>4456</v>
      </c>
      <c r="U908" s="7" t="s">
        <v>4455</v>
      </c>
      <c r="V9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09" spans="1:22" x14ac:dyDescent="0.35">
      <c r="A909" s="7" t="s">
        <v>2457</v>
      </c>
      <c r="B909" s="7" t="s">
        <v>102</v>
      </c>
      <c r="C909" s="5">
        <v>653.97</v>
      </c>
      <c r="D909" s="2">
        <v>0.73689814814861165</v>
      </c>
      <c r="E909" s="4">
        <v>45203</v>
      </c>
      <c r="F909" s="7" t="s">
        <v>17</v>
      </c>
      <c r="G909" s="7" t="s">
        <v>172</v>
      </c>
      <c r="H909" s="7" t="s">
        <v>2458</v>
      </c>
      <c r="I909" s="7" t="s">
        <v>1605</v>
      </c>
      <c r="J909" s="7" t="s">
        <v>652</v>
      </c>
      <c r="K909" s="7" t="s">
        <v>36</v>
      </c>
      <c r="L909" s="8">
        <v>37</v>
      </c>
      <c r="M909" s="7" t="s">
        <v>77</v>
      </c>
      <c r="N909" s="8">
        <v>100</v>
      </c>
      <c r="O909" s="8">
        <v>1</v>
      </c>
      <c r="P909" s="5">
        <v>3886.65</v>
      </c>
      <c r="Q909" s="4">
        <v>45600</v>
      </c>
      <c r="R909" s="9">
        <v>0.34163194444444445</v>
      </c>
      <c r="S909" s="8">
        <v>17</v>
      </c>
      <c r="T909" s="7" t="s">
        <v>4457</v>
      </c>
      <c r="U909" s="7" t="s">
        <v>4455</v>
      </c>
      <c r="V9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10" spans="1:22" x14ac:dyDescent="0.35">
      <c r="A910" s="7" t="s">
        <v>2459</v>
      </c>
      <c r="B910" s="7" t="s">
        <v>993</v>
      </c>
      <c r="C910" s="5">
        <v>366.43</v>
      </c>
      <c r="D910" s="2">
        <v>0.69373842592904111</v>
      </c>
      <c r="E910" s="4">
        <v>44956</v>
      </c>
      <c r="F910" s="7" t="s">
        <v>46</v>
      </c>
      <c r="G910" s="7" t="s">
        <v>595</v>
      </c>
      <c r="H910" s="7" t="s">
        <v>2399</v>
      </c>
      <c r="I910" s="7" t="s">
        <v>2041</v>
      </c>
      <c r="J910" s="7" t="s">
        <v>1014</v>
      </c>
      <c r="K910" s="7" t="s">
        <v>36</v>
      </c>
      <c r="L910" s="8">
        <v>21</v>
      </c>
      <c r="M910" s="7" t="s">
        <v>37</v>
      </c>
      <c r="N910" s="8">
        <v>92</v>
      </c>
      <c r="O910" s="8">
        <v>1</v>
      </c>
      <c r="P910" s="5">
        <v>1560.45</v>
      </c>
      <c r="Q910" s="4">
        <v>45600</v>
      </c>
      <c r="R910" s="9">
        <v>0.34002314814814816</v>
      </c>
      <c r="S910" s="8">
        <v>16</v>
      </c>
      <c r="T910" s="7" t="s">
        <v>4456</v>
      </c>
      <c r="U910" s="7" t="s">
        <v>4455</v>
      </c>
      <c r="V9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11" spans="1:22" x14ac:dyDescent="0.35">
      <c r="A911" s="7" t="s">
        <v>2460</v>
      </c>
      <c r="B911" s="7" t="s">
        <v>337</v>
      </c>
      <c r="C911" s="5">
        <v>120.86</v>
      </c>
      <c r="D911" s="2">
        <v>0.74843749999854481</v>
      </c>
      <c r="E911" s="4">
        <v>45246</v>
      </c>
      <c r="F911" s="7" t="s">
        <v>17</v>
      </c>
      <c r="G911" s="7" t="s">
        <v>521</v>
      </c>
      <c r="H911" s="7" t="s">
        <v>2461</v>
      </c>
      <c r="I911" s="7" t="s">
        <v>903</v>
      </c>
      <c r="J911" s="7" t="s">
        <v>427</v>
      </c>
      <c r="K911" s="7" t="s">
        <v>36</v>
      </c>
      <c r="L911" s="8">
        <v>33</v>
      </c>
      <c r="M911" s="7" t="s">
        <v>23</v>
      </c>
      <c r="N911" s="8">
        <v>162</v>
      </c>
      <c r="O911" s="8">
        <v>4</v>
      </c>
      <c r="P911" s="5">
        <v>13566.58</v>
      </c>
      <c r="Q911" s="4">
        <v>45600</v>
      </c>
      <c r="R911" s="9">
        <v>0.34152777777777776</v>
      </c>
      <c r="S911" s="8">
        <v>17</v>
      </c>
      <c r="T911" s="7" t="s">
        <v>4456</v>
      </c>
      <c r="U911" s="7" t="s">
        <v>4458</v>
      </c>
      <c r="V9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12" spans="1:22" x14ac:dyDescent="0.35">
      <c r="A912" s="7" t="s">
        <v>2462</v>
      </c>
      <c r="B912" s="7" t="s">
        <v>156</v>
      </c>
      <c r="C912" s="5">
        <v>233.74</v>
      </c>
      <c r="D912" s="2">
        <v>0.69699074074014788</v>
      </c>
      <c r="E912" s="4">
        <v>44970</v>
      </c>
      <c r="F912" s="7" t="s">
        <v>17</v>
      </c>
      <c r="G912" s="7" t="s">
        <v>388</v>
      </c>
      <c r="H912" s="7" t="s">
        <v>1578</v>
      </c>
      <c r="I912" s="7" t="s">
        <v>1048</v>
      </c>
      <c r="J912" s="7" t="s">
        <v>682</v>
      </c>
      <c r="K912" s="7" t="s">
        <v>36</v>
      </c>
      <c r="L912" s="8">
        <v>72</v>
      </c>
      <c r="M912" s="7" t="s">
        <v>70</v>
      </c>
      <c r="N912" s="8">
        <v>142</v>
      </c>
      <c r="O912" s="8">
        <v>1</v>
      </c>
      <c r="P912" s="5">
        <v>4749.54</v>
      </c>
      <c r="Q912" s="4">
        <v>45600</v>
      </c>
      <c r="R912" s="9">
        <v>0.33781250000000002</v>
      </c>
      <c r="S912" s="8">
        <v>16</v>
      </c>
      <c r="T912" s="7" t="s">
        <v>4454</v>
      </c>
      <c r="U912" s="7" t="s">
        <v>4455</v>
      </c>
      <c r="V9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13" spans="1:22" x14ac:dyDescent="0.35">
      <c r="A913" s="7" t="s">
        <v>2463</v>
      </c>
      <c r="B913" s="7" t="s">
        <v>2464</v>
      </c>
      <c r="C913" s="5">
        <v>471.84</v>
      </c>
      <c r="D913" s="2">
        <v>0.73013888888817746</v>
      </c>
      <c r="E913" s="4">
        <v>45198</v>
      </c>
      <c r="F913" s="7" t="s">
        <v>17</v>
      </c>
      <c r="G913" s="7" t="s">
        <v>40</v>
      </c>
      <c r="H913" s="7" t="s">
        <v>2209</v>
      </c>
      <c r="I913" s="7" t="s">
        <v>2465</v>
      </c>
      <c r="J913" s="7" t="s">
        <v>1014</v>
      </c>
      <c r="K913" s="7" t="s">
        <v>22</v>
      </c>
      <c r="L913" s="8">
        <v>18</v>
      </c>
      <c r="M913" s="7" t="s">
        <v>37</v>
      </c>
      <c r="N913" s="8">
        <v>138</v>
      </c>
      <c r="O913" s="8">
        <v>1</v>
      </c>
      <c r="P913" s="5">
        <v>1044.33</v>
      </c>
      <c r="Q913" s="4">
        <v>45600</v>
      </c>
      <c r="R913" s="9">
        <v>0.33940972222222221</v>
      </c>
      <c r="S913" s="8">
        <v>17</v>
      </c>
      <c r="T913" s="7" t="s">
        <v>4456</v>
      </c>
      <c r="U913" s="7" t="s">
        <v>4455</v>
      </c>
      <c r="V9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14" spans="1:22" x14ac:dyDescent="0.35">
      <c r="A914" s="7" t="s">
        <v>2466</v>
      </c>
      <c r="B914" s="7" t="s">
        <v>2467</v>
      </c>
      <c r="C914" s="5">
        <v>213.4</v>
      </c>
      <c r="D914" s="2">
        <v>0.69488425926101627</v>
      </c>
      <c r="E914" s="4">
        <v>45152</v>
      </c>
      <c r="F914" s="7" t="s">
        <v>46</v>
      </c>
      <c r="G914" s="7" t="s">
        <v>157</v>
      </c>
      <c r="H914" s="7" t="s">
        <v>928</v>
      </c>
      <c r="I914" s="7" t="s">
        <v>325</v>
      </c>
      <c r="J914" s="7" t="s">
        <v>343</v>
      </c>
      <c r="K914" s="7" t="s">
        <v>69</v>
      </c>
      <c r="L914" s="8">
        <v>73</v>
      </c>
      <c r="M914" s="7" t="s">
        <v>70</v>
      </c>
      <c r="N914" s="8">
        <v>100</v>
      </c>
      <c r="O914" s="8">
        <v>1</v>
      </c>
      <c r="P914" s="5">
        <v>2012.24</v>
      </c>
      <c r="Q914" s="4">
        <v>45600</v>
      </c>
      <c r="R914" s="9">
        <v>0.33989583333333334</v>
      </c>
      <c r="S914" s="8">
        <v>16</v>
      </c>
      <c r="T914" s="7" t="s">
        <v>4454</v>
      </c>
      <c r="U914" s="7" t="s">
        <v>4455</v>
      </c>
      <c r="V9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15" spans="1:22" x14ac:dyDescent="0.35">
      <c r="A915" s="7" t="s">
        <v>2468</v>
      </c>
      <c r="B915" s="7" t="s">
        <v>1200</v>
      </c>
      <c r="C915" s="5">
        <v>254.21</v>
      </c>
      <c r="D915" s="2">
        <v>0.70009259258949896</v>
      </c>
      <c r="E915" s="4">
        <v>45068</v>
      </c>
      <c r="F915" s="7" t="s">
        <v>17</v>
      </c>
      <c r="G915" s="7" t="s">
        <v>425</v>
      </c>
      <c r="H915" s="7" t="s">
        <v>2235</v>
      </c>
      <c r="I915" s="7" t="s">
        <v>2465</v>
      </c>
      <c r="J915" s="7" t="s">
        <v>95</v>
      </c>
      <c r="K915" s="7" t="s">
        <v>22</v>
      </c>
      <c r="L915" s="8">
        <v>48</v>
      </c>
      <c r="M915" s="7" t="s">
        <v>77</v>
      </c>
      <c r="N915" s="8">
        <v>46</v>
      </c>
      <c r="O915" s="8">
        <v>1</v>
      </c>
      <c r="P915" s="5">
        <v>2487.1999999999998</v>
      </c>
      <c r="Q915" s="4">
        <v>45600</v>
      </c>
      <c r="R915" s="9">
        <v>0.34085648148148145</v>
      </c>
      <c r="S915" s="8">
        <v>16</v>
      </c>
      <c r="T915" s="7" t="s">
        <v>4457</v>
      </c>
      <c r="U915" s="7" t="s">
        <v>4455</v>
      </c>
      <c r="V9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16" spans="1:22" x14ac:dyDescent="0.35">
      <c r="A916" s="7" t="s">
        <v>2469</v>
      </c>
      <c r="B916" s="7" t="s">
        <v>1081</v>
      </c>
      <c r="C916" s="5">
        <v>577.73</v>
      </c>
      <c r="D916" s="2">
        <v>0.68504629629751435</v>
      </c>
      <c r="E916" s="4">
        <v>45240</v>
      </c>
      <c r="F916" s="7" t="s">
        <v>17</v>
      </c>
      <c r="G916" s="7" t="s">
        <v>223</v>
      </c>
      <c r="H916" s="7" t="s">
        <v>2437</v>
      </c>
      <c r="I916" s="7" t="s">
        <v>281</v>
      </c>
      <c r="J916" s="7" t="s">
        <v>450</v>
      </c>
      <c r="K916" s="7" t="s">
        <v>22</v>
      </c>
      <c r="L916" s="8">
        <v>37</v>
      </c>
      <c r="M916" s="7" t="s">
        <v>23</v>
      </c>
      <c r="N916" s="8">
        <v>63</v>
      </c>
      <c r="O916" s="8">
        <v>1</v>
      </c>
      <c r="P916" s="5">
        <v>14977.99</v>
      </c>
      <c r="Q916" s="4">
        <v>45600</v>
      </c>
      <c r="R916" s="9">
        <v>0.33792824074074074</v>
      </c>
      <c r="S916" s="8">
        <v>16</v>
      </c>
      <c r="T916" s="7" t="s">
        <v>4457</v>
      </c>
      <c r="U916" s="7" t="s">
        <v>4455</v>
      </c>
      <c r="V9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17" spans="1:22" x14ac:dyDescent="0.35">
      <c r="A917" s="7" t="s">
        <v>2470</v>
      </c>
      <c r="B917" s="7" t="s">
        <v>557</v>
      </c>
      <c r="C917" s="5">
        <v>170.26</v>
      </c>
      <c r="D917" s="2">
        <v>0.70723379629635019</v>
      </c>
      <c r="E917" s="4">
        <v>45194</v>
      </c>
      <c r="F917" s="7" t="s">
        <v>17</v>
      </c>
      <c r="G917" s="7" t="s">
        <v>265</v>
      </c>
      <c r="H917" s="7" t="s">
        <v>1386</v>
      </c>
      <c r="I917" s="7" t="s">
        <v>1048</v>
      </c>
      <c r="J917" s="7" t="s">
        <v>200</v>
      </c>
      <c r="K917" s="7" t="s">
        <v>22</v>
      </c>
      <c r="L917" s="8">
        <v>27</v>
      </c>
      <c r="M917" s="7" t="s">
        <v>37</v>
      </c>
      <c r="N917" s="8">
        <v>265</v>
      </c>
      <c r="O917" s="8">
        <v>1</v>
      </c>
      <c r="P917" s="5">
        <v>1969.48</v>
      </c>
      <c r="Q917" s="4">
        <v>45600</v>
      </c>
      <c r="R917" s="9">
        <v>0.33856481481481482</v>
      </c>
      <c r="S917" s="8">
        <v>16</v>
      </c>
      <c r="T917" s="7" t="s">
        <v>4456</v>
      </c>
      <c r="U917" s="7" t="s">
        <v>4455</v>
      </c>
      <c r="V9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18" spans="1:22" x14ac:dyDescent="0.35">
      <c r="A918" s="7" t="s">
        <v>2471</v>
      </c>
      <c r="B918" s="7" t="s">
        <v>648</v>
      </c>
      <c r="C918" s="5">
        <v>337.73</v>
      </c>
      <c r="D918" s="2">
        <v>0.71711805555241881</v>
      </c>
      <c r="E918" s="4">
        <v>45069</v>
      </c>
      <c r="F918" s="7" t="s">
        <v>17</v>
      </c>
      <c r="G918" s="7" t="s">
        <v>237</v>
      </c>
      <c r="H918" s="7" t="s">
        <v>2472</v>
      </c>
      <c r="I918" s="7" t="s">
        <v>758</v>
      </c>
      <c r="J918" s="7" t="s">
        <v>149</v>
      </c>
      <c r="K918" s="7" t="s">
        <v>36</v>
      </c>
      <c r="L918" s="8">
        <v>78</v>
      </c>
      <c r="M918" s="7" t="s">
        <v>70</v>
      </c>
      <c r="N918" s="8">
        <v>107</v>
      </c>
      <c r="O918" s="8">
        <v>4</v>
      </c>
      <c r="P918" s="5">
        <v>7001.2</v>
      </c>
      <c r="Q918" s="4">
        <v>45600</v>
      </c>
      <c r="R918" s="9">
        <v>0.3385185185185185</v>
      </c>
      <c r="S918" s="8">
        <v>17</v>
      </c>
      <c r="T918" s="7" t="s">
        <v>4454</v>
      </c>
      <c r="U918" s="7" t="s">
        <v>4458</v>
      </c>
      <c r="V9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19" spans="1:22" x14ac:dyDescent="0.35">
      <c r="A919" s="7" t="s">
        <v>2473</v>
      </c>
      <c r="B919" s="7" t="s">
        <v>1808</v>
      </c>
      <c r="C919" s="5">
        <v>330.61</v>
      </c>
      <c r="D919" s="2">
        <v>0.66989583333634073</v>
      </c>
      <c r="E919" s="4">
        <v>45113</v>
      </c>
      <c r="F919" s="7" t="s">
        <v>46</v>
      </c>
      <c r="G919" s="7" t="s">
        <v>80</v>
      </c>
      <c r="H919" s="7" t="s">
        <v>2474</v>
      </c>
      <c r="I919" s="7" t="s">
        <v>330</v>
      </c>
      <c r="J919" s="7" t="s">
        <v>514</v>
      </c>
      <c r="K919" s="7" t="s">
        <v>69</v>
      </c>
      <c r="L919" s="8">
        <v>64</v>
      </c>
      <c r="M919" s="7" t="s">
        <v>70</v>
      </c>
      <c r="N919" s="8">
        <v>113</v>
      </c>
      <c r="O919" s="8">
        <v>1</v>
      </c>
      <c r="P919" s="5">
        <v>2525.25</v>
      </c>
      <c r="Q919" s="4">
        <v>45600</v>
      </c>
      <c r="R919" s="9">
        <v>0.34067129629629628</v>
      </c>
      <c r="S919" s="8">
        <v>16</v>
      </c>
      <c r="T919" s="7" t="s">
        <v>4454</v>
      </c>
      <c r="U919" s="7" t="s">
        <v>4455</v>
      </c>
      <c r="V9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0" spans="1:22" x14ac:dyDescent="0.35">
      <c r="A920" s="7" t="s">
        <v>2475</v>
      </c>
      <c r="B920" s="7" t="s">
        <v>1472</v>
      </c>
      <c r="C920" s="5">
        <v>132.33000000000001</v>
      </c>
      <c r="D920" s="2">
        <v>0.68916666666336823</v>
      </c>
      <c r="E920" s="4">
        <v>45240</v>
      </c>
      <c r="F920" s="7" t="s">
        <v>46</v>
      </c>
      <c r="G920" s="7" t="s">
        <v>425</v>
      </c>
      <c r="H920" s="7" t="s">
        <v>2476</v>
      </c>
      <c r="I920" s="7" t="s">
        <v>2477</v>
      </c>
      <c r="J920" s="7" t="s">
        <v>432</v>
      </c>
      <c r="K920" s="7" t="s">
        <v>22</v>
      </c>
      <c r="L920" s="8">
        <v>35</v>
      </c>
      <c r="M920" s="7" t="s">
        <v>77</v>
      </c>
      <c r="N920" s="8">
        <v>47</v>
      </c>
      <c r="O920" s="8">
        <v>1</v>
      </c>
      <c r="P920" s="5">
        <v>7457.94</v>
      </c>
      <c r="Q920" s="4">
        <v>45600</v>
      </c>
      <c r="R920" s="9">
        <v>0.33935185185185185</v>
      </c>
      <c r="S920" s="8">
        <v>16</v>
      </c>
      <c r="T920" s="7" t="s">
        <v>4457</v>
      </c>
      <c r="U920" s="7" t="s">
        <v>4455</v>
      </c>
      <c r="V9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1" spans="1:22" x14ac:dyDescent="0.35">
      <c r="A921" s="7" t="s">
        <v>2478</v>
      </c>
      <c r="B921" s="7" t="s">
        <v>1554</v>
      </c>
      <c r="C921" s="5">
        <v>672.74</v>
      </c>
      <c r="D921" s="2">
        <v>0.69413194444496185</v>
      </c>
      <c r="E921" s="4">
        <v>45148</v>
      </c>
      <c r="F921" s="7" t="s">
        <v>46</v>
      </c>
      <c r="G921" s="7" t="s">
        <v>521</v>
      </c>
      <c r="H921" s="7" t="s">
        <v>2479</v>
      </c>
      <c r="I921" s="7" t="s">
        <v>1396</v>
      </c>
      <c r="J921" s="7" t="s">
        <v>1524</v>
      </c>
      <c r="K921" s="7" t="s">
        <v>69</v>
      </c>
      <c r="L921" s="8">
        <v>46</v>
      </c>
      <c r="M921" s="7" t="s">
        <v>77</v>
      </c>
      <c r="N921" s="8">
        <v>118</v>
      </c>
      <c r="O921" s="8">
        <v>1</v>
      </c>
      <c r="P921" s="5">
        <v>5386.52</v>
      </c>
      <c r="Q921" s="4">
        <v>45600</v>
      </c>
      <c r="R921" s="9">
        <v>0.34145833333333331</v>
      </c>
      <c r="S921" s="8">
        <v>16</v>
      </c>
      <c r="T921" s="7" t="s">
        <v>4457</v>
      </c>
      <c r="U921" s="7" t="s">
        <v>4455</v>
      </c>
      <c r="V9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2" spans="1:22" x14ac:dyDescent="0.35">
      <c r="A922" s="7" t="s">
        <v>2480</v>
      </c>
      <c r="B922" s="7" t="s">
        <v>2481</v>
      </c>
      <c r="C922" s="5">
        <v>74.040000000000006</v>
      </c>
      <c r="D922" s="2">
        <v>0.76630787036992842</v>
      </c>
      <c r="E922" s="4">
        <v>44980</v>
      </c>
      <c r="F922" s="7" t="s">
        <v>17</v>
      </c>
      <c r="G922" s="7" t="s">
        <v>92</v>
      </c>
      <c r="H922" s="7" t="s">
        <v>270</v>
      </c>
      <c r="I922" s="7" t="s">
        <v>110</v>
      </c>
      <c r="J922" s="7" t="s">
        <v>209</v>
      </c>
      <c r="K922" s="7" t="s">
        <v>36</v>
      </c>
      <c r="L922" s="8">
        <v>18</v>
      </c>
      <c r="M922" s="7" t="s">
        <v>37</v>
      </c>
      <c r="N922" s="8">
        <v>66</v>
      </c>
      <c r="O922" s="8">
        <v>1</v>
      </c>
      <c r="P922" s="5">
        <v>1690.23</v>
      </c>
      <c r="Q922" s="4">
        <v>45600</v>
      </c>
      <c r="R922" s="9">
        <v>0.34130787037037036</v>
      </c>
      <c r="S922" s="8">
        <v>18</v>
      </c>
      <c r="T922" s="7" t="s">
        <v>4456</v>
      </c>
      <c r="U922" s="7" t="s">
        <v>4455</v>
      </c>
      <c r="V9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23" spans="1:22" x14ac:dyDescent="0.35">
      <c r="A923" s="7" t="s">
        <v>2482</v>
      </c>
      <c r="B923" s="7" t="s">
        <v>1147</v>
      </c>
      <c r="C923" s="5">
        <v>197.18</v>
      </c>
      <c r="D923" s="2">
        <v>0.69979166666598758</v>
      </c>
      <c r="E923" s="4">
        <v>45055</v>
      </c>
      <c r="F923" s="7" t="s">
        <v>17</v>
      </c>
      <c r="G923" s="7" t="s">
        <v>255</v>
      </c>
      <c r="H923" s="7" t="s">
        <v>216</v>
      </c>
      <c r="I923" s="7" t="s">
        <v>1399</v>
      </c>
      <c r="J923" s="7" t="s">
        <v>1349</v>
      </c>
      <c r="K923" s="7" t="s">
        <v>36</v>
      </c>
      <c r="L923" s="8">
        <v>28</v>
      </c>
      <c r="M923" s="7" t="s">
        <v>77</v>
      </c>
      <c r="N923" s="8">
        <v>135</v>
      </c>
      <c r="O923" s="8">
        <v>1</v>
      </c>
      <c r="P923" s="5">
        <v>3114.92</v>
      </c>
      <c r="Q923" s="4">
        <v>45600</v>
      </c>
      <c r="R923" s="9">
        <v>0.34030092592592592</v>
      </c>
      <c r="S923" s="8">
        <v>16</v>
      </c>
      <c r="T923" s="7" t="s">
        <v>4456</v>
      </c>
      <c r="U923" s="7" t="s">
        <v>4455</v>
      </c>
      <c r="V9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4" spans="1:22" x14ac:dyDescent="0.35">
      <c r="A924" s="7" t="s">
        <v>2483</v>
      </c>
      <c r="B924" s="7" t="s">
        <v>2238</v>
      </c>
      <c r="C924" s="5">
        <v>21.15</v>
      </c>
      <c r="D924" s="2">
        <v>0.67094907407590654</v>
      </c>
      <c r="E924" s="4">
        <v>45250</v>
      </c>
      <c r="F924" s="7" t="s">
        <v>17</v>
      </c>
      <c r="G924" s="7" t="s">
        <v>125</v>
      </c>
      <c r="H924" s="7" t="s">
        <v>1115</v>
      </c>
      <c r="I924" s="7" t="s">
        <v>2484</v>
      </c>
      <c r="J924" s="7" t="s">
        <v>707</v>
      </c>
      <c r="K924" s="7" t="s">
        <v>69</v>
      </c>
      <c r="L924" s="8">
        <v>70</v>
      </c>
      <c r="M924" s="7" t="s">
        <v>70</v>
      </c>
      <c r="N924" s="8">
        <v>180</v>
      </c>
      <c r="O924" s="8">
        <v>1</v>
      </c>
      <c r="P924" s="5">
        <v>3466.74</v>
      </c>
      <c r="Q924" s="4">
        <v>45600</v>
      </c>
      <c r="R924" s="9">
        <v>0.34011574074074075</v>
      </c>
      <c r="S924" s="8">
        <v>16</v>
      </c>
      <c r="T924" s="7" t="s">
        <v>4454</v>
      </c>
      <c r="U924" s="7" t="s">
        <v>4455</v>
      </c>
      <c r="V9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5" spans="1:22" x14ac:dyDescent="0.35">
      <c r="A925" s="7" t="s">
        <v>2485</v>
      </c>
      <c r="B925" s="7" t="s">
        <v>2311</v>
      </c>
      <c r="C925" s="5">
        <v>218.37</v>
      </c>
      <c r="D925" s="2">
        <v>0.68577546296000946</v>
      </c>
      <c r="E925" s="4">
        <v>45082</v>
      </c>
      <c r="F925" s="7" t="s">
        <v>17</v>
      </c>
      <c r="G925" s="7" t="s">
        <v>26</v>
      </c>
      <c r="H925" s="7" t="s">
        <v>1028</v>
      </c>
      <c r="I925" s="7" t="s">
        <v>828</v>
      </c>
      <c r="J925" s="7" t="s">
        <v>326</v>
      </c>
      <c r="K925" s="7" t="s">
        <v>22</v>
      </c>
      <c r="L925" s="8">
        <v>62</v>
      </c>
      <c r="M925" s="7" t="s">
        <v>23</v>
      </c>
      <c r="N925" s="8">
        <v>105</v>
      </c>
      <c r="O925" s="8">
        <v>1</v>
      </c>
      <c r="P925" s="5">
        <v>9942.24</v>
      </c>
      <c r="Q925" s="4">
        <v>45600</v>
      </c>
      <c r="R925" s="9">
        <v>0.34090277777777778</v>
      </c>
      <c r="S925" s="8">
        <v>16</v>
      </c>
      <c r="T925" s="7" t="s">
        <v>4454</v>
      </c>
      <c r="U925" s="7" t="s">
        <v>4455</v>
      </c>
      <c r="V9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6" spans="1:22" x14ac:dyDescent="0.35">
      <c r="A926" s="7" t="s">
        <v>2486</v>
      </c>
      <c r="B926" s="7" t="s">
        <v>855</v>
      </c>
      <c r="C926" s="5">
        <v>590.01</v>
      </c>
      <c r="D926" s="2">
        <v>0.69601851851621177</v>
      </c>
      <c r="E926" s="4">
        <v>44963</v>
      </c>
      <c r="F926" s="7" t="s">
        <v>17</v>
      </c>
      <c r="G926" s="7" t="s">
        <v>223</v>
      </c>
      <c r="H926" s="7" t="s">
        <v>906</v>
      </c>
      <c r="I926" s="7" t="s">
        <v>266</v>
      </c>
      <c r="J926" s="7" t="s">
        <v>252</v>
      </c>
      <c r="K926" s="7" t="s">
        <v>36</v>
      </c>
      <c r="L926" s="8">
        <v>29</v>
      </c>
      <c r="M926" s="7" t="s">
        <v>23</v>
      </c>
      <c r="N926" s="8">
        <v>140</v>
      </c>
      <c r="O926" s="8">
        <v>3</v>
      </c>
      <c r="P926" s="5">
        <v>9791.74</v>
      </c>
      <c r="Q926" s="4">
        <v>45600</v>
      </c>
      <c r="R926" s="9">
        <v>0.33872685185185186</v>
      </c>
      <c r="S926" s="8">
        <v>16</v>
      </c>
      <c r="T926" s="7" t="s">
        <v>4456</v>
      </c>
      <c r="U926" s="7" t="s">
        <v>4458</v>
      </c>
      <c r="V9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7" spans="1:22" x14ac:dyDescent="0.35">
      <c r="A927" s="7" t="s">
        <v>2487</v>
      </c>
      <c r="B927" s="7" t="s">
        <v>2488</v>
      </c>
      <c r="C927" s="5">
        <v>697.82</v>
      </c>
      <c r="D927" s="2">
        <v>0.67403935184847796</v>
      </c>
      <c r="E927" s="4">
        <v>45257</v>
      </c>
      <c r="F927" s="7" t="s">
        <v>17</v>
      </c>
      <c r="G927" s="7" t="s">
        <v>203</v>
      </c>
      <c r="H927" s="7" t="s">
        <v>2355</v>
      </c>
      <c r="I927" s="7" t="s">
        <v>976</v>
      </c>
      <c r="J927" s="7" t="s">
        <v>186</v>
      </c>
      <c r="K927" s="7" t="s">
        <v>36</v>
      </c>
      <c r="L927" s="8">
        <v>44</v>
      </c>
      <c r="M927" s="7" t="s">
        <v>77</v>
      </c>
      <c r="N927" s="8">
        <v>153</v>
      </c>
      <c r="O927" s="8">
        <v>1</v>
      </c>
      <c r="P927" s="5">
        <v>6824</v>
      </c>
      <c r="Q927" s="4">
        <v>45600</v>
      </c>
      <c r="R927" s="9">
        <v>0.33832175925925928</v>
      </c>
      <c r="S927" s="8">
        <v>16</v>
      </c>
      <c r="T927" s="7" t="s">
        <v>4457</v>
      </c>
      <c r="U927" s="7" t="s">
        <v>4455</v>
      </c>
      <c r="V9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28" spans="1:22" x14ac:dyDescent="0.35">
      <c r="A928" s="7" t="s">
        <v>2489</v>
      </c>
      <c r="B928" s="7" t="s">
        <v>2490</v>
      </c>
      <c r="C928" s="5">
        <v>302.76</v>
      </c>
      <c r="D928" s="2">
        <v>0.71806712963007158</v>
      </c>
      <c r="E928" s="4">
        <v>45246</v>
      </c>
      <c r="F928" s="7" t="s">
        <v>17</v>
      </c>
      <c r="G928" s="7" t="s">
        <v>285</v>
      </c>
      <c r="H928" s="7" t="s">
        <v>1148</v>
      </c>
      <c r="I928" s="7" t="s">
        <v>1884</v>
      </c>
      <c r="J928" s="7" t="s">
        <v>169</v>
      </c>
      <c r="K928" s="7" t="s">
        <v>22</v>
      </c>
      <c r="L928" s="8">
        <v>38</v>
      </c>
      <c r="M928" s="7" t="s">
        <v>77</v>
      </c>
      <c r="N928" s="8">
        <v>88</v>
      </c>
      <c r="O928" s="8">
        <v>3</v>
      </c>
      <c r="P928" s="5">
        <v>8583.39</v>
      </c>
      <c r="Q928" s="4">
        <v>45600</v>
      </c>
      <c r="R928" s="9">
        <v>0.34106481481481482</v>
      </c>
      <c r="S928" s="8">
        <v>17</v>
      </c>
      <c r="T928" s="7" t="s">
        <v>4457</v>
      </c>
      <c r="U928" s="7" t="s">
        <v>4458</v>
      </c>
      <c r="V9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29" spans="1:22" x14ac:dyDescent="0.35">
      <c r="A929" s="7" t="s">
        <v>2491</v>
      </c>
      <c r="B929" s="7" t="s">
        <v>1955</v>
      </c>
      <c r="C929" s="5">
        <v>148</v>
      </c>
      <c r="D929" s="2">
        <v>0.70018518518190831</v>
      </c>
      <c r="E929" s="4">
        <v>44949</v>
      </c>
      <c r="F929" s="7" t="s">
        <v>17</v>
      </c>
      <c r="G929" s="7" t="s">
        <v>255</v>
      </c>
      <c r="H929" s="7" t="s">
        <v>131</v>
      </c>
      <c r="I929" s="7" t="s">
        <v>2129</v>
      </c>
      <c r="J929" s="7" t="s">
        <v>149</v>
      </c>
      <c r="K929" s="7" t="s">
        <v>69</v>
      </c>
      <c r="L929" s="8">
        <v>20</v>
      </c>
      <c r="M929" s="7" t="s">
        <v>37</v>
      </c>
      <c r="N929" s="8">
        <v>35</v>
      </c>
      <c r="O929" s="8">
        <v>1</v>
      </c>
      <c r="P929" s="5">
        <v>1488.65</v>
      </c>
      <c r="Q929" s="4">
        <v>45600</v>
      </c>
      <c r="R929" s="9">
        <v>0.33795138888888887</v>
      </c>
      <c r="S929" s="8">
        <v>16</v>
      </c>
      <c r="T929" s="7" t="s">
        <v>4456</v>
      </c>
      <c r="U929" s="7" t="s">
        <v>4455</v>
      </c>
      <c r="V9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30" spans="1:22" x14ac:dyDescent="0.35">
      <c r="A930" s="7" t="s">
        <v>2492</v>
      </c>
      <c r="B930" s="7" t="s">
        <v>896</v>
      </c>
      <c r="C930" s="5">
        <v>22.26</v>
      </c>
      <c r="D930" s="2">
        <v>0.78472222221898846</v>
      </c>
      <c r="E930" s="4">
        <v>44956</v>
      </c>
      <c r="F930" s="7" t="s">
        <v>17</v>
      </c>
      <c r="G930" s="7" t="s">
        <v>237</v>
      </c>
      <c r="H930" s="7" t="s">
        <v>530</v>
      </c>
      <c r="I930" s="7" t="s">
        <v>2131</v>
      </c>
      <c r="J930" s="7" t="s">
        <v>100</v>
      </c>
      <c r="K930" s="7" t="s">
        <v>69</v>
      </c>
      <c r="L930" s="8">
        <v>19</v>
      </c>
      <c r="M930" s="7" t="s">
        <v>37</v>
      </c>
      <c r="N930" s="8">
        <v>56</v>
      </c>
      <c r="O930" s="8">
        <v>1</v>
      </c>
      <c r="P930" s="5">
        <v>5583.88</v>
      </c>
      <c r="Q930" s="4">
        <v>45600</v>
      </c>
      <c r="R930" s="9">
        <v>0.3395023148148148</v>
      </c>
      <c r="S930" s="8">
        <v>18</v>
      </c>
      <c r="T930" s="7" t="s">
        <v>4456</v>
      </c>
      <c r="U930" s="7" t="s">
        <v>4455</v>
      </c>
      <c r="V9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31" spans="1:22" x14ac:dyDescent="0.35">
      <c r="A931" s="7" t="s">
        <v>2493</v>
      </c>
      <c r="B931" s="7" t="s">
        <v>1391</v>
      </c>
      <c r="C931" s="5">
        <v>0.86</v>
      </c>
      <c r="D931" s="2">
        <v>0.74267361110833008</v>
      </c>
      <c r="E931" s="4">
        <v>44970</v>
      </c>
      <c r="F931" s="7" t="s">
        <v>17</v>
      </c>
      <c r="G931" s="7" t="s">
        <v>521</v>
      </c>
      <c r="H931" s="7" t="s">
        <v>852</v>
      </c>
      <c r="I931" s="7" t="s">
        <v>2494</v>
      </c>
      <c r="J931" s="7" t="s">
        <v>1345</v>
      </c>
      <c r="K931" s="7" t="s">
        <v>22</v>
      </c>
      <c r="L931" s="8">
        <v>25</v>
      </c>
      <c r="M931" s="7" t="s">
        <v>37</v>
      </c>
      <c r="N931" s="8">
        <v>139</v>
      </c>
      <c r="O931" s="8">
        <v>1</v>
      </c>
      <c r="P931" s="5">
        <v>1357.22</v>
      </c>
      <c r="Q931" s="4">
        <v>45600</v>
      </c>
      <c r="R931" s="9">
        <v>0.34192129629629631</v>
      </c>
      <c r="S931" s="8">
        <v>17</v>
      </c>
      <c r="T931" s="7" t="s">
        <v>4456</v>
      </c>
      <c r="U931" s="7" t="s">
        <v>4455</v>
      </c>
      <c r="V9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32" spans="1:22" x14ac:dyDescent="0.35">
      <c r="A932" s="7" t="s">
        <v>2495</v>
      </c>
      <c r="B932" s="7" t="s">
        <v>2496</v>
      </c>
      <c r="C932" s="5">
        <v>757.1</v>
      </c>
      <c r="D932" s="2">
        <v>0.72390046296641231</v>
      </c>
      <c r="E932" s="4">
        <v>44949</v>
      </c>
      <c r="F932" s="7" t="s">
        <v>17</v>
      </c>
      <c r="G932" s="7" t="s">
        <v>47</v>
      </c>
      <c r="H932" s="7" t="s">
        <v>1651</v>
      </c>
      <c r="I932" s="7" t="s">
        <v>1174</v>
      </c>
      <c r="J932" s="7" t="s">
        <v>358</v>
      </c>
      <c r="K932" s="7" t="s">
        <v>69</v>
      </c>
      <c r="L932" s="8">
        <v>65</v>
      </c>
      <c r="M932" s="7" t="s">
        <v>23</v>
      </c>
      <c r="N932" s="8">
        <v>203</v>
      </c>
      <c r="O932" s="8">
        <v>1</v>
      </c>
      <c r="P932" s="5">
        <v>10553.23</v>
      </c>
      <c r="Q932" s="4">
        <v>45600</v>
      </c>
      <c r="R932" s="9">
        <v>0.34104166666666669</v>
      </c>
      <c r="S932" s="8">
        <v>17</v>
      </c>
      <c r="T932" s="7" t="s">
        <v>4454</v>
      </c>
      <c r="U932" s="7" t="s">
        <v>4455</v>
      </c>
      <c r="V9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33" spans="1:22" x14ac:dyDescent="0.35">
      <c r="A933" s="7" t="s">
        <v>2497</v>
      </c>
      <c r="B933" s="7" t="s">
        <v>2309</v>
      </c>
      <c r="C933" s="5">
        <v>38.81</v>
      </c>
      <c r="D933" s="2">
        <v>0.78645833333575865</v>
      </c>
      <c r="E933" s="4">
        <v>45044</v>
      </c>
      <c r="F933" s="7" t="s">
        <v>46</v>
      </c>
      <c r="G933" s="7" t="s">
        <v>301</v>
      </c>
      <c r="H933" s="7" t="s">
        <v>341</v>
      </c>
      <c r="I933" s="7" t="s">
        <v>1464</v>
      </c>
      <c r="J933" s="7" t="s">
        <v>353</v>
      </c>
      <c r="K933" s="7" t="s">
        <v>36</v>
      </c>
      <c r="L933" s="8">
        <v>25</v>
      </c>
      <c r="M933" s="7" t="s">
        <v>37</v>
      </c>
      <c r="N933" s="8">
        <v>145</v>
      </c>
      <c r="O933" s="8">
        <v>1</v>
      </c>
      <c r="P933" s="5">
        <v>1619.6</v>
      </c>
      <c r="Q933" s="4">
        <v>45600</v>
      </c>
      <c r="R933" s="9">
        <v>0.34180555555555553</v>
      </c>
      <c r="S933" s="8">
        <v>18</v>
      </c>
      <c r="T933" s="7" t="s">
        <v>4456</v>
      </c>
      <c r="U933" s="7" t="s">
        <v>4455</v>
      </c>
      <c r="V9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34" spans="1:22" x14ac:dyDescent="0.35">
      <c r="A934" s="7" t="s">
        <v>2498</v>
      </c>
      <c r="B934" s="7" t="s">
        <v>1221</v>
      </c>
      <c r="C934" s="5">
        <v>76.510000000000005</v>
      </c>
      <c r="D934" s="2">
        <v>0.6679513888884685</v>
      </c>
      <c r="E934" s="4">
        <v>45019</v>
      </c>
      <c r="F934" s="7" t="s">
        <v>46</v>
      </c>
      <c r="G934" s="7" t="s">
        <v>32</v>
      </c>
      <c r="H934" s="7" t="s">
        <v>1592</v>
      </c>
      <c r="I934" s="7" t="s">
        <v>819</v>
      </c>
      <c r="J934" s="7" t="s">
        <v>1810</v>
      </c>
      <c r="K934" s="7" t="s">
        <v>36</v>
      </c>
      <c r="L934" s="8">
        <v>49</v>
      </c>
      <c r="M934" s="7" t="s">
        <v>77</v>
      </c>
      <c r="N934" s="8">
        <v>120</v>
      </c>
      <c r="O934" s="8">
        <v>4</v>
      </c>
      <c r="P934" s="5">
        <v>9475.4</v>
      </c>
      <c r="Q934" s="4">
        <v>45600</v>
      </c>
      <c r="R934" s="9">
        <v>0.33878472222222222</v>
      </c>
      <c r="S934" s="8">
        <v>16</v>
      </c>
      <c r="T934" s="7" t="s">
        <v>4457</v>
      </c>
      <c r="U934" s="7" t="s">
        <v>4458</v>
      </c>
      <c r="V9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35" spans="1:22" x14ac:dyDescent="0.35">
      <c r="A935" s="7" t="s">
        <v>2499</v>
      </c>
      <c r="B935" s="7" t="s">
        <v>2500</v>
      </c>
      <c r="C935" s="5">
        <v>32.46</v>
      </c>
      <c r="D935" s="2">
        <v>0.79150462963298196</v>
      </c>
      <c r="E935" s="4">
        <v>44995</v>
      </c>
      <c r="F935" s="7" t="s">
        <v>17</v>
      </c>
      <c r="G935" s="7" t="s">
        <v>249</v>
      </c>
      <c r="H935" s="7" t="s">
        <v>546</v>
      </c>
      <c r="I935" s="7" t="s">
        <v>2501</v>
      </c>
      <c r="J935" s="7" t="s">
        <v>186</v>
      </c>
      <c r="K935" s="7" t="s">
        <v>36</v>
      </c>
      <c r="L935" s="8">
        <v>31</v>
      </c>
      <c r="M935" s="7" t="s">
        <v>23</v>
      </c>
      <c r="N935" s="8">
        <v>10</v>
      </c>
      <c r="O935" s="8">
        <v>1</v>
      </c>
      <c r="P935" s="5">
        <v>8656.18</v>
      </c>
      <c r="Q935" s="4">
        <v>45600</v>
      </c>
      <c r="R935" s="9">
        <v>0.3399652777777778</v>
      </c>
      <c r="S935" s="8">
        <v>18</v>
      </c>
      <c r="T935" s="7" t="s">
        <v>4456</v>
      </c>
      <c r="U935" s="7" t="s">
        <v>4455</v>
      </c>
      <c r="V9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36" spans="1:22" x14ac:dyDescent="0.35">
      <c r="A936" s="7" t="s">
        <v>2502</v>
      </c>
      <c r="B936" s="7" t="s">
        <v>322</v>
      </c>
      <c r="C936" s="5">
        <v>1022.75</v>
      </c>
      <c r="D936" s="2">
        <v>0.69810185184906004</v>
      </c>
      <c r="E936" s="4">
        <v>44945</v>
      </c>
      <c r="F936" s="7" t="s">
        <v>46</v>
      </c>
      <c r="G936" s="7" t="s">
        <v>223</v>
      </c>
      <c r="H936" s="7" t="s">
        <v>2503</v>
      </c>
      <c r="I936" s="7" t="s">
        <v>1943</v>
      </c>
      <c r="J936" s="7" t="s">
        <v>50</v>
      </c>
      <c r="K936" s="7" t="s">
        <v>69</v>
      </c>
      <c r="L936" s="8">
        <v>62</v>
      </c>
      <c r="M936" s="7" t="s">
        <v>23</v>
      </c>
      <c r="N936" s="8">
        <v>158</v>
      </c>
      <c r="O936" s="8">
        <v>1</v>
      </c>
      <c r="P936" s="5">
        <v>207.74</v>
      </c>
      <c r="Q936" s="4">
        <v>45600</v>
      </c>
      <c r="R936" s="9">
        <v>0.34082175925925928</v>
      </c>
      <c r="S936" s="8">
        <v>16</v>
      </c>
      <c r="T936" s="7" t="s">
        <v>4454</v>
      </c>
      <c r="U936" s="7" t="s">
        <v>4455</v>
      </c>
      <c r="V9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37" spans="1:22" x14ac:dyDescent="0.35">
      <c r="A937" s="7" t="s">
        <v>2504</v>
      </c>
      <c r="B937" s="7" t="s">
        <v>617</v>
      </c>
      <c r="C937" s="5">
        <v>20.64</v>
      </c>
      <c r="D937" s="2">
        <v>0.66741898148029577</v>
      </c>
      <c r="E937" s="4">
        <v>45036</v>
      </c>
      <c r="F937" s="7" t="s">
        <v>17</v>
      </c>
      <c r="G937" s="7" t="s">
        <v>249</v>
      </c>
      <c r="H937" s="7" t="s">
        <v>2505</v>
      </c>
      <c r="I937" s="7" t="s">
        <v>1852</v>
      </c>
      <c r="J937" s="7" t="s">
        <v>1281</v>
      </c>
      <c r="K937" s="7" t="s">
        <v>69</v>
      </c>
      <c r="L937" s="8">
        <v>22</v>
      </c>
      <c r="M937" s="7" t="s">
        <v>37</v>
      </c>
      <c r="N937" s="8">
        <v>59</v>
      </c>
      <c r="O937" s="8">
        <v>1</v>
      </c>
      <c r="P937" s="5">
        <v>949.38</v>
      </c>
      <c r="Q937" s="4">
        <v>45600</v>
      </c>
      <c r="R937" s="9">
        <v>0.33978009259259262</v>
      </c>
      <c r="S937" s="8">
        <v>16</v>
      </c>
      <c r="T937" s="7" t="s">
        <v>4456</v>
      </c>
      <c r="U937" s="7" t="s">
        <v>4455</v>
      </c>
      <c r="V9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38" spans="1:22" x14ac:dyDescent="0.35">
      <c r="A938" s="7" t="s">
        <v>2506</v>
      </c>
      <c r="B938" s="7" t="s">
        <v>2507</v>
      </c>
      <c r="C938" s="5">
        <v>662.11</v>
      </c>
      <c r="D938" s="2">
        <v>0.70307870370015735</v>
      </c>
      <c r="E938" s="4">
        <v>44959</v>
      </c>
      <c r="F938" s="7" t="s">
        <v>17</v>
      </c>
      <c r="G938" s="7" t="s">
        <v>47</v>
      </c>
      <c r="H938" s="7" t="s">
        <v>1253</v>
      </c>
      <c r="I938" s="7" t="s">
        <v>361</v>
      </c>
      <c r="J938" s="7" t="s">
        <v>740</v>
      </c>
      <c r="K938" s="7" t="s">
        <v>69</v>
      </c>
      <c r="L938" s="8">
        <v>23</v>
      </c>
      <c r="M938" s="7" t="s">
        <v>37</v>
      </c>
      <c r="N938" s="8">
        <v>219</v>
      </c>
      <c r="O938" s="8">
        <v>1</v>
      </c>
      <c r="P938" s="5">
        <v>1996.38</v>
      </c>
      <c r="Q938" s="4">
        <v>45600</v>
      </c>
      <c r="R938" s="9">
        <v>0.33858796296296295</v>
      </c>
      <c r="S938" s="8">
        <v>16</v>
      </c>
      <c r="T938" s="7" t="s">
        <v>4456</v>
      </c>
      <c r="U938" s="7" t="s">
        <v>4455</v>
      </c>
      <c r="V9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39" spans="1:22" x14ac:dyDescent="0.35">
      <c r="A939" s="7" t="s">
        <v>2508</v>
      </c>
      <c r="B939" s="7" t="s">
        <v>1452</v>
      </c>
      <c r="C939" s="5">
        <v>288.77</v>
      </c>
      <c r="D939" s="2">
        <v>0.69601851851621177</v>
      </c>
      <c r="E939" s="4">
        <v>45243</v>
      </c>
      <c r="F939" s="7" t="s">
        <v>17</v>
      </c>
      <c r="G939" s="7" t="s">
        <v>140</v>
      </c>
      <c r="H939" s="7" t="s">
        <v>1622</v>
      </c>
      <c r="I939" s="7" t="s">
        <v>410</v>
      </c>
      <c r="J939" s="7" t="s">
        <v>105</v>
      </c>
      <c r="K939" s="7" t="s">
        <v>22</v>
      </c>
      <c r="L939" s="8">
        <v>55</v>
      </c>
      <c r="M939" s="7" t="s">
        <v>77</v>
      </c>
      <c r="N939" s="8">
        <v>110</v>
      </c>
      <c r="O939" s="8">
        <v>1</v>
      </c>
      <c r="P939" s="5">
        <v>8836.51</v>
      </c>
      <c r="Q939" s="4">
        <v>45600</v>
      </c>
      <c r="R939" s="9">
        <v>0.34009259259259261</v>
      </c>
      <c r="S939" s="8">
        <v>16</v>
      </c>
      <c r="T939" s="7" t="s">
        <v>4454</v>
      </c>
      <c r="U939" s="7" t="s">
        <v>4455</v>
      </c>
      <c r="V9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40" spans="1:22" x14ac:dyDescent="0.35">
      <c r="A940" s="7" t="s">
        <v>2509</v>
      </c>
      <c r="B940" s="7" t="s">
        <v>712</v>
      </c>
      <c r="C940" s="5">
        <v>35.049999999999997</v>
      </c>
      <c r="D940" s="2">
        <v>0.78652777777460869</v>
      </c>
      <c r="E940" s="4">
        <v>45196</v>
      </c>
      <c r="F940" s="7" t="s">
        <v>17</v>
      </c>
      <c r="G940" s="7" t="s">
        <v>388</v>
      </c>
      <c r="H940" s="7" t="s">
        <v>93</v>
      </c>
      <c r="I940" s="7" t="s">
        <v>2510</v>
      </c>
      <c r="J940" s="7" t="s">
        <v>478</v>
      </c>
      <c r="K940" s="7" t="s">
        <v>69</v>
      </c>
      <c r="L940" s="8">
        <v>30</v>
      </c>
      <c r="M940" s="7" t="s">
        <v>23</v>
      </c>
      <c r="N940" s="8">
        <v>105</v>
      </c>
      <c r="O940" s="8">
        <v>1</v>
      </c>
      <c r="P940" s="5">
        <v>14330.47</v>
      </c>
      <c r="Q940" s="4">
        <v>45600</v>
      </c>
      <c r="R940" s="9">
        <v>0.33839120370370368</v>
      </c>
      <c r="S940" s="8">
        <v>18</v>
      </c>
      <c r="T940" s="7" t="s">
        <v>4456</v>
      </c>
      <c r="U940" s="7" t="s">
        <v>4455</v>
      </c>
      <c r="V9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41" spans="1:22" x14ac:dyDescent="0.35">
      <c r="A941" s="7" t="s">
        <v>2511</v>
      </c>
      <c r="B941" s="7" t="s">
        <v>2512</v>
      </c>
      <c r="C941" s="5">
        <v>214.73</v>
      </c>
      <c r="D941" s="2">
        <v>0.7695486111115315</v>
      </c>
      <c r="E941" s="4">
        <v>45240</v>
      </c>
      <c r="F941" s="7" t="s">
        <v>46</v>
      </c>
      <c r="G941" s="7" t="s">
        <v>140</v>
      </c>
      <c r="H941" s="7" t="s">
        <v>2513</v>
      </c>
      <c r="I941" s="7" t="s">
        <v>1375</v>
      </c>
      <c r="J941" s="7" t="s">
        <v>885</v>
      </c>
      <c r="K941" s="7" t="s">
        <v>22</v>
      </c>
      <c r="L941" s="8">
        <v>46</v>
      </c>
      <c r="M941" s="7" t="s">
        <v>23</v>
      </c>
      <c r="N941" s="8">
        <v>26</v>
      </c>
      <c r="O941" s="8">
        <v>1</v>
      </c>
      <c r="P941" s="5">
        <v>5368.42</v>
      </c>
      <c r="Q941" s="4">
        <v>45600</v>
      </c>
      <c r="R941" s="9">
        <v>0.33864583333333331</v>
      </c>
      <c r="S941" s="8">
        <v>18</v>
      </c>
      <c r="T941" s="7" t="s">
        <v>4457</v>
      </c>
      <c r="U941" s="7" t="s">
        <v>4455</v>
      </c>
      <c r="V9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42" spans="1:22" x14ac:dyDescent="0.35">
      <c r="A942" s="7" t="s">
        <v>2514</v>
      </c>
      <c r="B942" s="7" t="s">
        <v>1870</v>
      </c>
      <c r="C942" s="5">
        <v>25.38</v>
      </c>
      <c r="D942" s="2">
        <v>0.66885416666627862</v>
      </c>
      <c r="E942" s="4">
        <v>45222</v>
      </c>
      <c r="F942" s="7" t="s">
        <v>17</v>
      </c>
      <c r="G942" s="7" t="s">
        <v>108</v>
      </c>
      <c r="H942" s="7" t="s">
        <v>1886</v>
      </c>
      <c r="I942" s="7" t="s">
        <v>1053</v>
      </c>
      <c r="J942" s="7" t="s">
        <v>1209</v>
      </c>
      <c r="K942" s="7" t="s">
        <v>69</v>
      </c>
      <c r="L942" s="8">
        <v>57</v>
      </c>
      <c r="M942" s="7" t="s">
        <v>77</v>
      </c>
      <c r="N942" s="8">
        <v>66</v>
      </c>
      <c r="O942" s="8">
        <v>1</v>
      </c>
      <c r="P942" s="5">
        <v>8616.0499999999993</v>
      </c>
      <c r="Q942" s="4">
        <v>45600</v>
      </c>
      <c r="R942" s="9">
        <v>0.34144675925925927</v>
      </c>
      <c r="S942" s="8">
        <v>16</v>
      </c>
      <c r="T942" s="7" t="s">
        <v>4454</v>
      </c>
      <c r="U942" s="7" t="s">
        <v>4455</v>
      </c>
      <c r="V9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43" spans="1:22" x14ac:dyDescent="0.35">
      <c r="A943" s="7" t="s">
        <v>2515</v>
      </c>
      <c r="B943" s="7" t="s">
        <v>742</v>
      </c>
      <c r="C943" s="5">
        <v>617.66</v>
      </c>
      <c r="D943" s="2">
        <v>0.69046296296437504</v>
      </c>
      <c r="E943" s="4">
        <v>44956</v>
      </c>
      <c r="F943" s="7" t="s">
        <v>17</v>
      </c>
      <c r="G943" s="7" t="s">
        <v>92</v>
      </c>
      <c r="H943" s="7" t="s">
        <v>1610</v>
      </c>
      <c r="I943" s="7" t="s">
        <v>651</v>
      </c>
      <c r="J943" s="7" t="s">
        <v>308</v>
      </c>
      <c r="K943" s="7" t="s">
        <v>22</v>
      </c>
      <c r="L943" s="8">
        <v>41</v>
      </c>
      <c r="M943" s="7" t="s">
        <v>77</v>
      </c>
      <c r="N943" s="8">
        <v>40</v>
      </c>
      <c r="O943" s="8">
        <v>1</v>
      </c>
      <c r="P943" s="5">
        <v>5906.58</v>
      </c>
      <c r="Q943" s="4">
        <v>45600</v>
      </c>
      <c r="R943" s="9">
        <v>0.34047453703703706</v>
      </c>
      <c r="S943" s="8">
        <v>16</v>
      </c>
      <c r="T943" s="7" t="s">
        <v>4457</v>
      </c>
      <c r="U943" s="7" t="s">
        <v>4455</v>
      </c>
      <c r="V9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44" spans="1:22" x14ac:dyDescent="0.35">
      <c r="A944" s="7" t="s">
        <v>2516</v>
      </c>
      <c r="B944" s="7" t="s">
        <v>1659</v>
      </c>
      <c r="C944" s="5">
        <v>446.39</v>
      </c>
      <c r="D944" s="2">
        <v>0.73741898148000473</v>
      </c>
      <c r="E944" s="4">
        <v>45272</v>
      </c>
      <c r="F944" s="7" t="s">
        <v>17</v>
      </c>
      <c r="G944" s="7" t="s">
        <v>26</v>
      </c>
      <c r="H944" s="7" t="s">
        <v>1532</v>
      </c>
      <c r="I944" s="7" t="s">
        <v>779</v>
      </c>
      <c r="J944" s="7" t="s">
        <v>62</v>
      </c>
      <c r="K944" s="7" t="s">
        <v>22</v>
      </c>
      <c r="L944" s="8">
        <v>63</v>
      </c>
      <c r="M944" s="7" t="s">
        <v>70</v>
      </c>
      <c r="N944" s="8">
        <v>77</v>
      </c>
      <c r="O944" s="8">
        <v>1</v>
      </c>
      <c r="P944" s="5">
        <v>7863.6</v>
      </c>
      <c r="Q944" s="4">
        <v>45600</v>
      </c>
      <c r="R944" s="9">
        <v>0.33868055555555554</v>
      </c>
      <c r="S944" s="8">
        <v>17</v>
      </c>
      <c r="T944" s="7" t="s">
        <v>4454</v>
      </c>
      <c r="U944" s="7" t="s">
        <v>4455</v>
      </c>
      <c r="V9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45" spans="1:22" x14ac:dyDescent="0.35">
      <c r="A945" s="7" t="s">
        <v>2517</v>
      </c>
      <c r="B945" s="7" t="s">
        <v>843</v>
      </c>
      <c r="C945" s="5">
        <v>377.92</v>
      </c>
      <c r="D945" s="2">
        <v>0.72888888888701331</v>
      </c>
      <c r="E945" s="4">
        <v>44979</v>
      </c>
      <c r="F945" s="7" t="s">
        <v>17</v>
      </c>
      <c r="G945" s="7" t="s">
        <v>40</v>
      </c>
      <c r="H945" s="7" t="s">
        <v>2518</v>
      </c>
      <c r="I945" s="7" t="s">
        <v>298</v>
      </c>
      <c r="J945" s="7" t="s">
        <v>175</v>
      </c>
      <c r="K945" s="7" t="s">
        <v>69</v>
      </c>
      <c r="L945" s="8">
        <v>33</v>
      </c>
      <c r="M945" s="7" t="s">
        <v>77</v>
      </c>
      <c r="N945" s="8">
        <v>204</v>
      </c>
      <c r="O945" s="8">
        <v>1</v>
      </c>
      <c r="P945" s="5">
        <v>2254.71</v>
      </c>
      <c r="Q945" s="4">
        <v>45600</v>
      </c>
      <c r="R945" s="9">
        <v>0.33811342592592591</v>
      </c>
      <c r="S945" s="8">
        <v>17</v>
      </c>
      <c r="T945" s="7" t="s">
        <v>4456</v>
      </c>
      <c r="U945" s="7" t="s">
        <v>4455</v>
      </c>
      <c r="V9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46" spans="1:22" x14ac:dyDescent="0.35">
      <c r="A946" s="7" t="s">
        <v>2519</v>
      </c>
      <c r="B946" s="7" t="s">
        <v>91</v>
      </c>
      <c r="C946" s="5">
        <v>11.04</v>
      </c>
      <c r="D946" s="2">
        <v>0.76212962962745223</v>
      </c>
      <c r="E946" s="4">
        <v>44970</v>
      </c>
      <c r="F946" s="7" t="s">
        <v>17</v>
      </c>
      <c r="G946" s="7" t="s">
        <v>425</v>
      </c>
      <c r="H946" s="7" t="s">
        <v>2270</v>
      </c>
      <c r="I946" s="7" t="s">
        <v>477</v>
      </c>
      <c r="J946" s="7" t="s">
        <v>308</v>
      </c>
      <c r="K946" s="7" t="s">
        <v>36</v>
      </c>
      <c r="L946" s="8">
        <v>30</v>
      </c>
      <c r="M946" s="7" t="s">
        <v>77</v>
      </c>
      <c r="N946" s="8">
        <v>43</v>
      </c>
      <c r="O946" s="8">
        <v>1</v>
      </c>
      <c r="P946" s="5">
        <v>6983.04</v>
      </c>
      <c r="Q946" s="4">
        <v>45600</v>
      </c>
      <c r="R946" s="9">
        <v>0.34074074074074073</v>
      </c>
      <c r="S946" s="8">
        <v>18</v>
      </c>
      <c r="T946" s="7" t="s">
        <v>4456</v>
      </c>
      <c r="U946" s="7" t="s">
        <v>4455</v>
      </c>
      <c r="V9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47" spans="1:22" x14ac:dyDescent="0.35">
      <c r="A947" s="7" t="s">
        <v>2520</v>
      </c>
      <c r="B947" s="7" t="s">
        <v>2097</v>
      </c>
      <c r="C947" s="5">
        <v>275.45999999999998</v>
      </c>
      <c r="D947" s="2">
        <v>0.71464120370364981</v>
      </c>
      <c r="E947" s="4">
        <v>45131</v>
      </c>
      <c r="F947" s="7" t="s">
        <v>17</v>
      </c>
      <c r="G947" s="7" t="s">
        <v>157</v>
      </c>
      <c r="H947" s="7" t="s">
        <v>2034</v>
      </c>
      <c r="I947" s="7" t="s">
        <v>2521</v>
      </c>
      <c r="J947" s="7" t="s">
        <v>418</v>
      </c>
      <c r="K947" s="7" t="s">
        <v>22</v>
      </c>
      <c r="L947" s="8">
        <v>36</v>
      </c>
      <c r="M947" s="7" t="s">
        <v>23</v>
      </c>
      <c r="N947" s="8">
        <v>67</v>
      </c>
      <c r="O947" s="8">
        <v>1</v>
      </c>
      <c r="P947" s="5">
        <v>9697.75</v>
      </c>
      <c r="Q947" s="4">
        <v>45600</v>
      </c>
      <c r="R947" s="9">
        <v>0.34181712962962962</v>
      </c>
      <c r="S947" s="8">
        <v>17</v>
      </c>
      <c r="T947" s="7" t="s">
        <v>4457</v>
      </c>
      <c r="U947" s="7" t="s">
        <v>4455</v>
      </c>
      <c r="V9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48" spans="1:22" x14ac:dyDescent="0.35">
      <c r="A948" s="7" t="s">
        <v>2522</v>
      </c>
      <c r="B948" s="7" t="s">
        <v>118</v>
      </c>
      <c r="C948" s="5">
        <v>179.76</v>
      </c>
      <c r="D948" s="2">
        <v>0.67465277777955635</v>
      </c>
      <c r="E948" s="4">
        <v>45119</v>
      </c>
      <c r="F948" s="7" t="s">
        <v>17</v>
      </c>
      <c r="G948" s="7" t="s">
        <v>243</v>
      </c>
      <c r="H948" s="7" t="s">
        <v>233</v>
      </c>
      <c r="I948" s="7" t="s">
        <v>2523</v>
      </c>
      <c r="J948" s="7" t="s">
        <v>137</v>
      </c>
      <c r="K948" s="7" t="s">
        <v>36</v>
      </c>
      <c r="L948" s="8">
        <v>78</v>
      </c>
      <c r="M948" s="7" t="s">
        <v>70</v>
      </c>
      <c r="N948" s="8">
        <v>81</v>
      </c>
      <c r="O948" s="8">
        <v>1</v>
      </c>
      <c r="P948" s="5">
        <v>5909.52</v>
      </c>
      <c r="Q948" s="4">
        <v>45600</v>
      </c>
      <c r="R948" s="9">
        <v>0.33984953703703702</v>
      </c>
      <c r="S948" s="8">
        <v>16</v>
      </c>
      <c r="T948" s="7" t="s">
        <v>4454</v>
      </c>
      <c r="U948" s="7" t="s">
        <v>4455</v>
      </c>
      <c r="V9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49" spans="1:22" x14ac:dyDescent="0.35">
      <c r="A949" s="7" t="s">
        <v>2524</v>
      </c>
      <c r="B949" s="7" t="s">
        <v>2525</v>
      </c>
      <c r="C949" s="5">
        <v>32.340000000000003</v>
      </c>
      <c r="D949" s="2">
        <v>0.70306712963065365</v>
      </c>
      <c r="E949" s="4">
        <v>45098</v>
      </c>
      <c r="F949" s="7" t="s">
        <v>17</v>
      </c>
      <c r="G949" s="7" t="s">
        <v>291</v>
      </c>
      <c r="H949" s="7" t="s">
        <v>485</v>
      </c>
      <c r="I949" s="7" t="s">
        <v>995</v>
      </c>
      <c r="J949" s="7" t="s">
        <v>1014</v>
      </c>
      <c r="K949" s="7" t="s">
        <v>69</v>
      </c>
      <c r="L949" s="8">
        <v>44</v>
      </c>
      <c r="M949" s="7" t="s">
        <v>23</v>
      </c>
      <c r="N949" s="8">
        <v>45</v>
      </c>
      <c r="O949" s="8">
        <v>1</v>
      </c>
      <c r="P949" s="5">
        <v>7847.62</v>
      </c>
      <c r="Q949" s="4">
        <v>45600</v>
      </c>
      <c r="R949" s="9">
        <v>0.33990740740740738</v>
      </c>
      <c r="S949" s="8">
        <v>16</v>
      </c>
      <c r="T949" s="7" t="s">
        <v>4457</v>
      </c>
      <c r="U949" s="7" t="s">
        <v>4455</v>
      </c>
      <c r="V9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50" spans="1:22" x14ac:dyDescent="0.35">
      <c r="A950" s="7" t="s">
        <v>2526</v>
      </c>
      <c r="B950" s="7" t="s">
        <v>905</v>
      </c>
      <c r="C950" s="5">
        <v>273.92</v>
      </c>
      <c r="D950" s="2">
        <v>0.74307870370103046</v>
      </c>
      <c r="E950" s="4">
        <v>45111</v>
      </c>
      <c r="F950" s="7" t="s">
        <v>17</v>
      </c>
      <c r="G950" s="7" t="s">
        <v>595</v>
      </c>
      <c r="H950" s="7" t="s">
        <v>2015</v>
      </c>
      <c r="I950" s="7" t="s">
        <v>2527</v>
      </c>
      <c r="J950" s="7" t="s">
        <v>200</v>
      </c>
      <c r="K950" s="7" t="s">
        <v>69</v>
      </c>
      <c r="L950" s="8">
        <v>79</v>
      </c>
      <c r="M950" s="7" t="s">
        <v>70</v>
      </c>
      <c r="N950" s="8">
        <v>109</v>
      </c>
      <c r="O950" s="8">
        <v>1</v>
      </c>
      <c r="P950" s="5">
        <v>4543.5600000000004</v>
      </c>
      <c r="Q950" s="4">
        <v>45600</v>
      </c>
      <c r="R950" s="9">
        <v>0.34152777777777776</v>
      </c>
      <c r="S950" s="8">
        <v>17</v>
      </c>
      <c r="T950" s="7" t="s">
        <v>4454</v>
      </c>
      <c r="U950" s="7" t="s">
        <v>4455</v>
      </c>
      <c r="V9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51" spans="1:22" x14ac:dyDescent="0.35">
      <c r="A951" s="7" t="s">
        <v>2528</v>
      </c>
      <c r="B951" s="7" t="s">
        <v>429</v>
      </c>
      <c r="C951" s="5">
        <v>375.45</v>
      </c>
      <c r="D951" s="2">
        <v>0.74836805555241881</v>
      </c>
      <c r="E951" s="4">
        <v>45265</v>
      </c>
      <c r="F951" s="7" t="s">
        <v>17</v>
      </c>
      <c r="G951" s="7" t="s">
        <v>157</v>
      </c>
      <c r="H951" s="7" t="s">
        <v>179</v>
      </c>
      <c r="I951" s="7" t="s">
        <v>1898</v>
      </c>
      <c r="J951" s="7" t="s">
        <v>21</v>
      </c>
      <c r="K951" s="7" t="s">
        <v>69</v>
      </c>
      <c r="L951" s="8">
        <v>19</v>
      </c>
      <c r="M951" s="7" t="s">
        <v>37</v>
      </c>
      <c r="N951" s="8">
        <v>32</v>
      </c>
      <c r="O951" s="8">
        <v>1</v>
      </c>
      <c r="P951" s="5">
        <v>1307.23</v>
      </c>
      <c r="Q951" s="4">
        <v>45600</v>
      </c>
      <c r="R951" s="9">
        <v>0.33924768518518517</v>
      </c>
      <c r="S951" s="8">
        <v>17</v>
      </c>
      <c r="T951" s="7" t="s">
        <v>4456</v>
      </c>
      <c r="U951" s="7" t="s">
        <v>4455</v>
      </c>
      <c r="V9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52" spans="1:22" x14ac:dyDescent="0.35">
      <c r="A952" s="7" t="s">
        <v>2529</v>
      </c>
      <c r="B952" s="7" t="s">
        <v>2530</v>
      </c>
      <c r="C952" s="5">
        <v>388.98</v>
      </c>
      <c r="D952" s="2">
        <v>0.71539351851970423</v>
      </c>
      <c r="E952" s="4">
        <v>45159</v>
      </c>
      <c r="F952" s="7" t="s">
        <v>17</v>
      </c>
      <c r="G952" s="7" t="s">
        <v>558</v>
      </c>
      <c r="H952" s="7" t="s">
        <v>351</v>
      </c>
      <c r="I952" s="7" t="s">
        <v>2027</v>
      </c>
      <c r="J952" s="7" t="s">
        <v>262</v>
      </c>
      <c r="K952" s="7" t="s">
        <v>22</v>
      </c>
      <c r="L952" s="8">
        <v>23</v>
      </c>
      <c r="M952" s="7" t="s">
        <v>37</v>
      </c>
      <c r="N952" s="8">
        <v>155</v>
      </c>
      <c r="O952" s="8">
        <v>1</v>
      </c>
      <c r="P952" s="5">
        <v>1819.91</v>
      </c>
      <c r="Q952" s="4">
        <v>45600</v>
      </c>
      <c r="R952" s="9">
        <v>0.33925925925925926</v>
      </c>
      <c r="S952" s="8">
        <v>17</v>
      </c>
      <c r="T952" s="7" t="s">
        <v>4456</v>
      </c>
      <c r="U952" s="7" t="s">
        <v>4455</v>
      </c>
      <c r="V9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53" spans="1:22" x14ac:dyDescent="0.35">
      <c r="A953" s="7" t="s">
        <v>2531</v>
      </c>
      <c r="B953" s="7" t="s">
        <v>2532</v>
      </c>
      <c r="C953" s="5">
        <v>492.84</v>
      </c>
      <c r="D953" s="2">
        <v>0.73844907407328719</v>
      </c>
      <c r="E953" s="4">
        <v>44986</v>
      </c>
      <c r="F953" s="7" t="s">
        <v>17</v>
      </c>
      <c r="G953" s="7" t="s">
        <v>65</v>
      </c>
      <c r="H953" s="7" t="s">
        <v>1529</v>
      </c>
      <c r="I953" s="7" t="s">
        <v>168</v>
      </c>
      <c r="J953" s="7" t="s">
        <v>427</v>
      </c>
      <c r="K953" s="7" t="s">
        <v>22</v>
      </c>
      <c r="L953" s="8">
        <v>25</v>
      </c>
      <c r="M953" s="7" t="s">
        <v>37</v>
      </c>
      <c r="N953" s="8">
        <v>38</v>
      </c>
      <c r="O953" s="8">
        <v>1</v>
      </c>
      <c r="P953" s="5">
        <v>577.66999999999996</v>
      </c>
      <c r="Q953" s="4">
        <v>45600</v>
      </c>
      <c r="R953" s="9">
        <v>0.33984953703703702</v>
      </c>
      <c r="S953" s="8">
        <v>17</v>
      </c>
      <c r="T953" s="7" t="s">
        <v>4456</v>
      </c>
      <c r="U953" s="7" t="s">
        <v>4455</v>
      </c>
      <c r="V9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54" spans="1:22" x14ac:dyDescent="0.35">
      <c r="A954" s="7" t="s">
        <v>2533</v>
      </c>
      <c r="B954" s="7" t="s">
        <v>581</v>
      </c>
      <c r="C954" s="5">
        <v>148.85</v>
      </c>
      <c r="D954" s="2">
        <v>0.69917824074218515</v>
      </c>
      <c r="E954" s="4">
        <v>45259</v>
      </c>
      <c r="F954" s="7" t="s">
        <v>17</v>
      </c>
      <c r="G954" s="7" t="s">
        <v>32</v>
      </c>
      <c r="H954" s="7" t="s">
        <v>1815</v>
      </c>
      <c r="I954" s="7" t="s">
        <v>779</v>
      </c>
      <c r="J954" s="7" t="s">
        <v>1037</v>
      </c>
      <c r="K954" s="7" t="s">
        <v>22</v>
      </c>
      <c r="L954" s="8">
        <v>57</v>
      </c>
      <c r="M954" s="7" t="s">
        <v>23</v>
      </c>
      <c r="N954" s="8">
        <v>25</v>
      </c>
      <c r="O954" s="8">
        <v>1</v>
      </c>
      <c r="P954" s="5">
        <v>7802.36</v>
      </c>
      <c r="Q954" s="4">
        <v>45600</v>
      </c>
      <c r="R954" s="9">
        <v>0.33939814814814817</v>
      </c>
      <c r="S954" s="8">
        <v>16</v>
      </c>
      <c r="T954" s="7" t="s">
        <v>4454</v>
      </c>
      <c r="U954" s="7" t="s">
        <v>4455</v>
      </c>
      <c r="V9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55" spans="1:22" x14ac:dyDescent="0.35">
      <c r="A955" s="7" t="s">
        <v>2534</v>
      </c>
      <c r="B955" s="7" t="s">
        <v>1267</v>
      </c>
      <c r="C955" s="5">
        <v>119.95</v>
      </c>
      <c r="D955" s="2">
        <v>0.74518518518743804</v>
      </c>
      <c r="E955" s="4">
        <v>45026</v>
      </c>
      <c r="F955" s="7" t="s">
        <v>46</v>
      </c>
      <c r="G955" s="7" t="s">
        <v>243</v>
      </c>
      <c r="H955" s="7" t="s">
        <v>676</v>
      </c>
      <c r="I955" s="7" t="s">
        <v>2535</v>
      </c>
      <c r="J955" s="7" t="s">
        <v>186</v>
      </c>
      <c r="K955" s="7" t="s">
        <v>69</v>
      </c>
      <c r="L955" s="8">
        <v>62</v>
      </c>
      <c r="M955" s="7" t="s">
        <v>70</v>
      </c>
      <c r="N955" s="8">
        <v>47</v>
      </c>
      <c r="O955" s="8">
        <v>5</v>
      </c>
      <c r="P955" s="5">
        <v>2596.61</v>
      </c>
      <c r="Q955" s="4">
        <v>45600</v>
      </c>
      <c r="R955" s="9">
        <v>0.34059027777777778</v>
      </c>
      <c r="S955" s="8">
        <v>17</v>
      </c>
      <c r="T955" s="7" t="s">
        <v>4454</v>
      </c>
      <c r="U955" s="7" t="s">
        <v>4458</v>
      </c>
      <c r="V9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56" spans="1:22" x14ac:dyDescent="0.35">
      <c r="A956" s="7" t="s">
        <v>2536</v>
      </c>
      <c r="B956" s="7" t="s">
        <v>376</v>
      </c>
      <c r="C956" s="5">
        <v>391.66</v>
      </c>
      <c r="D956" s="2">
        <v>0.72892361111007631</v>
      </c>
      <c r="E956" s="4">
        <v>45117</v>
      </c>
      <c r="F956" s="7" t="s">
        <v>17</v>
      </c>
      <c r="G956" s="7" t="s">
        <v>558</v>
      </c>
      <c r="H956" s="7" t="s">
        <v>1508</v>
      </c>
      <c r="I956" s="7" t="s">
        <v>915</v>
      </c>
      <c r="J956" s="7" t="s">
        <v>619</v>
      </c>
      <c r="K956" s="7" t="s">
        <v>69</v>
      </c>
      <c r="L956" s="8">
        <v>50</v>
      </c>
      <c r="M956" s="7" t="s">
        <v>77</v>
      </c>
      <c r="N956" s="8">
        <v>103</v>
      </c>
      <c r="O956" s="8">
        <v>1</v>
      </c>
      <c r="P956" s="5">
        <v>2406.31</v>
      </c>
      <c r="Q956" s="4">
        <v>45600</v>
      </c>
      <c r="R956" s="9">
        <v>0.33800925925925923</v>
      </c>
      <c r="S956" s="8">
        <v>17</v>
      </c>
      <c r="T956" s="7" t="s">
        <v>4457</v>
      </c>
      <c r="U956" s="7" t="s">
        <v>4455</v>
      </c>
      <c r="V9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57" spans="1:22" x14ac:dyDescent="0.35">
      <c r="A957" s="7" t="s">
        <v>2537</v>
      </c>
      <c r="B957" s="7" t="s">
        <v>801</v>
      </c>
      <c r="C957" s="5">
        <v>185.99</v>
      </c>
      <c r="D957" s="2">
        <v>0.70124999999825377</v>
      </c>
      <c r="E957" s="4">
        <v>45040</v>
      </c>
      <c r="F957" s="7" t="s">
        <v>46</v>
      </c>
      <c r="G957" s="7" t="s">
        <v>558</v>
      </c>
      <c r="H957" s="7" t="s">
        <v>2170</v>
      </c>
      <c r="I957" s="7" t="s">
        <v>2367</v>
      </c>
      <c r="J957" s="7" t="s">
        <v>607</v>
      </c>
      <c r="K957" s="7" t="s">
        <v>69</v>
      </c>
      <c r="L957" s="8">
        <v>41</v>
      </c>
      <c r="M957" s="7" t="s">
        <v>77</v>
      </c>
      <c r="N957" s="8">
        <v>53</v>
      </c>
      <c r="O957" s="8">
        <v>1</v>
      </c>
      <c r="P957" s="5">
        <v>402.45</v>
      </c>
      <c r="Q957" s="4">
        <v>45600</v>
      </c>
      <c r="R957" s="9">
        <v>0.34009259259259261</v>
      </c>
      <c r="S957" s="8">
        <v>16</v>
      </c>
      <c r="T957" s="7" t="s">
        <v>4457</v>
      </c>
      <c r="U957" s="7" t="s">
        <v>4455</v>
      </c>
      <c r="V9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58" spans="1:22" x14ac:dyDescent="0.35">
      <c r="A958" s="7" t="s">
        <v>2538</v>
      </c>
      <c r="B958" s="7" t="s">
        <v>2539</v>
      </c>
      <c r="C958" s="5">
        <v>322.48</v>
      </c>
      <c r="D958" s="2">
        <v>0.67408564814832062</v>
      </c>
      <c r="E958" s="4">
        <v>44998</v>
      </c>
      <c r="F958" s="7" t="s">
        <v>17</v>
      </c>
      <c r="G958" s="7" t="s">
        <v>392</v>
      </c>
      <c r="H958" s="7" t="s">
        <v>1713</v>
      </c>
      <c r="I958" s="7" t="s">
        <v>1298</v>
      </c>
      <c r="J958" s="7" t="s">
        <v>386</v>
      </c>
      <c r="K958" s="7" t="s">
        <v>22</v>
      </c>
      <c r="L958" s="8">
        <v>27</v>
      </c>
      <c r="M958" s="7" t="s">
        <v>37</v>
      </c>
      <c r="N958" s="8">
        <v>57</v>
      </c>
      <c r="O958" s="8">
        <v>1</v>
      </c>
      <c r="P958" s="5">
        <v>1238.43</v>
      </c>
      <c r="Q958" s="4">
        <v>45600</v>
      </c>
      <c r="R958" s="9">
        <v>0.34126157407407409</v>
      </c>
      <c r="S958" s="8">
        <v>16</v>
      </c>
      <c r="T958" s="7" t="s">
        <v>4456</v>
      </c>
      <c r="U958" s="7" t="s">
        <v>4455</v>
      </c>
      <c r="V9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59" spans="1:22" x14ac:dyDescent="0.35">
      <c r="A959" s="7" t="s">
        <v>2540</v>
      </c>
      <c r="B959" s="7" t="s">
        <v>380</v>
      </c>
      <c r="C959" s="5">
        <v>20.27</v>
      </c>
      <c r="D959" s="2">
        <v>0.68587962962919846</v>
      </c>
      <c r="E959" s="4">
        <v>45264</v>
      </c>
      <c r="F959" s="7" t="s">
        <v>17</v>
      </c>
      <c r="G959" s="7" t="s">
        <v>172</v>
      </c>
      <c r="H959" s="7" t="s">
        <v>1713</v>
      </c>
      <c r="I959" s="7" t="s">
        <v>422</v>
      </c>
      <c r="J959" s="7" t="s">
        <v>149</v>
      </c>
      <c r="K959" s="7" t="s">
        <v>69</v>
      </c>
      <c r="L959" s="8">
        <v>18</v>
      </c>
      <c r="M959" s="7" t="s">
        <v>37</v>
      </c>
      <c r="N959" s="8">
        <v>22</v>
      </c>
      <c r="O959" s="8">
        <v>1</v>
      </c>
      <c r="P959" s="5">
        <v>796.35</v>
      </c>
      <c r="Q959" s="4">
        <v>45600</v>
      </c>
      <c r="R959" s="9">
        <v>0.34002314814814816</v>
      </c>
      <c r="S959" s="8">
        <v>16</v>
      </c>
      <c r="T959" s="7" t="s">
        <v>4456</v>
      </c>
      <c r="U959" s="7" t="s">
        <v>4455</v>
      </c>
      <c r="V9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0" spans="1:22" x14ac:dyDescent="0.35">
      <c r="A960" s="7" t="s">
        <v>2541</v>
      </c>
      <c r="B960" s="7" t="s">
        <v>269</v>
      </c>
      <c r="C960" s="5">
        <v>280.61</v>
      </c>
      <c r="D960" s="2">
        <v>0.69248842592787696</v>
      </c>
      <c r="E960" s="4">
        <v>45257</v>
      </c>
      <c r="F960" s="7" t="s">
        <v>17</v>
      </c>
      <c r="G960" s="7" t="s">
        <v>32</v>
      </c>
      <c r="H960" s="7" t="s">
        <v>966</v>
      </c>
      <c r="I960" s="7" t="s">
        <v>276</v>
      </c>
      <c r="J960" s="7" t="s">
        <v>674</v>
      </c>
      <c r="K960" s="7" t="s">
        <v>22</v>
      </c>
      <c r="L960" s="8">
        <v>47</v>
      </c>
      <c r="M960" s="7" t="s">
        <v>77</v>
      </c>
      <c r="N960" s="8">
        <v>129</v>
      </c>
      <c r="O960" s="8">
        <v>3</v>
      </c>
      <c r="P960" s="5">
        <v>7888.76</v>
      </c>
      <c r="Q960" s="4">
        <v>45600</v>
      </c>
      <c r="R960" s="9">
        <v>0.34082175925925928</v>
      </c>
      <c r="S960" s="8">
        <v>16</v>
      </c>
      <c r="T960" s="7" t="s">
        <v>4457</v>
      </c>
      <c r="U960" s="7" t="s">
        <v>4458</v>
      </c>
      <c r="V9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1" spans="1:22" x14ac:dyDescent="0.35">
      <c r="A961" s="7" t="s">
        <v>2542</v>
      </c>
      <c r="B961" s="7" t="s">
        <v>2543</v>
      </c>
      <c r="C961" s="5">
        <v>199.02</v>
      </c>
      <c r="D961" s="2">
        <v>0.68862268518569181</v>
      </c>
      <c r="E961" s="4">
        <v>45075</v>
      </c>
      <c r="F961" s="7" t="s">
        <v>17</v>
      </c>
      <c r="G961" s="7" t="s">
        <v>26</v>
      </c>
      <c r="H961" s="7" t="s">
        <v>1939</v>
      </c>
      <c r="I961" s="7" t="s">
        <v>2544</v>
      </c>
      <c r="J961" s="7" t="s">
        <v>262</v>
      </c>
      <c r="K961" s="7" t="s">
        <v>22</v>
      </c>
      <c r="L961" s="8">
        <v>61</v>
      </c>
      <c r="M961" s="7" t="s">
        <v>70</v>
      </c>
      <c r="N961" s="8">
        <v>269</v>
      </c>
      <c r="O961" s="8">
        <v>1</v>
      </c>
      <c r="P961" s="5">
        <v>4658.8900000000003</v>
      </c>
      <c r="Q961" s="4">
        <v>45600</v>
      </c>
      <c r="R961" s="9">
        <v>0.3384375</v>
      </c>
      <c r="S961" s="8">
        <v>16</v>
      </c>
      <c r="T961" s="7" t="s">
        <v>4454</v>
      </c>
      <c r="U961" s="7" t="s">
        <v>4455</v>
      </c>
      <c r="V9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2" spans="1:22" x14ac:dyDescent="0.35">
      <c r="A962" s="7" t="s">
        <v>2545</v>
      </c>
      <c r="B962" s="7" t="s">
        <v>1799</v>
      </c>
      <c r="C962" s="5">
        <v>104.23</v>
      </c>
      <c r="D962" s="2">
        <v>0.69559027777722804</v>
      </c>
      <c r="E962" s="4">
        <v>45216</v>
      </c>
      <c r="F962" s="7" t="s">
        <v>46</v>
      </c>
      <c r="G962" s="7" t="s">
        <v>108</v>
      </c>
      <c r="H962" s="7" t="s">
        <v>204</v>
      </c>
      <c r="I962" s="7" t="s">
        <v>1990</v>
      </c>
      <c r="J962" s="7" t="s">
        <v>427</v>
      </c>
      <c r="K962" s="7" t="s">
        <v>36</v>
      </c>
      <c r="L962" s="8">
        <v>63</v>
      </c>
      <c r="M962" s="7" t="s">
        <v>70</v>
      </c>
      <c r="N962" s="8">
        <v>108</v>
      </c>
      <c r="O962" s="8">
        <v>1</v>
      </c>
      <c r="P962" s="5">
        <v>5009.29</v>
      </c>
      <c r="Q962" s="4">
        <v>45600</v>
      </c>
      <c r="R962" s="9">
        <v>0.34010416666666665</v>
      </c>
      <c r="S962" s="8">
        <v>16</v>
      </c>
      <c r="T962" s="7" t="s">
        <v>4454</v>
      </c>
      <c r="U962" s="7" t="s">
        <v>4455</v>
      </c>
      <c r="V9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3" spans="1:22" x14ac:dyDescent="0.35">
      <c r="A963" s="7" t="s">
        <v>2546</v>
      </c>
      <c r="B963" s="7" t="s">
        <v>704</v>
      </c>
      <c r="C963" s="5">
        <v>353.59</v>
      </c>
      <c r="D963" s="2">
        <v>0.74851851852145046</v>
      </c>
      <c r="E963" s="4">
        <v>45149</v>
      </c>
      <c r="F963" s="7" t="s">
        <v>46</v>
      </c>
      <c r="G963" s="7" t="s">
        <v>203</v>
      </c>
      <c r="H963" s="7" t="s">
        <v>324</v>
      </c>
      <c r="I963" s="7" t="s">
        <v>844</v>
      </c>
      <c r="J963" s="7" t="s">
        <v>246</v>
      </c>
      <c r="K963" s="7" t="s">
        <v>69</v>
      </c>
      <c r="L963" s="8">
        <v>52</v>
      </c>
      <c r="M963" s="7" t="s">
        <v>70</v>
      </c>
      <c r="N963" s="8">
        <v>109</v>
      </c>
      <c r="O963" s="8">
        <v>5</v>
      </c>
      <c r="P963" s="5">
        <v>1822.34</v>
      </c>
      <c r="Q963" s="4">
        <v>45600</v>
      </c>
      <c r="R963" s="9">
        <v>0.34089120370370368</v>
      </c>
      <c r="S963" s="8">
        <v>17</v>
      </c>
      <c r="T963" s="7" t="s">
        <v>4457</v>
      </c>
      <c r="U963" s="7" t="s">
        <v>4458</v>
      </c>
      <c r="V9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64" spans="1:22" x14ac:dyDescent="0.35">
      <c r="A964" s="7" t="s">
        <v>2547</v>
      </c>
      <c r="B964" s="7" t="s">
        <v>2370</v>
      </c>
      <c r="C964" s="5">
        <v>55.86</v>
      </c>
      <c r="D964" s="2">
        <v>0.72101851851766696</v>
      </c>
      <c r="E964" s="4">
        <v>44949</v>
      </c>
      <c r="F964" s="7" t="s">
        <v>17</v>
      </c>
      <c r="G964" s="7" t="s">
        <v>59</v>
      </c>
      <c r="H964" s="7" t="s">
        <v>2548</v>
      </c>
      <c r="I964" s="7" t="s">
        <v>1414</v>
      </c>
      <c r="J964" s="7" t="s">
        <v>83</v>
      </c>
      <c r="K964" s="7" t="s">
        <v>36</v>
      </c>
      <c r="L964" s="8">
        <v>39</v>
      </c>
      <c r="M964" s="7" t="s">
        <v>77</v>
      </c>
      <c r="N964" s="8">
        <v>68</v>
      </c>
      <c r="O964" s="8">
        <v>1</v>
      </c>
      <c r="P964" s="5">
        <v>5346.46</v>
      </c>
      <c r="Q964" s="4">
        <v>45600</v>
      </c>
      <c r="R964" s="9">
        <v>0.33818287037037037</v>
      </c>
      <c r="S964" s="8">
        <v>17</v>
      </c>
      <c r="T964" s="7" t="s">
        <v>4457</v>
      </c>
      <c r="U964" s="7" t="s">
        <v>4455</v>
      </c>
      <c r="V9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65" spans="1:22" x14ac:dyDescent="0.35">
      <c r="A965" s="7" t="s">
        <v>2549</v>
      </c>
      <c r="B965" s="7" t="s">
        <v>767</v>
      </c>
      <c r="C965" s="5">
        <v>10.77</v>
      </c>
      <c r="D965" s="2">
        <v>0.70730324074247619</v>
      </c>
      <c r="E965" s="4">
        <v>44993</v>
      </c>
      <c r="F965" s="7" t="s">
        <v>17</v>
      </c>
      <c r="G965" s="7" t="s">
        <v>65</v>
      </c>
      <c r="H965" s="7" t="s">
        <v>2550</v>
      </c>
      <c r="I965" s="7" t="s">
        <v>1996</v>
      </c>
      <c r="J965" s="7" t="s">
        <v>1287</v>
      </c>
      <c r="K965" s="7" t="s">
        <v>22</v>
      </c>
      <c r="L965" s="8">
        <v>31</v>
      </c>
      <c r="M965" s="7" t="s">
        <v>23</v>
      </c>
      <c r="N965" s="8">
        <v>178</v>
      </c>
      <c r="O965" s="8">
        <v>1</v>
      </c>
      <c r="P965" s="5">
        <v>10704.95</v>
      </c>
      <c r="Q965" s="4">
        <v>45600</v>
      </c>
      <c r="R965" s="9">
        <v>0.34079861111111109</v>
      </c>
      <c r="S965" s="8">
        <v>16</v>
      </c>
      <c r="T965" s="7" t="s">
        <v>4456</v>
      </c>
      <c r="U965" s="7" t="s">
        <v>4455</v>
      </c>
      <c r="V9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6" spans="1:22" x14ac:dyDescent="0.35">
      <c r="A966" s="7" t="s">
        <v>2551</v>
      </c>
      <c r="B966" s="7" t="s">
        <v>2133</v>
      </c>
      <c r="C966" s="5">
        <v>95.55</v>
      </c>
      <c r="D966" s="2">
        <v>0.68420138888905058</v>
      </c>
      <c r="E966" s="4">
        <v>45026</v>
      </c>
      <c r="F966" s="7" t="s">
        <v>17</v>
      </c>
      <c r="G966" s="7" t="s">
        <v>108</v>
      </c>
      <c r="H966" s="7" t="s">
        <v>2552</v>
      </c>
      <c r="I966" s="7" t="s">
        <v>2553</v>
      </c>
      <c r="J966" s="7" t="s">
        <v>406</v>
      </c>
      <c r="K966" s="7" t="s">
        <v>69</v>
      </c>
      <c r="L966" s="8">
        <v>33</v>
      </c>
      <c r="M966" s="7" t="s">
        <v>77</v>
      </c>
      <c r="N966" s="8">
        <v>51</v>
      </c>
      <c r="O966" s="8">
        <v>1</v>
      </c>
      <c r="P966" s="5">
        <v>2434.7399999999998</v>
      </c>
      <c r="Q966" s="4">
        <v>45600</v>
      </c>
      <c r="R966" s="9">
        <v>0.34042824074074074</v>
      </c>
      <c r="S966" s="8">
        <v>16</v>
      </c>
      <c r="T966" s="7" t="s">
        <v>4456</v>
      </c>
      <c r="U966" s="7" t="s">
        <v>4455</v>
      </c>
      <c r="V9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7" spans="1:22" x14ac:dyDescent="0.35">
      <c r="A967" s="7" t="s">
        <v>2554</v>
      </c>
      <c r="B967" s="7" t="s">
        <v>660</v>
      </c>
      <c r="C967" s="5">
        <v>477.07</v>
      </c>
      <c r="D967" s="2">
        <v>0.68792824073898373</v>
      </c>
      <c r="E967" s="4">
        <v>45257</v>
      </c>
      <c r="F967" s="7" t="s">
        <v>17</v>
      </c>
      <c r="G967" s="7" t="s">
        <v>125</v>
      </c>
      <c r="H967" s="7" t="s">
        <v>823</v>
      </c>
      <c r="I967" s="7" t="s">
        <v>2555</v>
      </c>
      <c r="J967" s="7" t="s">
        <v>1287</v>
      </c>
      <c r="K967" s="7" t="s">
        <v>36</v>
      </c>
      <c r="L967" s="8">
        <v>27</v>
      </c>
      <c r="M967" s="7" t="s">
        <v>77</v>
      </c>
      <c r="N967" s="8">
        <v>278</v>
      </c>
      <c r="O967" s="8">
        <v>1</v>
      </c>
      <c r="P967" s="5">
        <v>6568.07</v>
      </c>
      <c r="Q967" s="4">
        <v>45600</v>
      </c>
      <c r="R967" s="9">
        <v>0.33858796296296295</v>
      </c>
      <c r="S967" s="8">
        <v>16</v>
      </c>
      <c r="T967" s="7" t="s">
        <v>4456</v>
      </c>
      <c r="U967" s="7" t="s">
        <v>4455</v>
      </c>
      <c r="V9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8" spans="1:22" x14ac:dyDescent="0.35">
      <c r="A968" s="7" t="s">
        <v>2556</v>
      </c>
      <c r="B968" s="7" t="s">
        <v>516</v>
      </c>
      <c r="C968" s="5">
        <v>9.1</v>
      </c>
      <c r="D968" s="2">
        <v>0.67336805555532919</v>
      </c>
      <c r="E968" s="4">
        <v>44987</v>
      </c>
      <c r="F968" s="7" t="s">
        <v>46</v>
      </c>
      <c r="G968" s="7" t="s">
        <v>212</v>
      </c>
      <c r="H968" s="7" t="s">
        <v>688</v>
      </c>
      <c r="I968" s="7" t="s">
        <v>2145</v>
      </c>
      <c r="J968" s="7" t="s">
        <v>478</v>
      </c>
      <c r="K968" s="7" t="s">
        <v>36</v>
      </c>
      <c r="L968" s="8">
        <v>52</v>
      </c>
      <c r="M968" s="7" t="s">
        <v>70</v>
      </c>
      <c r="N968" s="8">
        <v>63</v>
      </c>
      <c r="O968" s="8">
        <v>1</v>
      </c>
      <c r="P968" s="5">
        <v>2791.45</v>
      </c>
      <c r="Q968" s="4">
        <v>45600</v>
      </c>
      <c r="R968" s="9">
        <v>0.34023148148148147</v>
      </c>
      <c r="S968" s="8">
        <v>16</v>
      </c>
      <c r="T968" s="7" t="s">
        <v>4457</v>
      </c>
      <c r="U968" s="7" t="s">
        <v>4455</v>
      </c>
      <c r="V9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69" spans="1:22" x14ac:dyDescent="0.35">
      <c r="A969" s="7" t="s">
        <v>2557</v>
      </c>
      <c r="B969" s="7" t="s">
        <v>2366</v>
      </c>
      <c r="C969" s="5">
        <v>21.41</v>
      </c>
      <c r="D969" s="2">
        <v>0.68545138889021473</v>
      </c>
      <c r="E969" s="4">
        <v>45264</v>
      </c>
      <c r="F969" s="7" t="s">
        <v>17</v>
      </c>
      <c r="G969" s="7" t="s">
        <v>108</v>
      </c>
      <c r="H969" s="7" t="s">
        <v>1355</v>
      </c>
      <c r="I969" s="7" t="s">
        <v>1188</v>
      </c>
      <c r="J969" s="7" t="s">
        <v>619</v>
      </c>
      <c r="K969" s="7" t="s">
        <v>36</v>
      </c>
      <c r="L969" s="8">
        <v>57</v>
      </c>
      <c r="M969" s="7" t="s">
        <v>23</v>
      </c>
      <c r="N969" s="8">
        <v>99</v>
      </c>
      <c r="O969" s="8">
        <v>1</v>
      </c>
      <c r="P969" s="5">
        <v>658.91</v>
      </c>
      <c r="Q969" s="4">
        <v>45600</v>
      </c>
      <c r="R969" s="9">
        <v>0.33935185185185185</v>
      </c>
      <c r="S969" s="8">
        <v>16</v>
      </c>
      <c r="T969" s="7" t="s">
        <v>4454</v>
      </c>
      <c r="U969" s="7" t="s">
        <v>4455</v>
      </c>
      <c r="V9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70" spans="1:22" x14ac:dyDescent="0.35">
      <c r="A970" s="7" t="s">
        <v>2558</v>
      </c>
      <c r="B970" s="7" t="s">
        <v>1974</v>
      </c>
      <c r="C970" s="5">
        <v>278.27999999999997</v>
      </c>
      <c r="D970" s="2">
        <v>0.68115740740904585</v>
      </c>
      <c r="E970" s="4">
        <v>45201</v>
      </c>
      <c r="F970" s="7" t="s">
        <v>17</v>
      </c>
      <c r="G970" s="7" t="s">
        <v>392</v>
      </c>
      <c r="H970" s="7" t="s">
        <v>233</v>
      </c>
      <c r="I970" s="7" t="s">
        <v>2559</v>
      </c>
      <c r="J970" s="7" t="s">
        <v>348</v>
      </c>
      <c r="K970" s="7" t="s">
        <v>69</v>
      </c>
      <c r="L970" s="8">
        <v>28</v>
      </c>
      <c r="M970" s="7" t="s">
        <v>37</v>
      </c>
      <c r="N970" s="8">
        <v>26</v>
      </c>
      <c r="O970" s="8">
        <v>1</v>
      </c>
      <c r="P970" s="5">
        <v>1346.88</v>
      </c>
      <c r="Q970" s="4">
        <v>45600</v>
      </c>
      <c r="R970" s="9">
        <v>0.33862268518518518</v>
      </c>
      <c r="S970" s="8">
        <v>16</v>
      </c>
      <c r="T970" s="7" t="s">
        <v>4456</v>
      </c>
      <c r="U970" s="7" t="s">
        <v>4455</v>
      </c>
      <c r="V9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71" spans="1:22" x14ac:dyDescent="0.35">
      <c r="A971" s="7" t="s">
        <v>2560</v>
      </c>
      <c r="B971" s="7" t="s">
        <v>1554</v>
      </c>
      <c r="C971" s="5">
        <v>388.1</v>
      </c>
      <c r="D971" s="2">
        <v>0.75484953703562496</v>
      </c>
      <c r="E971" s="4">
        <v>45159</v>
      </c>
      <c r="F971" s="7" t="s">
        <v>46</v>
      </c>
      <c r="G971" s="7" t="s">
        <v>140</v>
      </c>
      <c r="H971" s="7" t="s">
        <v>2110</v>
      </c>
      <c r="I971" s="7" t="s">
        <v>571</v>
      </c>
      <c r="J971" s="7" t="s">
        <v>62</v>
      </c>
      <c r="K971" s="7" t="s">
        <v>36</v>
      </c>
      <c r="L971" s="8">
        <v>73</v>
      </c>
      <c r="M971" s="7" t="s">
        <v>70</v>
      </c>
      <c r="N971" s="8">
        <v>40</v>
      </c>
      <c r="O971" s="8">
        <v>1</v>
      </c>
      <c r="P971" s="5">
        <v>3022.12</v>
      </c>
      <c r="Q971" s="4">
        <v>45600</v>
      </c>
      <c r="R971" s="9">
        <v>0.33856481481481482</v>
      </c>
      <c r="S971" s="8">
        <v>18</v>
      </c>
      <c r="T971" s="7" t="s">
        <v>4454</v>
      </c>
      <c r="U971" s="7" t="s">
        <v>4455</v>
      </c>
      <c r="V9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72" spans="1:22" x14ac:dyDescent="0.35">
      <c r="A972" s="7" t="s">
        <v>2561</v>
      </c>
      <c r="B972" s="7" t="s">
        <v>2532</v>
      </c>
      <c r="C972" s="5">
        <v>215.39</v>
      </c>
      <c r="D972" s="2">
        <v>0.68325231481139781</v>
      </c>
      <c r="E972" s="4">
        <v>45098</v>
      </c>
      <c r="F972" s="7" t="s">
        <v>17</v>
      </c>
      <c r="G972" s="7" t="s">
        <v>73</v>
      </c>
      <c r="H972" s="7" t="s">
        <v>2562</v>
      </c>
      <c r="I972" s="7" t="s">
        <v>1025</v>
      </c>
      <c r="J972" s="7" t="s">
        <v>62</v>
      </c>
      <c r="K972" s="7" t="s">
        <v>22</v>
      </c>
      <c r="L972" s="8">
        <v>27</v>
      </c>
      <c r="M972" s="7" t="s">
        <v>37</v>
      </c>
      <c r="N972" s="8">
        <v>216</v>
      </c>
      <c r="O972" s="8">
        <v>1</v>
      </c>
      <c r="P972" s="5">
        <v>1582.55</v>
      </c>
      <c r="Q972" s="4">
        <v>45600</v>
      </c>
      <c r="R972" s="9">
        <v>0.34112268518518518</v>
      </c>
      <c r="S972" s="8">
        <v>16</v>
      </c>
      <c r="T972" s="7" t="s">
        <v>4456</v>
      </c>
      <c r="U972" s="7" t="s">
        <v>4455</v>
      </c>
      <c r="V9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73" spans="1:22" x14ac:dyDescent="0.35">
      <c r="A973" s="7" t="s">
        <v>2563</v>
      </c>
      <c r="B973" s="7" t="s">
        <v>2564</v>
      </c>
      <c r="C973" s="5">
        <v>194.37</v>
      </c>
      <c r="D973" s="2">
        <v>0.74665509258920792</v>
      </c>
      <c r="E973" s="4">
        <v>45042</v>
      </c>
      <c r="F973" s="7" t="s">
        <v>17</v>
      </c>
      <c r="G973" s="7" t="s">
        <v>178</v>
      </c>
      <c r="H973" s="7" t="s">
        <v>1214</v>
      </c>
      <c r="I973" s="7" t="s">
        <v>1917</v>
      </c>
      <c r="J973" s="7" t="s">
        <v>1209</v>
      </c>
      <c r="K973" s="7" t="s">
        <v>22</v>
      </c>
      <c r="L973" s="8">
        <v>66</v>
      </c>
      <c r="M973" s="7" t="s">
        <v>23</v>
      </c>
      <c r="N973" s="8">
        <v>161</v>
      </c>
      <c r="O973" s="8">
        <v>1</v>
      </c>
      <c r="P973" s="5">
        <v>14395.88</v>
      </c>
      <c r="Q973" s="4">
        <v>45600</v>
      </c>
      <c r="R973" s="9">
        <v>0.33990740740740738</v>
      </c>
      <c r="S973" s="8">
        <v>17</v>
      </c>
      <c r="T973" s="7" t="s">
        <v>4454</v>
      </c>
      <c r="U973" s="7" t="s">
        <v>4455</v>
      </c>
      <c r="V9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74" spans="1:22" x14ac:dyDescent="0.35">
      <c r="A974" s="7" t="s">
        <v>2565</v>
      </c>
      <c r="B974" s="7" t="s">
        <v>1027</v>
      </c>
      <c r="C974" s="5">
        <v>37.700000000000003</v>
      </c>
      <c r="D974" s="2">
        <v>0.66964120370539604</v>
      </c>
      <c r="E974" s="4">
        <v>45106</v>
      </c>
      <c r="F974" s="7" t="s">
        <v>17</v>
      </c>
      <c r="G974" s="7" t="s">
        <v>172</v>
      </c>
      <c r="H974" s="7" t="s">
        <v>2566</v>
      </c>
      <c r="I974" s="7" t="s">
        <v>2059</v>
      </c>
      <c r="J974" s="7" t="s">
        <v>858</v>
      </c>
      <c r="K974" s="7" t="s">
        <v>22</v>
      </c>
      <c r="L974" s="8">
        <v>20</v>
      </c>
      <c r="M974" s="7" t="s">
        <v>37</v>
      </c>
      <c r="N974" s="8">
        <v>109</v>
      </c>
      <c r="O974" s="8">
        <v>1</v>
      </c>
      <c r="P974" s="5">
        <v>1741.1</v>
      </c>
      <c r="Q974" s="4">
        <v>45600</v>
      </c>
      <c r="R974" s="9">
        <v>0.34175925925925926</v>
      </c>
      <c r="S974" s="8">
        <v>16</v>
      </c>
      <c r="T974" s="7" t="s">
        <v>4456</v>
      </c>
      <c r="U974" s="7" t="s">
        <v>4455</v>
      </c>
      <c r="V9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75" spans="1:22" x14ac:dyDescent="0.35">
      <c r="A975" s="7" t="s">
        <v>2567</v>
      </c>
      <c r="B975" s="7" t="s">
        <v>1528</v>
      </c>
      <c r="C975" s="5">
        <v>19.59</v>
      </c>
      <c r="D975" s="2">
        <v>0.78303240740933688</v>
      </c>
      <c r="E975" s="4">
        <v>45093</v>
      </c>
      <c r="F975" s="7" t="s">
        <v>17</v>
      </c>
      <c r="G975" s="7" t="s">
        <v>249</v>
      </c>
      <c r="H975" s="7" t="s">
        <v>2568</v>
      </c>
      <c r="I975" s="7" t="s">
        <v>1626</v>
      </c>
      <c r="J975" s="7" t="s">
        <v>1810</v>
      </c>
      <c r="K975" s="7" t="s">
        <v>69</v>
      </c>
      <c r="L975" s="8">
        <v>64</v>
      </c>
      <c r="M975" s="7" t="s">
        <v>70</v>
      </c>
      <c r="N975" s="8">
        <v>122</v>
      </c>
      <c r="O975" s="8">
        <v>1</v>
      </c>
      <c r="P975" s="5">
        <v>1061.69</v>
      </c>
      <c r="Q975" s="4">
        <v>45600</v>
      </c>
      <c r="R975" s="9">
        <v>0.34063657407407405</v>
      </c>
      <c r="S975" s="8">
        <v>18</v>
      </c>
      <c r="T975" s="7" t="s">
        <v>4454</v>
      </c>
      <c r="U975" s="7" t="s">
        <v>4455</v>
      </c>
      <c r="V9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76" spans="1:22" x14ac:dyDescent="0.35">
      <c r="A976" s="7" t="s">
        <v>2569</v>
      </c>
      <c r="B976" s="7" t="s">
        <v>712</v>
      </c>
      <c r="C976" s="5">
        <v>81.349999999999994</v>
      </c>
      <c r="D976" s="2">
        <v>0.73550925926247146</v>
      </c>
      <c r="E976" s="4">
        <v>44949</v>
      </c>
      <c r="F976" s="7" t="s">
        <v>17</v>
      </c>
      <c r="G976" s="7" t="s">
        <v>26</v>
      </c>
      <c r="H976" s="7" t="s">
        <v>1592</v>
      </c>
      <c r="I976" s="7" t="s">
        <v>878</v>
      </c>
      <c r="J976" s="7" t="s">
        <v>165</v>
      </c>
      <c r="K976" s="7" t="s">
        <v>36</v>
      </c>
      <c r="L976" s="8">
        <v>41</v>
      </c>
      <c r="M976" s="7" t="s">
        <v>77</v>
      </c>
      <c r="N976" s="8">
        <v>103</v>
      </c>
      <c r="O976" s="8">
        <v>1</v>
      </c>
      <c r="P976" s="5">
        <v>7192.45</v>
      </c>
      <c r="Q976" s="4">
        <v>45600</v>
      </c>
      <c r="R976" s="9">
        <v>0.33824074074074073</v>
      </c>
      <c r="S976" s="8">
        <v>17</v>
      </c>
      <c r="T976" s="7" t="s">
        <v>4457</v>
      </c>
      <c r="U976" s="7" t="s">
        <v>4455</v>
      </c>
      <c r="V9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77" spans="1:22" x14ac:dyDescent="0.35">
      <c r="A977" s="7" t="s">
        <v>2570</v>
      </c>
      <c r="B977" s="7" t="s">
        <v>1256</v>
      </c>
      <c r="C977" s="5">
        <v>314.54000000000002</v>
      </c>
      <c r="D977" s="2">
        <v>0.69031250000261934</v>
      </c>
      <c r="E977" s="4">
        <v>45198</v>
      </c>
      <c r="F977" s="7" t="s">
        <v>46</v>
      </c>
      <c r="G977" s="7" t="s">
        <v>301</v>
      </c>
      <c r="H977" s="7" t="s">
        <v>2571</v>
      </c>
      <c r="I977" s="7" t="s">
        <v>1321</v>
      </c>
      <c r="J977" s="7" t="s">
        <v>76</v>
      </c>
      <c r="K977" s="7" t="s">
        <v>69</v>
      </c>
      <c r="L977" s="8">
        <v>58</v>
      </c>
      <c r="M977" s="7" t="s">
        <v>77</v>
      </c>
      <c r="N977" s="8">
        <v>228</v>
      </c>
      <c r="O977" s="8">
        <v>1</v>
      </c>
      <c r="P977" s="5">
        <v>9923.4500000000007</v>
      </c>
      <c r="Q977" s="4">
        <v>45600</v>
      </c>
      <c r="R977" s="9">
        <v>0.34099537037037037</v>
      </c>
      <c r="S977" s="8">
        <v>16</v>
      </c>
      <c r="T977" s="7" t="s">
        <v>4454</v>
      </c>
      <c r="U977" s="7" t="s">
        <v>4455</v>
      </c>
      <c r="V9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78" spans="1:22" x14ac:dyDescent="0.35">
      <c r="A978" s="7" t="s">
        <v>2572</v>
      </c>
      <c r="B978" s="7" t="s">
        <v>403</v>
      </c>
      <c r="C978" s="5">
        <v>466.64</v>
      </c>
      <c r="D978" s="2">
        <v>0.70660879629576812</v>
      </c>
      <c r="E978" s="4">
        <v>45173</v>
      </c>
      <c r="F978" s="7" t="s">
        <v>17</v>
      </c>
      <c r="G978" s="7" t="s">
        <v>146</v>
      </c>
      <c r="H978" s="7" t="s">
        <v>772</v>
      </c>
      <c r="I978" s="7" t="s">
        <v>369</v>
      </c>
      <c r="J978" s="7" t="s">
        <v>984</v>
      </c>
      <c r="K978" s="7" t="s">
        <v>22</v>
      </c>
      <c r="L978" s="8">
        <v>58</v>
      </c>
      <c r="M978" s="7" t="s">
        <v>23</v>
      </c>
      <c r="N978" s="8">
        <v>11</v>
      </c>
      <c r="O978" s="8">
        <v>1</v>
      </c>
      <c r="P978" s="5">
        <v>10915.11</v>
      </c>
      <c r="Q978" s="4">
        <v>45600</v>
      </c>
      <c r="R978" s="9">
        <v>0.33981481481481479</v>
      </c>
      <c r="S978" s="8">
        <v>16</v>
      </c>
      <c r="T978" s="7" t="s">
        <v>4454</v>
      </c>
      <c r="U978" s="7" t="s">
        <v>4455</v>
      </c>
      <c r="V9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79" spans="1:22" x14ac:dyDescent="0.35">
      <c r="A979" s="7" t="s">
        <v>2573</v>
      </c>
      <c r="B979" s="7" t="s">
        <v>1125</v>
      </c>
      <c r="C979" s="5">
        <v>397.01</v>
      </c>
      <c r="D979" s="2">
        <v>0.74018518518278142</v>
      </c>
      <c r="E979" s="4">
        <v>45145</v>
      </c>
      <c r="F979" s="7" t="s">
        <v>17</v>
      </c>
      <c r="G979" s="7" t="s">
        <v>140</v>
      </c>
      <c r="H979" s="7" t="s">
        <v>2447</v>
      </c>
      <c r="I979" s="7" t="s">
        <v>2280</v>
      </c>
      <c r="J979" s="7" t="s">
        <v>707</v>
      </c>
      <c r="K979" s="7" t="s">
        <v>22</v>
      </c>
      <c r="L979" s="8">
        <v>22</v>
      </c>
      <c r="M979" s="7" t="s">
        <v>37</v>
      </c>
      <c r="N979" s="8">
        <v>100</v>
      </c>
      <c r="O979" s="8">
        <v>1</v>
      </c>
      <c r="P979" s="5">
        <v>719.52</v>
      </c>
      <c r="Q979" s="4">
        <v>45600</v>
      </c>
      <c r="R979" s="9">
        <v>0.33785879629629628</v>
      </c>
      <c r="S979" s="8">
        <v>17</v>
      </c>
      <c r="T979" s="7" t="s">
        <v>4456</v>
      </c>
      <c r="U979" s="7" t="s">
        <v>4455</v>
      </c>
      <c r="V9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80" spans="1:22" x14ac:dyDescent="0.35">
      <c r="A980" s="7" t="s">
        <v>2574</v>
      </c>
      <c r="B980" s="7" t="s">
        <v>156</v>
      </c>
      <c r="C980" s="5">
        <v>472.48</v>
      </c>
      <c r="D980" s="2">
        <v>0.71291666666365927</v>
      </c>
      <c r="E980" s="4">
        <v>44984</v>
      </c>
      <c r="F980" s="7" t="s">
        <v>17</v>
      </c>
      <c r="G980" s="7" t="s">
        <v>203</v>
      </c>
      <c r="H980" s="7" t="s">
        <v>1045</v>
      </c>
      <c r="I980" s="7" t="s">
        <v>2575</v>
      </c>
      <c r="J980" s="7" t="s">
        <v>514</v>
      </c>
      <c r="K980" s="7" t="s">
        <v>69</v>
      </c>
      <c r="L980" s="8">
        <v>55</v>
      </c>
      <c r="M980" s="7" t="s">
        <v>77</v>
      </c>
      <c r="N980" s="8">
        <v>87</v>
      </c>
      <c r="O980" s="8">
        <v>1</v>
      </c>
      <c r="P980" s="5">
        <v>7128.82</v>
      </c>
      <c r="Q980" s="4">
        <v>45600</v>
      </c>
      <c r="R980" s="9">
        <v>0.3402662037037037</v>
      </c>
      <c r="S980" s="8">
        <v>17</v>
      </c>
      <c r="T980" s="7" t="s">
        <v>4454</v>
      </c>
      <c r="U980" s="7" t="s">
        <v>4455</v>
      </c>
      <c r="V9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81" spans="1:22" x14ac:dyDescent="0.35">
      <c r="A981" s="7" t="s">
        <v>2576</v>
      </c>
      <c r="B981" s="7" t="s">
        <v>1078</v>
      </c>
      <c r="C981" s="5">
        <v>67.150000000000006</v>
      </c>
      <c r="D981" s="2">
        <v>0.7201967592627625</v>
      </c>
      <c r="E981" s="4">
        <v>45250</v>
      </c>
      <c r="F981" s="7" t="s">
        <v>17</v>
      </c>
      <c r="G981" s="7" t="s">
        <v>65</v>
      </c>
      <c r="H981" s="7" t="s">
        <v>292</v>
      </c>
      <c r="I981" s="7" t="s">
        <v>714</v>
      </c>
      <c r="J981" s="7" t="s">
        <v>353</v>
      </c>
      <c r="K981" s="7" t="s">
        <v>36</v>
      </c>
      <c r="L981" s="8">
        <v>59</v>
      </c>
      <c r="M981" s="7" t="s">
        <v>23</v>
      </c>
      <c r="N981" s="8">
        <v>14</v>
      </c>
      <c r="O981" s="8">
        <v>1</v>
      </c>
      <c r="P981" s="5">
        <v>9028.49</v>
      </c>
      <c r="Q981" s="4">
        <v>45600</v>
      </c>
      <c r="R981" s="9">
        <v>0.34089120370370368</v>
      </c>
      <c r="S981" s="8">
        <v>17</v>
      </c>
      <c r="T981" s="7" t="s">
        <v>4454</v>
      </c>
      <c r="U981" s="7" t="s">
        <v>4455</v>
      </c>
      <c r="V9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82" spans="1:22" x14ac:dyDescent="0.35">
      <c r="A982" s="7" t="s">
        <v>2577</v>
      </c>
      <c r="B982" s="7" t="s">
        <v>264</v>
      </c>
      <c r="C982" s="5">
        <v>102.67</v>
      </c>
      <c r="D982" s="2">
        <v>0.73748842592613073</v>
      </c>
      <c r="E982" s="4">
        <v>45056</v>
      </c>
      <c r="F982" s="7" t="s">
        <v>17</v>
      </c>
      <c r="G982" s="7" t="s">
        <v>86</v>
      </c>
      <c r="H982" s="7" t="s">
        <v>426</v>
      </c>
      <c r="I982" s="7" t="s">
        <v>34</v>
      </c>
      <c r="J982" s="7" t="s">
        <v>50</v>
      </c>
      <c r="K982" s="7" t="s">
        <v>69</v>
      </c>
      <c r="L982" s="8">
        <v>79</v>
      </c>
      <c r="M982" s="7" t="s">
        <v>70</v>
      </c>
      <c r="N982" s="8">
        <v>119</v>
      </c>
      <c r="O982" s="8">
        <v>1</v>
      </c>
      <c r="P982" s="5">
        <v>4656.9399999999996</v>
      </c>
      <c r="Q982" s="4">
        <v>45600</v>
      </c>
      <c r="R982" s="9">
        <v>0.33787037037037038</v>
      </c>
      <c r="S982" s="8">
        <v>17</v>
      </c>
      <c r="T982" s="7" t="s">
        <v>4454</v>
      </c>
      <c r="U982" s="7" t="s">
        <v>4455</v>
      </c>
      <c r="V9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83" spans="1:22" x14ac:dyDescent="0.35">
      <c r="A983" s="7" t="s">
        <v>2578</v>
      </c>
      <c r="B983" s="7" t="s">
        <v>557</v>
      </c>
      <c r="C983" s="5">
        <v>460.09</v>
      </c>
      <c r="D983" s="2">
        <v>0.71209490740875481</v>
      </c>
      <c r="E983" s="4">
        <v>44991</v>
      </c>
      <c r="F983" s="7" t="s">
        <v>46</v>
      </c>
      <c r="G983" s="7" t="s">
        <v>558</v>
      </c>
      <c r="H983" s="7" t="s">
        <v>2479</v>
      </c>
      <c r="I983" s="7" t="s">
        <v>2579</v>
      </c>
      <c r="J983" s="7" t="s">
        <v>427</v>
      </c>
      <c r="K983" s="7" t="s">
        <v>36</v>
      </c>
      <c r="L983" s="8">
        <v>35</v>
      </c>
      <c r="M983" s="7" t="s">
        <v>23</v>
      </c>
      <c r="N983" s="8">
        <v>146</v>
      </c>
      <c r="O983" s="8">
        <v>3</v>
      </c>
      <c r="P983" s="5">
        <v>6990.64</v>
      </c>
      <c r="Q983" s="4">
        <v>45600</v>
      </c>
      <c r="R983" s="9">
        <v>0.33927083333333335</v>
      </c>
      <c r="S983" s="8">
        <v>17</v>
      </c>
      <c r="T983" s="7" t="s">
        <v>4457</v>
      </c>
      <c r="U983" s="7" t="s">
        <v>4458</v>
      </c>
      <c r="V9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84" spans="1:22" x14ac:dyDescent="0.35">
      <c r="A984" s="7" t="s">
        <v>2580</v>
      </c>
      <c r="B984" s="7" t="s">
        <v>2581</v>
      </c>
      <c r="C984" s="5">
        <v>453.49</v>
      </c>
      <c r="D984" s="2">
        <v>0.67116898148378823</v>
      </c>
      <c r="E984" s="4">
        <v>44928</v>
      </c>
      <c r="F984" s="7" t="s">
        <v>17</v>
      </c>
      <c r="G984" s="7" t="s">
        <v>59</v>
      </c>
      <c r="H984" s="7" t="s">
        <v>2278</v>
      </c>
      <c r="I984" s="7" t="s">
        <v>382</v>
      </c>
      <c r="J984" s="7" t="s">
        <v>769</v>
      </c>
      <c r="K984" s="7" t="s">
        <v>69</v>
      </c>
      <c r="L984" s="8">
        <v>66</v>
      </c>
      <c r="M984" s="7" t="s">
        <v>23</v>
      </c>
      <c r="N984" s="8">
        <v>147</v>
      </c>
      <c r="O984" s="8">
        <v>1</v>
      </c>
      <c r="P984" s="5">
        <v>6366.43</v>
      </c>
      <c r="Q984" s="4">
        <v>45600</v>
      </c>
      <c r="R984" s="9">
        <v>0.33953703703703703</v>
      </c>
      <c r="S984" s="8">
        <v>16</v>
      </c>
      <c r="T984" s="7" t="s">
        <v>4454</v>
      </c>
      <c r="U984" s="7" t="s">
        <v>4455</v>
      </c>
      <c r="V9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85" spans="1:22" x14ac:dyDescent="0.35">
      <c r="A985" s="7" t="s">
        <v>2582</v>
      </c>
      <c r="B985" s="7" t="s">
        <v>2583</v>
      </c>
      <c r="C985" s="5">
        <v>267.17</v>
      </c>
      <c r="D985" s="2">
        <v>0.70597222222568234</v>
      </c>
      <c r="E985" s="4">
        <v>45162</v>
      </c>
      <c r="F985" s="7" t="s">
        <v>17</v>
      </c>
      <c r="G985" s="7" t="s">
        <v>59</v>
      </c>
      <c r="H985" s="7" t="s">
        <v>2270</v>
      </c>
      <c r="I985" s="7" t="s">
        <v>643</v>
      </c>
      <c r="J985" s="7" t="s">
        <v>740</v>
      </c>
      <c r="K985" s="7" t="s">
        <v>22</v>
      </c>
      <c r="L985" s="8">
        <v>26</v>
      </c>
      <c r="M985" s="7" t="s">
        <v>37</v>
      </c>
      <c r="N985" s="8">
        <v>170</v>
      </c>
      <c r="O985" s="8">
        <v>1</v>
      </c>
      <c r="P985" s="5">
        <v>1382.62</v>
      </c>
      <c r="Q985" s="4">
        <v>45600</v>
      </c>
      <c r="R985" s="9">
        <v>0.33881944444444445</v>
      </c>
      <c r="S985" s="8">
        <v>16</v>
      </c>
      <c r="T985" s="7" t="s">
        <v>4456</v>
      </c>
      <c r="U985" s="7" t="s">
        <v>4455</v>
      </c>
      <c r="V9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86" spans="1:22" x14ac:dyDescent="0.35">
      <c r="A986" s="7" t="s">
        <v>2584</v>
      </c>
      <c r="B986" s="7" t="s">
        <v>767</v>
      </c>
      <c r="C986" s="5">
        <v>111.26</v>
      </c>
      <c r="D986" s="2">
        <v>0.71340277777926531</v>
      </c>
      <c r="E986" s="4">
        <v>45156</v>
      </c>
      <c r="F986" s="7" t="s">
        <v>17</v>
      </c>
      <c r="G986" s="7" t="s">
        <v>388</v>
      </c>
      <c r="H986" s="7" t="s">
        <v>1532</v>
      </c>
      <c r="I986" s="7" t="s">
        <v>2585</v>
      </c>
      <c r="J986" s="7" t="s">
        <v>1287</v>
      </c>
      <c r="K986" s="7" t="s">
        <v>22</v>
      </c>
      <c r="L986" s="8">
        <v>66</v>
      </c>
      <c r="M986" s="7" t="s">
        <v>23</v>
      </c>
      <c r="N986" s="8">
        <v>43</v>
      </c>
      <c r="O986" s="8">
        <v>1</v>
      </c>
      <c r="P986" s="5">
        <v>14350.11</v>
      </c>
      <c r="Q986" s="4">
        <v>45600</v>
      </c>
      <c r="R986" s="9">
        <v>0.3387384259259259</v>
      </c>
      <c r="S986" s="8">
        <v>17</v>
      </c>
      <c r="T986" s="7" t="s">
        <v>4454</v>
      </c>
      <c r="U986" s="7" t="s">
        <v>4455</v>
      </c>
      <c r="V9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87" spans="1:22" x14ac:dyDescent="0.35">
      <c r="A987" s="7" t="s">
        <v>2586</v>
      </c>
      <c r="B987" s="7" t="s">
        <v>2432</v>
      </c>
      <c r="C987" s="5">
        <v>121.17</v>
      </c>
      <c r="D987" s="2">
        <v>0.73004629629576812</v>
      </c>
      <c r="E987" s="4">
        <v>45285</v>
      </c>
      <c r="F987" s="7" t="s">
        <v>17</v>
      </c>
      <c r="G987" s="7" t="s">
        <v>425</v>
      </c>
      <c r="H987" s="7" t="s">
        <v>1453</v>
      </c>
      <c r="I987" s="7" t="s">
        <v>918</v>
      </c>
      <c r="J987" s="7" t="s">
        <v>200</v>
      </c>
      <c r="K987" s="7" t="s">
        <v>22</v>
      </c>
      <c r="L987" s="8">
        <v>68</v>
      </c>
      <c r="M987" s="7" t="s">
        <v>23</v>
      </c>
      <c r="N987" s="8">
        <v>158</v>
      </c>
      <c r="O987" s="8">
        <v>1</v>
      </c>
      <c r="P987" s="5">
        <v>12990.77</v>
      </c>
      <c r="Q987" s="4">
        <v>45600</v>
      </c>
      <c r="R987" s="9">
        <v>0.34041666666666665</v>
      </c>
      <c r="S987" s="8">
        <v>17</v>
      </c>
      <c r="T987" s="7" t="s">
        <v>4454</v>
      </c>
      <c r="U987" s="7" t="s">
        <v>4455</v>
      </c>
      <c r="V9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88" spans="1:22" x14ac:dyDescent="0.35">
      <c r="A988" s="7" t="s">
        <v>2587</v>
      </c>
      <c r="B988" s="7" t="s">
        <v>611</v>
      </c>
      <c r="C988" s="5">
        <v>213.28</v>
      </c>
      <c r="D988" s="2">
        <v>0.77019675925839692</v>
      </c>
      <c r="E988" s="4">
        <v>45285</v>
      </c>
      <c r="F988" s="7" t="s">
        <v>17</v>
      </c>
      <c r="G988" s="7" t="s">
        <v>32</v>
      </c>
      <c r="H988" s="7" t="s">
        <v>1749</v>
      </c>
      <c r="I988" s="7" t="s">
        <v>2588</v>
      </c>
      <c r="J988" s="7" t="s">
        <v>769</v>
      </c>
      <c r="K988" s="7" t="s">
        <v>69</v>
      </c>
      <c r="L988" s="8">
        <v>51</v>
      </c>
      <c r="M988" s="7" t="s">
        <v>70</v>
      </c>
      <c r="N988" s="8">
        <v>94</v>
      </c>
      <c r="O988" s="8">
        <v>1</v>
      </c>
      <c r="P988" s="5">
        <v>4835.91</v>
      </c>
      <c r="Q988" s="4">
        <v>45600</v>
      </c>
      <c r="R988" s="9">
        <v>0.34128472222222223</v>
      </c>
      <c r="S988" s="8">
        <v>18</v>
      </c>
      <c r="T988" s="7" t="s">
        <v>4457</v>
      </c>
      <c r="U988" s="7" t="s">
        <v>4455</v>
      </c>
      <c r="V9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89" spans="1:22" x14ac:dyDescent="0.35">
      <c r="A989" s="7" t="s">
        <v>2589</v>
      </c>
      <c r="B989" s="7" t="s">
        <v>290</v>
      </c>
      <c r="C989" s="5">
        <v>187.88</v>
      </c>
      <c r="D989" s="2">
        <v>0.69425925926043419</v>
      </c>
      <c r="E989" s="4">
        <v>45148</v>
      </c>
      <c r="F989" s="7" t="s">
        <v>17</v>
      </c>
      <c r="G989" s="7" t="s">
        <v>80</v>
      </c>
      <c r="H989" s="7" t="s">
        <v>1749</v>
      </c>
      <c r="I989" s="7" t="s">
        <v>1235</v>
      </c>
      <c r="J989" s="7" t="s">
        <v>111</v>
      </c>
      <c r="K989" s="7" t="s">
        <v>22</v>
      </c>
      <c r="L989" s="8">
        <v>60</v>
      </c>
      <c r="M989" s="7" t="s">
        <v>77</v>
      </c>
      <c r="N989" s="8">
        <v>180</v>
      </c>
      <c r="O989" s="8">
        <v>1</v>
      </c>
      <c r="P989" s="5">
        <v>2154.58</v>
      </c>
      <c r="Q989" s="4">
        <v>45600</v>
      </c>
      <c r="R989" s="9">
        <v>0.34092592592592591</v>
      </c>
      <c r="S989" s="8">
        <v>16</v>
      </c>
      <c r="T989" s="7" t="s">
        <v>4454</v>
      </c>
      <c r="U989" s="7" t="s">
        <v>4455</v>
      </c>
      <c r="V9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90" spans="1:22" x14ac:dyDescent="0.35">
      <c r="A990" s="7" t="s">
        <v>2590</v>
      </c>
      <c r="B990" s="7" t="s">
        <v>777</v>
      </c>
      <c r="C990" s="5">
        <v>471.88</v>
      </c>
      <c r="D990" s="2">
        <v>0.78081018518423662</v>
      </c>
      <c r="E990" s="4">
        <v>45229</v>
      </c>
      <c r="F990" s="7" t="s">
        <v>46</v>
      </c>
      <c r="G990" s="7" t="s">
        <v>223</v>
      </c>
      <c r="H990" s="7" t="s">
        <v>1539</v>
      </c>
      <c r="I990" s="7" t="s">
        <v>205</v>
      </c>
      <c r="J990" s="7" t="s">
        <v>56</v>
      </c>
      <c r="K990" s="7" t="s">
        <v>36</v>
      </c>
      <c r="L990" s="8">
        <v>34</v>
      </c>
      <c r="M990" s="7" t="s">
        <v>23</v>
      </c>
      <c r="N990" s="8">
        <v>141</v>
      </c>
      <c r="O990" s="8">
        <v>1</v>
      </c>
      <c r="P990" s="5">
        <v>14833.34</v>
      </c>
      <c r="Q990" s="4">
        <v>45600</v>
      </c>
      <c r="R990" s="9">
        <v>0.33819444444444446</v>
      </c>
      <c r="S990" s="8">
        <v>18</v>
      </c>
      <c r="T990" s="7" t="s">
        <v>4456</v>
      </c>
      <c r="U990" s="7" t="s">
        <v>4455</v>
      </c>
      <c r="V9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91" spans="1:22" x14ac:dyDescent="0.35">
      <c r="A991" s="7" t="s">
        <v>2591</v>
      </c>
      <c r="B991" s="7" t="s">
        <v>1653</v>
      </c>
      <c r="C991" s="5">
        <v>83.79</v>
      </c>
      <c r="D991" s="2">
        <v>0.69292824074364034</v>
      </c>
      <c r="E991" s="4">
        <v>45211</v>
      </c>
      <c r="F991" s="7" t="s">
        <v>17</v>
      </c>
      <c r="G991" s="7" t="s">
        <v>80</v>
      </c>
      <c r="H991" s="7" t="s">
        <v>2592</v>
      </c>
      <c r="I991" s="7" t="s">
        <v>958</v>
      </c>
      <c r="J991" s="7" t="s">
        <v>1000</v>
      </c>
      <c r="K991" s="7" t="s">
        <v>22</v>
      </c>
      <c r="L991" s="8">
        <v>57</v>
      </c>
      <c r="M991" s="7" t="s">
        <v>77</v>
      </c>
      <c r="N991" s="8">
        <v>47</v>
      </c>
      <c r="O991" s="8">
        <v>1</v>
      </c>
      <c r="P991" s="5">
        <v>5061.3</v>
      </c>
      <c r="Q991" s="4">
        <v>45600</v>
      </c>
      <c r="R991" s="9">
        <v>0.33964120370370371</v>
      </c>
      <c r="S991" s="8">
        <v>16</v>
      </c>
      <c r="T991" s="7" t="s">
        <v>4454</v>
      </c>
      <c r="U991" s="7" t="s">
        <v>4455</v>
      </c>
      <c r="V9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92" spans="1:22" x14ac:dyDescent="0.35">
      <c r="A992" s="7" t="s">
        <v>2593</v>
      </c>
      <c r="B992" s="7" t="s">
        <v>889</v>
      </c>
      <c r="C992" s="5">
        <v>212.14</v>
      </c>
      <c r="D992" s="2">
        <v>0.72820601851708489</v>
      </c>
      <c r="E992" s="4">
        <v>45152</v>
      </c>
      <c r="F992" s="7" t="s">
        <v>17</v>
      </c>
      <c r="G992" s="7" t="s">
        <v>119</v>
      </c>
      <c r="H992" s="7" t="s">
        <v>2068</v>
      </c>
      <c r="I992" s="7" t="s">
        <v>2186</v>
      </c>
      <c r="J992" s="7" t="s">
        <v>478</v>
      </c>
      <c r="K992" s="7" t="s">
        <v>69</v>
      </c>
      <c r="L992" s="8">
        <v>72</v>
      </c>
      <c r="M992" s="7" t="s">
        <v>70</v>
      </c>
      <c r="N992" s="8">
        <v>105</v>
      </c>
      <c r="O992" s="8">
        <v>1</v>
      </c>
      <c r="P992" s="5">
        <v>7225.06</v>
      </c>
      <c r="Q992" s="4">
        <v>45600</v>
      </c>
      <c r="R992" s="9">
        <v>0.3394212962962963</v>
      </c>
      <c r="S992" s="8">
        <v>17</v>
      </c>
      <c r="T992" s="7" t="s">
        <v>4454</v>
      </c>
      <c r="U992" s="7" t="s">
        <v>4455</v>
      </c>
      <c r="V9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93" spans="1:22" x14ac:dyDescent="0.35">
      <c r="A993" s="7" t="s">
        <v>2594</v>
      </c>
      <c r="B993" s="7" t="s">
        <v>399</v>
      </c>
      <c r="C993" s="5">
        <v>99.16</v>
      </c>
      <c r="D993" s="2">
        <v>0.74652777778101154</v>
      </c>
      <c r="E993" s="4">
        <v>44985</v>
      </c>
      <c r="F993" s="7" t="s">
        <v>17</v>
      </c>
      <c r="G993" s="7" t="s">
        <v>212</v>
      </c>
      <c r="H993" s="7" t="s">
        <v>1453</v>
      </c>
      <c r="I993" s="7" t="s">
        <v>1603</v>
      </c>
      <c r="J993" s="7" t="s">
        <v>414</v>
      </c>
      <c r="K993" s="7" t="s">
        <v>36</v>
      </c>
      <c r="L993" s="8">
        <v>79</v>
      </c>
      <c r="M993" s="7" t="s">
        <v>70</v>
      </c>
      <c r="N993" s="8">
        <v>202</v>
      </c>
      <c r="O993" s="8">
        <v>1</v>
      </c>
      <c r="P993" s="5">
        <v>2607.58</v>
      </c>
      <c r="Q993" s="4">
        <v>45600</v>
      </c>
      <c r="R993" s="9">
        <v>0.34059027777777778</v>
      </c>
      <c r="S993" s="8">
        <v>17</v>
      </c>
      <c r="T993" s="7" t="s">
        <v>4454</v>
      </c>
      <c r="U993" s="7" t="s">
        <v>4455</v>
      </c>
      <c r="V9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94" spans="1:22" x14ac:dyDescent="0.35">
      <c r="A994" s="7" t="s">
        <v>2595</v>
      </c>
      <c r="B994" s="7" t="s">
        <v>1405</v>
      </c>
      <c r="C994" s="5">
        <v>839.33</v>
      </c>
      <c r="D994" s="2">
        <v>0.66901620370481396</v>
      </c>
      <c r="E994" s="4">
        <v>45048</v>
      </c>
      <c r="F994" s="7" t="s">
        <v>46</v>
      </c>
      <c r="G994" s="7" t="s">
        <v>108</v>
      </c>
      <c r="H994" s="7" t="s">
        <v>54</v>
      </c>
      <c r="I994" s="7" t="s">
        <v>531</v>
      </c>
      <c r="J994" s="7" t="s">
        <v>358</v>
      </c>
      <c r="K994" s="7" t="s">
        <v>69</v>
      </c>
      <c r="L994" s="8">
        <v>60</v>
      </c>
      <c r="M994" s="7" t="s">
        <v>23</v>
      </c>
      <c r="N994" s="8">
        <v>86</v>
      </c>
      <c r="O994" s="8">
        <v>1</v>
      </c>
      <c r="P994" s="5">
        <v>11538.97</v>
      </c>
      <c r="Q994" s="4">
        <v>45600</v>
      </c>
      <c r="R994" s="9">
        <v>0.33982638888888889</v>
      </c>
      <c r="S994" s="8">
        <v>16</v>
      </c>
      <c r="T994" s="7" t="s">
        <v>4454</v>
      </c>
      <c r="U994" s="7" t="s">
        <v>4455</v>
      </c>
      <c r="V9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95" spans="1:22" x14ac:dyDescent="0.35">
      <c r="A995" s="7" t="s">
        <v>2596</v>
      </c>
      <c r="B995" s="7" t="s">
        <v>1874</v>
      </c>
      <c r="C995" s="5">
        <v>29.91</v>
      </c>
      <c r="D995" s="2">
        <v>0.68510416666686069</v>
      </c>
      <c r="E995" s="4">
        <v>45138</v>
      </c>
      <c r="F995" s="7" t="s">
        <v>46</v>
      </c>
      <c r="G995" s="7" t="s">
        <v>243</v>
      </c>
      <c r="H995" s="7" t="s">
        <v>960</v>
      </c>
      <c r="I995" s="7" t="s">
        <v>1894</v>
      </c>
      <c r="J995" s="7" t="s">
        <v>639</v>
      </c>
      <c r="K995" s="7" t="s">
        <v>36</v>
      </c>
      <c r="L995" s="8">
        <v>76</v>
      </c>
      <c r="M995" s="7" t="s">
        <v>70</v>
      </c>
      <c r="N995" s="8">
        <v>43</v>
      </c>
      <c r="O995" s="8">
        <v>3</v>
      </c>
      <c r="P995" s="5">
        <v>2834.84</v>
      </c>
      <c r="Q995" s="4">
        <v>45600</v>
      </c>
      <c r="R995" s="9">
        <v>0.33934027777777775</v>
      </c>
      <c r="S995" s="8">
        <v>16</v>
      </c>
      <c r="T995" s="7" t="s">
        <v>4454</v>
      </c>
      <c r="U995" s="7" t="s">
        <v>4458</v>
      </c>
      <c r="V9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96" spans="1:22" x14ac:dyDescent="0.35">
      <c r="A996" s="7" t="s">
        <v>2597</v>
      </c>
      <c r="B996" s="7" t="s">
        <v>1169</v>
      </c>
      <c r="C996" s="5">
        <v>4.24</v>
      </c>
      <c r="D996" s="2">
        <v>0.69896990740380716</v>
      </c>
      <c r="E996" s="4">
        <v>45033</v>
      </c>
      <c r="F996" s="7" t="s">
        <v>17</v>
      </c>
      <c r="G996" s="7" t="s">
        <v>18</v>
      </c>
      <c r="H996" s="7" t="s">
        <v>705</v>
      </c>
      <c r="I996" s="7" t="s">
        <v>261</v>
      </c>
      <c r="J996" s="7" t="s">
        <v>572</v>
      </c>
      <c r="K996" s="7" t="s">
        <v>36</v>
      </c>
      <c r="L996" s="8">
        <v>38</v>
      </c>
      <c r="M996" s="7" t="s">
        <v>77</v>
      </c>
      <c r="N996" s="8">
        <v>38</v>
      </c>
      <c r="O996" s="8">
        <v>1</v>
      </c>
      <c r="P996" s="5">
        <v>7822.73</v>
      </c>
      <c r="Q996" s="4">
        <v>45600</v>
      </c>
      <c r="R996" s="9">
        <v>0.33881944444444445</v>
      </c>
      <c r="S996" s="8">
        <v>16</v>
      </c>
      <c r="T996" s="7" t="s">
        <v>4457</v>
      </c>
      <c r="U996" s="7" t="s">
        <v>4455</v>
      </c>
      <c r="V9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97" spans="1:22" x14ac:dyDescent="0.35">
      <c r="A997" s="7" t="s">
        <v>2598</v>
      </c>
      <c r="B997" s="7" t="s">
        <v>1438</v>
      </c>
      <c r="C997" s="5">
        <v>50.29</v>
      </c>
      <c r="D997" s="2">
        <v>0.67613425925810589</v>
      </c>
      <c r="E997" s="4">
        <v>45187</v>
      </c>
      <c r="F997" s="7" t="s">
        <v>46</v>
      </c>
      <c r="G997" s="7" t="s">
        <v>40</v>
      </c>
      <c r="H997" s="7" t="s">
        <v>2282</v>
      </c>
      <c r="I997" s="7" t="s">
        <v>1181</v>
      </c>
      <c r="J997" s="7" t="s">
        <v>165</v>
      </c>
      <c r="K997" s="7" t="s">
        <v>36</v>
      </c>
      <c r="L997" s="8">
        <v>58</v>
      </c>
      <c r="M997" s="7" t="s">
        <v>23</v>
      </c>
      <c r="N997" s="8">
        <v>64</v>
      </c>
      <c r="O997" s="8">
        <v>1</v>
      </c>
      <c r="P997" s="5">
        <v>7604.9</v>
      </c>
      <c r="Q997" s="4">
        <v>45600</v>
      </c>
      <c r="R997" s="9">
        <v>0.33837962962962964</v>
      </c>
      <c r="S997" s="8">
        <v>16</v>
      </c>
      <c r="T997" s="7" t="s">
        <v>4454</v>
      </c>
      <c r="U997" s="7" t="s">
        <v>4455</v>
      </c>
      <c r="V9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998" spans="1:22" x14ac:dyDescent="0.35">
      <c r="A998" s="7" t="s">
        <v>2599</v>
      </c>
      <c r="B998" s="7" t="s">
        <v>1528</v>
      </c>
      <c r="C998" s="5">
        <v>135.85</v>
      </c>
      <c r="D998" s="2">
        <v>0.72635416666889796</v>
      </c>
      <c r="E998" s="4">
        <v>45141</v>
      </c>
      <c r="F998" s="7" t="s">
        <v>17</v>
      </c>
      <c r="G998" s="7" t="s">
        <v>558</v>
      </c>
      <c r="H998" s="7" t="s">
        <v>1588</v>
      </c>
      <c r="I998" s="7" t="s">
        <v>631</v>
      </c>
      <c r="J998" s="7" t="s">
        <v>21</v>
      </c>
      <c r="K998" s="7" t="s">
        <v>36</v>
      </c>
      <c r="L998" s="8">
        <v>57</v>
      </c>
      <c r="M998" s="7" t="s">
        <v>70</v>
      </c>
      <c r="N998" s="8">
        <v>269</v>
      </c>
      <c r="O998" s="8">
        <v>1</v>
      </c>
      <c r="P998" s="5">
        <v>1480.39</v>
      </c>
      <c r="Q998" s="4">
        <v>45600</v>
      </c>
      <c r="R998" s="9">
        <v>0.33907407407407408</v>
      </c>
      <c r="S998" s="8">
        <v>17</v>
      </c>
      <c r="T998" s="7" t="s">
        <v>4454</v>
      </c>
      <c r="U998" s="7" t="s">
        <v>4455</v>
      </c>
      <c r="V9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999" spans="1:22" x14ac:dyDescent="0.35">
      <c r="A999" s="7" t="s">
        <v>2600</v>
      </c>
      <c r="B999" s="7" t="s">
        <v>2601</v>
      </c>
      <c r="C999" s="5">
        <v>368.53</v>
      </c>
      <c r="D999" s="2">
        <v>0.67302083333197515</v>
      </c>
      <c r="E999" s="4">
        <v>45019</v>
      </c>
      <c r="F999" s="7" t="s">
        <v>17</v>
      </c>
      <c r="G999" s="7" t="s">
        <v>40</v>
      </c>
      <c r="H999" s="7" t="s">
        <v>538</v>
      </c>
      <c r="I999" s="7" t="s">
        <v>857</v>
      </c>
      <c r="J999" s="7" t="s">
        <v>514</v>
      </c>
      <c r="K999" s="7" t="s">
        <v>69</v>
      </c>
      <c r="L999" s="8">
        <v>68</v>
      </c>
      <c r="M999" s="7" t="s">
        <v>23</v>
      </c>
      <c r="N999" s="8">
        <v>34</v>
      </c>
      <c r="O999" s="8">
        <v>1</v>
      </c>
      <c r="P999" s="5">
        <v>13696.31</v>
      </c>
      <c r="Q999" s="4">
        <v>45600</v>
      </c>
      <c r="R999" s="9">
        <v>0.33814814814814814</v>
      </c>
      <c r="S999" s="8">
        <v>16</v>
      </c>
      <c r="T999" s="7" t="s">
        <v>4454</v>
      </c>
      <c r="U999" s="7" t="s">
        <v>4455</v>
      </c>
      <c r="V9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00" spans="1:22" x14ac:dyDescent="0.35">
      <c r="A1000" s="7" t="s">
        <v>2602</v>
      </c>
      <c r="B1000" s="7" t="s">
        <v>889</v>
      </c>
      <c r="C1000" s="5">
        <v>17.95</v>
      </c>
      <c r="D1000" s="2">
        <v>0.72383101852028631</v>
      </c>
      <c r="E1000" s="4">
        <v>45082</v>
      </c>
      <c r="F1000" s="7" t="s">
        <v>46</v>
      </c>
      <c r="G1000" s="7" t="s">
        <v>285</v>
      </c>
      <c r="H1000" s="7" t="s">
        <v>1017</v>
      </c>
      <c r="I1000" s="7" t="s">
        <v>1503</v>
      </c>
      <c r="J1000" s="7" t="s">
        <v>1562</v>
      </c>
      <c r="K1000" s="7" t="s">
        <v>69</v>
      </c>
      <c r="L1000" s="8">
        <v>64</v>
      </c>
      <c r="M1000" s="7" t="s">
        <v>23</v>
      </c>
      <c r="N1000" s="8">
        <v>135</v>
      </c>
      <c r="O1000" s="8">
        <v>1</v>
      </c>
      <c r="P1000" s="5">
        <v>12344.9</v>
      </c>
      <c r="Q1000" s="4">
        <v>45600</v>
      </c>
      <c r="R1000" s="9">
        <v>0.34</v>
      </c>
      <c r="S1000" s="8">
        <v>17</v>
      </c>
      <c r="T1000" s="7" t="s">
        <v>4454</v>
      </c>
      <c r="U1000" s="7" t="s">
        <v>4455</v>
      </c>
      <c r="V10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01" spans="1:22" x14ac:dyDescent="0.35">
      <c r="A1001" s="7" t="s">
        <v>2603</v>
      </c>
      <c r="B1001" s="7" t="s">
        <v>2133</v>
      </c>
      <c r="C1001" s="5">
        <v>127.8</v>
      </c>
      <c r="D1001" s="2">
        <v>0.67074074073752854</v>
      </c>
      <c r="E1001" s="4">
        <v>44987</v>
      </c>
      <c r="F1001" s="7" t="s">
        <v>46</v>
      </c>
      <c r="G1001" s="7" t="s">
        <v>301</v>
      </c>
      <c r="H1001" s="7" t="s">
        <v>2604</v>
      </c>
      <c r="I1001" s="7" t="s">
        <v>907</v>
      </c>
      <c r="J1001" s="7" t="s">
        <v>607</v>
      </c>
      <c r="K1001" s="7" t="s">
        <v>69</v>
      </c>
      <c r="L1001" s="8">
        <v>31</v>
      </c>
      <c r="M1001" s="7" t="s">
        <v>77</v>
      </c>
      <c r="N1001" s="8">
        <v>47</v>
      </c>
      <c r="O1001" s="8">
        <v>1</v>
      </c>
      <c r="P1001" s="5">
        <v>8630.99</v>
      </c>
      <c r="Q1001" s="4">
        <v>45600</v>
      </c>
      <c r="R1001" s="9">
        <v>0.3382175925925926</v>
      </c>
      <c r="S1001" s="8">
        <v>16</v>
      </c>
      <c r="T1001" s="7" t="s">
        <v>4456</v>
      </c>
      <c r="U1001" s="7" t="s">
        <v>4455</v>
      </c>
      <c r="V10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02" spans="1:22" x14ac:dyDescent="0.35">
      <c r="A1002" s="7" t="s">
        <v>2605</v>
      </c>
      <c r="B1002" s="7" t="s">
        <v>968</v>
      </c>
      <c r="C1002" s="5">
        <v>16.73</v>
      </c>
      <c r="D1002" s="2">
        <v>0.73604166666336823</v>
      </c>
      <c r="E1002" s="4">
        <v>44979</v>
      </c>
      <c r="F1002" s="7" t="s">
        <v>17</v>
      </c>
      <c r="G1002" s="7" t="s">
        <v>26</v>
      </c>
      <c r="H1002" s="7" t="s">
        <v>1017</v>
      </c>
      <c r="I1002" s="7" t="s">
        <v>929</v>
      </c>
      <c r="J1002" s="7" t="s">
        <v>89</v>
      </c>
      <c r="K1002" s="7" t="s">
        <v>36</v>
      </c>
      <c r="L1002" s="8">
        <v>45</v>
      </c>
      <c r="M1002" s="7" t="s">
        <v>77</v>
      </c>
      <c r="N1002" s="8">
        <v>48</v>
      </c>
      <c r="O1002" s="8">
        <v>1</v>
      </c>
      <c r="P1002" s="5">
        <v>2202.62</v>
      </c>
      <c r="Q1002" s="4">
        <v>45600</v>
      </c>
      <c r="R1002" s="9">
        <v>0.34</v>
      </c>
      <c r="S1002" s="8">
        <v>17</v>
      </c>
      <c r="T1002" s="7" t="s">
        <v>4457</v>
      </c>
      <c r="U1002" s="7" t="s">
        <v>4455</v>
      </c>
      <c r="V10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03" spans="1:22" x14ac:dyDescent="0.35">
      <c r="A1003" s="7" t="s">
        <v>2606</v>
      </c>
      <c r="B1003" s="7" t="s">
        <v>2019</v>
      </c>
      <c r="C1003" s="5">
        <v>317.12</v>
      </c>
      <c r="D1003" s="2">
        <v>0.669328703705105</v>
      </c>
      <c r="E1003" s="4">
        <v>45271</v>
      </c>
      <c r="F1003" s="7" t="s">
        <v>17</v>
      </c>
      <c r="G1003" s="7" t="s">
        <v>157</v>
      </c>
      <c r="H1003" s="7" t="s">
        <v>900</v>
      </c>
      <c r="I1003" s="7" t="s">
        <v>1262</v>
      </c>
      <c r="J1003" s="7" t="s">
        <v>762</v>
      </c>
      <c r="K1003" s="7" t="s">
        <v>69</v>
      </c>
      <c r="L1003" s="8">
        <v>44</v>
      </c>
      <c r="M1003" s="7" t="s">
        <v>23</v>
      </c>
      <c r="N1003" s="8">
        <v>80</v>
      </c>
      <c r="O1003" s="8">
        <v>1</v>
      </c>
      <c r="P1003" s="5">
        <v>14409.74</v>
      </c>
      <c r="Q1003" s="4">
        <v>45600</v>
      </c>
      <c r="R1003" s="9">
        <v>0.33898148148148149</v>
      </c>
      <c r="S1003" s="8">
        <v>16</v>
      </c>
      <c r="T1003" s="7" t="s">
        <v>4457</v>
      </c>
      <c r="U1003" s="7" t="s">
        <v>4455</v>
      </c>
      <c r="V10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04" spans="1:22" x14ac:dyDescent="0.35">
      <c r="A1004" s="7" t="s">
        <v>2607</v>
      </c>
      <c r="B1004" s="7" t="s">
        <v>733</v>
      </c>
      <c r="C1004" s="5">
        <v>476.63</v>
      </c>
      <c r="D1004" s="2">
        <v>0.72070601851737592</v>
      </c>
      <c r="E1004" s="4">
        <v>45132</v>
      </c>
      <c r="F1004" s="7" t="s">
        <v>17</v>
      </c>
      <c r="G1004" s="7" t="s">
        <v>249</v>
      </c>
      <c r="H1004" s="7" t="s">
        <v>1633</v>
      </c>
      <c r="I1004" s="7" t="s">
        <v>1002</v>
      </c>
      <c r="J1004" s="7" t="s">
        <v>980</v>
      </c>
      <c r="K1004" s="7" t="s">
        <v>22</v>
      </c>
      <c r="L1004" s="8">
        <v>79</v>
      </c>
      <c r="M1004" s="7" t="s">
        <v>70</v>
      </c>
      <c r="N1004" s="8">
        <v>115</v>
      </c>
      <c r="O1004" s="8">
        <v>1</v>
      </c>
      <c r="P1004" s="5">
        <v>4894.25</v>
      </c>
      <c r="Q1004" s="4">
        <v>45600</v>
      </c>
      <c r="R1004" s="9">
        <v>0.33968749999999998</v>
      </c>
      <c r="S1004" s="8">
        <v>17</v>
      </c>
      <c r="T1004" s="7" t="s">
        <v>4454</v>
      </c>
      <c r="U1004" s="7" t="s">
        <v>4455</v>
      </c>
      <c r="V10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05" spans="1:22" x14ac:dyDescent="0.35">
      <c r="A1005" s="7" t="s">
        <v>2608</v>
      </c>
      <c r="B1005" s="7" t="s">
        <v>39</v>
      </c>
      <c r="C1005" s="5">
        <v>156.58000000000001</v>
      </c>
      <c r="D1005" s="2">
        <v>0.66886574074305827</v>
      </c>
      <c r="E1005" s="4">
        <v>45187</v>
      </c>
      <c r="F1005" s="7" t="s">
        <v>17</v>
      </c>
      <c r="G1005" s="7" t="s">
        <v>595</v>
      </c>
      <c r="H1005" s="7" t="s">
        <v>1575</v>
      </c>
      <c r="I1005" s="7" t="s">
        <v>2609</v>
      </c>
      <c r="J1005" s="7" t="s">
        <v>160</v>
      </c>
      <c r="K1005" s="7" t="s">
        <v>69</v>
      </c>
      <c r="L1005" s="8">
        <v>24</v>
      </c>
      <c r="M1005" s="7" t="s">
        <v>37</v>
      </c>
      <c r="N1005" s="8">
        <v>160</v>
      </c>
      <c r="O1005" s="8">
        <v>1</v>
      </c>
      <c r="P1005" s="5">
        <v>8981.61</v>
      </c>
      <c r="Q1005" s="4">
        <v>45600</v>
      </c>
      <c r="R1005" s="9">
        <v>0.3400347222222222</v>
      </c>
      <c r="S1005" s="8">
        <v>16</v>
      </c>
      <c r="T1005" s="7" t="s">
        <v>4456</v>
      </c>
      <c r="U1005" s="7" t="s">
        <v>4455</v>
      </c>
      <c r="V10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06" spans="1:22" x14ac:dyDescent="0.35">
      <c r="A1006" s="7" t="s">
        <v>2610</v>
      </c>
      <c r="B1006" s="7" t="s">
        <v>1770</v>
      </c>
      <c r="C1006" s="5">
        <v>55.12</v>
      </c>
      <c r="D1006" s="2">
        <v>0.67989583333110204</v>
      </c>
      <c r="E1006" s="4">
        <v>45187</v>
      </c>
      <c r="F1006" s="7" t="s">
        <v>46</v>
      </c>
      <c r="G1006" s="7" t="s">
        <v>26</v>
      </c>
      <c r="H1006" s="7" t="s">
        <v>2611</v>
      </c>
      <c r="I1006" s="7" t="s">
        <v>394</v>
      </c>
      <c r="J1006" s="7" t="s">
        <v>1037</v>
      </c>
      <c r="K1006" s="7" t="s">
        <v>36</v>
      </c>
      <c r="L1006" s="8">
        <v>34</v>
      </c>
      <c r="M1006" s="7" t="s">
        <v>77</v>
      </c>
      <c r="N1006" s="8">
        <v>261</v>
      </c>
      <c r="O1006" s="8">
        <v>1</v>
      </c>
      <c r="P1006" s="5">
        <v>3791.99</v>
      </c>
      <c r="Q1006" s="4">
        <v>45600</v>
      </c>
      <c r="R1006" s="9">
        <v>0.34119212962962964</v>
      </c>
      <c r="S1006" s="8">
        <v>16</v>
      </c>
      <c r="T1006" s="7" t="s">
        <v>4456</v>
      </c>
      <c r="U1006" s="7" t="s">
        <v>4455</v>
      </c>
      <c r="V10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07" spans="1:22" x14ac:dyDescent="0.35">
      <c r="A1007" s="7" t="s">
        <v>2612</v>
      </c>
      <c r="B1007" s="7" t="s">
        <v>2208</v>
      </c>
      <c r="C1007" s="5">
        <v>15.74</v>
      </c>
      <c r="D1007" s="2">
        <v>0.67016203703678912</v>
      </c>
      <c r="E1007" s="4">
        <v>44935</v>
      </c>
      <c r="F1007" s="7" t="s">
        <v>17</v>
      </c>
      <c r="G1007" s="7" t="s">
        <v>114</v>
      </c>
      <c r="H1007" s="7" t="s">
        <v>2613</v>
      </c>
      <c r="I1007" s="7" t="s">
        <v>2614</v>
      </c>
      <c r="J1007" s="7" t="s">
        <v>267</v>
      </c>
      <c r="K1007" s="7" t="s">
        <v>69</v>
      </c>
      <c r="L1007" s="8">
        <v>27</v>
      </c>
      <c r="M1007" s="7" t="s">
        <v>37</v>
      </c>
      <c r="N1007" s="8">
        <v>38</v>
      </c>
      <c r="O1007" s="8">
        <v>1</v>
      </c>
      <c r="P1007" s="5">
        <v>690.16</v>
      </c>
      <c r="Q1007" s="4">
        <v>45600</v>
      </c>
      <c r="R1007" s="9">
        <v>0.34030092592592592</v>
      </c>
      <c r="S1007" s="8">
        <v>16</v>
      </c>
      <c r="T1007" s="7" t="s">
        <v>4456</v>
      </c>
      <c r="U1007" s="7" t="s">
        <v>4455</v>
      </c>
      <c r="V10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08" spans="1:22" x14ac:dyDescent="0.35">
      <c r="A1008" s="7" t="s">
        <v>2615</v>
      </c>
      <c r="B1008" s="7" t="s">
        <v>2616</v>
      </c>
      <c r="C1008" s="5">
        <v>353.68</v>
      </c>
      <c r="D1008" s="2">
        <v>0.68956018518656492</v>
      </c>
      <c r="E1008" s="4">
        <v>45236</v>
      </c>
      <c r="F1008" s="7" t="s">
        <v>17</v>
      </c>
      <c r="G1008" s="7" t="s">
        <v>146</v>
      </c>
      <c r="H1008" s="7" t="s">
        <v>2617</v>
      </c>
      <c r="I1008" s="7" t="s">
        <v>623</v>
      </c>
      <c r="J1008" s="7" t="s">
        <v>95</v>
      </c>
      <c r="K1008" s="7" t="s">
        <v>36</v>
      </c>
      <c r="L1008" s="8">
        <v>70</v>
      </c>
      <c r="M1008" s="7" t="s">
        <v>70</v>
      </c>
      <c r="N1008" s="8">
        <v>145</v>
      </c>
      <c r="O1008" s="8">
        <v>1</v>
      </c>
      <c r="P1008" s="5">
        <v>6777.12</v>
      </c>
      <c r="Q1008" s="4">
        <v>45600</v>
      </c>
      <c r="R1008" s="9">
        <v>0.33929398148148149</v>
      </c>
      <c r="S1008" s="8">
        <v>16</v>
      </c>
      <c r="T1008" s="7" t="s">
        <v>4454</v>
      </c>
      <c r="U1008" s="7" t="s">
        <v>4455</v>
      </c>
      <c r="V10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09" spans="1:22" x14ac:dyDescent="0.35">
      <c r="A1009" s="7" t="s">
        <v>2618</v>
      </c>
      <c r="B1009" s="7" t="s">
        <v>589</v>
      </c>
      <c r="C1009" s="5">
        <v>297.14999999999998</v>
      </c>
      <c r="D1009" s="2">
        <v>0.757951388892252</v>
      </c>
      <c r="E1009" s="4">
        <v>45211</v>
      </c>
      <c r="F1009" s="7" t="s">
        <v>17</v>
      </c>
      <c r="G1009" s="7" t="s">
        <v>425</v>
      </c>
      <c r="H1009" s="7" t="s">
        <v>1410</v>
      </c>
      <c r="I1009" s="7" t="s">
        <v>1667</v>
      </c>
      <c r="J1009" s="7" t="s">
        <v>639</v>
      </c>
      <c r="K1009" s="7" t="s">
        <v>36</v>
      </c>
      <c r="L1009" s="8">
        <v>76</v>
      </c>
      <c r="M1009" s="7" t="s">
        <v>70</v>
      </c>
      <c r="N1009" s="8">
        <v>178</v>
      </c>
      <c r="O1009" s="8">
        <v>1</v>
      </c>
      <c r="P1009" s="5">
        <v>5449.37</v>
      </c>
      <c r="Q1009" s="4">
        <v>45600</v>
      </c>
      <c r="R1009" s="9">
        <v>0.34035879629629628</v>
      </c>
      <c r="S1009" s="8">
        <v>18</v>
      </c>
      <c r="T1009" s="7" t="s">
        <v>4454</v>
      </c>
      <c r="U1009" s="7" t="s">
        <v>4455</v>
      </c>
      <c r="V10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10" spans="1:22" x14ac:dyDescent="0.35">
      <c r="A1010" s="7" t="s">
        <v>2619</v>
      </c>
      <c r="B1010" s="7" t="s">
        <v>509</v>
      </c>
      <c r="C1010" s="5">
        <v>647.85</v>
      </c>
      <c r="D1010" s="2">
        <v>0.68868055555503815</v>
      </c>
      <c r="E1010" s="4">
        <v>45264</v>
      </c>
      <c r="F1010" s="7" t="s">
        <v>17</v>
      </c>
      <c r="G1010" s="7" t="s">
        <v>296</v>
      </c>
      <c r="H1010" s="7" t="s">
        <v>443</v>
      </c>
      <c r="I1010" s="7" t="s">
        <v>2620</v>
      </c>
      <c r="J1010" s="7" t="s">
        <v>639</v>
      </c>
      <c r="K1010" s="7" t="s">
        <v>69</v>
      </c>
      <c r="L1010" s="8">
        <v>36</v>
      </c>
      <c r="M1010" s="7" t="s">
        <v>23</v>
      </c>
      <c r="N1010" s="8">
        <v>121</v>
      </c>
      <c r="O1010" s="8">
        <v>1</v>
      </c>
      <c r="P1010" s="5">
        <v>13779.97</v>
      </c>
      <c r="Q1010" s="4">
        <v>45600</v>
      </c>
      <c r="R1010" s="9">
        <v>0.33997685185185184</v>
      </c>
      <c r="S1010" s="8">
        <v>16</v>
      </c>
      <c r="T1010" s="7" t="s">
        <v>4457</v>
      </c>
      <c r="U1010" s="7" t="s">
        <v>4455</v>
      </c>
      <c r="V10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11" spans="1:22" x14ac:dyDescent="0.35">
      <c r="A1011" s="7" t="s">
        <v>2621</v>
      </c>
      <c r="B1011" s="7" t="s">
        <v>525</v>
      </c>
      <c r="C1011" s="5">
        <v>75.040000000000006</v>
      </c>
      <c r="D1011" s="2">
        <v>0.71164351851621177</v>
      </c>
      <c r="E1011" s="4">
        <v>45134</v>
      </c>
      <c r="F1011" s="7" t="s">
        <v>17</v>
      </c>
      <c r="G1011" s="7" t="s">
        <v>506</v>
      </c>
      <c r="H1011" s="7" t="s">
        <v>596</v>
      </c>
      <c r="I1011" s="7" t="s">
        <v>1046</v>
      </c>
      <c r="J1011" s="7" t="s">
        <v>682</v>
      </c>
      <c r="K1011" s="7" t="s">
        <v>22</v>
      </c>
      <c r="L1011" s="8">
        <v>49</v>
      </c>
      <c r="M1011" s="7" t="s">
        <v>77</v>
      </c>
      <c r="N1011" s="8">
        <v>178</v>
      </c>
      <c r="O1011" s="8">
        <v>1</v>
      </c>
      <c r="P1011" s="5">
        <v>9648.6</v>
      </c>
      <c r="Q1011" s="4">
        <v>45600</v>
      </c>
      <c r="R1011" s="9">
        <v>0.3385185185185185</v>
      </c>
      <c r="S1011" s="8">
        <v>17</v>
      </c>
      <c r="T1011" s="7" t="s">
        <v>4457</v>
      </c>
      <c r="U1011" s="7" t="s">
        <v>4455</v>
      </c>
      <c r="V10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12" spans="1:22" x14ac:dyDescent="0.35">
      <c r="A1012" s="7" t="s">
        <v>2622</v>
      </c>
      <c r="B1012" s="7" t="s">
        <v>767</v>
      </c>
      <c r="C1012" s="5">
        <v>273.92</v>
      </c>
      <c r="D1012" s="2">
        <v>0.74648148148116888</v>
      </c>
      <c r="E1012" s="4">
        <v>45054</v>
      </c>
      <c r="F1012" s="7" t="s">
        <v>17</v>
      </c>
      <c r="G1012" s="7" t="s">
        <v>301</v>
      </c>
      <c r="H1012" s="7" t="s">
        <v>1362</v>
      </c>
      <c r="I1012" s="7" t="s">
        <v>571</v>
      </c>
      <c r="J1012" s="7" t="s">
        <v>572</v>
      </c>
      <c r="K1012" s="7" t="s">
        <v>36</v>
      </c>
      <c r="L1012" s="8">
        <v>28</v>
      </c>
      <c r="M1012" s="7" t="s">
        <v>37</v>
      </c>
      <c r="N1012" s="8">
        <v>35</v>
      </c>
      <c r="O1012" s="8">
        <v>1</v>
      </c>
      <c r="P1012" s="5">
        <v>1029.1500000000001</v>
      </c>
      <c r="Q1012" s="4">
        <v>45600</v>
      </c>
      <c r="R1012" s="9">
        <v>0.34011574074074075</v>
      </c>
      <c r="S1012" s="8">
        <v>17</v>
      </c>
      <c r="T1012" s="7" t="s">
        <v>4456</v>
      </c>
      <c r="U1012" s="7" t="s">
        <v>4455</v>
      </c>
      <c r="V10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13" spans="1:22" x14ac:dyDescent="0.35">
      <c r="A1013" s="7" t="s">
        <v>2623</v>
      </c>
      <c r="B1013" s="7" t="s">
        <v>1391</v>
      </c>
      <c r="C1013" s="5">
        <v>215.8</v>
      </c>
      <c r="D1013" s="2">
        <v>0.66942129629751435</v>
      </c>
      <c r="E1013" s="4">
        <v>45064</v>
      </c>
      <c r="F1013" s="7" t="s">
        <v>46</v>
      </c>
      <c r="G1013" s="7" t="s">
        <v>392</v>
      </c>
      <c r="H1013" s="7" t="s">
        <v>1410</v>
      </c>
      <c r="I1013" s="7" t="s">
        <v>496</v>
      </c>
      <c r="J1013" s="7" t="s">
        <v>89</v>
      </c>
      <c r="K1013" s="7" t="s">
        <v>69</v>
      </c>
      <c r="L1013" s="8">
        <v>51</v>
      </c>
      <c r="M1013" s="7" t="s">
        <v>70</v>
      </c>
      <c r="N1013" s="8">
        <v>66</v>
      </c>
      <c r="O1013" s="8">
        <v>1</v>
      </c>
      <c r="P1013" s="5">
        <v>3656.62</v>
      </c>
      <c r="Q1013" s="4">
        <v>45600</v>
      </c>
      <c r="R1013" s="9">
        <v>0.33924768518518517</v>
      </c>
      <c r="S1013" s="8">
        <v>16</v>
      </c>
      <c r="T1013" s="7" t="s">
        <v>4457</v>
      </c>
      <c r="U1013" s="7" t="s">
        <v>4455</v>
      </c>
      <c r="V10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14" spans="1:22" x14ac:dyDescent="0.35">
      <c r="A1014" s="7" t="s">
        <v>2624</v>
      </c>
      <c r="B1014" s="7" t="s">
        <v>729</v>
      </c>
      <c r="C1014" s="5">
        <v>963.77</v>
      </c>
      <c r="D1014" s="2">
        <v>0.69817129629518604</v>
      </c>
      <c r="E1014" s="4">
        <v>45118</v>
      </c>
      <c r="F1014" s="7" t="s">
        <v>17</v>
      </c>
      <c r="G1014" s="7" t="s">
        <v>108</v>
      </c>
      <c r="H1014" s="7" t="s">
        <v>2625</v>
      </c>
      <c r="I1014" s="7" t="s">
        <v>1002</v>
      </c>
      <c r="J1014" s="7" t="s">
        <v>288</v>
      </c>
      <c r="K1014" s="7" t="s">
        <v>22</v>
      </c>
      <c r="L1014" s="8">
        <v>41</v>
      </c>
      <c r="M1014" s="7" t="s">
        <v>77</v>
      </c>
      <c r="N1014" s="8">
        <v>248</v>
      </c>
      <c r="O1014" s="8">
        <v>1</v>
      </c>
      <c r="P1014" s="5">
        <v>6710.51</v>
      </c>
      <c r="Q1014" s="4">
        <v>45600</v>
      </c>
      <c r="R1014" s="9">
        <v>0.34041666666666665</v>
      </c>
      <c r="S1014" s="8">
        <v>16</v>
      </c>
      <c r="T1014" s="7" t="s">
        <v>4457</v>
      </c>
      <c r="U1014" s="7" t="s">
        <v>4455</v>
      </c>
      <c r="V10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15" spans="1:22" x14ac:dyDescent="0.35">
      <c r="A1015" s="7" t="s">
        <v>2626</v>
      </c>
      <c r="B1015" s="7" t="s">
        <v>931</v>
      </c>
      <c r="C1015" s="5">
        <v>420.6</v>
      </c>
      <c r="D1015" s="2">
        <v>0.67383101851737592</v>
      </c>
      <c r="E1015" s="4">
        <v>45033</v>
      </c>
      <c r="F1015" s="7" t="s">
        <v>17</v>
      </c>
      <c r="G1015" s="7" t="s">
        <v>108</v>
      </c>
      <c r="H1015" s="7" t="s">
        <v>1537</v>
      </c>
      <c r="I1015" s="7" t="s">
        <v>2627</v>
      </c>
      <c r="J1015" s="7" t="s">
        <v>572</v>
      </c>
      <c r="K1015" s="7" t="s">
        <v>69</v>
      </c>
      <c r="L1015" s="8">
        <v>26</v>
      </c>
      <c r="M1015" s="7" t="s">
        <v>37</v>
      </c>
      <c r="N1015" s="8">
        <v>55</v>
      </c>
      <c r="O1015" s="8">
        <v>1</v>
      </c>
      <c r="P1015" s="5">
        <v>1778.75</v>
      </c>
      <c r="Q1015" s="4">
        <v>45600</v>
      </c>
      <c r="R1015" s="9">
        <v>0.33993055555555557</v>
      </c>
      <c r="S1015" s="8">
        <v>16</v>
      </c>
      <c r="T1015" s="7" t="s">
        <v>4456</v>
      </c>
      <c r="U1015" s="7" t="s">
        <v>4455</v>
      </c>
      <c r="V10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16" spans="1:22" x14ac:dyDescent="0.35">
      <c r="A1016" s="7" t="s">
        <v>2628</v>
      </c>
      <c r="B1016" s="7" t="s">
        <v>259</v>
      </c>
      <c r="C1016" s="5">
        <v>688.36</v>
      </c>
      <c r="D1016" s="2">
        <v>0.68876157407066785</v>
      </c>
      <c r="E1016" s="4">
        <v>45107</v>
      </c>
      <c r="F1016" s="7" t="s">
        <v>46</v>
      </c>
      <c r="G1016" s="7" t="s">
        <v>92</v>
      </c>
      <c r="H1016" s="7" t="s">
        <v>33</v>
      </c>
      <c r="I1016" s="7" t="s">
        <v>1414</v>
      </c>
      <c r="J1016" s="7" t="s">
        <v>83</v>
      </c>
      <c r="K1016" s="7" t="s">
        <v>69</v>
      </c>
      <c r="L1016" s="8">
        <v>23</v>
      </c>
      <c r="M1016" s="7" t="s">
        <v>37</v>
      </c>
      <c r="N1016" s="8">
        <v>22</v>
      </c>
      <c r="O1016" s="8">
        <v>1</v>
      </c>
      <c r="P1016" s="5">
        <v>5191.13</v>
      </c>
      <c r="Q1016" s="4">
        <v>45600</v>
      </c>
      <c r="R1016" s="9">
        <v>0.34103009259259259</v>
      </c>
      <c r="S1016" s="8">
        <v>16</v>
      </c>
      <c r="T1016" s="7" t="s">
        <v>4456</v>
      </c>
      <c r="U1016" s="7" t="s">
        <v>4455</v>
      </c>
      <c r="V10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17" spans="1:22" x14ac:dyDescent="0.35">
      <c r="A1017" s="7" t="s">
        <v>2629</v>
      </c>
      <c r="B1017" s="7" t="s">
        <v>1982</v>
      </c>
      <c r="C1017" s="5">
        <v>285.18</v>
      </c>
      <c r="D1017" s="2">
        <v>0.69391203703708015</v>
      </c>
      <c r="E1017" s="4">
        <v>44993</v>
      </c>
      <c r="F1017" s="7" t="s">
        <v>46</v>
      </c>
      <c r="G1017" s="7" t="s">
        <v>285</v>
      </c>
      <c r="H1017" s="7" t="s">
        <v>2312</v>
      </c>
      <c r="I1017" s="7" t="s">
        <v>2630</v>
      </c>
      <c r="J1017" s="7" t="s">
        <v>820</v>
      </c>
      <c r="K1017" s="7" t="s">
        <v>69</v>
      </c>
      <c r="L1017" s="8">
        <v>55</v>
      </c>
      <c r="M1017" s="7" t="s">
        <v>23</v>
      </c>
      <c r="N1017" s="8">
        <v>150</v>
      </c>
      <c r="O1017" s="8">
        <v>1</v>
      </c>
      <c r="P1017" s="5">
        <v>14847.97</v>
      </c>
      <c r="Q1017" s="4">
        <v>45600</v>
      </c>
      <c r="R1017" s="9">
        <v>0.34002314814814816</v>
      </c>
      <c r="S1017" s="8">
        <v>16</v>
      </c>
      <c r="T1017" s="7" t="s">
        <v>4454</v>
      </c>
      <c r="U1017" s="7" t="s">
        <v>4455</v>
      </c>
      <c r="V10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18" spans="1:22" x14ac:dyDescent="0.35">
      <c r="A1018" s="7" t="s">
        <v>2631</v>
      </c>
      <c r="B1018" s="7" t="s">
        <v>704</v>
      </c>
      <c r="C1018" s="5">
        <v>213.55</v>
      </c>
      <c r="D1018" s="2">
        <v>0.66695601851824904</v>
      </c>
      <c r="E1018" s="4">
        <v>45015</v>
      </c>
      <c r="F1018" s="7" t="s">
        <v>17</v>
      </c>
      <c r="G1018" s="7" t="s">
        <v>388</v>
      </c>
      <c r="H1018" s="7" t="s">
        <v>1413</v>
      </c>
      <c r="I1018" s="7" t="s">
        <v>976</v>
      </c>
      <c r="J1018" s="7" t="s">
        <v>543</v>
      </c>
      <c r="K1018" s="7" t="s">
        <v>22</v>
      </c>
      <c r="L1018" s="8">
        <v>63</v>
      </c>
      <c r="M1018" s="7" t="s">
        <v>23</v>
      </c>
      <c r="N1018" s="8">
        <v>15</v>
      </c>
      <c r="O1018" s="8">
        <v>1</v>
      </c>
      <c r="P1018" s="5">
        <v>5238.37</v>
      </c>
      <c r="Q1018" s="4">
        <v>45600</v>
      </c>
      <c r="R1018" s="9">
        <v>0.33826388888888886</v>
      </c>
      <c r="S1018" s="8">
        <v>16</v>
      </c>
      <c r="T1018" s="7" t="s">
        <v>4454</v>
      </c>
      <c r="U1018" s="7" t="s">
        <v>4455</v>
      </c>
      <c r="V10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19" spans="1:22" x14ac:dyDescent="0.35">
      <c r="A1019" s="7" t="s">
        <v>2632</v>
      </c>
      <c r="B1019" s="7" t="s">
        <v>1612</v>
      </c>
      <c r="C1019" s="5">
        <v>463.11</v>
      </c>
      <c r="D1019" s="2">
        <v>0.70144675925985212</v>
      </c>
      <c r="E1019" s="4">
        <v>45195</v>
      </c>
      <c r="F1019" s="7" t="s">
        <v>46</v>
      </c>
      <c r="G1019" s="7" t="s">
        <v>146</v>
      </c>
      <c r="H1019" s="7" t="s">
        <v>1024</v>
      </c>
      <c r="I1019" s="7" t="s">
        <v>2206</v>
      </c>
      <c r="J1019" s="7" t="s">
        <v>303</v>
      </c>
      <c r="K1019" s="7" t="s">
        <v>69</v>
      </c>
      <c r="L1019" s="8">
        <v>51</v>
      </c>
      <c r="M1019" s="7" t="s">
        <v>23</v>
      </c>
      <c r="N1019" s="8">
        <v>159</v>
      </c>
      <c r="O1019" s="8">
        <v>1</v>
      </c>
      <c r="P1019" s="5">
        <v>10238.82</v>
      </c>
      <c r="Q1019" s="4">
        <v>45600</v>
      </c>
      <c r="R1019" s="9">
        <v>0.33840277777777777</v>
      </c>
      <c r="S1019" s="8">
        <v>16</v>
      </c>
      <c r="T1019" s="7" t="s">
        <v>4457</v>
      </c>
      <c r="U1019" s="7" t="s">
        <v>4455</v>
      </c>
      <c r="V10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20" spans="1:22" x14ac:dyDescent="0.35">
      <c r="A1020" s="7" t="s">
        <v>2633</v>
      </c>
      <c r="B1020" s="7" t="s">
        <v>2050</v>
      </c>
      <c r="C1020" s="5">
        <v>150.03</v>
      </c>
      <c r="D1020" s="2">
        <v>0.67871527777606389</v>
      </c>
      <c r="E1020" s="4">
        <v>45117</v>
      </c>
      <c r="F1020" s="7" t="s">
        <v>17</v>
      </c>
      <c r="G1020" s="7" t="s">
        <v>125</v>
      </c>
      <c r="H1020" s="7" t="s">
        <v>2634</v>
      </c>
      <c r="I1020" s="7" t="s">
        <v>2635</v>
      </c>
      <c r="J1020" s="7" t="s">
        <v>128</v>
      </c>
      <c r="K1020" s="7" t="s">
        <v>22</v>
      </c>
      <c r="L1020" s="8">
        <v>73</v>
      </c>
      <c r="M1020" s="7" t="s">
        <v>70</v>
      </c>
      <c r="N1020" s="8">
        <v>176</v>
      </c>
      <c r="O1020" s="8">
        <v>1</v>
      </c>
      <c r="P1020" s="5">
        <v>7491.42</v>
      </c>
      <c r="Q1020" s="4">
        <v>45600</v>
      </c>
      <c r="R1020" s="9">
        <v>0.34131944444444445</v>
      </c>
      <c r="S1020" s="8">
        <v>16</v>
      </c>
      <c r="T1020" s="7" t="s">
        <v>4454</v>
      </c>
      <c r="U1020" s="7" t="s">
        <v>4455</v>
      </c>
      <c r="V10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21" spans="1:22" x14ac:dyDescent="0.35">
      <c r="A1021" s="7" t="s">
        <v>2636</v>
      </c>
      <c r="B1021" s="7" t="s">
        <v>2637</v>
      </c>
      <c r="C1021" s="5">
        <v>428.61</v>
      </c>
      <c r="D1021" s="2">
        <v>0.66696759259502869</v>
      </c>
      <c r="E1021" s="4">
        <v>45208</v>
      </c>
      <c r="F1021" s="7" t="s">
        <v>17</v>
      </c>
      <c r="G1021" s="7" t="s">
        <v>558</v>
      </c>
      <c r="H1021" s="7" t="s">
        <v>1410</v>
      </c>
      <c r="I1021" s="7" t="s">
        <v>2193</v>
      </c>
      <c r="J1021" s="7" t="s">
        <v>474</v>
      </c>
      <c r="K1021" s="7" t="s">
        <v>69</v>
      </c>
      <c r="L1021" s="8">
        <v>51</v>
      </c>
      <c r="M1021" s="7" t="s">
        <v>70</v>
      </c>
      <c r="N1021" s="8">
        <v>131</v>
      </c>
      <c r="O1021" s="8">
        <v>1</v>
      </c>
      <c r="P1021" s="5">
        <v>2116.36</v>
      </c>
      <c r="Q1021" s="4">
        <v>45600</v>
      </c>
      <c r="R1021" s="9">
        <v>0.33875</v>
      </c>
      <c r="S1021" s="8">
        <v>16</v>
      </c>
      <c r="T1021" s="7" t="s">
        <v>4457</v>
      </c>
      <c r="U1021" s="7" t="s">
        <v>4455</v>
      </c>
      <c r="V10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22" spans="1:22" x14ac:dyDescent="0.35">
      <c r="A1022" s="7" t="s">
        <v>2638</v>
      </c>
      <c r="B1022" s="7" t="s">
        <v>1016</v>
      </c>
      <c r="C1022" s="5">
        <v>309.56</v>
      </c>
      <c r="D1022" s="2">
        <v>0.72902777777926531</v>
      </c>
      <c r="E1022" s="4">
        <v>45082</v>
      </c>
      <c r="F1022" s="7" t="s">
        <v>17</v>
      </c>
      <c r="G1022" s="7" t="s">
        <v>249</v>
      </c>
      <c r="H1022" s="7" t="s">
        <v>2639</v>
      </c>
      <c r="I1022" s="7" t="s">
        <v>2193</v>
      </c>
      <c r="J1022" s="7" t="s">
        <v>209</v>
      </c>
      <c r="K1022" s="7" t="s">
        <v>36</v>
      </c>
      <c r="L1022" s="8">
        <v>58</v>
      </c>
      <c r="M1022" s="7" t="s">
        <v>23</v>
      </c>
      <c r="N1022" s="8">
        <v>147</v>
      </c>
      <c r="O1022" s="8">
        <v>1</v>
      </c>
      <c r="P1022" s="5">
        <v>972.04</v>
      </c>
      <c r="Q1022" s="4">
        <v>45600</v>
      </c>
      <c r="R1022" s="9">
        <v>0.33978009259259262</v>
      </c>
      <c r="S1022" s="8">
        <v>17</v>
      </c>
      <c r="T1022" s="7" t="s">
        <v>4454</v>
      </c>
      <c r="U1022" s="7" t="s">
        <v>4455</v>
      </c>
      <c r="V10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23" spans="1:22" x14ac:dyDescent="0.35">
      <c r="A1023" s="7" t="s">
        <v>2640</v>
      </c>
      <c r="B1023" s="7" t="s">
        <v>1806</v>
      </c>
      <c r="C1023" s="5">
        <v>377.08</v>
      </c>
      <c r="D1023" s="2">
        <v>0.73151620370481396</v>
      </c>
      <c r="E1023" s="4">
        <v>44972</v>
      </c>
      <c r="F1023" s="7" t="s">
        <v>46</v>
      </c>
      <c r="G1023" s="7" t="s">
        <v>32</v>
      </c>
      <c r="H1023" s="7" t="s">
        <v>1537</v>
      </c>
      <c r="I1023" s="7" t="s">
        <v>2641</v>
      </c>
      <c r="J1023" s="7" t="s">
        <v>277</v>
      </c>
      <c r="K1023" s="7" t="s">
        <v>69</v>
      </c>
      <c r="L1023" s="8">
        <v>26</v>
      </c>
      <c r="M1023" s="7" t="s">
        <v>37</v>
      </c>
      <c r="N1023" s="8">
        <v>71</v>
      </c>
      <c r="O1023" s="8">
        <v>1</v>
      </c>
      <c r="P1023" s="5">
        <v>6430.86</v>
      </c>
      <c r="Q1023" s="4">
        <v>45600</v>
      </c>
      <c r="R1023" s="9">
        <v>0.34065972222222224</v>
      </c>
      <c r="S1023" s="8">
        <v>17</v>
      </c>
      <c r="T1023" s="7" t="s">
        <v>4456</v>
      </c>
      <c r="U1023" s="7" t="s">
        <v>4455</v>
      </c>
      <c r="V10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24" spans="1:22" x14ac:dyDescent="0.35">
      <c r="A1024" s="7" t="s">
        <v>2642</v>
      </c>
      <c r="B1024" s="7" t="s">
        <v>2643</v>
      </c>
      <c r="C1024" s="5">
        <v>77.25</v>
      </c>
      <c r="D1024" s="2">
        <v>0.74302083333168412</v>
      </c>
      <c r="E1024" s="4">
        <v>45282</v>
      </c>
      <c r="F1024" s="7" t="s">
        <v>17</v>
      </c>
      <c r="G1024" s="7" t="s">
        <v>301</v>
      </c>
      <c r="H1024" s="7" t="s">
        <v>152</v>
      </c>
      <c r="I1024" s="7" t="s">
        <v>655</v>
      </c>
      <c r="J1024" s="7" t="s">
        <v>128</v>
      </c>
      <c r="K1024" s="7" t="s">
        <v>69</v>
      </c>
      <c r="L1024" s="8">
        <v>68</v>
      </c>
      <c r="M1024" s="7" t="s">
        <v>23</v>
      </c>
      <c r="N1024" s="8">
        <v>157</v>
      </c>
      <c r="O1024" s="8">
        <v>1</v>
      </c>
      <c r="P1024" s="5">
        <v>14077.97</v>
      </c>
      <c r="Q1024" s="4">
        <v>45600</v>
      </c>
      <c r="R1024" s="9">
        <v>0.33877314814814813</v>
      </c>
      <c r="S1024" s="8">
        <v>17</v>
      </c>
      <c r="T1024" s="7" t="s">
        <v>4454</v>
      </c>
      <c r="U1024" s="7" t="s">
        <v>4455</v>
      </c>
      <c r="V10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25" spans="1:22" x14ac:dyDescent="0.35">
      <c r="A1025" s="7" t="s">
        <v>2644</v>
      </c>
      <c r="B1025" s="7" t="s">
        <v>1060</v>
      </c>
      <c r="C1025" s="5">
        <v>146.91999999999999</v>
      </c>
      <c r="D1025" s="2">
        <v>0.68673611111444188</v>
      </c>
      <c r="E1025" s="4">
        <v>45177</v>
      </c>
      <c r="F1025" s="7" t="s">
        <v>17</v>
      </c>
      <c r="G1025" s="7" t="s">
        <v>595</v>
      </c>
      <c r="H1025" s="7" t="s">
        <v>661</v>
      </c>
      <c r="I1025" s="7" t="s">
        <v>542</v>
      </c>
      <c r="J1025" s="7" t="s">
        <v>362</v>
      </c>
      <c r="K1025" s="7" t="s">
        <v>22</v>
      </c>
      <c r="L1025" s="8">
        <v>64</v>
      </c>
      <c r="M1025" s="7" t="s">
        <v>70</v>
      </c>
      <c r="N1025" s="8">
        <v>272</v>
      </c>
      <c r="O1025" s="8">
        <v>1</v>
      </c>
      <c r="P1025" s="5">
        <v>3990.6</v>
      </c>
      <c r="Q1025" s="4">
        <v>45600</v>
      </c>
      <c r="R1025" s="9">
        <v>0.3386689814814815</v>
      </c>
      <c r="S1025" s="8">
        <v>16</v>
      </c>
      <c r="T1025" s="7" t="s">
        <v>4454</v>
      </c>
      <c r="U1025" s="7" t="s">
        <v>4455</v>
      </c>
      <c r="V10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26" spans="1:22" x14ac:dyDescent="0.35">
      <c r="A1026" s="7" t="s">
        <v>2645</v>
      </c>
      <c r="B1026" s="7" t="s">
        <v>2043</v>
      </c>
      <c r="C1026" s="5">
        <v>126.6</v>
      </c>
      <c r="D1026" s="2">
        <v>0.66718750000291038</v>
      </c>
      <c r="E1026" s="4">
        <v>45072</v>
      </c>
      <c r="F1026" s="7" t="s">
        <v>17</v>
      </c>
      <c r="G1026" s="7" t="s">
        <v>237</v>
      </c>
      <c r="H1026" s="7" t="s">
        <v>2646</v>
      </c>
      <c r="I1026" s="7" t="s">
        <v>1790</v>
      </c>
      <c r="J1026" s="7" t="s">
        <v>1000</v>
      </c>
      <c r="K1026" s="7" t="s">
        <v>69</v>
      </c>
      <c r="L1026" s="8">
        <v>22</v>
      </c>
      <c r="M1026" s="7" t="s">
        <v>37</v>
      </c>
      <c r="N1026" s="8">
        <v>146</v>
      </c>
      <c r="O1026" s="8">
        <v>1</v>
      </c>
      <c r="P1026" s="5">
        <v>961.65</v>
      </c>
      <c r="Q1026" s="4">
        <v>45600</v>
      </c>
      <c r="R1026" s="9">
        <v>0.33929398148148149</v>
      </c>
      <c r="S1026" s="8">
        <v>16</v>
      </c>
      <c r="T1026" s="7" t="s">
        <v>4456</v>
      </c>
      <c r="U1026" s="7" t="s">
        <v>4455</v>
      </c>
      <c r="V10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27" spans="1:22" x14ac:dyDescent="0.35">
      <c r="A1027" s="7" t="s">
        <v>2647</v>
      </c>
      <c r="B1027" s="7" t="s">
        <v>2648</v>
      </c>
      <c r="C1027" s="5">
        <v>101.34</v>
      </c>
      <c r="D1027" s="2">
        <v>0.74297453703911742</v>
      </c>
      <c r="E1027" s="4">
        <v>44988</v>
      </c>
      <c r="F1027" s="7" t="s">
        <v>17</v>
      </c>
      <c r="G1027" s="7" t="s">
        <v>388</v>
      </c>
      <c r="H1027" s="7" t="s">
        <v>1584</v>
      </c>
      <c r="I1027" s="7" t="s">
        <v>1505</v>
      </c>
      <c r="J1027" s="7" t="s">
        <v>1524</v>
      </c>
      <c r="K1027" s="7" t="s">
        <v>22</v>
      </c>
      <c r="L1027" s="8">
        <v>24</v>
      </c>
      <c r="M1027" s="7" t="s">
        <v>37</v>
      </c>
      <c r="N1027" s="8">
        <v>46</v>
      </c>
      <c r="O1027" s="8">
        <v>1</v>
      </c>
      <c r="P1027" s="5">
        <v>703.26</v>
      </c>
      <c r="Q1027" s="4">
        <v>45600</v>
      </c>
      <c r="R1027" s="9">
        <v>0.34045138888888887</v>
      </c>
      <c r="S1027" s="8">
        <v>17</v>
      </c>
      <c r="T1027" s="7" t="s">
        <v>4456</v>
      </c>
      <c r="U1027" s="7" t="s">
        <v>4455</v>
      </c>
      <c r="V10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28" spans="1:22" x14ac:dyDescent="0.35">
      <c r="A1028" s="7" t="s">
        <v>2649</v>
      </c>
      <c r="B1028" s="7" t="s">
        <v>2650</v>
      </c>
      <c r="C1028" s="5">
        <v>184.97</v>
      </c>
      <c r="D1028" s="2">
        <v>0.69908564814977581</v>
      </c>
      <c r="E1028" s="4">
        <v>45103</v>
      </c>
      <c r="F1028" s="7" t="s">
        <v>17</v>
      </c>
      <c r="G1028" s="7" t="s">
        <v>114</v>
      </c>
      <c r="H1028" s="7" t="s">
        <v>389</v>
      </c>
      <c r="I1028" s="7" t="s">
        <v>1581</v>
      </c>
      <c r="J1028" s="7" t="s">
        <v>445</v>
      </c>
      <c r="K1028" s="7" t="s">
        <v>69</v>
      </c>
      <c r="L1028" s="8">
        <v>58</v>
      </c>
      <c r="M1028" s="7" t="s">
        <v>23</v>
      </c>
      <c r="N1028" s="8">
        <v>268</v>
      </c>
      <c r="O1028" s="8">
        <v>1</v>
      </c>
      <c r="P1028" s="5">
        <v>1156.67</v>
      </c>
      <c r="Q1028" s="4">
        <v>45600</v>
      </c>
      <c r="R1028" s="9">
        <v>0.34104166666666669</v>
      </c>
      <c r="S1028" s="8">
        <v>16</v>
      </c>
      <c r="T1028" s="7" t="s">
        <v>4454</v>
      </c>
      <c r="U1028" s="7" t="s">
        <v>4455</v>
      </c>
      <c r="V10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29" spans="1:22" x14ac:dyDescent="0.35">
      <c r="A1029" s="7" t="s">
        <v>2651</v>
      </c>
      <c r="B1029" s="7" t="s">
        <v>986</v>
      </c>
      <c r="C1029" s="5">
        <v>451.15</v>
      </c>
      <c r="D1029" s="2">
        <v>0.69988425925839692</v>
      </c>
      <c r="E1029" s="4">
        <v>44984</v>
      </c>
      <c r="F1029" s="7" t="s">
        <v>17</v>
      </c>
      <c r="G1029" s="7" t="s">
        <v>521</v>
      </c>
      <c r="H1029" s="7" t="s">
        <v>1191</v>
      </c>
      <c r="I1029" s="7" t="s">
        <v>1053</v>
      </c>
      <c r="J1029" s="7" t="s">
        <v>209</v>
      </c>
      <c r="K1029" s="7" t="s">
        <v>22</v>
      </c>
      <c r="L1029" s="8">
        <v>46</v>
      </c>
      <c r="M1029" s="7" t="s">
        <v>77</v>
      </c>
      <c r="N1029" s="8">
        <v>175</v>
      </c>
      <c r="O1029" s="8">
        <v>1</v>
      </c>
      <c r="P1029" s="5">
        <v>1356.47</v>
      </c>
      <c r="Q1029" s="4">
        <v>45600</v>
      </c>
      <c r="R1029" s="9">
        <v>0.34079861111111109</v>
      </c>
      <c r="S1029" s="8">
        <v>16</v>
      </c>
      <c r="T1029" s="7" t="s">
        <v>4457</v>
      </c>
      <c r="U1029" s="7" t="s">
        <v>4455</v>
      </c>
      <c r="V10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30" spans="1:22" x14ac:dyDescent="0.35">
      <c r="A1030" s="7" t="s">
        <v>2652</v>
      </c>
      <c r="B1030" s="7" t="s">
        <v>139</v>
      </c>
      <c r="C1030" s="5">
        <v>516.47</v>
      </c>
      <c r="D1030" s="2">
        <v>0.70891203703649808</v>
      </c>
      <c r="E1030" s="4">
        <v>45281</v>
      </c>
      <c r="F1030" s="7" t="s">
        <v>46</v>
      </c>
      <c r="G1030" s="7" t="s">
        <v>249</v>
      </c>
      <c r="H1030" s="7" t="s">
        <v>1989</v>
      </c>
      <c r="I1030" s="7" t="s">
        <v>148</v>
      </c>
      <c r="J1030" s="7" t="s">
        <v>607</v>
      </c>
      <c r="K1030" s="7" t="s">
        <v>22</v>
      </c>
      <c r="L1030" s="8">
        <v>25</v>
      </c>
      <c r="M1030" s="7" t="s">
        <v>37</v>
      </c>
      <c r="N1030" s="8">
        <v>94</v>
      </c>
      <c r="O1030" s="8">
        <v>1</v>
      </c>
      <c r="P1030" s="5">
        <v>1305.06</v>
      </c>
      <c r="Q1030" s="4">
        <v>45600</v>
      </c>
      <c r="R1030" s="9">
        <v>0.34017361111111111</v>
      </c>
      <c r="S1030" s="8">
        <v>17</v>
      </c>
      <c r="T1030" s="7" t="s">
        <v>4456</v>
      </c>
      <c r="U1030" s="7" t="s">
        <v>4455</v>
      </c>
      <c r="V10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31" spans="1:22" x14ac:dyDescent="0.35">
      <c r="A1031" s="7" t="s">
        <v>2653</v>
      </c>
      <c r="B1031" s="7" t="s">
        <v>1016</v>
      </c>
      <c r="C1031" s="5">
        <v>880.04</v>
      </c>
      <c r="D1031" s="2">
        <v>0.79076388888643123</v>
      </c>
      <c r="E1031" s="4">
        <v>45229</v>
      </c>
      <c r="F1031" s="7" t="s">
        <v>17</v>
      </c>
      <c r="G1031" s="7" t="s">
        <v>285</v>
      </c>
      <c r="H1031" s="7" t="s">
        <v>2654</v>
      </c>
      <c r="I1031" s="7" t="s">
        <v>2175</v>
      </c>
      <c r="J1031" s="7" t="s">
        <v>482</v>
      </c>
      <c r="K1031" s="7" t="s">
        <v>22</v>
      </c>
      <c r="L1031" s="8">
        <v>25</v>
      </c>
      <c r="M1031" s="7" t="s">
        <v>37</v>
      </c>
      <c r="N1031" s="8">
        <v>29</v>
      </c>
      <c r="O1031" s="8">
        <v>1</v>
      </c>
      <c r="P1031" s="5">
        <v>261.97000000000003</v>
      </c>
      <c r="Q1031" s="4">
        <v>45600</v>
      </c>
      <c r="R1031" s="9">
        <v>0.33862268518518518</v>
      </c>
      <c r="S1031" s="8">
        <v>18</v>
      </c>
      <c r="T1031" s="7" t="s">
        <v>4456</v>
      </c>
      <c r="U1031" s="7" t="s">
        <v>4455</v>
      </c>
      <c r="V10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32" spans="1:22" x14ac:dyDescent="0.35">
      <c r="A1032" s="7" t="s">
        <v>2655</v>
      </c>
      <c r="B1032" s="7" t="s">
        <v>1902</v>
      </c>
      <c r="C1032" s="5">
        <v>353.69</v>
      </c>
      <c r="D1032" s="2">
        <v>0.70099537036730908</v>
      </c>
      <c r="E1032" s="4">
        <v>45160</v>
      </c>
      <c r="F1032" s="7" t="s">
        <v>17</v>
      </c>
      <c r="G1032" s="7" t="s">
        <v>223</v>
      </c>
      <c r="H1032" s="7" t="s">
        <v>1692</v>
      </c>
      <c r="I1032" s="7" t="s">
        <v>230</v>
      </c>
      <c r="J1032" s="7" t="s">
        <v>1524</v>
      </c>
      <c r="K1032" s="7" t="s">
        <v>36</v>
      </c>
      <c r="L1032" s="8">
        <v>59</v>
      </c>
      <c r="M1032" s="7" t="s">
        <v>77</v>
      </c>
      <c r="N1032" s="8">
        <v>163</v>
      </c>
      <c r="O1032" s="8">
        <v>1</v>
      </c>
      <c r="P1032" s="5">
        <v>9500.7900000000009</v>
      </c>
      <c r="Q1032" s="4">
        <v>45600</v>
      </c>
      <c r="R1032" s="9">
        <v>0.33947916666666667</v>
      </c>
      <c r="S1032" s="8">
        <v>16</v>
      </c>
      <c r="T1032" s="7" t="s">
        <v>4454</v>
      </c>
      <c r="U1032" s="7" t="s">
        <v>4455</v>
      </c>
      <c r="V10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33" spans="1:22" x14ac:dyDescent="0.35">
      <c r="A1033" s="7" t="s">
        <v>2656</v>
      </c>
      <c r="B1033" s="7" t="s">
        <v>817</v>
      </c>
      <c r="C1033" s="5">
        <v>66.69</v>
      </c>
      <c r="D1033" s="2">
        <v>0.66894675925868796</v>
      </c>
      <c r="E1033" s="4">
        <v>45231</v>
      </c>
      <c r="F1033" s="7" t="s">
        <v>46</v>
      </c>
      <c r="G1033" s="7" t="s">
        <v>237</v>
      </c>
      <c r="H1033" s="7" t="s">
        <v>2657</v>
      </c>
      <c r="I1033" s="7" t="s">
        <v>2658</v>
      </c>
      <c r="J1033" s="7" t="s">
        <v>169</v>
      </c>
      <c r="K1033" s="7" t="s">
        <v>69</v>
      </c>
      <c r="L1033" s="8">
        <v>25</v>
      </c>
      <c r="M1033" s="7" t="s">
        <v>37</v>
      </c>
      <c r="N1033" s="8">
        <v>140</v>
      </c>
      <c r="O1033" s="8">
        <v>1</v>
      </c>
      <c r="P1033" s="5">
        <v>1210.33</v>
      </c>
      <c r="Q1033" s="4">
        <v>45600</v>
      </c>
      <c r="R1033" s="9">
        <v>0.33837962962962964</v>
      </c>
      <c r="S1033" s="8">
        <v>16</v>
      </c>
      <c r="T1033" s="7" t="s">
        <v>4456</v>
      </c>
      <c r="U1033" s="7" t="s">
        <v>4455</v>
      </c>
      <c r="V10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34" spans="1:22" x14ac:dyDescent="0.35">
      <c r="A1034" s="7" t="s">
        <v>2659</v>
      </c>
      <c r="B1034" s="7" t="s">
        <v>1217</v>
      </c>
      <c r="C1034" s="5">
        <v>95.75</v>
      </c>
      <c r="D1034" s="2">
        <v>0.70478009259386454</v>
      </c>
      <c r="E1034" s="4">
        <v>45119</v>
      </c>
      <c r="F1034" s="7" t="s">
        <v>17</v>
      </c>
      <c r="G1034" s="7" t="s">
        <v>140</v>
      </c>
      <c r="H1034" s="7" t="s">
        <v>2660</v>
      </c>
      <c r="I1034" s="7" t="s">
        <v>2298</v>
      </c>
      <c r="J1034" s="7" t="s">
        <v>331</v>
      </c>
      <c r="K1034" s="7" t="s">
        <v>69</v>
      </c>
      <c r="L1034" s="8">
        <v>31</v>
      </c>
      <c r="M1034" s="7" t="s">
        <v>77</v>
      </c>
      <c r="N1034" s="8">
        <v>169</v>
      </c>
      <c r="O1034" s="8">
        <v>1</v>
      </c>
      <c r="P1034" s="5">
        <v>337.62</v>
      </c>
      <c r="Q1034" s="4">
        <v>45600</v>
      </c>
      <c r="R1034" s="9">
        <v>0.33856481481481482</v>
      </c>
      <c r="S1034" s="8">
        <v>16</v>
      </c>
      <c r="T1034" s="7" t="s">
        <v>4456</v>
      </c>
      <c r="U1034" s="7" t="s">
        <v>4455</v>
      </c>
      <c r="V10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35" spans="1:22" x14ac:dyDescent="0.35">
      <c r="A1035" s="7" t="s">
        <v>2661</v>
      </c>
      <c r="B1035" s="7" t="s">
        <v>1992</v>
      </c>
      <c r="C1035" s="5">
        <v>43.91</v>
      </c>
      <c r="D1035" s="2">
        <v>0.77179398148291511</v>
      </c>
      <c r="E1035" s="4">
        <v>45155</v>
      </c>
      <c r="F1035" s="7" t="s">
        <v>17</v>
      </c>
      <c r="G1035" s="7" t="s">
        <v>86</v>
      </c>
      <c r="H1035" s="7" t="s">
        <v>2312</v>
      </c>
      <c r="I1035" s="7" t="s">
        <v>496</v>
      </c>
      <c r="J1035" s="7" t="s">
        <v>89</v>
      </c>
      <c r="K1035" s="7" t="s">
        <v>36</v>
      </c>
      <c r="L1035" s="8">
        <v>27</v>
      </c>
      <c r="M1035" s="7" t="s">
        <v>37</v>
      </c>
      <c r="N1035" s="8">
        <v>86</v>
      </c>
      <c r="O1035" s="8">
        <v>1</v>
      </c>
      <c r="P1035" s="5">
        <v>1806.68</v>
      </c>
      <c r="Q1035" s="4">
        <v>45600</v>
      </c>
      <c r="R1035" s="9">
        <v>0.34192129629629631</v>
      </c>
      <c r="S1035" s="8">
        <v>18</v>
      </c>
      <c r="T1035" s="7" t="s">
        <v>4456</v>
      </c>
      <c r="U1035" s="7" t="s">
        <v>4455</v>
      </c>
      <c r="V10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36" spans="1:22" x14ac:dyDescent="0.35">
      <c r="A1036" s="7" t="s">
        <v>2662</v>
      </c>
      <c r="B1036" s="7" t="s">
        <v>578</v>
      </c>
      <c r="C1036" s="5">
        <v>98.03</v>
      </c>
      <c r="D1036" s="2">
        <v>0.778773148151231</v>
      </c>
      <c r="E1036" s="4">
        <v>45278</v>
      </c>
      <c r="F1036" s="7" t="s">
        <v>17</v>
      </c>
      <c r="G1036" s="7" t="s">
        <v>506</v>
      </c>
      <c r="H1036" s="7" t="s">
        <v>1633</v>
      </c>
      <c r="I1036" s="7" t="s">
        <v>234</v>
      </c>
      <c r="J1036" s="7" t="s">
        <v>312</v>
      </c>
      <c r="K1036" s="7" t="s">
        <v>69</v>
      </c>
      <c r="L1036" s="8">
        <v>54</v>
      </c>
      <c r="M1036" s="7" t="s">
        <v>77</v>
      </c>
      <c r="N1036" s="8">
        <v>165</v>
      </c>
      <c r="O1036" s="8">
        <v>1</v>
      </c>
      <c r="P1036" s="5">
        <v>6323.45</v>
      </c>
      <c r="Q1036" s="4">
        <v>45600</v>
      </c>
      <c r="R1036" s="9">
        <v>0.33930555555555558</v>
      </c>
      <c r="S1036" s="8">
        <v>18</v>
      </c>
      <c r="T1036" s="7" t="s">
        <v>4457</v>
      </c>
      <c r="U1036" s="7" t="s">
        <v>4455</v>
      </c>
      <c r="V10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37" spans="1:22" x14ac:dyDescent="0.35">
      <c r="A1037" s="7" t="s">
        <v>2663</v>
      </c>
      <c r="B1037" s="7" t="s">
        <v>2664</v>
      </c>
      <c r="C1037" s="5">
        <v>617.66</v>
      </c>
      <c r="D1037" s="2">
        <v>0.71247685185517184</v>
      </c>
      <c r="E1037" s="4">
        <v>44973</v>
      </c>
      <c r="F1037" s="7" t="s">
        <v>17</v>
      </c>
      <c r="G1037" s="7" t="s">
        <v>388</v>
      </c>
      <c r="H1037" s="7" t="s">
        <v>2550</v>
      </c>
      <c r="I1037" s="7" t="s">
        <v>907</v>
      </c>
      <c r="J1037" s="7" t="s">
        <v>100</v>
      </c>
      <c r="K1037" s="7" t="s">
        <v>22</v>
      </c>
      <c r="L1037" s="8">
        <v>42</v>
      </c>
      <c r="M1037" s="7" t="s">
        <v>77</v>
      </c>
      <c r="N1037" s="8">
        <v>128</v>
      </c>
      <c r="O1037" s="8">
        <v>1</v>
      </c>
      <c r="P1037" s="5">
        <v>7155.95</v>
      </c>
      <c r="Q1037" s="4">
        <v>45600</v>
      </c>
      <c r="R1037" s="9">
        <v>0.33892361111111113</v>
      </c>
      <c r="S1037" s="8">
        <v>17</v>
      </c>
      <c r="T1037" s="7" t="s">
        <v>4457</v>
      </c>
      <c r="U1037" s="7" t="s">
        <v>4455</v>
      </c>
      <c r="V10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38" spans="1:22" x14ac:dyDescent="0.35">
      <c r="A1038" s="7" t="s">
        <v>2665</v>
      </c>
      <c r="B1038" s="7" t="s">
        <v>1193</v>
      </c>
      <c r="C1038" s="5">
        <v>888.57</v>
      </c>
      <c r="D1038" s="2">
        <v>0.68383101851941319</v>
      </c>
      <c r="E1038" s="4">
        <v>45090</v>
      </c>
      <c r="F1038" s="7" t="s">
        <v>17</v>
      </c>
      <c r="G1038" s="7" t="s">
        <v>237</v>
      </c>
      <c r="H1038" s="7" t="s">
        <v>2666</v>
      </c>
      <c r="I1038" s="7" t="s">
        <v>870</v>
      </c>
      <c r="J1038" s="7" t="s">
        <v>186</v>
      </c>
      <c r="K1038" s="7" t="s">
        <v>36</v>
      </c>
      <c r="L1038" s="8">
        <v>62</v>
      </c>
      <c r="M1038" s="7" t="s">
        <v>70</v>
      </c>
      <c r="N1038" s="8">
        <v>102</v>
      </c>
      <c r="O1038" s="8">
        <v>1</v>
      </c>
      <c r="P1038" s="5">
        <v>7896.14</v>
      </c>
      <c r="Q1038" s="4">
        <v>45600</v>
      </c>
      <c r="R1038" s="9">
        <v>0.3409375</v>
      </c>
      <c r="S1038" s="8">
        <v>16</v>
      </c>
      <c r="T1038" s="7" t="s">
        <v>4454</v>
      </c>
      <c r="U1038" s="7" t="s">
        <v>4455</v>
      </c>
      <c r="V10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39" spans="1:22" x14ac:dyDescent="0.35">
      <c r="A1039" s="7" t="s">
        <v>2667</v>
      </c>
      <c r="B1039" s="7" t="s">
        <v>843</v>
      </c>
      <c r="C1039" s="5">
        <v>107.48</v>
      </c>
      <c r="D1039" s="2">
        <v>0.7513078703705105</v>
      </c>
      <c r="E1039" s="4">
        <v>45264</v>
      </c>
      <c r="F1039" s="7" t="s">
        <v>17</v>
      </c>
      <c r="G1039" s="7" t="s">
        <v>296</v>
      </c>
      <c r="H1039" s="7" t="s">
        <v>982</v>
      </c>
      <c r="I1039" s="7" t="s">
        <v>563</v>
      </c>
      <c r="J1039" s="7" t="s">
        <v>1014</v>
      </c>
      <c r="K1039" s="7" t="s">
        <v>69</v>
      </c>
      <c r="L1039" s="8">
        <v>22</v>
      </c>
      <c r="M1039" s="7" t="s">
        <v>37</v>
      </c>
      <c r="N1039" s="8">
        <v>129</v>
      </c>
      <c r="O1039" s="8">
        <v>1</v>
      </c>
      <c r="P1039" s="5">
        <v>591.23</v>
      </c>
      <c r="Q1039" s="4">
        <v>45600</v>
      </c>
      <c r="R1039" s="9">
        <v>0.33901620370370372</v>
      </c>
      <c r="S1039" s="8">
        <v>18</v>
      </c>
      <c r="T1039" s="7" t="s">
        <v>4456</v>
      </c>
      <c r="U1039" s="7" t="s">
        <v>4455</v>
      </c>
      <c r="V10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40" spans="1:22" x14ac:dyDescent="0.35">
      <c r="A1040" s="7" t="s">
        <v>2668</v>
      </c>
      <c r="B1040" s="7" t="s">
        <v>196</v>
      </c>
      <c r="C1040" s="5">
        <v>36.57</v>
      </c>
      <c r="D1040" s="2">
        <v>0.70108796295971842</v>
      </c>
      <c r="E1040" s="4">
        <v>45145</v>
      </c>
      <c r="F1040" s="7" t="s">
        <v>17</v>
      </c>
      <c r="G1040" s="7" t="s">
        <v>296</v>
      </c>
      <c r="H1040" s="7" t="s">
        <v>1844</v>
      </c>
      <c r="I1040" s="7" t="s">
        <v>1884</v>
      </c>
      <c r="J1040" s="7" t="s">
        <v>267</v>
      </c>
      <c r="K1040" s="7" t="s">
        <v>22</v>
      </c>
      <c r="L1040" s="8">
        <v>62</v>
      </c>
      <c r="M1040" s="7" t="s">
        <v>70</v>
      </c>
      <c r="N1040" s="8">
        <v>69</v>
      </c>
      <c r="O1040" s="8">
        <v>1</v>
      </c>
      <c r="P1040" s="5">
        <v>2583.0700000000002</v>
      </c>
      <c r="Q1040" s="4">
        <v>45600</v>
      </c>
      <c r="R1040" s="9">
        <v>0.3382175925925926</v>
      </c>
      <c r="S1040" s="8">
        <v>16</v>
      </c>
      <c r="T1040" s="7" t="s">
        <v>4454</v>
      </c>
      <c r="U1040" s="7" t="s">
        <v>4455</v>
      </c>
      <c r="V10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41" spans="1:22" x14ac:dyDescent="0.35">
      <c r="A1041" s="7" t="s">
        <v>2669</v>
      </c>
      <c r="B1041" s="7" t="s">
        <v>604</v>
      </c>
      <c r="C1041" s="5">
        <v>575.62</v>
      </c>
      <c r="D1041" s="2">
        <v>0.77142361111327773</v>
      </c>
      <c r="E1041" s="4">
        <v>45089</v>
      </c>
      <c r="F1041" s="7" t="s">
        <v>17</v>
      </c>
      <c r="G1041" s="7" t="s">
        <v>53</v>
      </c>
      <c r="H1041" s="7" t="s">
        <v>2295</v>
      </c>
      <c r="I1041" s="7" t="s">
        <v>94</v>
      </c>
      <c r="J1041" s="7" t="s">
        <v>427</v>
      </c>
      <c r="K1041" s="7" t="s">
        <v>36</v>
      </c>
      <c r="L1041" s="8">
        <v>43</v>
      </c>
      <c r="M1041" s="7" t="s">
        <v>23</v>
      </c>
      <c r="N1041" s="8">
        <v>129</v>
      </c>
      <c r="O1041" s="8">
        <v>1</v>
      </c>
      <c r="P1041" s="5">
        <v>234.41</v>
      </c>
      <c r="Q1041" s="4">
        <v>45600</v>
      </c>
      <c r="R1041" s="9">
        <v>0.34135416666666668</v>
      </c>
      <c r="S1041" s="8">
        <v>18</v>
      </c>
      <c r="T1041" s="7" t="s">
        <v>4457</v>
      </c>
      <c r="U1041" s="7" t="s">
        <v>4455</v>
      </c>
      <c r="V10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42" spans="1:22" x14ac:dyDescent="0.35">
      <c r="A1042" s="7" t="s">
        <v>2670</v>
      </c>
      <c r="B1042" s="7" t="s">
        <v>2671</v>
      </c>
      <c r="C1042" s="5">
        <v>84.89</v>
      </c>
      <c r="D1042" s="2">
        <v>0.72721064814686542</v>
      </c>
      <c r="E1042" s="4">
        <v>45068</v>
      </c>
      <c r="F1042" s="7" t="s">
        <v>17</v>
      </c>
      <c r="G1042" s="7" t="s">
        <v>223</v>
      </c>
      <c r="H1042" s="7" t="s">
        <v>1091</v>
      </c>
      <c r="I1042" s="7" t="s">
        <v>1246</v>
      </c>
      <c r="J1042" s="7" t="s">
        <v>762</v>
      </c>
      <c r="K1042" s="7" t="s">
        <v>22</v>
      </c>
      <c r="L1042" s="8">
        <v>37</v>
      </c>
      <c r="M1042" s="7" t="s">
        <v>77</v>
      </c>
      <c r="N1042" s="8">
        <v>70</v>
      </c>
      <c r="O1042" s="8">
        <v>1</v>
      </c>
      <c r="P1042" s="5">
        <v>4735.6099999999997</v>
      </c>
      <c r="Q1042" s="4">
        <v>45600</v>
      </c>
      <c r="R1042" s="9">
        <v>0.34185185185185185</v>
      </c>
      <c r="S1042" s="8">
        <v>17</v>
      </c>
      <c r="T1042" s="7" t="s">
        <v>4457</v>
      </c>
      <c r="U1042" s="7" t="s">
        <v>4455</v>
      </c>
      <c r="V10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43" spans="1:22" x14ac:dyDescent="0.35">
      <c r="A1043" s="7" t="s">
        <v>2672</v>
      </c>
      <c r="B1043" s="7" t="s">
        <v>467</v>
      </c>
      <c r="C1043" s="5">
        <v>832.3</v>
      </c>
      <c r="D1043" s="2">
        <v>0.70537037037138361</v>
      </c>
      <c r="E1043" s="4">
        <v>45119</v>
      </c>
      <c r="F1043" s="7" t="s">
        <v>46</v>
      </c>
      <c r="G1043" s="7" t="s">
        <v>119</v>
      </c>
      <c r="H1043" s="7" t="s">
        <v>1956</v>
      </c>
      <c r="I1043" s="7" t="s">
        <v>2673</v>
      </c>
      <c r="J1043" s="7" t="s">
        <v>885</v>
      </c>
      <c r="K1043" s="7" t="s">
        <v>69</v>
      </c>
      <c r="L1043" s="8">
        <v>69</v>
      </c>
      <c r="M1043" s="7" t="s">
        <v>70</v>
      </c>
      <c r="N1043" s="8">
        <v>86</v>
      </c>
      <c r="O1043" s="8">
        <v>1</v>
      </c>
      <c r="P1043" s="5">
        <v>6617.52</v>
      </c>
      <c r="Q1043" s="4">
        <v>45600</v>
      </c>
      <c r="R1043" s="9">
        <v>0.33804398148148146</v>
      </c>
      <c r="S1043" s="8">
        <v>16</v>
      </c>
      <c r="T1043" s="7" t="s">
        <v>4454</v>
      </c>
      <c r="U1043" s="7" t="s">
        <v>4455</v>
      </c>
      <c r="V10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44" spans="1:22" x14ac:dyDescent="0.35">
      <c r="A1044" s="7" t="s">
        <v>2674</v>
      </c>
      <c r="B1044" s="7" t="s">
        <v>2643</v>
      </c>
      <c r="C1044" s="5">
        <v>180.65</v>
      </c>
      <c r="D1044" s="2">
        <v>0.74593750000349246</v>
      </c>
      <c r="E1044" s="4">
        <v>45264</v>
      </c>
      <c r="F1044" s="7" t="s">
        <v>17</v>
      </c>
      <c r="G1044" s="7" t="s">
        <v>249</v>
      </c>
      <c r="H1044" s="7" t="s">
        <v>2675</v>
      </c>
      <c r="I1044" s="7" t="s">
        <v>2236</v>
      </c>
      <c r="J1044" s="7" t="s">
        <v>445</v>
      </c>
      <c r="K1044" s="7" t="s">
        <v>69</v>
      </c>
      <c r="L1044" s="8">
        <v>22</v>
      </c>
      <c r="M1044" s="7" t="s">
        <v>37</v>
      </c>
      <c r="N1044" s="8">
        <v>38</v>
      </c>
      <c r="O1044" s="8">
        <v>5</v>
      </c>
      <c r="P1044" s="5">
        <v>816.01</v>
      </c>
      <c r="Q1044" s="4">
        <v>45600</v>
      </c>
      <c r="R1044" s="9">
        <v>0.34016203703703701</v>
      </c>
      <c r="S1044" s="8">
        <v>17</v>
      </c>
      <c r="T1044" s="7" t="s">
        <v>4456</v>
      </c>
      <c r="U1044" s="7" t="s">
        <v>4458</v>
      </c>
      <c r="V10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45" spans="1:22" x14ac:dyDescent="0.35">
      <c r="A1045" s="7" t="s">
        <v>2676</v>
      </c>
      <c r="B1045" s="7" t="s">
        <v>1653</v>
      </c>
      <c r="C1045" s="5">
        <v>7.76</v>
      </c>
      <c r="D1045" s="2">
        <v>0.71953703703911742</v>
      </c>
      <c r="E1045" s="4">
        <v>45012</v>
      </c>
      <c r="F1045" s="7" t="s">
        <v>46</v>
      </c>
      <c r="G1045" s="7" t="s">
        <v>146</v>
      </c>
      <c r="H1045" s="7" t="s">
        <v>2604</v>
      </c>
      <c r="I1045" s="7" t="s">
        <v>2402</v>
      </c>
      <c r="J1045" s="7" t="s">
        <v>50</v>
      </c>
      <c r="K1045" s="7" t="s">
        <v>36</v>
      </c>
      <c r="L1045" s="8">
        <v>52</v>
      </c>
      <c r="M1045" s="7" t="s">
        <v>70</v>
      </c>
      <c r="N1045" s="8">
        <v>84</v>
      </c>
      <c r="O1045" s="8">
        <v>1</v>
      </c>
      <c r="P1045" s="5">
        <v>7393.11</v>
      </c>
      <c r="Q1045" s="4">
        <v>45600</v>
      </c>
      <c r="R1045" s="9">
        <v>0.34184027777777776</v>
      </c>
      <c r="S1045" s="8">
        <v>17</v>
      </c>
      <c r="T1045" s="7" t="s">
        <v>4457</v>
      </c>
      <c r="U1045" s="7" t="s">
        <v>4455</v>
      </c>
      <c r="V10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46" spans="1:22" x14ac:dyDescent="0.35">
      <c r="A1046" s="7" t="s">
        <v>2677</v>
      </c>
      <c r="B1046" s="7" t="s">
        <v>545</v>
      </c>
      <c r="C1046" s="5">
        <v>109.3</v>
      </c>
      <c r="D1046" s="2">
        <v>0.70295138889196096</v>
      </c>
      <c r="E1046" s="4">
        <v>45140</v>
      </c>
      <c r="F1046" s="7" t="s">
        <v>17</v>
      </c>
      <c r="G1046" s="7" t="s">
        <v>157</v>
      </c>
      <c r="H1046" s="7" t="s">
        <v>1838</v>
      </c>
      <c r="I1046" s="7" t="s">
        <v>281</v>
      </c>
      <c r="J1046" s="7" t="s">
        <v>68</v>
      </c>
      <c r="K1046" s="7" t="s">
        <v>69</v>
      </c>
      <c r="L1046" s="8">
        <v>56</v>
      </c>
      <c r="M1046" s="7" t="s">
        <v>23</v>
      </c>
      <c r="N1046" s="8">
        <v>27</v>
      </c>
      <c r="O1046" s="8">
        <v>1</v>
      </c>
      <c r="P1046" s="5">
        <v>13510.11</v>
      </c>
      <c r="Q1046" s="4">
        <v>45600</v>
      </c>
      <c r="R1046" s="9">
        <v>0.33783564814814815</v>
      </c>
      <c r="S1046" s="8">
        <v>16</v>
      </c>
      <c r="T1046" s="7" t="s">
        <v>4454</v>
      </c>
      <c r="U1046" s="7" t="s">
        <v>4455</v>
      </c>
      <c r="V10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47" spans="1:22" x14ac:dyDescent="0.35">
      <c r="A1047" s="7" t="s">
        <v>2678</v>
      </c>
      <c r="B1047" s="7" t="s">
        <v>761</v>
      </c>
      <c r="C1047" s="5">
        <v>230.08</v>
      </c>
      <c r="D1047" s="2">
        <v>0.68310185184964212</v>
      </c>
      <c r="E1047" s="4">
        <v>45047</v>
      </c>
      <c r="F1047" s="7" t="s">
        <v>17</v>
      </c>
      <c r="G1047" s="7" t="s">
        <v>119</v>
      </c>
      <c r="H1047" s="7" t="s">
        <v>1330</v>
      </c>
      <c r="I1047" s="7" t="s">
        <v>783</v>
      </c>
      <c r="J1047" s="7" t="s">
        <v>598</v>
      </c>
      <c r="K1047" s="7" t="s">
        <v>36</v>
      </c>
      <c r="L1047" s="8">
        <v>79</v>
      </c>
      <c r="M1047" s="7" t="s">
        <v>70</v>
      </c>
      <c r="N1047" s="8">
        <v>124</v>
      </c>
      <c r="O1047" s="8">
        <v>1</v>
      </c>
      <c r="P1047" s="5">
        <v>4466.1000000000004</v>
      </c>
      <c r="Q1047" s="4">
        <v>45600</v>
      </c>
      <c r="R1047" s="9">
        <v>0.34151620370370372</v>
      </c>
      <c r="S1047" s="8">
        <v>16</v>
      </c>
      <c r="T1047" s="7" t="s">
        <v>4454</v>
      </c>
      <c r="U1047" s="7" t="s">
        <v>4455</v>
      </c>
      <c r="V10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48" spans="1:22" x14ac:dyDescent="0.35">
      <c r="A1048" s="7" t="s">
        <v>2679</v>
      </c>
      <c r="B1048" s="7" t="s">
        <v>1339</v>
      </c>
      <c r="C1048" s="5">
        <v>361.92</v>
      </c>
      <c r="D1048" s="2">
        <v>0.67277777777781012</v>
      </c>
      <c r="E1048" s="4">
        <v>44977</v>
      </c>
      <c r="F1048" s="7" t="s">
        <v>17</v>
      </c>
      <c r="G1048" s="7" t="s">
        <v>73</v>
      </c>
      <c r="H1048" s="7" t="s">
        <v>517</v>
      </c>
      <c r="I1048" s="7" t="s">
        <v>929</v>
      </c>
      <c r="J1048" s="7" t="s">
        <v>762</v>
      </c>
      <c r="K1048" s="7" t="s">
        <v>22</v>
      </c>
      <c r="L1048" s="8">
        <v>54</v>
      </c>
      <c r="M1048" s="7" t="s">
        <v>70</v>
      </c>
      <c r="N1048" s="8">
        <v>111</v>
      </c>
      <c r="O1048" s="8">
        <v>1</v>
      </c>
      <c r="P1048" s="5">
        <v>7474.31</v>
      </c>
      <c r="Q1048" s="4">
        <v>45600</v>
      </c>
      <c r="R1048" s="9">
        <v>0.34054398148148146</v>
      </c>
      <c r="S1048" s="8">
        <v>16</v>
      </c>
      <c r="T1048" s="7" t="s">
        <v>4457</v>
      </c>
      <c r="U1048" s="7" t="s">
        <v>4455</v>
      </c>
      <c r="V10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49" spans="1:22" x14ac:dyDescent="0.35">
      <c r="A1049" s="7" t="s">
        <v>2680</v>
      </c>
      <c r="B1049" s="7" t="s">
        <v>2681</v>
      </c>
      <c r="C1049" s="5">
        <v>71.290000000000006</v>
      </c>
      <c r="D1049" s="2">
        <v>0.70978009259124519</v>
      </c>
      <c r="E1049" s="4">
        <v>44959</v>
      </c>
      <c r="F1049" s="7" t="s">
        <v>17</v>
      </c>
      <c r="G1049" s="7" t="s">
        <v>265</v>
      </c>
      <c r="H1049" s="7" t="s">
        <v>2682</v>
      </c>
      <c r="I1049" s="7" t="s">
        <v>1315</v>
      </c>
      <c r="J1049" s="7" t="s">
        <v>326</v>
      </c>
      <c r="K1049" s="7" t="s">
        <v>22</v>
      </c>
      <c r="L1049" s="8">
        <v>68</v>
      </c>
      <c r="M1049" s="7" t="s">
        <v>70</v>
      </c>
      <c r="N1049" s="8">
        <v>55</v>
      </c>
      <c r="O1049" s="8">
        <v>2</v>
      </c>
      <c r="P1049" s="5">
        <v>7225.63</v>
      </c>
      <c r="Q1049" s="4">
        <v>45600</v>
      </c>
      <c r="R1049" s="9">
        <v>0.33877314814814813</v>
      </c>
      <c r="S1049" s="8">
        <v>17</v>
      </c>
      <c r="T1049" s="7" t="s">
        <v>4454</v>
      </c>
      <c r="U1049" s="7" t="s">
        <v>4458</v>
      </c>
      <c r="V10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50" spans="1:22" x14ac:dyDescent="0.35">
      <c r="A1050" s="7" t="s">
        <v>2683</v>
      </c>
      <c r="B1050" s="7" t="s">
        <v>1569</v>
      </c>
      <c r="C1050" s="5">
        <v>122.45</v>
      </c>
      <c r="D1050" s="2">
        <v>0.70153935185226146</v>
      </c>
      <c r="E1050" s="4">
        <v>44942</v>
      </c>
      <c r="F1050" s="7" t="s">
        <v>17</v>
      </c>
      <c r="G1050" s="7" t="s">
        <v>203</v>
      </c>
      <c r="H1050" s="7" t="s">
        <v>2684</v>
      </c>
      <c r="I1050" s="7" t="s">
        <v>2685</v>
      </c>
      <c r="J1050" s="7" t="s">
        <v>149</v>
      </c>
      <c r="K1050" s="7" t="s">
        <v>69</v>
      </c>
      <c r="L1050" s="8">
        <v>46</v>
      </c>
      <c r="M1050" s="7" t="s">
        <v>23</v>
      </c>
      <c r="N1050" s="8">
        <v>98</v>
      </c>
      <c r="O1050" s="8">
        <v>1</v>
      </c>
      <c r="P1050" s="5">
        <v>7255.49</v>
      </c>
      <c r="Q1050" s="4">
        <v>45600</v>
      </c>
      <c r="R1050" s="9">
        <v>0.33881944444444445</v>
      </c>
      <c r="S1050" s="8">
        <v>16</v>
      </c>
      <c r="T1050" s="7" t="s">
        <v>4457</v>
      </c>
      <c r="U1050" s="7" t="s">
        <v>4455</v>
      </c>
      <c r="V10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51" spans="1:22" x14ac:dyDescent="0.35">
      <c r="A1051" s="7" t="s">
        <v>2686</v>
      </c>
      <c r="B1051" s="7" t="s">
        <v>2003</v>
      </c>
      <c r="C1051" s="5">
        <v>642.53</v>
      </c>
      <c r="D1051" s="2">
        <v>0.69216435185080627</v>
      </c>
      <c r="E1051" s="4">
        <v>45152</v>
      </c>
      <c r="F1051" s="7" t="s">
        <v>17</v>
      </c>
      <c r="G1051" s="7" t="s">
        <v>32</v>
      </c>
      <c r="H1051" s="7" t="s">
        <v>2687</v>
      </c>
      <c r="I1051" s="7" t="s">
        <v>2325</v>
      </c>
      <c r="J1051" s="7" t="s">
        <v>122</v>
      </c>
      <c r="K1051" s="7" t="s">
        <v>22</v>
      </c>
      <c r="L1051" s="8">
        <v>65</v>
      </c>
      <c r="M1051" s="7" t="s">
        <v>23</v>
      </c>
      <c r="N1051" s="8">
        <v>128</v>
      </c>
      <c r="O1051" s="8">
        <v>1</v>
      </c>
      <c r="P1051" s="5">
        <v>11417.91</v>
      </c>
      <c r="Q1051" s="4">
        <v>45600</v>
      </c>
      <c r="R1051" s="9">
        <v>0.3417824074074074</v>
      </c>
      <c r="S1051" s="8">
        <v>16</v>
      </c>
      <c r="T1051" s="7" t="s">
        <v>4454</v>
      </c>
      <c r="U1051" s="7" t="s">
        <v>4455</v>
      </c>
      <c r="V10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52" spans="1:22" x14ac:dyDescent="0.35">
      <c r="A1052" s="7" t="s">
        <v>2688</v>
      </c>
      <c r="B1052" s="7" t="s">
        <v>1542</v>
      </c>
      <c r="C1052" s="5">
        <v>62.86</v>
      </c>
      <c r="D1052" s="2">
        <v>0.68333333333430346</v>
      </c>
      <c r="E1052" s="4">
        <v>45054</v>
      </c>
      <c r="F1052" s="7" t="s">
        <v>17</v>
      </c>
      <c r="G1052" s="7" t="s">
        <v>26</v>
      </c>
      <c r="H1052" s="7" t="s">
        <v>1508</v>
      </c>
      <c r="I1052" s="7" t="s">
        <v>1414</v>
      </c>
      <c r="J1052" s="7" t="s">
        <v>277</v>
      </c>
      <c r="K1052" s="7" t="s">
        <v>69</v>
      </c>
      <c r="L1052" s="8">
        <v>25</v>
      </c>
      <c r="M1052" s="7" t="s">
        <v>37</v>
      </c>
      <c r="N1052" s="8">
        <v>31</v>
      </c>
      <c r="O1052" s="8">
        <v>1</v>
      </c>
      <c r="P1052" s="5">
        <v>1040.43</v>
      </c>
      <c r="Q1052" s="4">
        <v>45600</v>
      </c>
      <c r="R1052" s="9">
        <v>0.34065972222222224</v>
      </c>
      <c r="S1052" s="8">
        <v>16</v>
      </c>
      <c r="T1052" s="7" t="s">
        <v>4456</v>
      </c>
      <c r="U1052" s="7" t="s">
        <v>4455</v>
      </c>
      <c r="V10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53" spans="1:22" x14ac:dyDescent="0.35">
      <c r="A1053" s="7" t="s">
        <v>2689</v>
      </c>
      <c r="B1053" s="7" t="s">
        <v>2690</v>
      </c>
      <c r="C1053" s="5">
        <v>175.21</v>
      </c>
      <c r="D1053" s="2">
        <v>0.78101851851533866</v>
      </c>
      <c r="E1053" s="4">
        <v>45281</v>
      </c>
      <c r="F1053" s="7" t="s">
        <v>46</v>
      </c>
      <c r="G1053" s="7" t="s">
        <v>32</v>
      </c>
      <c r="H1053" s="7" t="s">
        <v>778</v>
      </c>
      <c r="I1053" s="7" t="s">
        <v>2383</v>
      </c>
      <c r="J1053" s="7" t="s">
        <v>474</v>
      </c>
      <c r="K1053" s="7" t="s">
        <v>22</v>
      </c>
      <c r="L1053" s="8">
        <v>69</v>
      </c>
      <c r="M1053" s="7" t="s">
        <v>23</v>
      </c>
      <c r="N1053" s="8">
        <v>69</v>
      </c>
      <c r="O1053" s="8">
        <v>1</v>
      </c>
      <c r="P1053" s="5">
        <v>6039.04</v>
      </c>
      <c r="Q1053" s="4">
        <v>45600</v>
      </c>
      <c r="R1053" s="9">
        <v>0.33931712962962962</v>
      </c>
      <c r="S1053" s="8">
        <v>18</v>
      </c>
      <c r="T1053" s="7" t="s">
        <v>4454</v>
      </c>
      <c r="U1053" s="7" t="s">
        <v>4455</v>
      </c>
      <c r="V10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54" spans="1:22" x14ac:dyDescent="0.35">
      <c r="A1054" s="7" t="s">
        <v>2691</v>
      </c>
      <c r="B1054" s="7" t="s">
        <v>408</v>
      </c>
      <c r="C1054" s="5">
        <v>168</v>
      </c>
      <c r="D1054" s="2">
        <v>0.66782407407299615</v>
      </c>
      <c r="E1054" s="4">
        <v>45162</v>
      </c>
      <c r="F1054" s="7" t="s">
        <v>46</v>
      </c>
      <c r="G1054" s="7" t="s">
        <v>255</v>
      </c>
      <c r="H1054" s="7" t="s">
        <v>1952</v>
      </c>
      <c r="I1054" s="7" t="s">
        <v>1455</v>
      </c>
      <c r="J1054" s="7" t="s">
        <v>200</v>
      </c>
      <c r="K1054" s="7" t="s">
        <v>69</v>
      </c>
      <c r="L1054" s="8">
        <v>32</v>
      </c>
      <c r="M1054" s="7" t="s">
        <v>77</v>
      </c>
      <c r="N1054" s="8">
        <v>11</v>
      </c>
      <c r="O1054" s="8">
        <v>1</v>
      </c>
      <c r="P1054" s="5">
        <v>3498.58</v>
      </c>
      <c r="Q1054" s="4">
        <v>45600</v>
      </c>
      <c r="R1054" s="9">
        <v>0.34189814814814817</v>
      </c>
      <c r="S1054" s="8">
        <v>16</v>
      </c>
      <c r="T1054" s="7" t="s">
        <v>4456</v>
      </c>
      <c r="U1054" s="7" t="s">
        <v>4455</v>
      </c>
      <c r="V10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55" spans="1:22" x14ac:dyDescent="0.35">
      <c r="A1055" s="7" t="s">
        <v>2692</v>
      </c>
      <c r="B1055" s="7" t="s">
        <v>1688</v>
      </c>
      <c r="C1055" s="5">
        <v>11.46</v>
      </c>
      <c r="D1055" s="2">
        <v>0.70186342592933215</v>
      </c>
      <c r="E1055" s="4">
        <v>45208</v>
      </c>
      <c r="F1055" s="7" t="s">
        <v>17</v>
      </c>
      <c r="G1055" s="7" t="s">
        <v>265</v>
      </c>
      <c r="H1055" s="7" t="s">
        <v>184</v>
      </c>
      <c r="I1055" s="7" t="s">
        <v>2693</v>
      </c>
      <c r="J1055" s="7" t="s">
        <v>682</v>
      </c>
      <c r="K1055" s="7" t="s">
        <v>36</v>
      </c>
      <c r="L1055" s="8">
        <v>67</v>
      </c>
      <c r="M1055" s="7" t="s">
        <v>70</v>
      </c>
      <c r="N1055" s="8">
        <v>73</v>
      </c>
      <c r="O1055" s="8">
        <v>1</v>
      </c>
      <c r="P1055" s="5">
        <v>6628.75</v>
      </c>
      <c r="Q1055" s="4">
        <v>45600</v>
      </c>
      <c r="R1055" s="9">
        <v>0.33841435185185187</v>
      </c>
      <c r="S1055" s="8">
        <v>16</v>
      </c>
      <c r="T1055" s="7" t="s">
        <v>4454</v>
      </c>
      <c r="U1055" s="7" t="s">
        <v>4455</v>
      </c>
      <c r="V10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56" spans="1:22" x14ac:dyDescent="0.35">
      <c r="A1056" s="7" t="s">
        <v>2694</v>
      </c>
      <c r="B1056" s="7" t="s">
        <v>2695</v>
      </c>
      <c r="C1056" s="5">
        <v>382.07</v>
      </c>
      <c r="D1056" s="2">
        <v>0.74174768518423662</v>
      </c>
      <c r="E1056" s="4">
        <v>45082</v>
      </c>
      <c r="F1056" s="7" t="s">
        <v>46</v>
      </c>
      <c r="G1056" s="7" t="s">
        <v>296</v>
      </c>
      <c r="H1056" s="7" t="s">
        <v>2696</v>
      </c>
      <c r="I1056" s="7" t="s">
        <v>431</v>
      </c>
      <c r="J1056" s="7" t="s">
        <v>50</v>
      </c>
      <c r="K1056" s="7" t="s">
        <v>69</v>
      </c>
      <c r="L1056" s="8">
        <v>62</v>
      </c>
      <c r="M1056" s="7" t="s">
        <v>23</v>
      </c>
      <c r="N1056" s="8">
        <v>147</v>
      </c>
      <c r="O1056" s="8">
        <v>1</v>
      </c>
      <c r="P1056" s="5">
        <v>10156.09</v>
      </c>
      <c r="Q1056" s="4">
        <v>45600</v>
      </c>
      <c r="R1056" s="9">
        <v>0.33908564814814812</v>
      </c>
      <c r="S1056" s="8">
        <v>17</v>
      </c>
      <c r="T1056" s="7" t="s">
        <v>4454</v>
      </c>
      <c r="U1056" s="7" t="s">
        <v>4455</v>
      </c>
      <c r="V10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57" spans="1:22" x14ac:dyDescent="0.35">
      <c r="A1057" s="7" t="s">
        <v>2697</v>
      </c>
      <c r="B1057" s="7" t="s">
        <v>118</v>
      </c>
      <c r="C1057" s="5">
        <v>13.48</v>
      </c>
      <c r="D1057" s="2">
        <v>0.74297453703911742</v>
      </c>
      <c r="E1057" s="4">
        <v>45189</v>
      </c>
      <c r="F1057" s="7" t="s">
        <v>17</v>
      </c>
      <c r="G1057" s="7" t="s">
        <v>146</v>
      </c>
      <c r="H1057" s="7" t="s">
        <v>2698</v>
      </c>
      <c r="I1057" s="7" t="s">
        <v>82</v>
      </c>
      <c r="J1057" s="7" t="s">
        <v>209</v>
      </c>
      <c r="K1057" s="7" t="s">
        <v>36</v>
      </c>
      <c r="L1057" s="8">
        <v>18</v>
      </c>
      <c r="M1057" s="7" t="s">
        <v>37</v>
      </c>
      <c r="N1057" s="8">
        <v>20</v>
      </c>
      <c r="O1057" s="8">
        <v>3</v>
      </c>
      <c r="P1057" s="5">
        <v>521.88</v>
      </c>
      <c r="Q1057" s="4">
        <v>45600</v>
      </c>
      <c r="R1057" s="9">
        <v>0.34050925925925923</v>
      </c>
      <c r="S1057" s="8">
        <v>17</v>
      </c>
      <c r="T1057" s="7" t="s">
        <v>4456</v>
      </c>
      <c r="U1057" s="7" t="s">
        <v>4458</v>
      </c>
      <c r="V10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58" spans="1:22" x14ac:dyDescent="0.35">
      <c r="A1058" s="7" t="s">
        <v>2699</v>
      </c>
      <c r="B1058" s="7" t="s">
        <v>488</v>
      </c>
      <c r="C1058" s="5">
        <v>65.319999999999993</v>
      </c>
      <c r="D1058" s="2">
        <v>0.67766203703649808</v>
      </c>
      <c r="E1058" s="4">
        <v>45232</v>
      </c>
      <c r="F1058" s="7" t="s">
        <v>17</v>
      </c>
      <c r="G1058" s="7" t="s">
        <v>32</v>
      </c>
      <c r="H1058" s="7" t="s">
        <v>377</v>
      </c>
      <c r="I1058" s="7" t="s">
        <v>1732</v>
      </c>
      <c r="J1058" s="7" t="s">
        <v>209</v>
      </c>
      <c r="K1058" s="7" t="s">
        <v>22</v>
      </c>
      <c r="L1058" s="8">
        <v>28</v>
      </c>
      <c r="M1058" s="7" t="s">
        <v>37</v>
      </c>
      <c r="N1058" s="8">
        <v>54</v>
      </c>
      <c r="O1058" s="8">
        <v>1</v>
      </c>
      <c r="P1058" s="5">
        <v>9165.02</v>
      </c>
      <c r="Q1058" s="4">
        <v>45600</v>
      </c>
      <c r="R1058" s="9">
        <v>0.34107638888888892</v>
      </c>
      <c r="S1058" s="8">
        <v>16</v>
      </c>
      <c r="T1058" s="7" t="s">
        <v>4456</v>
      </c>
      <c r="U1058" s="7" t="s">
        <v>4455</v>
      </c>
      <c r="V10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59" spans="1:22" x14ac:dyDescent="0.35">
      <c r="A1059" s="7" t="s">
        <v>2700</v>
      </c>
      <c r="B1059" s="7" t="s">
        <v>2701</v>
      </c>
      <c r="C1059" s="5">
        <v>83.07</v>
      </c>
      <c r="D1059" s="2">
        <v>0.67630787037342088</v>
      </c>
      <c r="E1059" s="4">
        <v>44932</v>
      </c>
      <c r="F1059" s="7" t="s">
        <v>17</v>
      </c>
      <c r="G1059" s="7" t="s">
        <v>172</v>
      </c>
      <c r="H1059" s="7" t="s">
        <v>526</v>
      </c>
      <c r="I1059" s="7" t="s">
        <v>1072</v>
      </c>
      <c r="J1059" s="7" t="s">
        <v>607</v>
      </c>
      <c r="K1059" s="7" t="s">
        <v>69</v>
      </c>
      <c r="L1059" s="8">
        <v>27</v>
      </c>
      <c r="M1059" s="7" t="s">
        <v>77</v>
      </c>
      <c r="N1059" s="8">
        <v>291</v>
      </c>
      <c r="O1059" s="8">
        <v>4</v>
      </c>
      <c r="P1059" s="5">
        <v>6704.76</v>
      </c>
      <c r="Q1059" s="4">
        <v>45600</v>
      </c>
      <c r="R1059" s="9">
        <v>0.34076388888888887</v>
      </c>
      <c r="S1059" s="8">
        <v>16</v>
      </c>
      <c r="T1059" s="7" t="s">
        <v>4456</v>
      </c>
      <c r="U1059" s="7" t="s">
        <v>4458</v>
      </c>
      <c r="V10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60" spans="1:22" x14ac:dyDescent="0.35">
      <c r="A1060" s="7" t="s">
        <v>2702</v>
      </c>
      <c r="B1060" s="7" t="s">
        <v>248</v>
      </c>
      <c r="C1060" s="5">
        <v>730.1</v>
      </c>
      <c r="D1060" s="2">
        <v>0.75331018518772908</v>
      </c>
      <c r="E1060" s="4">
        <v>45132</v>
      </c>
      <c r="F1060" s="7" t="s">
        <v>46</v>
      </c>
      <c r="G1060" s="7" t="s">
        <v>265</v>
      </c>
      <c r="H1060" s="7" t="s">
        <v>457</v>
      </c>
      <c r="I1060" s="7" t="s">
        <v>1943</v>
      </c>
      <c r="J1060" s="7" t="s">
        <v>200</v>
      </c>
      <c r="K1060" s="7" t="s">
        <v>69</v>
      </c>
      <c r="L1060" s="8">
        <v>77</v>
      </c>
      <c r="M1060" s="7" t="s">
        <v>70</v>
      </c>
      <c r="N1060" s="8">
        <v>93</v>
      </c>
      <c r="O1060" s="8">
        <v>1</v>
      </c>
      <c r="P1060" s="5">
        <v>6384.05</v>
      </c>
      <c r="Q1060" s="4">
        <v>45600</v>
      </c>
      <c r="R1060" s="9">
        <v>0.33805555555555555</v>
      </c>
      <c r="S1060" s="8">
        <v>18</v>
      </c>
      <c r="T1060" s="7" t="s">
        <v>4454</v>
      </c>
      <c r="U1060" s="7" t="s">
        <v>4455</v>
      </c>
      <c r="V10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61" spans="1:22" x14ac:dyDescent="0.35">
      <c r="A1061" s="7" t="s">
        <v>2703</v>
      </c>
      <c r="B1061" s="7" t="s">
        <v>1974</v>
      </c>
      <c r="C1061" s="5">
        <v>85.31</v>
      </c>
      <c r="D1061" s="2">
        <v>0.67087962962978054</v>
      </c>
      <c r="E1061" s="4">
        <v>45271</v>
      </c>
      <c r="F1061" s="7" t="s">
        <v>17</v>
      </c>
      <c r="G1061" s="7" t="s">
        <v>291</v>
      </c>
      <c r="H1061" s="7" t="s">
        <v>1135</v>
      </c>
      <c r="I1061" s="7" t="s">
        <v>583</v>
      </c>
      <c r="J1061" s="7" t="s">
        <v>62</v>
      </c>
      <c r="K1061" s="7" t="s">
        <v>22</v>
      </c>
      <c r="L1061" s="8">
        <v>62</v>
      </c>
      <c r="M1061" s="7" t="s">
        <v>70</v>
      </c>
      <c r="N1061" s="8">
        <v>27</v>
      </c>
      <c r="O1061" s="8">
        <v>1</v>
      </c>
      <c r="P1061" s="5">
        <v>6095.65</v>
      </c>
      <c r="Q1061" s="4">
        <v>45600</v>
      </c>
      <c r="R1061" s="9">
        <v>0.33903935185185186</v>
      </c>
      <c r="S1061" s="8">
        <v>16</v>
      </c>
      <c r="T1061" s="7" t="s">
        <v>4454</v>
      </c>
      <c r="U1061" s="7" t="s">
        <v>4455</v>
      </c>
      <c r="V10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62" spans="1:22" x14ac:dyDescent="0.35">
      <c r="A1062" s="7" t="s">
        <v>2704</v>
      </c>
      <c r="B1062" s="7" t="s">
        <v>1745</v>
      </c>
      <c r="C1062" s="5">
        <v>726.61</v>
      </c>
      <c r="D1062" s="2">
        <v>0.68844907407765277</v>
      </c>
      <c r="E1062" s="4">
        <v>45233</v>
      </c>
      <c r="F1062" s="7" t="s">
        <v>17</v>
      </c>
      <c r="G1062" s="7" t="s">
        <v>425</v>
      </c>
      <c r="H1062" s="7" t="s">
        <v>461</v>
      </c>
      <c r="I1062" s="7" t="s">
        <v>2705</v>
      </c>
      <c r="J1062" s="7" t="s">
        <v>427</v>
      </c>
      <c r="K1062" s="7" t="s">
        <v>22</v>
      </c>
      <c r="L1062" s="8">
        <v>18</v>
      </c>
      <c r="M1062" s="7" t="s">
        <v>37</v>
      </c>
      <c r="N1062" s="8">
        <v>277</v>
      </c>
      <c r="O1062" s="8">
        <v>1</v>
      </c>
      <c r="P1062" s="5">
        <v>1008.76</v>
      </c>
      <c r="Q1062" s="4">
        <v>45600</v>
      </c>
      <c r="R1062" s="9">
        <v>0.34043981481481483</v>
      </c>
      <c r="S1062" s="8">
        <v>16</v>
      </c>
      <c r="T1062" s="7" t="s">
        <v>4456</v>
      </c>
      <c r="U1062" s="7" t="s">
        <v>4455</v>
      </c>
      <c r="V10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63" spans="1:22" x14ac:dyDescent="0.35">
      <c r="A1063" s="7" t="s">
        <v>2706</v>
      </c>
      <c r="B1063" s="7" t="s">
        <v>2707</v>
      </c>
      <c r="C1063" s="5">
        <v>130.4</v>
      </c>
      <c r="D1063" s="2">
        <v>0.68856481481634546</v>
      </c>
      <c r="E1063" s="4">
        <v>45019</v>
      </c>
      <c r="F1063" s="7" t="s">
        <v>17</v>
      </c>
      <c r="G1063" s="7" t="s">
        <v>40</v>
      </c>
      <c r="H1063" s="7" t="s">
        <v>1578</v>
      </c>
      <c r="I1063" s="7" t="s">
        <v>673</v>
      </c>
      <c r="J1063" s="7" t="s">
        <v>1209</v>
      </c>
      <c r="K1063" s="7" t="s">
        <v>69</v>
      </c>
      <c r="L1063" s="8">
        <v>45</v>
      </c>
      <c r="M1063" s="7" t="s">
        <v>77</v>
      </c>
      <c r="N1063" s="8">
        <v>63</v>
      </c>
      <c r="O1063" s="8">
        <v>1</v>
      </c>
      <c r="P1063" s="5">
        <v>4381.24</v>
      </c>
      <c r="Q1063" s="4">
        <v>45600</v>
      </c>
      <c r="R1063" s="9">
        <v>0.34005787037037039</v>
      </c>
      <c r="S1063" s="8">
        <v>16</v>
      </c>
      <c r="T1063" s="7" t="s">
        <v>4457</v>
      </c>
      <c r="U1063" s="7" t="s">
        <v>4455</v>
      </c>
      <c r="V10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64" spans="1:22" x14ac:dyDescent="0.35">
      <c r="A1064" s="7" t="s">
        <v>2708</v>
      </c>
      <c r="B1064" s="7" t="s">
        <v>322</v>
      </c>
      <c r="C1064" s="5">
        <v>68.099999999999994</v>
      </c>
      <c r="D1064" s="2">
        <v>0.66673611111036735</v>
      </c>
      <c r="E1064" s="4">
        <v>44928</v>
      </c>
      <c r="F1064" s="7" t="s">
        <v>17</v>
      </c>
      <c r="G1064" s="7" t="s">
        <v>178</v>
      </c>
      <c r="H1064" s="7" t="s">
        <v>33</v>
      </c>
      <c r="I1064" s="7" t="s">
        <v>1665</v>
      </c>
      <c r="J1064" s="7" t="s">
        <v>548</v>
      </c>
      <c r="K1064" s="7" t="s">
        <v>22</v>
      </c>
      <c r="L1064" s="8">
        <v>20</v>
      </c>
      <c r="M1064" s="7" t="s">
        <v>37</v>
      </c>
      <c r="N1064" s="8">
        <v>47</v>
      </c>
      <c r="O1064" s="8">
        <v>1</v>
      </c>
      <c r="P1064" s="5">
        <v>1382.8</v>
      </c>
      <c r="Q1064" s="4">
        <v>45600</v>
      </c>
      <c r="R1064" s="9">
        <v>0.34045138888888887</v>
      </c>
      <c r="S1064" s="8">
        <v>16</v>
      </c>
      <c r="T1064" s="7" t="s">
        <v>4456</v>
      </c>
      <c r="U1064" s="7" t="s">
        <v>4455</v>
      </c>
      <c r="V10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65" spans="1:22" x14ac:dyDescent="0.35">
      <c r="A1065" s="7" t="s">
        <v>2709</v>
      </c>
      <c r="B1065" s="7" t="s">
        <v>2710</v>
      </c>
      <c r="C1065" s="5">
        <v>65.260000000000005</v>
      </c>
      <c r="D1065" s="2">
        <v>0.7122106481474475</v>
      </c>
      <c r="E1065" s="4">
        <v>45268</v>
      </c>
      <c r="F1065" s="7" t="s">
        <v>17</v>
      </c>
      <c r="G1065" s="7" t="s">
        <v>285</v>
      </c>
      <c r="H1065" s="7" t="s">
        <v>582</v>
      </c>
      <c r="I1065" s="7" t="s">
        <v>261</v>
      </c>
      <c r="J1065" s="7" t="s">
        <v>607</v>
      </c>
      <c r="K1065" s="7" t="s">
        <v>69</v>
      </c>
      <c r="L1065" s="8">
        <v>26</v>
      </c>
      <c r="M1065" s="7" t="s">
        <v>37</v>
      </c>
      <c r="N1065" s="8">
        <v>72</v>
      </c>
      <c r="O1065" s="8">
        <v>1</v>
      </c>
      <c r="P1065" s="5">
        <v>7380.63</v>
      </c>
      <c r="Q1065" s="4">
        <v>45600</v>
      </c>
      <c r="R1065" s="9">
        <v>0.34090277777777778</v>
      </c>
      <c r="S1065" s="8">
        <v>17</v>
      </c>
      <c r="T1065" s="7" t="s">
        <v>4456</v>
      </c>
      <c r="U1065" s="7" t="s">
        <v>4455</v>
      </c>
      <c r="V10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66" spans="1:22" x14ac:dyDescent="0.35">
      <c r="A1066" s="7" t="s">
        <v>2711</v>
      </c>
      <c r="B1066" s="7" t="s">
        <v>1799</v>
      </c>
      <c r="C1066" s="5">
        <v>191.62</v>
      </c>
      <c r="D1066" s="2">
        <v>0.72208333333401242</v>
      </c>
      <c r="E1066" s="4">
        <v>45135</v>
      </c>
      <c r="F1066" s="7" t="s">
        <v>17</v>
      </c>
      <c r="G1066" s="7" t="s">
        <v>392</v>
      </c>
      <c r="H1066" s="7" t="s">
        <v>579</v>
      </c>
      <c r="I1066" s="7" t="s">
        <v>444</v>
      </c>
      <c r="J1066" s="7" t="s">
        <v>1810</v>
      </c>
      <c r="K1066" s="7" t="s">
        <v>69</v>
      </c>
      <c r="L1066" s="8">
        <v>63</v>
      </c>
      <c r="M1066" s="7" t="s">
        <v>23</v>
      </c>
      <c r="N1066" s="8">
        <v>51</v>
      </c>
      <c r="O1066" s="8">
        <v>1</v>
      </c>
      <c r="P1066" s="5">
        <v>1981.67</v>
      </c>
      <c r="Q1066" s="4">
        <v>45600</v>
      </c>
      <c r="R1066" s="9">
        <v>0.33824074074074073</v>
      </c>
      <c r="S1066" s="8">
        <v>17</v>
      </c>
      <c r="T1066" s="7" t="s">
        <v>4454</v>
      </c>
      <c r="U1066" s="7" t="s">
        <v>4455</v>
      </c>
      <c r="V10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67" spans="1:22" x14ac:dyDescent="0.35">
      <c r="A1067" s="7" t="s">
        <v>2712</v>
      </c>
      <c r="B1067" s="7" t="s">
        <v>167</v>
      </c>
      <c r="C1067" s="5">
        <v>212.88</v>
      </c>
      <c r="D1067" s="2">
        <v>0.78082175926101627</v>
      </c>
      <c r="E1067" s="4">
        <v>45065</v>
      </c>
      <c r="F1067" s="7" t="s">
        <v>17</v>
      </c>
      <c r="G1067" s="7" t="s">
        <v>558</v>
      </c>
      <c r="H1067" s="7" t="s">
        <v>579</v>
      </c>
      <c r="I1067" s="7" t="s">
        <v>903</v>
      </c>
      <c r="J1067" s="7" t="s">
        <v>619</v>
      </c>
      <c r="K1067" s="7" t="s">
        <v>36</v>
      </c>
      <c r="L1067" s="8">
        <v>39</v>
      </c>
      <c r="M1067" s="7" t="s">
        <v>23</v>
      </c>
      <c r="N1067" s="8">
        <v>122</v>
      </c>
      <c r="O1067" s="8">
        <v>1</v>
      </c>
      <c r="P1067" s="5">
        <v>7036.72</v>
      </c>
      <c r="Q1067" s="4">
        <v>45600</v>
      </c>
      <c r="R1067" s="9">
        <v>0.34138888888888891</v>
      </c>
      <c r="S1067" s="8">
        <v>18</v>
      </c>
      <c r="T1067" s="7" t="s">
        <v>4457</v>
      </c>
      <c r="U1067" s="7" t="s">
        <v>4455</v>
      </c>
      <c r="V10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68" spans="1:22" x14ac:dyDescent="0.35">
      <c r="A1068" s="7" t="s">
        <v>2713</v>
      </c>
      <c r="B1068" s="7" t="s">
        <v>2019</v>
      </c>
      <c r="C1068" s="5">
        <v>88.38</v>
      </c>
      <c r="D1068" s="2">
        <v>0.67399305555591127</v>
      </c>
      <c r="E1068" s="4">
        <v>44943</v>
      </c>
      <c r="F1068" s="7" t="s">
        <v>17</v>
      </c>
      <c r="G1068" s="7" t="s">
        <v>301</v>
      </c>
      <c r="H1068" s="7" t="s">
        <v>1875</v>
      </c>
      <c r="I1068" s="7" t="s">
        <v>2327</v>
      </c>
      <c r="J1068" s="7" t="s">
        <v>607</v>
      </c>
      <c r="K1068" s="7" t="s">
        <v>22</v>
      </c>
      <c r="L1068" s="8">
        <v>30</v>
      </c>
      <c r="M1068" s="7" t="s">
        <v>77</v>
      </c>
      <c r="N1068" s="8">
        <v>138</v>
      </c>
      <c r="O1068" s="8">
        <v>1</v>
      </c>
      <c r="P1068" s="5">
        <v>3707.82</v>
      </c>
      <c r="Q1068" s="4">
        <v>45600</v>
      </c>
      <c r="R1068" s="9">
        <v>0.33905092592592595</v>
      </c>
      <c r="S1068" s="8">
        <v>16</v>
      </c>
      <c r="T1068" s="7" t="s">
        <v>4456</v>
      </c>
      <c r="U1068" s="7" t="s">
        <v>4455</v>
      </c>
      <c r="V10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69" spans="1:22" x14ac:dyDescent="0.35">
      <c r="A1069" s="7" t="s">
        <v>2714</v>
      </c>
      <c r="B1069" s="7" t="s">
        <v>1238</v>
      </c>
      <c r="C1069" s="5">
        <v>48.77</v>
      </c>
      <c r="D1069" s="2">
        <v>0.74244212963094469</v>
      </c>
      <c r="E1069" s="4">
        <v>45092</v>
      </c>
      <c r="F1069" s="7" t="s">
        <v>46</v>
      </c>
      <c r="G1069" s="7" t="s">
        <v>119</v>
      </c>
      <c r="H1069" s="7" t="s">
        <v>1410</v>
      </c>
      <c r="I1069" s="7" t="s">
        <v>2630</v>
      </c>
      <c r="J1069" s="7" t="s">
        <v>759</v>
      </c>
      <c r="K1069" s="7" t="s">
        <v>36</v>
      </c>
      <c r="L1069" s="8">
        <v>42</v>
      </c>
      <c r="M1069" s="7" t="s">
        <v>77</v>
      </c>
      <c r="N1069" s="8">
        <v>51</v>
      </c>
      <c r="O1069" s="8">
        <v>1</v>
      </c>
      <c r="P1069" s="5">
        <v>2040.16</v>
      </c>
      <c r="Q1069" s="4">
        <v>45600</v>
      </c>
      <c r="R1069" s="9">
        <v>0.33913194444444444</v>
      </c>
      <c r="S1069" s="8">
        <v>17</v>
      </c>
      <c r="T1069" s="7" t="s">
        <v>4457</v>
      </c>
      <c r="U1069" s="7" t="s">
        <v>4455</v>
      </c>
      <c r="V10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70" spans="1:22" x14ac:dyDescent="0.35">
      <c r="A1070" s="7" t="s">
        <v>2715</v>
      </c>
      <c r="B1070" s="7" t="s">
        <v>1794</v>
      </c>
      <c r="C1070" s="5">
        <v>289.10000000000002</v>
      </c>
      <c r="D1070" s="2">
        <v>0.67285879629343981</v>
      </c>
      <c r="E1070" s="4">
        <v>45118</v>
      </c>
      <c r="F1070" s="7" t="s">
        <v>17</v>
      </c>
      <c r="G1070" s="7" t="s">
        <v>197</v>
      </c>
      <c r="H1070" s="7" t="s">
        <v>1447</v>
      </c>
      <c r="I1070" s="7" t="s">
        <v>2346</v>
      </c>
      <c r="J1070" s="7" t="s">
        <v>331</v>
      </c>
      <c r="K1070" s="7" t="s">
        <v>22</v>
      </c>
      <c r="L1070" s="8">
        <v>27</v>
      </c>
      <c r="M1070" s="7" t="s">
        <v>37</v>
      </c>
      <c r="N1070" s="8">
        <v>206</v>
      </c>
      <c r="O1070" s="8">
        <v>1</v>
      </c>
      <c r="P1070" s="5">
        <v>267.52999999999997</v>
      </c>
      <c r="Q1070" s="4">
        <v>45600</v>
      </c>
      <c r="R1070" s="9">
        <v>0.34020833333333333</v>
      </c>
      <c r="S1070" s="8">
        <v>16</v>
      </c>
      <c r="T1070" s="7" t="s">
        <v>4456</v>
      </c>
      <c r="U1070" s="7" t="s">
        <v>4455</v>
      </c>
      <c r="V10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71" spans="1:22" x14ac:dyDescent="0.35">
      <c r="A1071" s="7" t="s">
        <v>2716</v>
      </c>
      <c r="B1071" s="7" t="s">
        <v>2352</v>
      </c>
      <c r="C1071" s="5">
        <v>390.09</v>
      </c>
      <c r="D1071" s="2">
        <v>0.70324074073869269</v>
      </c>
      <c r="E1071" s="4">
        <v>45208</v>
      </c>
      <c r="F1071" s="7" t="s">
        <v>17</v>
      </c>
      <c r="G1071" s="7" t="s">
        <v>506</v>
      </c>
      <c r="H1071" s="7" t="s">
        <v>93</v>
      </c>
      <c r="I1071" s="7" t="s">
        <v>1797</v>
      </c>
      <c r="J1071" s="7" t="s">
        <v>100</v>
      </c>
      <c r="K1071" s="7" t="s">
        <v>36</v>
      </c>
      <c r="L1071" s="8">
        <v>26</v>
      </c>
      <c r="M1071" s="7" t="s">
        <v>77</v>
      </c>
      <c r="N1071" s="8">
        <v>49</v>
      </c>
      <c r="O1071" s="8">
        <v>1</v>
      </c>
      <c r="P1071" s="5">
        <v>2617.23</v>
      </c>
      <c r="Q1071" s="4">
        <v>45600</v>
      </c>
      <c r="R1071" s="9">
        <v>0.34043981481481483</v>
      </c>
      <c r="S1071" s="8">
        <v>16</v>
      </c>
      <c r="T1071" s="7" t="s">
        <v>4456</v>
      </c>
      <c r="U1071" s="7" t="s">
        <v>4455</v>
      </c>
      <c r="V10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72" spans="1:22" x14ac:dyDescent="0.35">
      <c r="A1072" s="7" t="s">
        <v>2717</v>
      </c>
      <c r="B1072" s="7" t="s">
        <v>892</v>
      </c>
      <c r="C1072" s="5">
        <v>48.29</v>
      </c>
      <c r="D1072" s="2">
        <v>0.74923611111444188</v>
      </c>
      <c r="E1072" s="4">
        <v>45194</v>
      </c>
      <c r="F1072" s="7" t="s">
        <v>17</v>
      </c>
      <c r="G1072" s="7" t="s">
        <v>18</v>
      </c>
      <c r="H1072" s="7" t="s">
        <v>393</v>
      </c>
      <c r="I1072" s="7" t="s">
        <v>2718</v>
      </c>
      <c r="J1072" s="7" t="s">
        <v>406</v>
      </c>
      <c r="K1072" s="7" t="s">
        <v>36</v>
      </c>
      <c r="L1072" s="8">
        <v>37</v>
      </c>
      <c r="M1072" s="7" t="s">
        <v>77</v>
      </c>
      <c r="N1072" s="8">
        <v>242</v>
      </c>
      <c r="O1072" s="8">
        <v>1</v>
      </c>
      <c r="P1072" s="5">
        <v>8883.4</v>
      </c>
      <c r="Q1072" s="4">
        <v>45600</v>
      </c>
      <c r="R1072" s="9">
        <v>0.33884259259259258</v>
      </c>
      <c r="S1072" s="8">
        <v>17</v>
      </c>
      <c r="T1072" s="7" t="s">
        <v>4457</v>
      </c>
      <c r="U1072" s="7" t="s">
        <v>4455</v>
      </c>
      <c r="V10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73" spans="1:22" x14ac:dyDescent="0.35">
      <c r="A1073" s="7" t="s">
        <v>2719</v>
      </c>
      <c r="B1073" s="7" t="s">
        <v>2056</v>
      </c>
      <c r="C1073" s="5">
        <v>333.83</v>
      </c>
      <c r="D1073" s="2">
        <v>0.74085648148320615</v>
      </c>
      <c r="E1073" s="4">
        <v>45138</v>
      </c>
      <c r="F1073" s="7" t="s">
        <v>17</v>
      </c>
      <c r="G1073" s="7" t="s">
        <v>558</v>
      </c>
      <c r="H1073" s="7" t="s">
        <v>2505</v>
      </c>
      <c r="I1073" s="7" t="s">
        <v>662</v>
      </c>
      <c r="J1073" s="7" t="s">
        <v>348</v>
      </c>
      <c r="K1073" s="7" t="s">
        <v>22</v>
      </c>
      <c r="L1073" s="8">
        <v>63</v>
      </c>
      <c r="M1073" s="7" t="s">
        <v>70</v>
      </c>
      <c r="N1073" s="8">
        <v>135</v>
      </c>
      <c r="O1073" s="8">
        <v>1</v>
      </c>
      <c r="P1073" s="5">
        <v>1660.66</v>
      </c>
      <c r="Q1073" s="4">
        <v>45600</v>
      </c>
      <c r="R1073" s="9">
        <v>0.34105324074074073</v>
      </c>
      <c r="S1073" s="8">
        <v>17</v>
      </c>
      <c r="T1073" s="7" t="s">
        <v>4454</v>
      </c>
      <c r="U1073" s="7" t="s">
        <v>4455</v>
      </c>
      <c r="V10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74" spans="1:22" x14ac:dyDescent="0.35">
      <c r="A1074" s="7" t="s">
        <v>2720</v>
      </c>
      <c r="B1074" s="7" t="s">
        <v>1785</v>
      </c>
      <c r="C1074" s="5">
        <v>1074.29</v>
      </c>
      <c r="D1074" s="2">
        <v>0.6966898148166365</v>
      </c>
      <c r="E1074" s="4">
        <v>44931</v>
      </c>
      <c r="F1074" s="7" t="s">
        <v>17</v>
      </c>
      <c r="G1074" s="7" t="s">
        <v>595</v>
      </c>
      <c r="H1074" s="7" t="s">
        <v>2721</v>
      </c>
      <c r="I1074" s="7" t="s">
        <v>1072</v>
      </c>
      <c r="J1074" s="7" t="s">
        <v>427</v>
      </c>
      <c r="K1074" s="7" t="s">
        <v>69</v>
      </c>
      <c r="L1074" s="8">
        <v>67</v>
      </c>
      <c r="M1074" s="7" t="s">
        <v>70</v>
      </c>
      <c r="N1074" s="8">
        <v>79</v>
      </c>
      <c r="O1074" s="8">
        <v>1</v>
      </c>
      <c r="P1074" s="5">
        <v>2011.6</v>
      </c>
      <c r="Q1074" s="4">
        <v>45600</v>
      </c>
      <c r="R1074" s="9">
        <v>0.34112268518518518</v>
      </c>
      <c r="S1074" s="8">
        <v>16</v>
      </c>
      <c r="T1074" s="7" t="s">
        <v>4454</v>
      </c>
      <c r="U1074" s="7" t="s">
        <v>4455</v>
      </c>
      <c r="V10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75" spans="1:22" x14ac:dyDescent="0.35">
      <c r="A1075" s="7" t="s">
        <v>2722</v>
      </c>
      <c r="B1075" s="7" t="s">
        <v>698</v>
      </c>
      <c r="C1075" s="5">
        <v>100.27</v>
      </c>
      <c r="D1075" s="2">
        <v>0.72616898148407927</v>
      </c>
      <c r="E1075" s="4">
        <v>45117</v>
      </c>
      <c r="F1075" s="7" t="s">
        <v>17</v>
      </c>
      <c r="G1075" s="7" t="s">
        <v>172</v>
      </c>
      <c r="H1075" s="7" t="s">
        <v>2723</v>
      </c>
      <c r="I1075" s="7" t="s">
        <v>1779</v>
      </c>
      <c r="J1075" s="7" t="s">
        <v>414</v>
      </c>
      <c r="K1075" s="7" t="s">
        <v>36</v>
      </c>
      <c r="L1075" s="8">
        <v>79</v>
      </c>
      <c r="M1075" s="7" t="s">
        <v>70</v>
      </c>
      <c r="N1075" s="8">
        <v>51</v>
      </c>
      <c r="O1075" s="8">
        <v>1</v>
      </c>
      <c r="P1075" s="5">
        <v>4309.8999999999996</v>
      </c>
      <c r="Q1075" s="4">
        <v>45600</v>
      </c>
      <c r="R1075" s="9">
        <v>0.3407175925925926</v>
      </c>
      <c r="S1075" s="8">
        <v>17</v>
      </c>
      <c r="T1075" s="7" t="s">
        <v>4454</v>
      </c>
      <c r="U1075" s="7" t="s">
        <v>4455</v>
      </c>
      <c r="V10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76" spans="1:22" x14ac:dyDescent="0.35">
      <c r="A1076" s="7" t="s">
        <v>2724</v>
      </c>
      <c r="B1076" s="7" t="s">
        <v>1238</v>
      </c>
      <c r="C1076" s="5">
        <v>44.54</v>
      </c>
      <c r="D1076" s="2">
        <v>0.68331018518802011</v>
      </c>
      <c r="E1076" s="4">
        <v>45215</v>
      </c>
      <c r="F1076" s="7" t="s">
        <v>17</v>
      </c>
      <c r="G1076" s="7" t="s">
        <v>237</v>
      </c>
      <c r="H1076" s="7" t="s">
        <v>173</v>
      </c>
      <c r="I1076" s="7" t="s">
        <v>2725</v>
      </c>
      <c r="J1076" s="7" t="s">
        <v>122</v>
      </c>
      <c r="K1076" s="7" t="s">
        <v>22</v>
      </c>
      <c r="L1076" s="8">
        <v>31</v>
      </c>
      <c r="M1076" s="7" t="s">
        <v>77</v>
      </c>
      <c r="N1076" s="8">
        <v>164</v>
      </c>
      <c r="O1076" s="8">
        <v>1</v>
      </c>
      <c r="P1076" s="5">
        <v>362.4</v>
      </c>
      <c r="Q1076" s="4">
        <v>45600</v>
      </c>
      <c r="R1076" s="9">
        <v>0.33887731481481481</v>
      </c>
      <c r="S1076" s="8">
        <v>16</v>
      </c>
      <c r="T1076" s="7" t="s">
        <v>4456</v>
      </c>
      <c r="U1076" s="7" t="s">
        <v>4455</v>
      </c>
      <c r="V10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77" spans="1:22" x14ac:dyDescent="0.35">
      <c r="A1077" s="7" t="s">
        <v>2726</v>
      </c>
      <c r="B1077" s="7" t="s">
        <v>1927</v>
      </c>
      <c r="C1077" s="5">
        <v>1156.18</v>
      </c>
      <c r="D1077" s="2">
        <v>0.67484953703387873</v>
      </c>
      <c r="E1077" s="4">
        <v>45190</v>
      </c>
      <c r="F1077" s="7" t="s">
        <v>46</v>
      </c>
      <c r="G1077" s="7" t="s">
        <v>425</v>
      </c>
      <c r="H1077" s="7" t="s">
        <v>856</v>
      </c>
      <c r="I1077" s="7" t="s">
        <v>2727</v>
      </c>
      <c r="J1077" s="7" t="s">
        <v>56</v>
      </c>
      <c r="K1077" s="7" t="s">
        <v>36</v>
      </c>
      <c r="L1077" s="8">
        <v>52</v>
      </c>
      <c r="M1077" s="7" t="s">
        <v>23</v>
      </c>
      <c r="N1077" s="8">
        <v>40</v>
      </c>
      <c r="O1077" s="8">
        <v>1</v>
      </c>
      <c r="P1077" s="5">
        <v>836.69</v>
      </c>
      <c r="Q1077" s="4">
        <v>45600</v>
      </c>
      <c r="R1077" s="9">
        <v>0.34140046296296295</v>
      </c>
      <c r="S1077" s="8">
        <v>16</v>
      </c>
      <c r="T1077" s="7" t="s">
        <v>4457</v>
      </c>
      <c r="U1077" s="7" t="s">
        <v>4455</v>
      </c>
      <c r="V10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78" spans="1:22" x14ac:dyDescent="0.35">
      <c r="A1078" s="7" t="s">
        <v>2728</v>
      </c>
      <c r="B1078" s="7" t="s">
        <v>968</v>
      </c>
      <c r="C1078" s="5">
        <v>82.17</v>
      </c>
      <c r="D1078" s="2">
        <v>0.76741898147884058</v>
      </c>
      <c r="E1078" s="4">
        <v>45278</v>
      </c>
      <c r="F1078" s="7" t="s">
        <v>17</v>
      </c>
      <c r="G1078" s="7" t="s">
        <v>157</v>
      </c>
      <c r="H1078" s="7" t="s">
        <v>1952</v>
      </c>
      <c r="I1078" s="7" t="s">
        <v>2729</v>
      </c>
      <c r="J1078" s="7" t="s">
        <v>1287</v>
      </c>
      <c r="K1078" s="7" t="s">
        <v>69</v>
      </c>
      <c r="L1078" s="8">
        <v>28</v>
      </c>
      <c r="M1078" s="7" t="s">
        <v>37</v>
      </c>
      <c r="N1078" s="8">
        <v>21</v>
      </c>
      <c r="O1078" s="8">
        <v>1</v>
      </c>
      <c r="P1078" s="5">
        <v>1913.06</v>
      </c>
      <c r="Q1078" s="4">
        <v>45600</v>
      </c>
      <c r="R1078" s="9">
        <v>0.34001157407407406</v>
      </c>
      <c r="S1078" s="8">
        <v>18</v>
      </c>
      <c r="T1078" s="7" t="s">
        <v>4456</v>
      </c>
      <c r="U1078" s="7" t="s">
        <v>4455</v>
      </c>
      <c r="V10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79" spans="1:22" x14ac:dyDescent="0.35">
      <c r="A1079" s="7" t="s">
        <v>2730</v>
      </c>
      <c r="B1079" s="7" t="s">
        <v>756</v>
      </c>
      <c r="C1079" s="5">
        <v>1045.45</v>
      </c>
      <c r="D1079" s="2">
        <v>0.69846064814919373</v>
      </c>
      <c r="E1079" s="4">
        <v>45229</v>
      </c>
      <c r="F1079" s="7" t="s">
        <v>17</v>
      </c>
      <c r="G1079" s="7" t="s">
        <v>197</v>
      </c>
      <c r="H1079" s="7" t="s">
        <v>2123</v>
      </c>
      <c r="I1079" s="7" t="s">
        <v>1467</v>
      </c>
      <c r="J1079" s="7" t="s">
        <v>308</v>
      </c>
      <c r="K1079" s="7" t="s">
        <v>36</v>
      </c>
      <c r="L1079" s="8">
        <v>19</v>
      </c>
      <c r="M1079" s="7" t="s">
        <v>37</v>
      </c>
      <c r="N1079" s="8">
        <v>150</v>
      </c>
      <c r="O1079" s="8">
        <v>1</v>
      </c>
      <c r="P1079" s="5">
        <v>563.46</v>
      </c>
      <c r="Q1079" s="4">
        <v>45600</v>
      </c>
      <c r="R1079" s="9">
        <v>0.34165509259259258</v>
      </c>
      <c r="S1079" s="8">
        <v>16</v>
      </c>
      <c r="T1079" s="7" t="s">
        <v>4456</v>
      </c>
      <c r="U1079" s="7" t="s">
        <v>4455</v>
      </c>
      <c r="V10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0" spans="1:22" x14ac:dyDescent="0.35">
      <c r="A1080" s="7" t="s">
        <v>2731</v>
      </c>
      <c r="B1080" s="7" t="s">
        <v>749</v>
      </c>
      <c r="C1080" s="5">
        <v>447.42</v>
      </c>
      <c r="D1080" s="2">
        <v>0.68953703704028158</v>
      </c>
      <c r="E1080" s="4">
        <v>45278</v>
      </c>
      <c r="F1080" s="7" t="s">
        <v>17</v>
      </c>
      <c r="G1080" s="7" t="s">
        <v>249</v>
      </c>
      <c r="H1080" s="7" t="s">
        <v>2698</v>
      </c>
      <c r="I1080" s="7" t="s">
        <v>88</v>
      </c>
      <c r="J1080" s="7" t="s">
        <v>682</v>
      </c>
      <c r="K1080" s="7" t="s">
        <v>36</v>
      </c>
      <c r="L1080" s="8">
        <v>32</v>
      </c>
      <c r="M1080" s="7" t="s">
        <v>77</v>
      </c>
      <c r="N1080" s="8">
        <v>65</v>
      </c>
      <c r="O1080" s="8">
        <v>1</v>
      </c>
      <c r="P1080" s="5">
        <v>6133.22</v>
      </c>
      <c r="Q1080" s="4">
        <v>45600</v>
      </c>
      <c r="R1080" s="9">
        <v>0.33906249999999999</v>
      </c>
      <c r="S1080" s="8">
        <v>16</v>
      </c>
      <c r="T1080" s="7" t="s">
        <v>4456</v>
      </c>
      <c r="U1080" s="7" t="s">
        <v>4455</v>
      </c>
      <c r="V10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1" spans="1:22" x14ac:dyDescent="0.35">
      <c r="A1081" s="7" t="s">
        <v>2732</v>
      </c>
      <c r="B1081" s="7" t="s">
        <v>1057</v>
      </c>
      <c r="C1081" s="5">
        <v>590.26</v>
      </c>
      <c r="D1081" s="2">
        <v>0.68101851851679385</v>
      </c>
      <c r="E1081" s="4">
        <v>45096</v>
      </c>
      <c r="F1081" s="7" t="s">
        <v>46</v>
      </c>
      <c r="G1081" s="7" t="s">
        <v>119</v>
      </c>
      <c r="H1081" s="7" t="s">
        <v>975</v>
      </c>
      <c r="I1081" s="7" t="s">
        <v>1042</v>
      </c>
      <c r="J1081" s="7" t="s">
        <v>548</v>
      </c>
      <c r="K1081" s="7" t="s">
        <v>69</v>
      </c>
      <c r="L1081" s="8">
        <v>25</v>
      </c>
      <c r="M1081" s="7" t="s">
        <v>37</v>
      </c>
      <c r="N1081" s="8">
        <v>48</v>
      </c>
      <c r="O1081" s="8">
        <v>1</v>
      </c>
      <c r="P1081" s="5">
        <v>1068.28</v>
      </c>
      <c r="Q1081" s="4">
        <v>45600</v>
      </c>
      <c r="R1081" s="9">
        <v>0.33937499999999998</v>
      </c>
      <c r="S1081" s="8">
        <v>16</v>
      </c>
      <c r="T1081" s="7" t="s">
        <v>4456</v>
      </c>
      <c r="U1081" s="7" t="s">
        <v>4455</v>
      </c>
      <c r="V10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2" spans="1:22" x14ac:dyDescent="0.35">
      <c r="A1082" s="7" t="s">
        <v>2733</v>
      </c>
      <c r="B1082" s="7" t="s">
        <v>2149</v>
      </c>
      <c r="C1082" s="5">
        <v>192.73</v>
      </c>
      <c r="D1082" s="2">
        <v>0.70237268518394558</v>
      </c>
      <c r="E1082" s="4">
        <v>45215</v>
      </c>
      <c r="F1082" s="7" t="s">
        <v>17</v>
      </c>
      <c r="G1082" s="7" t="s">
        <v>178</v>
      </c>
      <c r="H1082" s="7" t="s">
        <v>1323</v>
      </c>
      <c r="I1082" s="7" t="s">
        <v>2065</v>
      </c>
      <c r="J1082" s="7" t="s">
        <v>1562</v>
      </c>
      <c r="K1082" s="7" t="s">
        <v>69</v>
      </c>
      <c r="L1082" s="8">
        <v>71</v>
      </c>
      <c r="M1082" s="7" t="s">
        <v>70</v>
      </c>
      <c r="N1082" s="8">
        <v>157</v>
      </c>
      <c r="O1082" s="8">
        <v>1</v>
      </c>
      <c r="P1082" s="5">
        <v>2037.75</v>
      </c>
      <c r="Q1082" s="4">
        <v>45600</v>
      </c>
      <c r="R1082" s="9">
        <v>0.34142361111111114</v>
      </c>
      <c r="S1082" s="8">
        <v>16</v>
      </c>
      <c r="T1082" s="7" t="s">
        <v>4454</v>
      </c>
      <c r="U1082" s="7" t="s">
        <v>4455</v>
      </c>
      <c r="V10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3" spans="1:22" x14ac:dyDescent="0.35">
      <c r="A1083" s="7" t="s">
        <v>2734</v>
      </c>
      <c r="B1083" s="7" t="s">
        <v>1221</v>
      </c>
      <c r="C1083" s="5">
        <v>146.01</v>
      </c>
      <c r="D1083" s="2">
        <v>0.68651620370656019</v>
      </c>
      <c r="E1083" s="4">
        <v>45041</v>
      </c>
      <c r="F1083" s="7" t="s">
        <v>17</v>
      </c>
      <c r="G1083" s="7" t="s">
        <v>212</v>
      </c>
      <c r="H1083" s="7" t="s">
        <v>1129</v>
      </c>
      <c r="I1083" s="7" t="s">
        <v>1366</v>
      </c>
      <c r="J1083" s="7" t="s">
        <v>111</v>
      </c>
      <c r="K1083" s="7" t="s">
        <v>36</v>
      </c>
      <c r="L1083" s="8">
        <v>26</v>
      </c>
      <c r="M1083" s="7" t="s">
        <v>37</v>
      </c>
      <c r="N1083" s="8">
        <v>269</v>
      </c>
      <c r="O1083" s="8">
        <v>1</v>
      </c>
      <c r="P1083" s="5">
        <v>221.79</v>
      </c>
      <c r="Q1083" s="4">
        <v>45600</v>
      </c>
      <c r="R1083" s="9">
        <v>0.34019675925925924</v>
      </c>
      <c r="S1083" s="8">
        <v>16</v>
      </c>
      <c r="T1083" s="7" t="s">
        <v>4456</v>
      </c>
      <c r="U1083" s="7" t="s">
        <v>4455</v>
      </c>
      <c r="V10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4" spans="1:22" x14ac:dyDescent="0.35">
      <c r="A1084" s="7" t="s">
        <v>2735</v>
      </c>
      <c r="B1084" s="7" t="s">
        <v>1221</v>
      </c>
      <c r="C1084" s="5">
        <v>136.05000000000001</v>
      </c>
      <c r="D1084" s="2">
        <v>0.68015046296204673</v>
      </c>
      <c r="E1084" s="4">
        <v>44949</v>
      </c>
      <c r="F1084" s="7" t="s">
        <v>17</v>
      </c>
      <c r="G1084" s="7" t="s">
        <v>47</v>
      </c>
      <c r="H1084" s="7" t="s">
        <v>1891</v>
      </c>
      <c r="I1084" s="7" t="s">
        <v>2305</v>
      </c>
      <c r="J1084" s="7" t="s">
        <v>1524</v>
      </c>
      <c r="K1084" s="7" t="s">
        <v>36</v>
      </c>
      <c r="L1084" s="8">
        <v>24</v>
      </c>
      <c r="M1084" s="7" t="s">
        <v>37</v>
      </c>
      <c r="N1084" s="8">
        <v>63</v>
      </c>
      <c r="O1084" s="8">
        <v>3</v>
      </c>
      <c r="P1084" s="5">
        <v>1127.54</v>
      </c>
      <c r="Q1084" s="4">
        <v>45600</v>
      </c>
      <c r="R1084" s="9">
        <v>0.34166666666666667</v>
      </c>
      <c r="S1084" s="8">
        <v>16</v>
      </c>
      <c r="T1084" s="7" t="s">
        <v>4456</v>
      </c>
      <c r="U1084" s="7" t="s">
        <v>4458</v>
      </c>
      <c r="V10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5" spans="1:22" x14ac:dyDescent="0.35">
      <c r="A1085" s="7" t="s">
        <v>2736</v>
      </c>
      <c r="B1085" s="7" t="s">
        <v>1802</v>
      </c>
      <c r="C1085" s="5">
        <v>11.57</v>
      </c>
      <c r="D1085" s="2">
        <v>0.67865740740671754</v>
      </c>
      <c r="E1085" s="4">
        <v>45280</v>
      </c>
      <c r="F1085" s="7" t="s">
        <v>46</v>
      </c>
      <c r="G1085" s="7" t="s">
        <v>203</v>
      </c>
      <c r="H1085" s="7" t="s">
        <v>2737</v>
      </c>
      <c r="I1085" s="7" t="s">
        <v>2738</v>
      </c>
      <c r="J1085" s="7" t="s">
        <v>980</v>
      </c>
      <c r="K1085" s="7" t="s">
        <v>69</v>
      </c>
      <c r="L1085" s="8">
        <v>56</v>
      </c>
      <c r="M1085" s="7" t="s">
        <v>70</v>
      </c>
      <c r="N1085" s="8">
        <v>64</v>
      </c>
      <c r="O1085" s="8">
        <v>1</v>
      </c>
      <c r="P1085" s="5">
        <v>2061.61</v>
      </c>
      <c r="Q1085" s="4">
        <v>45600</v>
      </c>
      <c r="R1085" s="9">
        <v>0.34092592592592591</v>
      </c>
      <c r="S1085" s="8">
        <v>16</v>
      </c>
      <c r="T1085" s="7" t="s">
        <v>4454</v>
      </c>
      <c r="U1085" s="7" t="s">
        <v>4455</v>
      </c>
      <c r="V10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6" spans="1:22" x14ac:dyDescent="0.35">
      <c r="A1086" s="7" t="s">
        <v>2739</v>
      </c>
      <c r="B1086" s="7" t="s">
        <v>1998</v>
      </c>
      <c r="C1086" s="5">
        <v>102.34</v>
      </c>
      <c r="D1086" s="2">
        <v>0.68030092592380242</v>
      </c>
      <c r="E1086" s="4">
        <v>45064</v>
      </c>
      <c r="F1086" s="7" t="s">
        <v>17</v>
      </c>
      <c r="G1086" s="7" t="s">
        <v>237</v>
      </c>
      <c r="H1086" s="7" t="s">
        <v>2604</v>
      </c>
      <c r="I1086" s="7" t="s">
        <v>2527</v>
      </c>
      <c r="J1086" s="7" t="s">
        <v>592</v>
      </c>
      <c r="K1086" s="7" t="s">
        <v>36</v>
      </c>
      <c r="L1086" s="8">
        <v>51</v>
      </c>
      <c r="M1086" s="7" t="s">
        <v>23</v>
      </c>
      <c r="N1086" s="8">
        <v>78</v>
      </c>
      <c r="O1086" s="8">
        <v>1</v>
      </c>
      <c r="P1086" s="5">
        <v>9326.2800000000007</v>
      </c>
      <c r="Q1086" s="4">
        <v>45600</v>
      </c>
      <c r="R1086" s="9">
        <v>0.34</v>
      </c>
      <c r="S1086" s="8">
        <v>16</v>
      </c>
      <c r="T1086" s="7" t="s">
        <v>4457</v>
      </c>
      <c r="U1086" s="7" t="s">
        <v>4455</v>
      </c>
      <c r="V10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87" spans="1:22" x14ac:dyDescent="0.35">
      <c r="A1087" s="7" t="s">
        <v>2740</v>
      </c>
      <c r="B1087" s="7" t="s">
        <v>537</v>
      </c>
      <c r="C1087" s="5">
        <v>7.82</v>
      </c>
      <c r="D1087" s="2">
        <v>0.74756944444379769</v>
      </c>
      <c r="E1087" s="4">
        <v>44935</v>
      </c>
      <c r="F1087" s="7" t="s">
        <v>17</v>
      </c>
      <c r="G1087" s="7" t="s">
        <v>388</v>
      </c>
      <c r="H1087" s="7" t="s">
        <v>2505</v>
      </c>
      <c r="I1087" s="7" t="s">
        <v>2727</v>
      </c>
      <c r="J1087" s="7" t="s">
        <v>277</v>
      </c>
      <c r="K1087" s="7" t="s">
        <v>22</v>
      </c>
      <c r="L1087" s="8">
        <v>36</v>
      </c>
      <c r="M1087" s="7" t="s">
        <v>77</v>
      </c>
      <c r="N1087" s="8">
        <v>273</v>
      </c>
      <c r="O1087" s="8">
        <v>1</v>
      </c>
      <c r="P1087" s="5">
        <v>2240.4899999999998</v>
      </c>
      <c r="Q1087" s="4">
        <v>45600</v>
      </c>
      <c r="R1087" s="9">
        <v>0.33998842592592593</v>
      </c>
      <c r="S1087" s="8">
        <v>17</v>
      </c>
      <c r="T1087" s="7" t="s">
        <v>4457</v>
      </c>
      <c r="U1087" s="7" t="s">
        <v>4455</v>
      </c>
      <c r="V10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88" spans="1:22" x14ac:dyDescent="0.35">
      <c r="A1088" s="7" t="s">
        <v>2741</v>
      </c>
      <c r="B1088" s="7" t="s">
        <v>657</v>
      </c>
      <c r="C1088" s="5">
        <v>79.430000000000007</v>
      </c>
      <c r="D1088" s="2">
        <v>0.72944444444146939</v>
      </c>
      <c r="E1088" s="4">
        <v>45131</v>
      </c>
      <c r="F1088" s="7" t="s">
        <v>17</v>
      </c>
      <c r="G1088" s="7" t="s">
        <v>323</v>
      </c>
      <c r="H1088" s="7" t="s">
        <v>1909</v>
      </c>
      <c r="I1088" s="7" t="s">
        <v>552</v>
      </c>
      <c r="J1088" s="7" t="s">
        <v>35</v>
      </c>
      <c r="K1088" s="7" t="s">
        <v>22</v>
      </c>
      <c r="L1088" s="8">
        <v>74</v>
      </c>
      <c r="M1088" s="7" t="s">
        <v>70</v>
      </c>
      <c r="N1088" s="8">
        <v>72</v>
      </c>
      <c r="O1088" s="8">
        <v>1</v>
      </c>
      <c r="P1088" s="5">
        <v>6579.37</v>
      </c>
      <c r="Q1088" s="4">
        <v>45600</v>
      </c>
      <c r="R1088" s="9">
        <v>0.33862268518518518</v>
      </c>
      <c r="S1088" s="8">
        <v>17</v>
      </c>
      <c r="T1088" s="7" t="s">
        <v>4454</v>
      </c>
      <c r="U1088" s="7" t="s">
        <v>4455</v>
      </c>
      <c r="V10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89" spans="1:22" x14ac:dyDescent="0.35">
      <c r="A1089" s="7" t="s">
        <v>2742</v>
      </c>
      <c r="B1089" s="7" t="s">
        <v>2083</v>
      </c>
      <c r="C1089" s="5">
        <v>386.97</v>
      </c>
      <c r="D1089" s="2">
        <v>0.70271990740729962</v>
      </c>
      <c r="E1089" s="4">
        <v>44957</v>
      </c>
      <c r="F1089" s="7" t="s">
        <v>17</v>
      </c>
      <c r="G1089" s="7" t="s">
        <v>40</v>
      </c>
      <c r="H1089" s="7" t="s">
        <v>2743</v>
      </c>
      <c r="I1089" s="7" t="s">
        <v>979</v>
      </c>
      <c r="J1089" s="7" t="s">
        <v>634</v>
      </c>
      <c r="K1089" s="7" t="s">
        <v>69</v>
      </c>
      <c r="L1089" s="8">
        <v>58</v>
      </c>
      <c r="M1089" s="7" t="s">
        <v>70</v>
      </c>
      <c r="N1089" s="8">
        <v>137</v>
      </c>
      <c r="O1089" s="8">
        <v>1</v>
      </c>
      <c r="P1089" s="5">
        <v>1876.35</v>
      </c>
      <c r="Q1089" s="4">
        <v>45600</v>
      </c>
      <c r="R1089" s="9">
        <v>0.33777777777777779</v>
      </c>
      <c r="S1089" s="8">
        <v>16</v>
      </c>
      <c r="T1089" s="7" t="s">
        <v>4454</v>
      </c>
      <c r="U1089" s="7" t="s">
        <v>4455</v>
      </c>
      <c r="V10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90" spans="1:22" x14ac:dyDescent="0.35">
      <c r="A1090" s="7" t="s">
        <v>2744</v>
      </c>
      <c r="B1090" s="7" t="s">
        <v>1114</v>
      </c>
      <c r="C1090" s="5">
        <v>51.22</v>
      </c>
      <c r="D1090" s="2">
        <v>0.67439814814861165</v>
      </c>
      <c r="E1090" s="4">
        <v>45106</v>
      </c>
      <c r="F1090" s="7" t="s">
        <v>17</v>
      </c>
      <c r="G1090" s="7" t="s">
        <v>558</v>
      </c>
      <c r="H1090" s="7" t="s">
        <v>1469</v>
      </c>
      <c r="I1090" s="7" t="s">
        <v>230</v>
      </c>
      <c r="J1090" s="7" t="s">
        <v>143</v>
      </c>
      <c r="K1090" s="7" t="s">
        <v>69</v>
      </c>
      <c r="L1090" s="8">
        <v>23</v>
      </c>
      <c r="M1090" s="7" t="s">
        <v>37</v>
      </c>
      <c r="N1090" s="8">
        <v>82</v>
      </c>
      <c r="O1090" s="8">
        <v>1</v>
      </c>
      <c r="P1090" s="5">
        <v>1664.59</v>
      </c>
      <c r="Q1090" s="4">
        <v>45600</v>
      </c>
      <c r="R1090" s="9">
        <v>0.34035879629629628</v>
      </c>
      <c r="S1090" s="8">
        <v>16</v>
      </c>
      <c r="T1090" s="7" t="s">
        <v>4456</v>
      </c>
      <c r="U1090" s="7" t="s">
        <v>4455</v>
      </c>
      <c r="V10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91" spans="1:22" x14ac:dyDescent="0.35">
      <c r="A1091" s="7" t="s">
        <v>2745</v>
      </c>
      <c r="B1091" s="7" t="s">
        <v>533</v>
      </c>
      <c r="C1091" s="5">
        <v>256.05</v>
      </c>
      <c r="D1091" s="2">
        <v>0.68532407407474238</v>
      </c>
      <c r="E1091" s="4">
        <v>45084</v>
      </c>
      <c r="F1091" s="7" t="s">
        <v>17</v>
      </c>
      <c r="G1091" s="7" t="s">
        <v>80</v>
      </c>
      <c r="H1091" s="7" t="s">
        <v>286</v>
      </c>
      <c r="I1091" s="7" t="s">
        <v>1341</v>
      </c>
      <c r="J1091" s="7" t="s">
        <v>35</v>
      </c>
      <c r="K1091" s="7" t="s">
        <v>22</v>
      </c>
      <c r="L1091" s="8">
        <v>54</v>
      </c>
      <c r="M1091" s="7" t="s">
        <v>70</v>
      </c>
      <c r="N1091" s="8">
        <v>35</v>
      </c>
      <c r="O1091" s="8">
        <v>1</v>
      </c>
      <c r="P1091" s="5">
        <v>6910.18</v>
      </c>
      <c r="Q1091" s="4">
        <v>45600</v>
      </c>
      <c r="R1091" s="9">
        <v>0.34150462962962963</v>
      </c>
      <c r="S1091" s="8">
        <v>16</v>
      </c>
      <c r="T1091" s="7" t="s">
        <v>4457</v>
      </c>
      <c r="U1091" s="7" t="s">
        <v>4455</v>
      </c>
      <c r="V10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92" spans="1:22" x14ac:dyDescent="0.35">
      <c r="A1092" s="7" t="s">
        <v>2746</v>
      </c>
      <c r="B1092" s="7" t="s">
        <v>1240</v>
      </c>
      <c r="C1092" s="5">
        <v>7.79</v>
      </c>
      <c r="D1092" s="2">
        <v>0.73142361111240461</v>
      </c>
      <c r="E1092" s="4">
        <v>45093</v>
      </c>
      <c r="F1092" s="7" t="s">
        <v>17</v>
      </c>
      <c r="G1092" s="7" t="s">
        <v>140</v>
      </c>
      <c r="H1092" s="7" t="s">
        <v>939</v>
      </c>
      <c r="I1092" s="7" t="s">
        <v>2718</v>
      </c>
      <c r="J1092" s="7" t="s">
        <v>348</v>
      </c>
      <c r="K1092" s="7" t="s">
        <v>69</v>
      </c>
      <c r="L1092" s="8">
        <v>34</v>
      </c>
      <c r="M1092" s="7" t="s">
        <v>23</v>
      </c>
      <c r="N1092" s="8">
        <v>298</v>
      </c>
      <c r="O1092" s="8">
        <v>1</v>
      </c>
      <c r="P1092" s="5">
        <v>1319.85</v>
      </c>
      <c r="Q1092" s="4">
        <v>45600</v>
      </c>
      <c r="R1092" s="9">
        <v>0.33975694444444443</v>
      </c>
      <c r="S1092" s="8">
        <v>17</v>
      </c>
      <c r="T1092" s="7" t="s">
        <v>4456</v>
      </c>
      <c r="U1092" s="7" t="s">
        <v>4455</v>
      </c>
      <c r="V10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93" spans="1:22" x14ac:dyDescent="0.35">
      <c r="A1093" s="7" t="s">
        <v>2747</v>
      </c>
      <c r="B1093" s="7" t="s">
        <v>749</v>
      </c>
      <c r="C1093" s="5">
        <v>233.71</v>
      </c>
      <c r="D1093" s="2">
        <v>0.71314814814832062</v>
      </c>
      <c r="E1093" s="4">
        <v>45202</v>
      </c>
      <c r="F1093" s="7" t="s">
        <v>17</v>
      </c>
      <c r="G1093" s="7" t="s">
        <v>108</v>
      </c>
      <c r="H1093" s="7" t="s">
        <v>1097</v>
      </c>
      <c r="I1093" s="7" t="s">
        <v>194</v>
      </c>
      <c r="J1093" s="7" t="s">
        <v>89</v>
      </c>
      <c r="K1093" s="7" t="s">
        <v>69</v>
      </c>
      <c r="L1093" s="8">
        <v>63</v>
      </c>
      <c r="M1093" s="7" t="s">
        <v>23</v>
      </c>
      <c r="N1093" s="8">
        <v>11</v>
      </c>
      <c r="O1093" s="8">
        <v>1</v>
      </c>
      <c r="P1093" s="5">
        <v>6095.5</v>
      </c>
      <c r="Q1093" s="4">
        <v>45600</v>
      </c>
      <c r="R1093" s="9">
        <v>0.33944444444444444</v>
      </c>
      <c r="S1093" s="8">
        <v>17</v>
      </c>
      <c r="T1093" s="7" t="s">
        <v>4454</v>
      </c>
      <c r="U1093" s="7" t="s">
        <v>4455</v>
      </c>
      <c r="V10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94" spans="1:22" x14ac:dyDescent="0.35">
      <c r="A1094" s="7" t="s">
        <v>2748</v>
      </c>
      <c r="B1094" s="7" t="s">
        <v>1536</v>
      </c>
      <c r="C1094" s="5">
        <v>176.37</v>
      </c>
      <c r="D1094" s="2">
        <v>0.69371527777548181</v>
      </c>
      <c r="E1094" s="4">
        <v>44942</v>
      </c>
      <c r="F1094" s="7" t="s">
        <v>17</v>
      </c>
      <c r="G1094" s="7" t="s">
        <v>388</v>
      </c>
      <c r="H1094" s="7" t="s">
        <v>1584</v>
      </c>
      <c r="I1094" s="7" t="s">
        <v>948</v>
      </c>
      <c r="J1094" s="7" t="s">
        <v>100</v>
      </c>
      <c r="K1094" s="7" t="s">
        <v>69</v>
      </c>
      <c r="L1094" s="8">
        <v>55</v>
      </c>
      <c r="M1094" s="7" t="s">
        <v>70</v>
      </c>
      <c r="N1094" s="8">
        <v>126</v>
      </c>
      <c r="O1094" s="8">
        <v>1</v>
      </c>
      <c r="P1094" s="5">
        <v>2420.86</v>
      </c>
      <c r="Q1094" s="4">
        <v>45600</v>
      </c>
      <c r="R1094" s="9">
        <v>0.33829861111111109</v>
      </c>
      <c r="S1094" s="8">
        <v>16</v>
      </c>
      <c r="T1094" s="7" t="s">
        <v>4454</v>
      </c>
      <c r="U1094" s="7" t="s">
        <v>4455</v>
      </c>
      <c r="V10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95" spans="1:22" x14ac:dyDescent="0.35">
      <c r="A1095" s="7" t="s">
        <v>2749</v>
      </c>
      <c r="B1095" s="7" t="s">
        <v>85</v>
      </c>
      <c r="C1095" s="5">
        <v>122.63</v>
      </c>
      <c r="D1095" s="2">
        <v>0.77719907407299615</v>
      </c>
      <c r="E1095" s="4">
        <v>45036</v>
      </c>
      <c r="F1095" s="7" t="s">
        <v>17</v>
      </c>
      <c r="G1095" s="7" t="s">
        <v>178</v>
      </c>
      <c r="H1095" s="7" t="s">
        <v>605</v>
      </c>
      <c r="I1095" s="7" t="s">
        <v>758</v>
      </c>
      <c r="J1095" s="7" t="s">
        <v>175</v>
      </c>
      <c r="K1095" s="7" t="s">
        <v>69</v>
      </c>
      <c r="L1095" s="8">
        <v>21</v>
      </c>
      <c r="M1095" s="7" t="s">
        <v>37</v>
      </c>
      <c r="N1095" s="8">
        <v>153</v>
      </c>
      <c r="O1095" s="8">
        <v>1</v>
      </c>
      <c r="P1095" s="5">
        <v>359.06</v>
      </c>
      <c r="Q1095" s="4">
        <v>45600</v>
      </c>
      <c r="R1095" s="9">
        <v>0.34039351851851851</v>
      </c>
      <c r="S1095" s="8">
        <v>18</v>
      </c>
      <c r="T1095" s="7" t="s">
        <v>4456</v>
      </c>
      <c r="U1095" s="7" t="s">
        <v>4455</v>
      </c>
      <c r="V10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96" spans="1:22" x14ac:dyDescent="0.35">
      <c r="A1096" s="7" t="s">
        <v>2750</v>
      </c>
      <c r="B1096" s="7" t="s">
        <v>171</v>
      </c>
      <c r="C1096" s="5">
        <v>86.41</v>
      </c>
      <c r="D1096" s="2">
        <v>0.7461805555576575</v>
      </c>
      <c r="E1096" s="4">
        <v>45012</v>
      </c>
      <c r="F1096" s="7" t="s">
        <v>17</v>
      </c>
      <c r="G1096" s="7" t="s">
        <v>558</v>
      </c>
      <c r="H1096" s="7" t="s">
        <v>775</v>
      </c>
      <c r="I1096" s="7" t="s">
        <v>2751</v>
      </c>
      <c r="J1096" s="7" t="s">
        <v>514</v>
      </c>
      <c r="K1096" s="7" t="s">
        <v>22</v>
      </c>
      <c r="L1096" s="8">
        <v>75</v>
      </c>
      <c r="M1096" s="7" t="s">
        <v>70</v>
      </c>
      <c r="N1096" s="8">
        <v>125</v>
      </c>
      <c r="O1096" s="8">
        <v>1</v>
      </c>
      <c r="P1096" s="5">
        <v>3128.71</v>
      </c>
      <c r="Q1096" s="4">
        <v>45600</v>
      </c>
      <c r="R1096" s="9">
        <v>0.34126157407407409</v>
      </c>
      <c r="S1096" s="8">
        <v>17</v>
      </c>
      <c r="T1096" s="7" t="s">
        <v>4454</v>
      </c>
      <c r="U1096" s="7" t="s">
        <v>4455</v>
      </c>
      <c r="V10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097" spans="1:22" x14ac:dyDescent="0.35">
      <c r="A1097" s="7" t="s">
        <v>2752</v>
      </c>
      <c r="B1097" s="7" t="s">
        <v>1512</v>
      </c>
      <c r="C1097" s="5">
        <v>21.57</v>
      </c>
      <c r="D1097" s="2">
        <v>0.674456018517958</v>
      </c>
      <c r="E1097" s="4">
        <v>45225</v>
      </c>
      <c r="F1097" s="7" t="s">
        <v>17</v>
      </c>
      <c r="G1097" s="7" t="s">
        <v>212</v>
      </c>
      <c r="H1097" s="7" t="s">
        <v>559</v>
      </c>
      <c r="I1097" s="7" t="s">
        <v>1701</v>
      </c>
      <c r="J1097" s="7" t="s">
        <v>358</v>
      </c>
      <c r="K1097" s="7" t="s">
        <v>22</v>
      </c>
      <c r="L1097" s="8">
        <v>54</v>
      </c>
      <c r="M1097" s="7" t="s">
        <v>70</v>
      </c>
      <c r="N1097" s="8">
        <v>71</v>
      </c>
      <c r="O1097" s="8">
        <v>1</v>
      </c>
      <c r="P1097" s="5">
        <v>7587.48</v>
      </c>
      <c r="Q1097" s="4">
        <v>45600</v>
      </c>
      <c r="R1097" s="9">
        <v>0.33991898148148147</v>
      </c>
      <c r="S1097" s="8">
        <v>16</v>
      </c>
      <c r="T1097" s="7" t="s">
        <v>4457</v>
      </c>
      <c r="U1097" s="7" t="s">
        <v>4455</v>
      </c>
      <c r="V10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98" spans="1:22" x14ac:dyDescent="0.35">
      <c r="A1098" s="7" t="s">
        <v>2753</v>
      </c>
      <c r="B1098" s="7" t="s">
        <v>1229</v>
      </c>
      <c r="C1098" s="5">
        <v>82.67</v>
      </c>
      <c r="D1098" s="2">
        <v>0.69464120370685123</v>
      </c>
      <c r="E1098" s="4">
        <v>45163</v>
      </c>
      <c r="F1098" s="7" t="s">
        <v>17</v>
      </c>
      <c r="G1098" s="7" t="s">
        <v>178</v>
      </c>
      <c r="H1098" s="7" t="s">
        <v>115</v>
      </c>
      <c r="I1098" s="7" t="s">
        <v>1608</v>
      </c>
      <c r="J1098" s="7" t="s">
        <v>240</v>
      </c>
      <c r="K1098" s="7" t="s">
        <v>69</v>
      </c>
      <c r="L1098" s="8">
        <v>26</v>
      </c>
      <c r="M1098" s="7" t="s">
        <v>37</v>
      </c>
      <c r="N1098" s="8">
        <v>46</v>
      </c>
      <c r="O1098" s="8">
        <v>1</v>
      </c>
      <c r="P1098" s="5">
        <v>290.58999999999997</v>
      </c>
      <c r="Q1098" s="4">
        <v>45600</v>
      </c>
      <c r="R1098" s="9">
        <v>0.33832175925925928</v>
      </c>
      <c r="S1098" s="8">
        <v>16</v>
      </c>
      <c r="T1098" s="7" t="s">
        <v>4456</v>
      </c>
      <c r="U1098" s="7" t="s">
        <v>4455</v>
      </c>
      <c r="V10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099" spans="1:22" x14ac:dyDescent="0.35">
      <c r="A1099" s="7" t="s">
        <v>2754</v>
      </c>
      <c r="B1099" s="7" t="s">
        <v>581</v>
      </c>
      <c r="C1099" s="5">
        <v>451.35</v>
      </c>
      <c r="D1099" s="2">
        <v>0.78129629629984265</v>
      </c>
      <c r="E1099" s="4">
        <v>45174</v>
      </c>
      <c r="F1099" s="7" t="s">
        <v>46</v>
      </c>
      <c r="G1099" s="7" t="s">
        <v>197</v>
      </c>
      <c r="H1099" s="7" t="s">
        <v>951</v>
      </c>
      <c r="I1099" s="7" t="s">
        <v>837</v>
      </c>
      <c r="J1099" s="7" t="s">
        <v>165</v>
      </c>
      <c r="K1099" s="7" t="s">
        <v>69</v>
      </c>
      <c r="L1099" s="8">
        <v>47</v>
      </c>
      <c r="M1099" s="7" t="s">
        <v>77</v>
      </c>
      <c r="N1099" s="8">
        <v>223</v>
      </c>
      <c r="O1099" s="8">
        <v>1</v>
      </c>
      <c r="P1099" s="5">
        <v>7707.96</v>
      </c>
      <c r="Q1099" s="4">
        <v>45600</v>
      </c>
      <c r="R1099" s="9">
        <v>0.33827546296296296</v>
      </c>
      <c r="S1099" s="8">
        <v>18</v>
      </c>
      <c r="T1099" s="7" t="s">
        <v>4457</v>
      </c>
      <c r="U1099" s="7" t="s">
        <v>4455</v>
      </c>
      <c r="V10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00" spans="1:22" x14ac:dyDescent="0.35">
      <c r="A1100" s="7" t="s">
        <v>2755</v>
      </c>
      <c r="B1100" s="7" t="s">
        <v>2512</v>
      </c>
      <c r="C1100" s="5">
        <v>299.42</v>
      </c>
      <c r="D1100" s="2">
        <v>0.72590277777635492</v>
      </c>
      <c r="E1100" s="4">
        <v>45264</v>
      </c>
      <c r="F1100" s="7" t="s">
        <v>46</v>
      </c>
      <c r="G1100" s="7" t="s">
        <v>223</v>
      </c>
      <c r="H1100" s="7" t="s">
        <v>346</v>
      </c>
      <c r="I1100" s="7" t="s">
        <v>153</v>
      </c>
      <c r="J1100" s="7" t="s">
        <v>262</v>
      </c>
      <c r="K1100" s="7" t="s">
        <v>69</v>
      </c>
      <c r="L1100" s="8">
        <v>63</v>
      </c>
      <c r="M1100" s="7" t="s">
        <v>70</v>
      </c>
      <c r="N1100" s="8">
        <v>53</v>
      </c>
      <c r="O1100" s="8">
        <v>1</v>
      </c>
      <c r="P1100" s="5">
        <v>4735.41</v>
      </c>
      <c r="Q1100" s="4">
        <v>45600</v>
      </c>
      <c r="R1100" s="9">
        <v>0.34002314814814816</v>
      </c>
      <c r="S1100" s="8">
        <v>17</v>
      </c>
      <c r="T1100" s="7" t="s">
        <v>4454</v>
      </c>
      <c r="U1100" s="7" t="s">
        <v>4455</v>
      </c>
      <c r="V11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01" spans="1:22" x14ac:dyDescent="0.35">
      <c r="A1101" s="7" t="s">
        <v>2756</v>
      </c>
      <c r="B1101" s="7" t="s">
        <v>322</v>
      </c>
      <c r="C1101" s="5">
        <v>543.47</v>
      </c>
      <c r="D1101" s="2">
        <v>0.72091435184847796</v>
      </c>
      <c r="E1101" s="4">
        <v>45152</v>
      </c>
      <c r="F1101" s="7" t="s">
        <v>17</v>
      </c>
      <c r="G1101" s="7" t="s">
        <v>140</v>
      </c>
      <c r="H1101" s="7" t="s">
        <v>1061</v>
      </c>
      <c r="I1101" s="7" t="s">
        <v>2094</v>
      </c>
      <c r="J1101" s="7" t="s">
        <v>186</v>
      </c>
      <c r="K1101" s="7" t="s">
        <v>22</v>
      </c>
      <c r="L1101" s="8">
        <v>18</v>
      </c>
      <c r="M1101" s="7" t="s">
        <v>37</v>
      </c>
      <c r="N1101" s="8">
        <v>122</v>
      </c>
      <c r="O1101" s="8">
        <v>1</v>
      </c>
      <c r="P1101" s="5">
        <v>6165.03</v>
      </c>
      <c r="Q1101" s="4">
        <v>45600</v>
      </c>
      <c r="R1101" s="9">
        <v>0.34145833333333331</v>
      </c>
      <c r="S1101" s="8">
        <v>17</v>
      </c>
      <c r="T1101" s="7" t="s">
        <v>4456</v>
      </c>
      <c r="U1101" s="7" t="s">
        <v>4455</v>
      </c>
      <c r="V11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02" spans="1:22" x14ac:dyDescent="0.35">
      <c r="A1102" s="7" t="s">
        <v>2757</v>
      </c>
      <c r="B1102" s="7" t="s">
        <v>318</v>
      </c>
      <c r="C1102" s="5">
        <v>346.76</v>
      </c>
      <c r="D1102" s="2">
        <v>0.68931712963239988</v>
      </c>
      <c r="E1102" s="4">
        <v>45289</v>
      </c>
      <c r="F1102" s="7" t="s">
        <v>46</v>
      </c>
      <c r="G1102" s="7" t="s">
        <v>223</v>
      </c>
      <c r="H1102" s="7" t="s">
        <v>2758</v>
      </c>
      <c r="I1102" s="7" t="s">
        <v>2367</v>
      </c>
      <c r="J1102" s="7" t="s">
        <v>288</v>
      </c>
      <c r="K1102" s="7" t="s">
        <v>69</v>
      </c>
      <c r="L1102" s="8">
        <v>21</v>
      </c>
      <c r="M1102" s="7" t="s">
        <v>37</v>
      </c>
      <c r="N1102" s="8">
        <v>116</v>
      </c>
      <c r="O1102" s="8">
        <v>1</v>
      </c>
      <c r="P1102" s="5">
        <v>1637.75</v>
      </c>
      <c r="Q1102" s="4">
        <v>45600</v>
      </c>
      <c r="R1102" s="9">
        <v>0.34021990740740743</v>
      </c>
      <c r="S1102" s="8">
        <v>16</v>
      </c>
      <c r="T1102" s="7" t="s">
        <v>4456</v>
      </c>
      <c r="U1102" s="7" t="s">
        <v>4455</v>
      </c>
      <c r="V11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03" spans="1:22" x14ac:dyDescent="0.35">
      <c r="A1103" s="7" t="s">
        <v>2759</v>
      </c>
      <c r="B1103" s="7" t="s">
        <v>2128</v>
      </c>
      <c r="C1103" s="5">
        <v>47.48</v>
      </c>
      <c r="D1103" s="2">
        <v>0.69957175925810589</v>
      </c>
      <c r="E1103" s="4">
        <v>44977</v>
      </c>
      <c r="F1103" s="7" t="s">
        <v>17</v>
      </c>
      <c r="G1103" s="7" t="s">
        <v>506</v>
      </c>
      <c r="H1103" s="7" t="s">
        <v>250</v>
      </c>
      <c r="I1103" s="7" t="s">
        <v>1484</v>
      </c>
      <c r="J1103" s="7" t="s">
        <v>1562</v>
      </c>
      <c r="K1103" s="7" t="s">
        <v>69</v>
      </c>
      <c r="L1103" s="8">
        <v>24</v>
      </c>
      <c r="M1103" s="7" t="s">
        <v>37</v>
      </c>
      <c r="N1103" s="8">
        <v>66</v>
      </c>
      <c r="O1103" s="8">
        <v>1</v>
      </c>
      <c r="P1103" s="5">
        <v>585.52</v>
      </c>
      <c r="Q1103" s="4">
        <v>45600</v>
      </c>
      <c r="R1103" s="9">
        <v>0.33946759259259257</v>
      </c>
      <c r="S1103" s="8">
        <v>16</v>
      </c>
      <c r="T1103" s="7" t="s">
        <v>4456</v>
      </c>
      <c r="U1103" s="7" t="s">
        <v>4455</v>
      </c>
      <c r="V11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04" spans="1:22" x14ac:dyDescent="0.35">
      <c r="A1104" s="7" t="s">
        <v>2760</v>
      </c>
      <c r="B1104" s="7" t="s">
        <v>467</v>
      </c>
      <c r="C1104" s="5">
        <v>64.92</v>
      </c>
      <c r="D1104" s="2">
        <v>0.78276620370161254</v>
      </c>
      <c r="E1104" s="4">
        <v>45065</v>
      </c>
      <c r="F1104" s="7" t="s">
        <v>17</v>
      </c>
      <c r="G1104" s="7" t="s">
        <v>47</v>
      </c>
      <c r="H1104" s="7" t="s">
        <v>1461</v>
      </c>
      <c r="I1104" s="7" t="s">
        <v>2761</v>
      </c>
      <c r="J1104" s="7" t="s">
        <v>984</v>
      </c>
      <c r="K1104" s="7" t="s">
        <v>69</v>
      </c>
      <c r="L1104" s="8">
        <v>58</v>
      </c>
      <c r="M1104" s="7" t="s">
        <v>77</v>
      </c>
      <c r="N1104" s="8">
        <v>236</v>
      </c>
      <c r="O1104" s="8">
        <v>1</v>
      </c>
      <c r="P1104" s="5">
        <v>5481.76</v>
      </c>
      <c r="Q1104" s="4">
        <v>45600</v>
      </c>
      <c r="R1104" s="9">
        <v>0.34108796296296295</v>
      </c>
      <c r="S1104" s="8">
        <v>18</v>
      </c>
      <c r="T1104" s="7" t="s">
        <v>4454</v>
      </c>
      <c r="U1104" s="7" t="s">
        <v>4455</v>
      </c>
      <c r="V11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05" spans="1:22" x14ac:dyDescent="0.35">
      <c r="A1105" s="7" t="s">
        <v>2762</v>
      </c>
      <c r="B1105" s="7" t="s">
        <v>1144</v>
      </c>
      <c r="C1105" s="5">
        <v>350.72</v>
      </c>
      <c r="D1105" s="2">
        <v>0.69281249999767169</v>
      </c>
      <c r="E1105" s="4">
        <v>45140</v>
      </c>
      <c r="F1105" s="7" t="s">
        <v>46</v>
      </c>
      <c r="G1105" s="7" t="s">
        <v>558</v>
      </c>
      <c r="H1105" s="7" t="s">
        <v>2763</v>
      </c>
      <c r="I1105" s="7" t="s">
        <v>374</v>
      </c>
      <c r="J1105" s="7" t="s">
        <v>76</v>
      </c>
      <c r="K1105" s="7" t="s">
        <v>22</v>
      </c>
      <c r="L1105" s="8">
        <v>28</v>
      </c>
      <c r="M1105" s="7" t="s">
        <v>37</v>
      </c>
      <c r="N1105" s="8">
        <v>48</v>
      </c>
      <c r="O1105" s="8">
        <v>1</v>
      </c>
      <c r="P1105" s="5">
        <v>1982.9</v>
      </c>
      <c r="Q1105" s="4">
        <v>45600</v>
      </c>
      <c r="R1105" s="9">
        <v>0.33837962962962964</v>
      </c>
      <c r="S1105" s="8">
        <v>16</v>
      </c>
      <c r="T1105" s="7" t="s">
        <v>4456</v>
      </c>
      <c r="U1105" s="7" t="s">
        <v>4455</v>
      </c>
      <c r="V11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06" spans="1:22" x14ac:dyDescent="0.35">
      <c r="A1106" s="7" t="s">
        <v>2764</v>
      </c>
      <c r="B1106" s="7" t="s">
        <v>2073</v>
      </c>
      <c r="C1106" s="5">
        <v>3.8</v>
      </c>
      <c r="D1106" s="2">
        <v>0.67598379629635019</v>
      </c>
      <c r="E1106" s="4">
        <v>45139</v>
      </c>
      <c r="F1106" s="7" t="s">
        <v>17</v>
      </c>
      <c r="G1106" s="7" t="s">
        <v>249</v>
      </c>
      <c r="H1106" s="7" t="s">
        <v>1570</v>
      </c>
      <c r="I1106" s="7" t="s">
        <v>882</v>
      </c>
      <c r="J1106" s="7" t="s">
        <v>100</v>
      </c>
      <c r="K1106" s="7" t="s">
        <v>36</v>
      </c>
      <c r="L1106" s="8">
        <v>65</v>
      </c>
      <c r="M1106" s="7" t="s">
        <v>23</v>
      </c>
      <c r="N1106" s="8">
        <v>174</v>
      </c>
      <c r="O1106" s="8">
        <v>1</v>
      </c>
      <c r="P1106" s="5">
        <v>5766.96</v>
      </c>
      <c r="Q1106" s="4">
        <v>45600</v>
      </c>
      <c r="R1106" s="9">
        <v>0.34187499999999998</v>
      </c>
      <c r="S1106" s="8">
        <v>16</v>
      </c>
      <c r="T1106" s="7" t="s">
        <v>4454</v>
      </c>
      <c r="U1106" s="7" t="s">
        <v>4455</v>
      </c>
      <c r="V11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07" spans="1:22" x14ac:dyDescent="0.35">
      <c r="A1107" s="7" t="s">
        <v>2765</v>
      </c>
      <c r="B1107" s="7" t="s">
        <v>177</v>
      </c>
      <c r="C1107" s="5">
        <v>22.54</v>
      </c>
      <c r="D1107" s="2">
        <v>0.68002314814657439</v>
      </c>
      <c r="E1107" s="4">
        <v>45167</v>
      </c>
      <c r="F1107" s="7" t="s">
        <v>17</v>
      </c>
      <c r="G1107" s="7" t="s">
        <v>506</v>
      </c>
      <c r="H1107" s="7" t="s">
        <v>1931</v>
      </c>
      <c r="I1107" s="7" t="s">
        <v>911</v>
      </c>
      <c r="J1107" s="7" t="s">
        <v>252</v>
      </c>
      <c r="K1107" s="7" t="s">
        <v>36</v>
      </c>
      <c r="L1107" s="8">
        <v>26</v>
      </c>
      <c r="M1107" s="7" t="s">
        <v>77</v>
      </c>
      <c r="N1107" s="8">
        <v>42</v>
      </c>
      <c r="O1107" s="8">
        <v>1</v>
      </c>
      <c r="P1107" s="5">
        <v>7139.11</v>
      </c>
      <c r="Q1107" s="4">
        <v>45600</v>
      </c>
      <c r="R1107" s="9">
        <v>0.34067129629629628</v>
      </c>
      <c r="S1107" s="8">
        <v>16</v>
      </c>
      <c r="T1107" s="7" t="s">
        <v>4456</v>
      </c>
      <c r="U1107" s="7" t="s">
        <v>4455</v>
      </c>
      <c r="V11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08" spans="1:22" x14ac:dyDescent="0.35">
      <c r="A1108" s="7" t="s">
        <v>2766</v>
      </c>
      <c r="B1108" s="7" t="s">
        <v>1736</v>
      </c>
      <c r="C1108" s="5">
        <v>767.14</v>
      </c>
      <c r="D1108" s="2">
        <v>0.68359953703475185</v>
      </c>
      <c r="E1108" s="4">
        <v>45167</v>
      </c>
      <c r="F1108" s="7" t="s">
        <v>46</v>
      </c>
      <c r="G1108" s="7" t="s">
        <v>32</v>
      </c>
      <c r="H1108" s="7" t="s">
        <v>1815</v>
      </c>
      <c r="I1108" s="7" t="s">
        <v>2025</v>
      </c>
      <c r="J1108" s="7" t="s">
        <v>137</v>
      </c>
      <c r="K1108" s="7" t="s">
        <v>69</v>
      </c>
      <c r="L1108" s="8">
        <v>62</v>
      </c>
      <c r="M1108" s="7" t="s">
        <v>70</v>
      </c>
      <c r="N1108" s="8">
        <v>38</v>
      </c>
      <c r="O1108" s="8">
        <v>1</v>
      </c>
      <c r="P1108" s="5">
        <v>4732.57</v>
      </c>
      <c r="Q1108" s="4">
        <v>45600</v>
      </c>
      <c r="R1108" s="9">
        <v>0.33937499999999998</v>
      </c>
      <c r="S1108" s="8">
        <v>16</v>
      </c>
      <c r="T1108" s="7" t="s">
        <v>4454</v>
      </c>
      <c r="U1108" s="7" t="s">
        <v>4455</v>
      </c>
      <c r="V11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09" spans="1:22" x14ac:dyDescent="0.35">
      <c r="A1109" s="7" t="s">
        <v>2767</v>
      </c>
      <c r="B1109" s="7" t="s">
        <v>2637</v>
      </c>
      <c r="C1109" s="5">
        <v>167.47</v>
      </c>
      <c r="D1109" s="2">
        <v>0.73980324074364034</v>
      </c>
      <c r="E1109" s="4">
        <v>45261</v>
      </c>
      <c r="F1109" s="7" t="s">
        <v>17</v>
      </c>
      <c r="G1109" s="7" t="s">
        <v>285</v>
      </c>
      <c r="H1109" s="7" t="s">
        <v>1727</v>
      </c>
      <c r="I1109" s="7" t="s">
        <v>1377</v>
      </c>
      <c r="J1109" s="7" t="s">
        <v>1209</v>
      </c>
      <c r="K1109" s="7" t="s">
        <v>22</v>
      </c>
      <c r="L1109" s="8">
        <v>35</v>
      </c>
      <c r="M1109" s="7" t="s">
        <v>77</v>
      </c>
      <c r="N1109" s="8">
        <v>103</v>
      </c>
      <c r="O1109" s="8">
        <v>1</v>
      </c>
      <c r="P1109" s="5">
        <v>2293.13</v>
      </c>
      <c r="Q1109" s="4">
        <v>45600</v>
      </c>
      <c r="R1109" s="9">
        <v>0.34171296296296294</v>
      </c>
      <c r="S1109" s="8">
        <v>17</v>
      </c>
      <c r="T1109" s="7" t="s">
        <v>4457</v>
      </c>
      <c r="U1109" s="7" t="s">
        <v>4455</v>
      </c>
      <c r="V11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10" spans="1:22" x14ac:dyDescent="0.35">
      <c r="A1110" s="7" t="s">
        <v>2768</v>
      </c>
      <c r="B1110" s="7" t="s">
        <v>183</v>
      </c>
      <c r="C1110" s="5">
        <v>43.65</v>
      </c>
      <c r="D1110" s="2">
        <v>0.68303240741079208</v>
      </c>
      <c r="E1110" s="4">
        <v>45229</v>
      </c>
      <c r="F1110" s="7" t="s">
        <v>46</v>
      </c>
      <c r="G1110" s="7" t="s">
        <v>249</v>
      </c>
      <c r="H1110" s="7" t="s">
        <v>633</v>
      </c>
      <c r="I1110" s="7" t="s">
        <v>2268</v>
      </c>
      <c r="J1110" s="7" t="s">
        <v>386</v>
      </c>
      <c r="K1110" s="7" t="s">
        <v>69</v>
      </c>
      <c r="L1110" s="8">
        <v>30</v>
      </c>
      <c r="M1110" s="7" t="s">
        <v>77</v>
      </c>
      <c r="N1110" s="8">
        <v>212</v>
      </c>
      <c r="O1110" s="8">
        <v>1</v>
      </c>
      <c r="P1110" s="5">
        <v>2870.67</v>
      </c>
      <c r="Q1110" s="4">
        <v>45600</v>
      </c>
      <c r="R1110" s="9">
        <v>0.34160879629629631</v>
      </c>
      <c r="S1110" s="8">
        <v>16</v>
      </c>
      <c r="T1110" s="7" t="s">
        <v>4456</v>
      </c>
      <c r="U1110" s="7" t="s">
        <v>4455</v>
      </c>
      <c r="V11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11" spans="1:22" x14ac:dyDescent="0.35">
      <c r="A1111" s="7" t="s">
        <v>2769</v>
      </c>
      <c r="B1111" s="7" t="s">
        <v>2238</v>
      </c>
      <c r="C1111" s="5">
        <v>391.08</v>
      </c>
      <c r="D1111" s="2">
        <v>0.71673611111327773</v>
      </c>
      <c r="E1111" s="4">
        <v>45044</v>
      </c>
      <c r="F1111" s="7" t="s">
        <v>17</v>
      </c>
      <c r="G1111" s="7" t="s">
        <v>558</v>
      </c>
      <c r="H1111" s="7" t="s">
        <v>2770</v>
      </c>
      <c r="I1111" s="7" t="s">
        <v>860</v>
      </c>
      <c r="J1111" s="7" t="s">
        <v>175</v>
      </c>
      <c r="K1111" s="7" t="s">
        <v>36</v>
      </c>
      <c r="L1111" s="8">
        <v>56</v>
      </c>
      <c r="M1111" s="7" t="s">
        <v>70</v>
      </c>
      <c r="N1111" s="8">
        <v>105</v>
      </c>
      <c r="O1111" s="8">
        <v>1</v>
      </c>
      <c r="P1111" s="5">
        <v>6885.16</v>
      </c>
      <c r="Q1111" s="4">
        <v>45600</v>
      </c>
      <c r="R1111" s="9">
        <v>0.34087962962962964</v>
      </c>
      <c r="S1111" s="8">
        <v>17</v>
      </c>
      <c r="T1111" s="7" t="s">
        <v>4454</v>
      </c>
      <c r="U1111" s="7" t="s">
        <v>4455</v>
      </c>
      <c r="V11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12" spans="1:22" x14ac:dyDescent="0.35">
      <c r="A1112" s="7" t="s">
        <v>2771</v>
      </c>
      <c r="B1112" s="7" t="s">
        <v>968</v>
      </c>
      <c r="C1112" s="5">
        <v>390.77</v>
      </c>
      <c r="D1112" s="2">
        <v>0.66842592592729488</v>
      </c>
      <c r="E1112" s="4">
        <v>45229</v>
      </c>
      <c r="F1112" s="7" t="s">
        <v>17</v>
      </c>
      <c r="G1112" s="7" t="s">
        <v>595</v>
      </c>
      <c r="H1112" s="7" t="s">
        <v>351</v>
      </c>
      <c r="I1112" s="7" t="s">
        <v>1430</v>
      </c>
      <c r="J1112" s="7" t="s">
        <v>414</v>
      </c>
      <c r="K1112" s="7" t="s">
        <v>36</v>
      </c>
      <c r="L1112" s="8">
        <v>44</v>
      </c>
      <c r="M1112" s="7" t="s">
        <v>23</v>
      </c>
      <c r="N1112" s="8">
        <v>34</v>
      </c>
      <c r="O1112" s="8">
        <v>1</v>
      </c>
      <c r="P1112" s="5">
        <v>5500.56</v>
      </c>
      <c r="Q1112" s="4">
        <v>45600</v>
      </c>
      <c r="R1112" s="9">
        <v>0.3396527777777778</v>
      </c>
      <c r="S1112" s="8">
        <v>16</v>
      </c>
      <c r="T1112" s="7" t="s">
        <v>4457</v>
      </c>
      <c r="U1112" s="7" t="s">
        <v>4455</v>
      </c>
      <c r="V11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13" spans="1:22" x14ac:dyDescent="0.35">
      <c r="A1113" s="7" t="s">
        <v>2772</v>
      </c>
      <c r="B1113" s="7" t="s">
        <v>2500</v>
      </c>
      <c r="C1113" s="5">
        <v>508.16</v>
      </c>
      <c r="D1113" s="2">
        <v>0.76331018518249039</v>
      </c>
      <c r="E1113" s="4">
        <v>45013</v>
      </c>
      <c r="F1113" s="7" t="s">
        <v>17</v>
      </c>
      <c r="G1113" s="7" t="s">
        <v>32</v>
      </c>
      <c r="H1113" s="7" t="s">
        <v>2773</v>
      </c>
      <c r="I1113" s="7" t="s">
        <v>2190</v>
      </c>
      <c r="J1113" s="7" t="s">
        <v>858</v>
      </c>
      <c r="K1113" s="7" t="s">
        <v>22</v>
      </c>
      <c r="L1113" s="8">
        <v>39</v>
      </c>
      <c r="M1113" s="7" t="s">
        <v>77</v>
      </c>
      <c r="N1113" s="8">
        <v>131</v>
      </c>
      <c r="O1113" s="8">
        <v>1</v>
      </c>
      <c r="P1113" s="5">
        <v>5609.44</v>
      </c>
      <c r="Q1113" s="4">
        <v>45600</v>
      </c>
      <c r="R1113" s="9">
        <v>0.34020833333333333</v>
      </c>
      <c r="S1113" s="8">
        <v>18</v>
      </c>
      <c r="T1113" s="7" t="s">
        <v>4457</v>
      </c>
      <c r="U1113" s="7" t="s">
        <v>4455</v>
      </c>
      <c r="V11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14" spans="1:22" x14ac:dyDescent="0.35">
      <c r="A1114" s="7" t="s">
        <v>2774</v>
      </c>
      <c r="B1114" s="7" t="s">
        <v>318</v>
      </c>
      <c r="C1114" s="5">
        <v>36.76</v>
      </c>
      <c r="D1114" s="2">
        <v>0.70258101851504762</v>
      </c>
      <c r="E1114" s="4">
        <v>45026</v>
      </c>
      <c r="F1114" s="7" t="s">
        <v>46</v>
      </c>
      <c r="G1114" s="7" t="s">
        <v>243</v>
      </c>
      <c r="H1114" s="7" t="s">
        <v>19</v>
      </c>
      <c r="I1114" s="7" t="s">
        <v>2775</v>
      </c>
      <c r="J1114" s="7" t="s">
        <v>200</v>
      </c>
      <c r="K1114" s="7" t="s">
        <v>36</v>
      </c>
      <c r="L1114" s="8">
        <v>65</v>
      </c>
      <c r="M1114" s="7" t="s">
        <v>70</v>
      </c>
      <c r="N1114" s="8">
        <v>108</v>
      </c>
      <c r="O1114" s="8">
        <v>1</v>
      </c>
      <c r="P1114" s="5">
        <v>1228.93</v>
      </c>
      <c r="Q1114" s="4">
        <v>45600</v>
      </c>
      <c r="R1114" s="9">
        <v>0.34175925925925926</v>
      </c>
      <c r="S1114" s="8">
        <v>16</v>
      </c>
      <c r="T1114" s="7" t="s">
        <v>4454</v>
      </c>
      <c r="U1114" s="7" t="s">
        <v>4455</v>
      </c>
      <c r="V11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15" spans="1:22" x14ac:dyDescent="0.35">
      <c r="A1115" s="7" t="s">
        <v>2776</v>
      </c>
      <c r="B1115" s="7" t="s">
        <v>1123</v>
      </c>
      <c r="C1115" s="5">
        <v>332.33</v>
      </c>
      <c r="D1115" s="2">
        <v>0.7122453703705105</v>
      </c>
      <c r="E1115" s="4">
        <v>45097</v>
      </c>
      <c r="F1115" s="7" t="s">
        <v>17</v>
      </c>
      <c r="G1115" s="7" t="s">
        <v>291</v>
      </c>
      <c r="H1115" s="7" t="s">
        <v>373</v>
      </c>
      <c r="I1115" s="7" t="s">
        <v>1046</v>
      </c>
      <c r="J1115" s="7" t="s">
        <v>137</v>
      </c>
      <c r="K1115" s="7" t="s">
        <v>22</v>
      </c>
      <c r="L1115" s="8">
        <v>27</v>
      </c>
      <c r="M1115" s="7" t="s">
        <v>37</v>
      </c>
      <c r="N1115" s="8">
        <v>101</v>
      </c>
      <c r="O1115" s="8">
        <v>1</v>
      </c>
      <c r="P1115" s="5">
        <v>192.63</v>
      </c>
      <c r="Q1115" s="4">
        <v>45600</v>
      </c>
      <c r="R1115" s="9">
        <v>0.34128472222222223</v>
      </c>
      <c r="S1115" s="8">
        <v>17</v>
      </c>
      <c r="T1115" s="7" t="s">
        <v>4456</v>
      </c>
      <c r="U1115" s="7" t="s">
        <v>4455</v>
      </c>
      <c r="V11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16" spans="1:22" x14ac:dyDescent="0.35">
      <c r="A1116" s="7" t="s">
        <v>2777</v>
      </c>
      <c r="B1116" s="7" t="s">
        <v>2238</v>
      </c>
      <c r="C1116" s="5">
        <v>362.09</v>
      </c>
      <c r="D1116" s="2">
        <v>0.70771990740468027</v>
      </c>
      <c r="E1116" s="4">
        <v>44984</v>
      </c>
      <c r="F1116" s="7" t="s">
        <v>17</v>
      </c>
      <c r="G1116" s="7" t="s">
        <v>203</v>
      </c>
      <c r="H1116" s="7" t="s">
        <v>1903</v>
      </c>
      <c r="I1116" s="7" t="s">
        <v>1657</v>
      </c>
      <c r="J1116" s="7" t="s">
        <v>482</v>
      </c>
      <c r="K1116" s="7" t="s">
        <v>69</v>
      </c>
      <c r="L1116" s="8">
        <v>32</v>
      </c>
      <c r="M1116" s="7" t="s">
        <v>77</v>
      </c>
      <c r="N1116" s="8">
        <v>31</v>
      </c>
      <c r="O1116" s="8">
        <v>1</v>
      </c>
      <c r="P1116" s="5">
        <v>6590.28</v>
      </c>
      <c r="Q1116" s="4">
        <v>45600</v>
      </c>
      <c r="R1116" s="9">
        <v>0.33863425925925927</v>
      </c>
      <c r="S1116" s="8">
        <v>16</v>
      </c>
      <c r="T1116" s="7" t="s">
        <v>4456</v>
      </c>
      <c r="U1116" s="7" t="s">
        <v>4455</v>
      </c>
      <c r="V11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17" spans="1:22" x14ac:dyDescent="0.35">
      <c r="A1117" s="7" t="s">
        <v>2778</v>
      </c>
      <c r="B1117" s="7" t="s">
        <v>2779</v>
      </c>
      <c r="C1117" s="5">
        <v>42.58</v>
      </c>
      <c r="D1117" s="2">
        <v>0.68950231481721858</v>
      </c>
      <c r="E1117" s="4">
        <v>44963</v>
      </c>
      <c r="F1117" s="7" t="s">
        <v>17</v>
      </c>
      <c r="G1117" s="7" t="s">
        <v>223</v>
      </c>
      <c r="H1117" s="7" t="s">
        <v>1061</v>
      </c>
      <c r="I1117" s="7" t="s">
        <v>1344</v>
      </c>
      <c r="J1117" s="7" t="s">
        <v>100</v>
      </c>
      <c r="K1117" s="7" t="s">
        <v>36</v>
      </c>
      <c r="L1117" s="8">
        <v>30</v>
      </c>
      <c r="M1117" s="7" t="s">
        <v>23</v>
      </c>
      <c r="N1117" s="8">
        <v>80</v>
      </c>
      <c r="O1117" s="8">
        <v>1</v>
      </c>
      <c r="P1117" s="5">
        <v>13485</v>
      </c>
      <c r="Q1117" s="4">
        <v>45600</v>
      </c>
      <c r="R1117" s="9">
        <v>0.34054398148148146</v>
      </c>
      <c r="S1117" s="8">
        <v>16</v>
      </c>
      <c r="T1117" s="7" t="s">
        <v>4456</v>
      </c>
      <c r="U1117" s="7" t="s">
        <v>4455</v>
      </c>
      <c r="V11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18" spans="1:22" x14ac:dyDescent="0.35">
      <c r="A1118" s="7" t="s">
        <v>2780</v>
      </c>
      <c r="B1118" s="7" t="s">
        <v>2781</v>
      </c>
      <c r="C1118" s="5">
        <v>122.35</v>
      </c>
      <c r="D1118" s="2">
        <v>0.74322916667006211</v>
      </c>
      <c r="E1118" s="4">
        <v>45028</v>
      </c>
      <c r="F1118" s="7" t="s">
        <v>46</v>
      </c>
      <c r="G1118" s="7" t="s">
        <v>47</v>
      </c>
      <c r="H1118" s="7" t="s">
        <v>1713</v>
      </c>
      <c r="I1118" s="7" t="s">
        <v>2635</v>
      </c>
      <c r="J1118" s="7" t="s">
        <v>181</v>
      </c>
      <c r="K1118" s="7" t="s">
        <v>69</v>
      </c>
      <c r="L1118" s="8">
        <v>53</v>
      </c>
      <c r="M1118" s="7" t="s">
        <v>70</v>
      </c>
      <c r="N1118" s="8">
        <v>188</v>
      </c>
      <c r="O1118" s="8">
        <v>1</v>
      </c>
      <c r="P1118" s="5">
        <v>6472.5</v>
      </c>
      <c r="Q1118" s="4">
        <v>45600</v>
      </c>
      <c r="R1118" s="9">
        <v>0.33967592592592594</v>
      </c>
      <c r="S1118" s="8">
        <v>17</v>
      </c>
      <c r="T1118" s="7" t="s">
        <v>4457</v>
      </c>
      <c r="U1118" s="7" t="s">
        <v>4455</v>
      </c>
      <c r="V11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19" spans="1:22" x14ac:dyDescent="0.35">
      <c r="A1119" s="7" t="s">
        <v>2782</v>
      </c>
      <c r="B1119" s="7" t="s">
        <v>1561</v>
      </c>
      <c r="C1119" s="5">
        <v>248.66</v>
      </c>
      <c r="D1119" s="2">
        <v>0.74090277777577285</v>
      </c>
      <c r="E1119" s="4">
        <v>44960</v>
      </c>
      <c r="F1119" s="7" t="s">
        <v>17</v>
      </c>
      <c r="G1119" s="7" t="s">
        <v>265</v>
      </c>
      <c r="H1119" s="7" t="s">
        <v>865</v>
      </c>
      <c r="I1119" s="7" t="s">
        <v>1377</v>
      </c>
      <c r="J1119" s="7" t="s">
        <v>707</v>
      </c>
      <c r="K1119" s="7" t="s">
        <v>36</v>
      </c>
      <c r="L1119" s="8">
        <v>28</v>
      </c>
      <c r="M1119" s="7" t="s">
        <v>77</v>
      </c>
      <c r="N1119" s="8">
        <v>113</v>
      </c>
      <c r="O1119" s="8">
        <v>1</v>
      </c>
      <c r="P1119" s="5">
        <v>2571.39</v>
      </c>
      <c r="Q1119" s="4">
        <v>45600</v>
      </c>
      <c r="R1119" s="9">
        <v>0.34131944444444445</v>
      </c>
      <c r="S1119" s="8">
        <v>17</v>
      </c>
      <c r="T1119" s="7" t="s">
        <v>4456</v>
      </c>
      <c r="U1119" s="7" t="s">
        <v>4455</v>
      </c>
      <c r="V11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20" spans="1:22" x14ac:dyDescent="0.35">
      <c r="A1120" s="7" t="s">
        <v>2783</v>
      </c>
      <c r="B1120" s="7" t="s">
        <v>222</v>
      </c>
      <c r="C1120" s="5">
        <v>461.25</v>
      </c>
      <c r="D1120" s="2">
        <v>0.73109953703533392</v>
      </c>
      <c r="E1120" s="4">
        <v>45166</v>
      </c>
      <c r="F1120" s="7" t="s">
        <v>46</v>
      </c>
      <c r="G1120" s="7" t="s">
        <v>285</v>
      </c>
      <c r="H1120" s="7" t="s">
        <v>2784</v>
      </c>
      <c r="I1120" s="7" t="s">
        <v>2416</v>
      </c>
      <c r="J1120" s="7" t="s">
        <v>252</v>
      </c>
      <c r="K1120" s="7" t="s">
        <v>36</v>
      </c>
      <c r="L1120" s="8">
        <v>54</v>
      </c>
      <c r="M1120" s="7" t="s">
        <v>23</v>
      </c>
      <c r="N1120" s="8">
        <v>171</v>
      </c>
      <c r="O1120" s="8">
        <v>1</v>
      </c>
      <c r="P1120" s="5">
        <v>676.1</v>
      </c>
      <c r="Q1120" s="4">
        <v>45600</v>
      </c>
      <c r="R1120" s="9">
        <v>0.33971064814814816</v>
      </c>
      <c r="S1120" s="8">
        <v>17</v>
      </c>
      <c r="T1120" s="7" t="s">
        <v>4457</v>
      </c>
      <c r="U1120" s="7" t="s">
        <v>4455</v>
      </c>
      <c r="V11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21" spans="1:22" x14ac:dyDescent="0.35">
      <c r="A1121" s="7" t="s">
        <v>2785</v>
      </c>
      <c r="B1121" s="7" t="s">
        <v>533</v>
      </c>
      <c r="C1121" s="5">
        <v>61.77</v>
      </c>
      <c r="D1121" s="2">
        <v>0.71287037037109258</v>
      </c>
      <c r="E1121" s="4">
        <v>45197</v>
      </c>
      <c r="F1121" s="7" t="s">
        <v>17</v>
      </c>
      <c r="G1121" s="7" t="s">
        <v>249</v>
      </c>
      <c r="H1121" s="7" t="s">
        <v>772</v>
      </c>
      <c r="I1121" s="7" t="s">
        <v>174</v>
      </c>
      <c r="J1121" s="7" t="s">
        <v>984</v>
      </c>
      <c r="K1121" s="7" t="s">
        <v>69</v>
      </c>
      <c r="L1121" s="8">
        <v>56</v>
      </c>
      <c r="M1121" s="7" t="s">
        <v>23</v>
      </c>
      <c r="N1121" s="8">
        <v>49</v>
      </c>
      <c r="O1121" s="8">
        <v>1</v>
      </c>
      <c r="P1121" s="5">
        <v>12352.2</v>
      </c>
      <c r="Q1121" s="4">
        <v>45600</v>
      </c>
      <c r="R1121" s="9">
        <v>0.34137731481481481</v>
      </c>
      <c r="S1121" s="8">
        <v>17</v>
      </c>
      <c r="T1121" s="7" t="s">
        <v>4454</v>
      </c>
      <c r="U1121" s="7" t="s">
        <v>4455</v>
      </c>
      <c r="V11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22" spans="1:22" x14ac:dyDescent="0.35">
      <c r="A1122" s="7" t="s">
        <v>2786</v>
      </c>
      <c r="B1122" s="7" t="s">
        <v>1114</v>
      </c>
      <c r="C1122" s="5">
        <v>268.92</v>
      </c>
      <c r="D1122" s="2">
        <v>0.68921296296321088</v>
      </c>
      <c r="E1122" s="4">
        <v>45152</v>
      </c>
      <c r="F1122" s="7" t="s">
        <v>17</v>
      </c>
      <c r="G1122" s="7" t="s">
        <v>265</v>
      </c>
      <c r="H1122" s="7" t="s">
        <v>2037</v>
      </c>
      <c r="I1122" s="7" t="s">
        <v>1985</v>
      </c>
      <c r="J1122" s="7" t="s">
        <v>154</v>
      </c>
      <c r="K1122" s="7" t="s">
        <v>69</v>
      </c>
      <c r="L1122" s="8">
        <v>29</v>
      </c>
      <c r="M1122" s="7" t="s">
        <v>77</v>
      </c>
      <c r="N1122" s="8">
        <v>148</v>
      </c>
      <c r="O1122" s="8">
        <v>1</v>
      </c>
      <c r="P1122" s="5">
        <v>8765.3799999999992</v>
      </c>
      <c r="Q1122" s="4">
        <v>45600</v>
      </c>
      <c r="R1122" s="9">
        <v>0.33791666666666664</v>
      </c>
      <c r="S1122" s="8">
        <v>16</v>
      </c>
      <c r="T1122" s="7" t="s">
        <v>4456</v>
      </c>
      <c r="U1122" s="7" t="s">
        <v>4455</v>
      </c>
      <c r="V11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23" spans="1:22" x14ac:dyDescent="0.35">
      <c r="A1123" s="7" t="s">
        <v>2787</v>
      </c>
      <c r="B1123" s="7" t="s">
        <v>848</v>
      </c>
      <c r="C1123" s="5">
        <v>303.97000000000003</v>
      </c>
      <c r="D1123" s="2">
        <v>0.70515046296350192</v>
      </c>
      <c r="E1123" s="4">
        <v>44959</v>
      </c>
      <c r="F1123" s="7" t="s">
        <v>17</v>
      </c>
      <c r="G1123" s="7" t="s">
        <v>157</v>
      </c>
      <c r="H1123" s="7" t="s">
        <v>846</v>
      </c>
      <c r="I1123" s="7" t="s">
        <v>342</v>
      </c>
      <c r="J1123" s="7" t="s">
        <v>682</v>
      </c>
      <c r="K1123" s="7" t="s">
        <v>36</v>
      </c>
      <c r="L1123" s="8">
        <v>24</v>
      </c>
      <c r="M1123" s="7" t="s">
        <v>37</v>
      </c>
      <c r="N1123" s="8">
        <v>77</v>
      </c>
      <c r="O1123" s="8">
        <v>5</v>
      </c>
      <c r="P1123" s="5">
        <v>1590.88</v>
      </c>
      <c r="Q1123" s="4">
        <v>45600</v>
      </c>
      <c r="R1123" s="9">
        <v>0.3387384259259259</v>
      </c>
      <c r="S1123" s="8">
        <v>16</v>
      </c>
      <c r="T1123" s="7" t="s">
        <v>4456</v>
      </c>
      <c r="U1123" s="7" t="s">
        <v>4458</v>
      </c>
      <c r="V11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24" spans="1:22" x14ac:dyDescent="0.35">
      <c r="A1124" s="7" t="s">
        <v>2788</v>
      </c>
      <c r="B1124" s="7" t="s">
        <v>2650</v>
      </c>
      <c r="C1124" s="5">
        <v>219.02</v>
      </c>
      <c r="D1124" s="2">
        <v>0.68817129629314877</v>
      </c>
      <c r="E1124" s="4">
        <v>45292</v>
      </c>
      <c r="F1124" s="7" t="s">
        <v>46</v>
      </c>
      <c r="G1124" s="7" t="s">
        <v>18</v>
      </c>
      <c r="H1124" s="7" t="s">
        <v>306</v>
      </c>
      <c r="I1124" s="7" t="s">
        <v>2183</v>
      </c>
      <c r="J1124" s="7" t="s">
        <v>482</v>
      </c>
      <c r="K1124" s="7" t="s">
        <v>36</v>
      </c>
      <c r="L1124" s="8">
        <v>54</v>
      </c>
      <c r="M1124" s="7" t="s">
        <v>77</v>
      </c>
      <c r="N1124" s="8">
        <v>68</v>
      </c>
      <c r="O1124" s="8">
        <v>1</v>
      </c>
      <c r="P1124" s="5">
        <v>7375.73</v>
      </c>
      <c r="Q1124" s="4">
        <v>45600</v>
      </c>
      <c r="R1124" s="9">
        <v>0.3397337962962963</v>
      </c>
      <c r="S1124" s="8">
        <v>16</v>
      </c>
      <c r="T1124" s="7" t="s">
        <v>4457</v>
      </c>
      <c r="U1124" s="7" t="s">
        <v>4455</v>
      </c>
      <c r="V11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25" spans="1:22" x14ac:dyDescent="0.35">
      <c r="A1125" s="7" t="s">
        <v>2789</v>
      </c>
      <c r="B1125" s="7" t="s">
        <v>1753</v>
      </c>
      <c r="C1125" s="5">
        <v>125.14</v>
      </c>
      <c r="D1125" s="2">
        <v>0.72173611111065838</v>
      </c>
      <c r="E1125" s="4">
        <v>45166</v>
      </c>
      <c r="F1125" s="7" t="s">
        <v>17</v>
      </c>
      <c r="G1125" s="7" t="s">
        <v>197</v>
      </c>
      <c r="H1125" s="7" t="s">
        <v>2318</v>
      </c>
      <c r="I1125" s="7" t="s">
        <v>1797</v>
      </c>
      <c r="J1125" s="7" t="s">
        <v>1014</v>
      </c>
      <c r="K1125" s="7" t="s">
        <v>69</v>
      </c>
      <c r="L1125" s="8">
        <v>20</v>
      </c>
      <c r="M1125" s="7" t="s">
        <v>37</v>
      </c>
      <c r="N1125" s="8">
        <v>31</v>
      </c>
      <c r="O1125" s="8">
        <v>1</v>
      </c>
      <c r="P1125" s="5">
        <v>1845.18</v>
      </c>
      <c r="Q1125" s="4">
        <v>45600</v>
      </c>
      <c r="R1125" s="9">
        <v>0.34076388888888887</v>
      </c>
      <c r="S1125" s="8">
        <v>17</v>
      </c>
      <c r="T1125" s="7" t="s">
        <v>4456</v>
      </c>
      <c r="U1125" s="7" t="s">
        <v>4455</v>
      </c>
      <c r="V11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26" spans="1:22" x14ac:dyDescent="0.35">
      <c r="A1126" s="7" t="s">
        <v>2790</v>
      </c>
      <c r="B1126" s="7" t="s">
        <v>211</v>
      </c>
      <c r="C1126" s="5">
        <v>47.6</v>
      </c>
      <c r="D1126" s="2">
        <v>0.77975694444467081</v>
      </c>
      <c r="E1126" s="4">
        <v>44980</v>
      </c>
      <c r="F1126" s="7" t="s">
        <v>17</v>
      </c>
      <c r="G1126" s="7" t="s">
        <v>119</v>
      </c>
      <c r="H1126" s="7" t="s">
        <v>2639</v>
      </c>
      <c r="I1126" s="7" t="s">
        <v>1597</v>
      </c>
      <c r="J1126" s="7" t="s">
        <v>607</v>
      </c>
      <c r="K1126" s="7" t="s">
        <v>36</v>
      </c>
      <c r="L1126" s="8">
        <v>53</v>
      </c>
      <c r="M1126" s="7" t="s">
        <v>77</v>
      </c>
      <c r="N1126" s="8">
        <v>115</v>
      </c>
      <c r="O1126" s="8">
        <v>1</v>
      </c>
      <c r="P1126" s="5">
        <v>1382.51</v>
      </c>
      <c r="Q1126" s="4">
        <v>45600</v>
      </c>
      <c r="R1126" s="9">
        <v>0.33912037037037035</v>
      </c>
      <c r="S1126" s="8">
        <v>18</v>
      </c>
      <c r="T1126" s="7" t="s">
        <v>4457</v>
      </c>
      <c r="U1126" s="7" t="s">
        <v>4455</v>
      </c>
      <c r="V11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27" spans="1:22" x14ac:dyDescent="0.35">
      <c r="A1127" s="7" t="s">
        <v>2791</v>
      </c>
      <c r="B1127" s="7" t="s">
        <v>1343</v>
      </c>
      <c r="C1127" s="5">
        <v>592.82000000000005</v>
      </c>
      <c r="D1127" s="2">
        <v>0.72626157407648861</v>
      </c>
      <c r="E1127" s="4">
        <v>45183</v>
      </c>
      <c r="F1127" s="7" t="s">
        <v>17</v>
      </c>
      <c r="G1127" s="7" t="s">
        <v>92</v>
      </c>
      <c r="H1127" s="7" t="s">
        <v>994</v>
      </c>
      <c r="I1127" s="7" t="s">
        <v>486</v>
      </c>
      <c r="J1127" s="7" t="s">
        <v>592</v>
      </c>
      <c r="K1127" s="7" t="s">
        <v>36</v>
      </c>
      <c r="L1127" s="8">
        <v>74</v>
      </c>
      <c r="M1127" s="7" t="s">
        <v>70</v>
      </c>
      <c r="N1127" s="8">
        <v>248</v>
      </c>
      <c r="O1127" s="8">
        <v>1</v>
      </c>
      <c r="P1127" s="5">
        <v>7508.98</v>
      </c>
      <c r="Q1127" s="4">
        <v>45600</v>
      </c>
      <c r="R1127" s="9">
        <v>0.34182870370370372</v>
      </c>
      <c r="S1127" s="8">
        <v>17</v>
      </c>
      <c r="T1127" s="7" t="s">
        <v>4454</v>
      </c>
      <c r="U1127" s="7" t="s">
        <v>4455</v>
      </c>
      <c r="V11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28" spans="1:22" x14ac:dyDescent="0.35">
      <c r="A1128" s="7" t="s">
        <v>2792</v>
      </c>
      <c r="B1128" s="7" t="s">
        <v>25</v>
      </c>
      <c r="C1128" s="5">
        <v>372.5</v>
      </c>
      <c r="D1128" s="2">
        <v>0.76097222221869742</v>
      </c>
      <c r="E1128" s="4">
        <v>45215</v>
      </c>
      <c r="F1128" s="7" t="s">
        <v>17</v>
      </c>
      <c r="G1128" s="7" t="s">
        <v>80</v>
      </c>
      <c r="H1128" s="7" t="s">
        <v>1883</v>
      </c>
      <c r="I1128" s="7" t="s">
        <v>963</v>
      </c>
      <c r="J1128" s="7" t="s">
        <v>89</v>
      </c>
      <c r="K1128" s="7" t="s">
        <v>22</v>
      </c>
      <c r="L1128" s="8">
        <v>22</v>
      </c>
      <c r="M1128" s="7" t="s">
        <v>37</v>
      </c>
      <c r="N1128" s="8">
        <v>211</v>
      </c>
      <c r="O1128" s="8">
        <v>1</v>
      </c>
      <c r="P1128" s="5">
        <v>3901.82</v>
      </c>
      <c r="Q1128" s="4">
        <v>45600</v>
      </c>
      <c r="R1128" s="9">
        <v>0.34057870370370369</v>
      </c>
      <c r="S1128" s="8">
        <v>18</v>
      </c>
      <c r="T1128" s="7" t="s">
        <v>4456</v>
      </c>
      <c r="U1128" s="7" t="s">
        <v>4455</v>
      </c>
      <c r="V11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29" spans="1:22" x14ac:dyDescent="0.35">
      <c r="A1129" s="7" t="s">
        <v>2793</v>
      </c>
      <c r="B1129" s="7" t="s">
        <v>1012</v>
      </c>
      <c r="C1129" s="5">
        <v>4.72</v>
      </c>
      <c r="D1129" s="2">
        <v>0.66935185185138835</v>
      </c>
      <c r="E1129" s="4">
        <v>45033</v>
      </c>
      <c r="F1129" s="7" t="s">
        <v>17</v>
      </c>
      <c r="G1129" s="7" t="s">
        <v>157</v>
      </c>
      <c r="H1129" s="7" t="s">
        <v>2794</v>
      </c>
      <c r="I1129" s="7" t="s">
        <v>583</v>
      </c>
      <c r="J1129" s="7" t="s">
        <v>267</v>
      </c>
      <c r="K1129" s="7" t="s">
        <v>69</v>
      </c>
      <c r="L1129" s="8">
        <v>32</v>
      </c>
      <c r="M1129" s="7" t="s">
        <v>77</v>
      </c>
      <c r="N1129" s="8">
        <v>20</v>
      </c>
      <c r="O1129" s="8">
        <v>1</v>
      </c>
      <c r="P1129" s="5">
        <v>4792.01</v>
      </c>
      <c r="Q1129" s="4">
        <v>45600</v>
      </c>
      <c r="R1129" s="9">
        <v>0.33990740740740738</v>
      </c>
      <c r="S1129" s="8">
        <v>16</v>
      </c>
      <c r="T1129" s="7" t="s">
        <v>4456</v>
      </c>
      <c r="U1129" s="7" t="s">
        <v>4455</v>
      </c>
      <c r="V11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30" spans="1:22" x14ac:dyDescent="0.35">
      <c r="A1130" s="7" t="s">
        <v>2795</v>
      </c>
      <c r="B1130" s="7" t="s">
        <v>687</v>
      </c>
      <c r="C1130" s="5">
        <v>144.93</v>
      </c>
      <c r="D1130" s="2">
        <v>0.68888888888614019</v>
      </c>
      <c r="E1130" s="4">
        <v>45062</v>
      </c>
      <c r="F1130" s="7" t="s">
        <v>17</v>
      </c>
      <c r="G1130" s="7" t="s">
        <v>558</v>
      </c>
      <c r="H1130" s="7" t="s">
        <v>1050</v>
      </c>
      <c r="I1130" s="7" t="s">
        <v>747</v>
      </c>
      <c r="J1130" s="7" t="s">
        <v>482</v>
      </c>
      <c r="K1130" s="7" t="s">
        <v>69</v>
      </c>
      <c r="L1130" s="8">
        <v>42</v>
      </c>
      <c r="M1130" s="7" t="s">
        <v>77</v>
      </c>
      <c r="N1130" s="8">
        <v>74</v>
      </c>
      <c r="O1130" s="8">
        <v>1</v>
      </c>
      <c r="P1130" s="5">
        <v>6887.52</v>
      </c>
      <c r="Q1130" s="4">
        <v>45600</v>
      </c>
      <c r="R1130" s="9">
        <v>0.33979166666666666</v>
      </c>
      <c r="S1130" s="8">
        <v>16</v>
      </c>
      <c r="T1130" s="7" t="s">
        <v>4457</v>
      </c>
      <c r="U1130" s="7" t="s">
        <v>4455</v>
      </c>
      <c r="V11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31" spans="1:22" x14ac:dyDescent="0.35">
      <c r="A1131" s="7" t="s">
        <v>2796</v>
      </c>
      <c r="B1131" s="7" t="s">
        <v>1501</v>
      </c>
      <c r="C1131" s="5">
        <v>316.56</v>
      </c>
      <c r="D1131" s="2">
        <v>0.77099537036701804</v>
      </c>
      <c r="E1131" s="4">
        <v>45167</v>
      </c>
      <c r="F1131" s="7" t="s">
        <v>17</v>
      </c>
      <c r="G1131" s="7" t="s">
        <v>114</v>
      </c>
      <c r="H1131" s="7" t="s">
        <v>1636</v>
      </c>
      <c r="I1131" s="7" t="s">
        <v>2051</v>
      </c>
      <c r="J1131" s="7" t="s">
        <v>29</v>
      </c>
      <c r="K1131" s="7" t="s">
        <v>36</v>
      </c>
      <c r="L1131" s="8">
        <v>28</v>
      </c>
      <c r="M1131" s="7" t="s">
        <v>77</v>
      </c>
      <c r="N1131" s="8">
        <v>261</v>
      </c>
      <c r="O1131" s="8">
        <v>1</v>
      </c>
      <c r="P1131" s="5">
        <v>8643.51</v>
      </c>
      <c r="Q1131" s="4">
        <v>45600</v>
      </c>
      <c r="R1131" s="9">
        <v>0.34024305555555556</v>
      </c>
      <c r="S1131" s="8">
        <v>18</v>
      </c>
      <c r="T1131" s="7" t="s">
        <v>4456</v>
      </c>
      <c r="U1131" s="7" t="s">
        <v>4455</v>
      </c>
      <c r="V11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32" spans="1:22" x14ac:dyDescent="0.35">
      <c r="A1132" s="7" t="s">
        <v>2797</v>
      </c>
      <c r="B1132" s="7" t="s">
        <v>1179</v>
      </c>
      <c r="C1132" s="5">
        <v>9.18</v>
      </c>
      <c r="D1132" s="2">
        <v>0.75762731481518131</v>
      </c>
      <c r="E1132" s="4">
        <v>45113</v>
      </c>
      <c r="F1132" s="7" t="s">
        <v>17</v>
      </c>
      <c r="G1132" s="7" t="s">
        <v>212</v>
      </c>
      <c r="H1132" s="7" t="s">
        <v>1824</v>
      </c>
      <c r="I1132" s="7" t="s">
        <v>702</v>
      </c>
      <c r="J1132" s="7" t="s">
        <v>1287</v>
      </c>
      <c r="K1132" s="7" t="s">
        <v>36</v>
      </c>
      <c r="L1132" s="8">
        <v>22</v>
      </c>
      <c r="M1132" s="7" t="s">
        <v>37</v>
      </c>
      <c r="N1132" s="8">
        <v>140</v>
      </c>
      <c r="O1132" s="8">
        <v>1</v>
      </c>
      <c r="P1132" s="5">
        <v>887.32</v>
      </c>
      <c r="Q1132" s="4">
        <v>45600</v>
      </c>
      <c r="R1132" s="9">
        <v>0.34013888888888888</v>
      </c>
      <c r="S1132" s="8">
        <v>18</v>
      </c>
      <c r="T1132" s="7" t="s">
        <v>4456</v>
      </c>
      <c r="U1132" s="7" t="s">
        <v>4455</v>
      </c>
      <c r="V11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33" spans="1:22" x14ac:dyDescent="0.35">
      <c r="A1133" s="7" t="s">
        <v>2798</v>
      </c>
      <c r="B1133" s="7" t="s">
        <v>1217</v>
      </c>
      <c r="C1133" s="5">
        <v>421.25</v>
      </c>
      <c r="D1133" s="2">
        <v>0.67637731481227092</v>
      </c>
      <c r="E1133" s="4">
        <v>44931</v>
      </c>
      <c r="F1133" s="7" t="s">
        <v>17</v>
      </c>
      <c r="G1133" s="7" t="s">
        <v>157</v>
      </c>
      <c r="H1133" s="7" t="s">
        <v>1622</v>
      </c>
      <c r="I1133" s="7" t="s">
        <v>2588</v>
      </c>
      <c r="J1133" s="7" t="s">
        <v>83</v>
      </c>
      <c r="K1133" s="7" t="s">
        <v>36</v>
      </c>
      <c r="L1133" s="8">
        <v>25</v>
      </c>
      <c r="M1133" s="7" t="s">
        <v>37</v>
      </c>
      <c r="N1133" s="8">
        <v>66</v>
      </c>
      <c r="O1133" s="8">
        <v>1</v>
      </c>
      <c r="P1133" s="5">
        <v>7174.69</v>
      </c>
      <c r="Q1133" s="4">
        <v>45600</v>
      </c>
      <c r="R1133" s="9">
        <v>0.33872685185185186</v>
      </c>
      <c r="S1133" s="8">
        <v>16</v>
      </c>
      <c r="T1133" s="7" t="s">
        <v>4456</v>
      </c>
      <c r="U1133" s="7" t="s">
        <v>4455</v>
      </c>
      <c r="V11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34" spans="1:22" x14ac:dyDescent="0.35">
      <c r="A1134" s="7" t="s">
        <v>2799</v>
      </c>
      <c r="B1134" s="7" t="s">
        <v>429</v>
      </c>
      <c r="C1134" s="5">
        <v>185.71</v>
      </c>
      <c r="D1134" s="2">
        <v>0.67726851852057735</v>
      </c>
      <c r="E1134" s="4">
        <v>45145</v>
      </c>
      <c r="F1134" s="7" t="s">
        <v>17</v>
      </c>
      <c r="G1134" s="7" t="s">
        <v>301</v>
      </c>
      <c r="H1134" s="7" t="s">
        <v>637</v>
      </c>
      <c r="I1134" s="7" t="s">
        <v>1518</v>
      </c>
      <c r="J1134" s="7" t="s">
        <v>820</v>
      </c>
      <c r="K1134" s="7" t="s">
        <v>69</v>
      </c>
      <c r="L1134" s="8">
        <v>48</v>
      </c>
      <c r="M1134" s="7" t="s">
        <v>77</v>
      </c>
      <c r="N1134" s="8">
        <v>194</v>
      </c>
      <c r="O1134" s="8">
        <v>1</v>
      </c>
      <c r="P1134" s="5">
        <v>2679.91</v>
      </c>
      <c r="Q1134" s="4">
        <v>45600</v>
      </c>
      <c r="R1134" s="9">
        <v>0.34005787037037039</v>
      </c>
      <c r="S1134" s="8">
        <v>16</v>
      </c>
      <c r="T1134" s="7" t="s">
        <v>4457</v>
      </c>
      <c r="U1134" s="7" t="s">
        <v>4455</v>
      </c>
      <c r="V11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35" spans="1:22" x14ac:dyDescent="0.35">
      <c r="A1135" s="7" t="s">
        <v>2800</v>
      </c>
      <c r="B1135" s="7" t="s">
        <v>151</v>
      </c>
      <c r="C1135" s="5">
        <v>1432.02</v>
      </c>
      <c r="D1135" s="2">
        <v>0.74315972222393611</v>
      </c>
      <c r="E1135" s="4">
        <v>45177</v>
      </c>
      <c r="F1135" s="7" t="s">
        <v>17</v>
      </c>
      <c r="G1135" s="7" t="s">
        <v>108</v>
      </c>
      <c r="H1135" s="7" t="s">
        <v>1141</v>
      </c>
      <c r="I1135" s="7" t="s">
        <v>2346</v>
      </c>
      <c r="J1135" s="7" t="s">
        <v>427</v>
      </c>
      <c r="K1135" s="7" t="s">
        <v>69</v>
      </c>
      <c r="L1135" s="8">
        <v>60</v>
      </c>
      <c r="M1135" s="7" t="s">
        <v>70</v>
      </c>
      <c r="N1135" s="8">
        <v>138</v>
      </c>
      <c r="O1135" s="8">
        <v>1</v>
      </c>
      <c r="P1135" s="5">
        <v>4315.07</v>
      </c>
      <c r="Q1135" s="4">
        <v>45600</v>
      </c>
      <c r="R1135" s="9">
        <v>0.34</v>
      </c>
      <c r="S1135" s="8">
        <v>17</v>
      </c>
      <c r="T1135" s="7" t="s">
        <v>4454</v>
      </c>
      <c r="U1135" s="7" t="s">
        <v>4455</v>
      </c>
      <c r="V11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36" spans="1:22" x14ac:dyDescent="0.35">
      <c r="A1136" s="7" t="s">
        <v>2801</v>
      </c>
      <c r="B1136" s="7" t="s">
        <v>2802</v>
      </c>
      <c r="C1136" s="5">
        <v>26.27</v>
      </c>
      <c r="D1136" s="2">
        <v>0.68254629629518604</v>
      </c>
      <c r="E1136" s="4">
        <v>45002</v>
      </c>
      <c r="F1136" s="7" t="s">
        <v>46</v>
      </c>
      <c r="G1136" s="7" t="s">
        <v>595</v>
      </c>
      <c r="H1136" s="7" t="s">
        <v>1135</v>
      </c>
      <c r="I1136" s="7" t="s">
        <v>940</v>
      </c>
      <c r="J1136" s="7" t="s">
        <v>1562</v>
      </c>
      <c r="K1136" s="7" t="s">
        <v>36</v>
      </c>
      <c r="L1136" s="8">
        <v>45</v>
      </c>
      <c r="M1136" s="7" t="s">
        <v>77</v>
      </c>
      <c r="N1136" s="8">
        <v>177</v>
      </c>
      <c r="O1136" s="8">
        <v>1</v>
      </c>
      <c r="P1136" s="5">
        <v>8853.93</v>
      </c>
      <c r="Q1136" s="4">
        <v>45600</v>
      </c>
      <c r="R1136" s="9">
        <v>0.34052083333333333</v>
      </c>
      <c r="S1136" s="8">
        <v>16</v>
      </c>
      <c r="T1136" s="7" t="s">
        <v>4457</v>
      </c>
      <c r="U1136" s="7" t="s">
        <v>4455</v>
      </c>
      <c r="V11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37" spans="1:22" x14ac:dyDescent="0.35">
      <c r="A1137" s="7" t="s">
        <v>2803</v>
      </c>
      <c r="B1137" s="7" t="s">
        <v>1200</v>
      </c>
      <c r="C1137" s="5">
        <v>297.02999999999997</v>
      </c>
      <c r="D1137" s="2">
        <v>0.71423611111094942</v>
      </c>
      <c r="E1137" s="4">
        <v>45177</v>
      </c>
      <c r="F1137" s="7" t="s">
        <v>17</v>
      </c>
      <c r="G1137" s="7" t="s">
        <v>119</v>
      </c>
      <c r="H1137" s="7" t="s">
        <v>1950</v>
      </c>
      <c r="I1137" s="7" t="s">
        <v>739</v>
      </c>
      <c r="J1137" s="7" t="s">
        <v>576</v>
      </c>
      <c r="K1137" s="7" t="s">
        <v>36</v>
      </c>
      <c r="L1137" s="8">
        <v>61</v>
      </c>
      <c r="M1137" s="7" t="s">
        <v>70</v>
      </c>
      <c r="N1137" s="8">
        <v>151</v>
      </c>
      <c r="O1137" s="8">
        <v>1</v>
      </c>
      <c r="P1137" s="5">
        <v>1088.6199999999999</v>
      </c>
      <c r="Q1137" s="4">
        <v>45600</v>
      </c>
      <c r="R1137" s="9">
        <v>0.34039351851851851</v>
      </c>
      <c r="S1137" s="8">
        <v>17</v>
      </c>
      <c r="T1137" s="7" t="s">
        <v>4454</v>
      </c>
      <c r="U1137" s="7" t="s">
        <v>4455</v>
      </c>
      <c r="V11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38" spans="1:22" x14ac:dyDescent="0.35">
      <c r="A1138" s="7" t="s">
        <v>2804</v>
      </c>
      <c r="B1138" s="7" t="s">
        <v>1992</v>
      </c>
      <c r="C1138" s="5">
        <v>341.67</v>
      </c>
      <c r="D1138" s="2">
        <v>0.69819444444146939</v>
      </c>
      <c r="E1138" s="4">
        <v>44991</v>
      </c>
      <c r="F1138" s="7" t="s">
        <v>17</v>
      </c>
      <c r="G1138" s="7" t="s">
        <v>296</v>
      </c>
      <c r="H1138" s="7" t="s">
        <v>1543</v>
      </c>
      <c r="I1138" s="7" t="s">
        <v>1968</v>
      </c>
      <c r="J1138" s="7" t="s">
        <v>980</v>
      </c>
      <c r="K1138" s="7" t="s">
        <v>69</v>
      </c>
      <c r="L1138" s="8">
        <v>53</v>
      </c>
      <c r="M1138" s="7" t="s">
        <v>70</v>
      </c>
      <c r="N1138" s="8">
        <v>96</v>
      </c>
      <c r="O1138" s="8">
        <v>5</v>
      </c>
      <c r="P1138" s="5">
        <v>1442.29</v>
      </c>
      <c r="Q1138" s="4">
        <v>45600</v>
      </c>
      <c r="R1138" s="9">
        <v>0.33961805555555558</v>
      </c>
      <c r="S1138" s="8">
        <v>16</v>
      </c>
      <c r="T1138" s="7" t="s">
        <v>4457</v>
      </c>
      <c r="U1138" s="7" t="s">
        <v>4458</v>
      </c>
      <c r="V11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39" spans="1:22" x14ac:dyDescent="0.35">
      <c r="A1139" s="7" t="s">
        <v>2805</v>
      </c>
      <c r="B1139" s="7" t="s">
        <v>1760</v>
      </c>
      <c r="C1139" s="5">
        <v>99.52</v>
      </c>
      <c r="D1139" s="2">
        <v>0.74240740740788169</v>
      </c>
      <c r="E1139" s="4">
        <v>45026</v>
      </c>
      <c r="F1139" s="7" t="s">
        <v>17</v>
      </c>
      <c r="G1139" s="7" t="s">
        <v>18</v>
      </c>
      <c r="H1139" s="7" t="s">
        <v>2806</v>
      </c>
      <c r="I1139" s="7" t="s">
        <v>1170</v>
      </c>
      <c r="J1139" s="7" t="s">
        <v>160</v>
      </c>
      <c r="K1139" s="7" t="s">
        <v>22</v>
      </c>
      <c r="L1139" s="8">
        <v>52</v>
      </c>
      <c r="M1139" s="7" t="s">
        <v>77</v>
      </c>
      <c r="N1139" s="8">
        <v>127</v>
      </c>
      <c r="O1139" s="8">
        <v>1</v>
      </c>
      <c r="P1139" s="5">
        <v>3798.09</v>
      </c>
      <c r="Q1139" s="4">
        <v>45600</v>
      </c>
      <c r="R1139" s="9">
        <v>0.34143518518518517</v>
      </c>
      <c r="S1139" s="8">
        <v>17</v>
      </c>
      <c r="T1139" s="7" t="s">
        <v>4457</v>
      </c>
      <c r="U1139" s="7" t="s">
        <v>4455</v>
      </c>
      <c r="V11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40" spans="1:22" x14ac:dyDescent="0.35">
      <c r="A1140" s="7" t="s">
        <v>2807</v>
      </c>
      <c r="B1140" s="7" t="s">
        <v>876</v>
      </c>
      <c r="C1140" s="5">
        <v>881.1</v>
      </c>
      <c r="D1140" s="2">
        <v>0.69868055555707542</v>
      </c>
      <c r="E1140" s="4">
        <v>45243</v>
      </c>
      <c r="F1140" s="7" t="s">
        <v>17</v>
      </c>
      <c r="G1140" s="7" t="s">
        <v>425</v>
      </c>
      <c r="H1140" s="7" t="s">
        <v>109</v>
      </c>
      <c r="I1140" s="7" t="s">
        <v>1751</v>
      </c>
      <c r="J1140" s="7" t="s">
        <v>482</v>
      </c>
      <c r="K1140" s="7" t="s">
        <v>69</v>
      </c>
      <c r="L1140" s="8">
        <v>28</v>
      </c>
      <c r="M1140" s="7" t="s">
        <v>37</v>
      </c>
      <c r="N1140" s="8">
        <v>16</v>
      </c>
      <c r="O1140" s="8">
        <v>1</v>
      </c>
      <c r="P1140" s="5">
        <v>9951.68</v>
      </c>
      <c r="Q1140" s="4">
        <v>45600</v>
      </c>
      <c r="R1140" s="9">
        <v>0.33900462962962963</v>
      </c>
      <c r="S1140" s="8">
        <v>16</v>
      </c>
      <c r="T1140" s="7" t="s">
        <v>4456</v>
      </c>
      <c r="U1140" s="7" t="s">
        <v>4455</v>
      </c>
      <c r="V11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41" spans="1:22" x14ac:dyDescent="0.35">
      <c r="A1141" s="7" t="s">
        <v>2808</v>
      </c>
      <c r="B1141" s="7" t="s">
        <v>1736</v>
      </c>
      <c r="C1141" s="5">
        <v>139.69</v>
      </c>
      <c r="D1141" s="2">
        <v>0.72409722222073469</v>
      </c>
      <c r="E1141" s="4">
        <v>45092</v>
      </c>
      <c r="F1141" s="7" t="s">
        <v>17</v>
      </c>
      <c r="G1141" s="7" t="s">
        <v>65</v>
      </c>
      <c r="H1141" s="7" t="s">
        <v>2809</v>
      </c>
      <c r="I1141" s="7" t="s">
        <v>828</v>
      </c>
      <c r="J1141" s="7" t="s">
        <v>105</v>
      </c>
      <c r="K1141" s="7" t="s">
        <v>36</v>
      </c>
      <c r="L1141" s="8">
        <v>52</v>
      </c>
      <c r="M1141" s="7" t="s">
        <v>77</v>
      </c>
      <c r="N1141" s="8">
        <v>180</v>
      </c>
      <c r="O1141" s="8">
        <v>1</v>
      </c>
      <c r="P1141" s="5">
        <v>9567.94</v>
      </c>
      <c r="Q1141" s="4">
        <v>45600</v>
      </c>
      <c r="R1141" s="9">
        <v>0.33884259259259258</v>
      </c>
      <c r="S1141" s="8">
        <v>17</v>
      </c>
      <c r="T1141" s="7" t="s">
        <v>4457</v>
      </c>
      <c r="U1141" s="7" t="s">
        <v>4455</v>
      </c>
      <c r="V11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42" spans="1:22" x14ac:dyDescent="0.35">
      <c r="A1142" s="7" t="s">
        <v>2810</v>
      </c>
      <c r="B1142" s="7" t="s">
        <v>1240</v>
      </c>
      <c r="C1142" s="5">
        <v>42.72</v>
      </c>
      <c r="D1142" s="2">
        <v>0.70497685185546288</v>
      </c>
      <c r="E1142" s="4">
        <v>45155</v>
      </c>
      <c r="F1142" s="7" t="s">
        <v>17</v>
      </c>
      <c r="G1142" s="7" t="s">
        <v>80</v>
      </c>
      <c r="H1142" s="7" t="s">
        <v>2811</v>
      </c>
      <c r="I1142" s="7" t="s">
        <v>276</v>
      </c>
      <c r="J1142" s="7" t="s">
        <v>353</v>
      </c>
      <c r="K1142" s="7" t="s">
        <v>22</v>
      </c>
      <c r="L1142" s="8">
        <v>37</v>
      </c>
      <c r="M1142" s="7" t="s">
        <v>77</v>
      </c>
      <c r="N1142" s="8">
        <v>143</v>
      </c>
      <c r="O1142" s="8">
        <v>1</v>
      </c>
      <c r="P1142" s="5">
        <v>2669.66</v>
      </c>
      <c r="Q1142" s="4">
        <v>45600</v>
      </c>
      <c r="R1142" s="9">
        <v>0.33818287037037037</v>
      </c>
      <c r="S1142" s="8">
        <v>16</v>
      </c>
      <c r="T1142" s="7" t="s">
        <v>4457</v>
      </c>
      <c r="U1142" s="7" t="s">
        <v>4455</v>
      </c>
      <c r="V11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43" spans="1:22" x14ac:dyDescent="0.35">
      <c r="A1143" s="7" t="s">
        <v>2812</v>
      </c>
      <c r="B1143" s="7" t="s">
        <v>162</v>
      </c>
      <c r="C1143" s="5">
        <v>112.72</v>
      </c>
      <c r="D1143" s="2">
        <v>0.69048611111065838</v>
      </c>
      <c r="E1143" s="4">
        <v>45012</v>
      </c>
      <c r="F1143" s="7" t="s">
        <v>17</v>
      </c>
      <c r="G1143" s="7" t="s">
        <v>453</v>
      </c>
      <c r="H1143" s="7" t="s">
        <v>1362</v>
      </c>
      <c r="I1143" s="7" t="s">
        <v>1845</v>
      </c>
      <c r="J1143" s="7" t="s">
        <v>165</v>
      </c>
      <c r="K1143" s="7" t="s">
        <v>69</v>
      </c>
      <c r="L1143" s="8">
        <v>31</v>
      </c>
      <c r="M1143" s="7" t="s">
        <v>23</v>
      </c>
      <c r="N1143" s="8">
        <v>17</v>
      </c>
      <c r="O1143" s="8">
        <v>1</v>
      </c>
      <c r="P1143" s="5">
        <v>9630</v>
      </c>
      <c r="Q1143" s="4">
        <v>45600</v>
      </c>
      <c r="R1143" s="9">
        <v>0.34188657407407408</v>
      </c>
      <c r="S1143" s="8">
        <v>16</v>
      </c>
      <c r="T1143" s="7" t="s">
        <v>4456</v>
      </c>
      <c r="U1143" s="7" t="s">
        <v>4455</v>
      </c>
      <c r="V11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44" spans="1:22" x14ac:dyDescent="0.35">
      <c r="A1144" s="7" t="s">
        <v>2813</v>
      </c>
      <c r="B1144" s="7" t="s">
        <v>756</v>
      </c>
      <c r="C1144" s="5">
        <v>568.88</v>
      </c>
      <c r="D1144" s="2">
        <v>0.68665509259153623</v>
      </c>
      <c r="E1144" s="4">
        <v>44967</v>
      </c>
      <c r="F1144" s="7" t="s">
        <v>17</v>
      </c>
      <c r="G1144" s="7" t="s">
        <v>80</v>
      </c>
      <c r="H1144" s="7" t="s">
        <v>502</v>
      </c>
      <c r="I1144" s="7" t="s">
        <v>88</v>
      </c>
      <c r="J1144" s="7" t="s">
        <v>592</v>
      </c>
      <c r="K1144" s="7" t="s">
        <v>69</v>
      </c>
      <c r="L1144" s="8">
        <v>19</v>
      </c>
      <c r="M1144" s="7" t="s">
        <v>37</v>
      </c>
      <c r="N1144" s="8">
        <v>105</v>
      </c>
      <c r="O1144" s="8">
        <v>1</v>
      </c>
      <c r="P1144" s="5">
        <v>1307.8599999999999</v>
      </c>
      <c r="Q1144" s="4">
        <v>45600</v>
      </c>
      <c r="R1144" s="9">
        <v>0.33928240740740739</v>
      </c>
      <c r="S1144" s="8">
        <v>16</v>
      </c>
      <c r="T1144" s="7" t="s">
        <v>4456</v>
      </c>
      <c r="U1144" s="7" t="s">
        <v>4455</v>
      </c>
      <c r="V11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45" spans="1:22" x14ac:dyDescent="0.35">
      <c r="A1145" s="7" t="s">
        <v>2814</v>
      </c>
      <c r="B1145" s="7" t="s">
        <v>817</v>
      </c>
      <c r="C1145" s="5">
        <v>189.03</v>
      </c>
      <c r="D1145" s="2">
        <v>0.74594907407299615</v>
      </c>
      <c r="E1145" s="4">
        <v>45036</v>
      </c>
      <c r="F1145" s="7" t="s">
        <v>17</v>
      </c>
      <c r="G1145" s="7" t="s">
        <v>53</v>
      </c>
      <c r="H1145" s="7" t="s">
        <v>2428</v>
      </c>
      <c r="I1145" s="7" t="s">
        <v>2268</v>
      </c>
      <c r="J1145" s="7" t="s">
        <v>246</v>
      </c>
      <c r="K1145" s="7" t="s">
        <v>22</v>
      </c>
      <c r="L1145" s="8">
        <v>28</v>
      </c>
      <c r="M1145" s="7" t="s">
        <v>37</v>
      </c>
      <c r="N1145" s="8">
        <v>50</v>
      </c>
      <c r="O1145" s="8">
        <v>1</v>
      </c>
      <c r="P1145" s="5">
        <v>1916.46</v>
      </c>
      <c r="Q1145" s="4">
        <v>45600</v>
      </c>
      <c r="R1145" s="9">
        <v>0.33966435185185184</v>
      </c>
      <c r="S1145" s="8">
        <v>17</v>
      </c>
      <c r="T1145" s="7" t="s">
        <v>4456</v>
      </c>
      <c r="U1145" s="7" t="s">
        <v>4455</v>
      </c>
      <c r="V11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46" spans="1:22" x14ac:dyDescent="0.35">
      <c r="A1146" s="7" t="s">
        <v>2815</v>
      </c>
      <c r="B1146" s="7" t="s">
        <v>1313</v>
      </c>
      <c r="C1146" s="5">
        <v>199.8</v>
      </c>
      <c r="D1146" s="2">
        <v>0.67974537036934635</v>
      </c>
      <c r="E1146" s="4">
        <v>45131</v>
      </c>
      <c r="F1146" s="7" t="s">
        <v>17</v>
      </c>
      <c r="G1146" s="7" t="s">
        <v>73</v>
      </c>
      <c r="H1146" s="7" t="s">
        <v>2401</v>
      </c>
      <c r="I1146" s="7" t="s">
        <v>2071</v>
      </c>
      <c r="J1146" s="7" t="s">
        <v>858</v>
      </c>
      <c r="K1146" s="7" t="s">
        <v>22</v>
      </c>
      <c r="L1146" s="8">
        <v>20</v>
      </c>
      <c r="M1146" s="7" t="s">
        <v>37</v>
      </c>
      <c r="N1146" s="8">
        <v>163</v>
      </c>
      <c r="O1146" s="8">
        <v>1</v>
      </c>
      <c r="P1146" s="5">
        <v>167.28</v>
      </c>
      <c r="Q1146" s="4">
        <v>45600</v>
      </c>
      <c r="R1146" s="9">
        <v>0.34136574074074072</v>
      </c>
      <c r="S1146" s="8">
        <v>16</v>
      </c>
      <c r="T1146" s="7" t="s">
        <v>4456</v>
      </c>
      <c r="U1146" s="7" t="s">
        <v>4455</v>
      </c>
      <c r="V11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47" spans="1:22" x14ac:dyDescent="0.35">
      <c r="A1147" s="7" t="s">
        <v>2816</v>
      </c>
      <c r="B1147" s="7" t="s">
        <v>328</v>
      </c>
      <c r="C1147" s="5">
        <v>189.08</v>
      </c>
      <c r="D1147" s="2">
        <v>0.67584490740409819</v>
      </c>
      <c r="E1147" s="4">
        <v>44998</v>
      </c>
      <c r="F1147" s="7" t="s">
        <v>17</v>
      </c>
      <c r="G1147" s="7" t="s">
        <v>172</v>
      </c>
      <c r="H1147" s="7" t="s">
        <v>1108</v>
      </c>
      <c r="I1147" s="7" t="s">
        <v>1298</v>
      </c>
      <c r="J1147" s="7" t="s">
        <v>1349</v>
      </c>
      <c r="K1147" s="7" t="s">
        <v>69</v>
      </c>
      <c r="L1147" s="8">
        <v>68</v>
      </c>
      <c r="M1147" s="7" t="s">
        <v>23</v>
      </c>
      <c r="N1147" s="8">
        <v>238</v>
      </c>
      <c r="O1147" s="8">
        <v>1</v>
      </c>
      <c r="P1147" s="5">
        <v>10790.8</v>
      </c>
      <c r="Q1147" s="4">
        <v>45600</v>
      </c>
      <c r="R1147" s="9">
        <v>0.33944444444444444</v>
      </c>
      <c r="S1147" s="8">
        <v>16</v>
      </c>
      <c r="T1147" s="7" t="s">
        <v>4454</v>
      </c>
      <c r="U1147" s="7" t="s">
        <v>4455</v>
      </c>
      <c r="V11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48" spans="1:22" x14ac:dyDescent="0.35">
      <c r="A1148" s="7" t="s">
        <v>2817</v>
      </c>
      <c r="B1148" s="7" t="s">
        <v>540</v>
      </c>
      <c r="C1148" s="5">
        <v>958.9</v>
      </c>
      <c r="D1148" s="2">
        <v>0.68767361110803904</v>
      </c>
      <c r="E1148" s="4">
        <v>45111</v>
      </c>
      <c r="F1148" s="7" t="s">
        <v>17</v>
      </c>
      <c r="G1148" s="7" t="s">
        <v>92</v>
      </c>
      <c r="H1148" s="7" t="s">
        <v>936</v>
      </c>
      <c r="I1148" s="7" t="s">
        <v>2094</v>
      </c>
      <c r="J1148" s="7" t="s">
        <v>348</v>
      </c>
      <c r="K1148" s="7" t="s">
        <v>69</v>
      </c>
      <c r="L1148" s="8">
        <v>31</v>
      </c>
      <c r="M1148" s="7" t="s">
        <v>77</v>
      </c>
      <c r="N1148" s="8">
        <v>135</v>
      </c>
      <c r="O1148" s="8">
        <v>1</v>
      </c>
      <c r="P1148" s="5">
        <v>9977.49</v>
      </c>
      <c r="Q1148" s="4">
        <v>45600</v>
      </c>
      <c r="R1148" s="9">
        <v>0.33814814814814814</v>
      </c>
      <c r="S1148" s="8">
        <v>16</v>
      </c>
      <c r="T1148" s="7" t="s">
        <v>4456</v>
      </c>
      <c r="U1148" s="7" t="s">
        <v>4455</v>
      </c>
      <c r="V11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49" spans="1:22" x14ac:dyDescent="0.35">
      <c r="A1149" s="7" t="s">
        <v>2818</v>
      </c>
      <c r="B1149" s="7" t="s">
        <v>1688</v>
      </c>
      <c r="C1149" s="5">
        <v>409.59</v>
      </c>
      <c r="D1149" s="2">
        <v>0.67234953703882638</v>
      </c>
      <c r="E1149" s="4">
        <v>45005</v>
      </c>
      <c r="F1149" s="7" t="s">
        <v>17</v>
      </c>
      <c r="G1149" s="7" t="s">
        <v>86</v>
      </c>
      <c r="H1149" s="7" t="s">
        <v>1588</v>
      </c>
      <c r="I1149" s="7" t="s">
        <v>2465</v>
      </c>
      <c r="J1149" s="7" t="s">
        <v>564</v>
      </c>
      <c r="K1149" s="7" t="s">
        <v>36</v>
      </c>
      <c r="L1149" s="8">
        <v>35</v>
      </c>
      <c r="M1149" s="7" t="s">
        <v>23</v>
      </c>
      <c r="N1149" s="8">
        <v>50</v>
      </c>
      <c r="O1149" s="8">
        <v>1</v>
      </c>
      <c r="P1149" s="5">
        <v>14563.02</v>
      </c>
      <c r="Q1149" s="4">
        <v>45600</v>
      </c>
      <c r="R1149" s="9">
        <v>0.34126157407407409</v>
      </c>
      <c r="S1149" s="8">
        <v>16</v>
      </c>
      <c r="T1149" s="7" t="s">
        <v>4457</v>
      </c>
      <c r="U1149" s="7" t="s">
        <v>4455</v>
      </c>
      <c r="V11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50" spans="1:22" x14ac:dyDescent="0.35">
      <c r="A1150" s="7" t="s">
        <v>2819</v>
      </c>
      <c r="B1150" s="7" t="s">
        <v>2481</v>
      </c>
      <c r="C1150" s="5">
        <v>349.34</v>
      </c>
      <c r="D1150" s="2">
        <v>0.70376157407736173</v>
      </c>
      <c r="E1150" s="4">
        <v>44935</v>
      </c>
      <c r="F1150" s="7" t="s">
        <v>46</v>
      </c>
      <c r="G1150" s="7" t="s">
        <v>65</v>
      </c>
      <c r="H1150" s="7" t="s">
        <v>1340</v>
      </c>
      <c r="I1150" s="7" t="s">
        <v>2820</v>
      </c>
      <c r="J1150" s="7" t="s">
        <v>478</v>
      </c>
      <c r="K1150" s="7" t="s">
        <v>22</v>
      </c>
      <c r="L1150" s="8">
        <v>28</v>
      </c>
      <c r="M1150" s="7" t="s">
        <v>37</v>
      </c>
      <c r="N1150" s="8">
        <v>245</v>
      </c>
      <c r="O1150" s="8">
        <v>1</v>
      </c>
      <c r="P1150" s="5">
        <v>614.14</v>
      </c>
      <c r="Q1150" s="4">
        <v>45600</v>
      </c>
      <c r="R1150" s="9">
        <v>0.34061342592592592</v>
      </c>
      <c r="S1150" s="8">
        <v>16</v>
      </c>
      <c r="T1150" s="7" t="s">
        <v>4456</v>
      </c>
      <c r="U1150" s="7" t="s">
        <v>4455</v>
      </c>
      <c r="V11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51" spans="1:22" x14ac:dyDescent="0.35">
      <c r="A1151" s="7" t="s">
        <v>2821</v>
      </c>
      <c r="B1151" s="7" t="s">
        <v>2500</v>
      </c>
      <c r="C1151" s="5">
        <v>283.14999999999998</v>
      </c>
      <c r="D1151" s="2">
        <v>0.68869212963181781</v>
      </c>
      <c r="E1151" s="4">
        <v>45149</v>
      </c>
      <c r="F1151" s="7" t="s">
        <v>17</v>
      </c>
      <c r="G1151" s="7" t="s">
        <v>197</v>
      </c>
      <c r="H1151" s="7" t="s">
        <v>1152</v>
      </c>
      <c r="I1151" s="7" t="s">
        <v>2822</v>
      </c>
      <c r="J1151" s="7" t="s">
        <v>548</v>
      </c>
      <c r="K1151" s="7" t="s">
        <v>36</v>
      </c>
      <c r="L1151" s="8">
        <v>24</v>
      </c>
      <c r="M1151" s="7" t="s">
        <v>37</v>
      </c>
      <c r="N1151" s="8">
        <v>180</v>
      </c>
      <c r="O1151" s="8">
        <v>1</v>
      </c>
      <c r="P1151" s="5">
        <v>603.79</v>
      </c>
      <c r="Q1151" s="4">
        <v>45600</v>
      </c>
      <c r="R1151" s="9">
        <v>0.34115740740740741</v>
      </c>
      <c r="S1151" s="8">
        <v>16</v>
      </c>
      <c r="T1151" s="7" t="s">
        <v>4456</v>
      </c>
      <c r="U1151" s="7" t="s">
        <v>4455</v>
      </c>
      <c r="V11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52" spans="1:22" x14ac:dyDescent="0.35">
      <c r="A1152" s="7" t="s">
        <v>2823</v>
      </c>
      <c r="B1152" s="7" t="s">
        <v>2681</v>
      </c>
      <c r="C1152" s="5">
        <v>151.82</v>
      </c>
      <c r="D1152" s="2">
        <v>0.68940972222480923</v>
      </c>
      <c r="E1152" s="4">
        <v>45124</v>
      </c>
      <c r="F1152" s="7" t="s">
        <v>17</v>
      </c>
      <c r="G1152" s="7" t="s">
        <v>265</v>
      </c>
      <c r="H1152" s="7" t="s">
        <v>2824</v>
      </c>
      <c r="I1152" s="7" t="s">
        <v>444</v>
      </c>
      <c r="J1152" s="7" t="s">
        <v>759</v>
      </c>
      <c r="K1152" s="7" t="s">
        <v>22</v>
      </c>
      <c r="L1152" s="8">
        <v>51</v>
      </c>
      <c r="M1152" s="7" t="s">
        <v>70</v>
      </c>
      <c r="N1152" s="8">
        <v>105</v>
      </c>
      <c r="O1152" s="8">
        <v>1</v>
      </c>
      <c r="P1152" s="5">
        <v>2197.12</v>
      </c>
      <c r="Q1152" s="4">
        <v>45600</v>
      </c>
      <c r="R1152" s="9">
        <v>0.34159722222222222</v>
      </c>
      <c r="S1152" s="8">
        <v>16</v>
      </c>
      <c r="T1152" s="7" t="s">
        <v>4457</v>
      </c>
      <c r="U1152" s="7" t="s">
        <v>4455</v>
      </c>
      <c r="V11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53" spans="1:22" x14ac:dyDescent="0.35">
      <c r="A1153" s="7" t="s">
        <v>2825</v>
      </c>
      <c r="B1153" s="7" t="s">
        <v>2372</v>
      </c>
      <c r="C1153" s="5">
        <v>438.59</v>
      </c>
      <c r="D1153" s="2">
        <v>0.74177083333051996</v>
      </c>
      <c r="E1153" s="4">
        <v>45229</v>
      </c>
      <c r="F1153" s="7" t="s">
        <v>17</v>
      </c>
      <c r="G1153" s="7" t="s">
        <v>223</v>
      </c>
      <c r="H1153" s="7" t="s">
        <v>2824</v>
      </c>
      <c r="I1153" s="7" t="s">
        <v>870</v>
      </c>
      <c r="J1153" s="7" t="s">
        <v>76</v>
      </c>
      <c r="K1153" s="7" t="s">
        <v>36</v>
      </c>
      <c r="L1153" s="8">
        <v>37</v>
      </c>
      <c r="M1153" s="7" t="s">
        <v>77</v>
      </c>
      <c r="N1153" s="8">
        <v>103</v>
      </c>
      <c r="O1153" s="8">
        <v>1</v>
      </c>
      <c r="P1153" s="5">
        <v>8994.39</v>
      </c>
      <c r="Q1153" s="4">
        <v>45600</v>
      </c>
      <c r="R1153" s="9">
        <v>0.3399537037037037</v>
      </c>
      <c r="S1153" s="8">
        <v>17</v>
      </c>
      <c r="T1153" s="7" t="s">
        <v>4457</v>
      </c>
      <c r="U1153" s="7" t="s">
        <v>4455</v>
      </c>
      <c r="V11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54" spans="1:22" x14ac:dyDescent="0.35">
      <c r="A1154" s="7" t="s">
        <v>2826</v>
      </c>
      <c r="B1154" s="7" t="s">
        <v>1710</v>
      </c>
      <c r="C1154" s="5">
        <v>590.57000000000005</v>
      </c>
      <c r="D1154" s="2">
        <v>0.67195601851562969</v>
      </c>
      <c r="E1154" s="4">
        <v>45105</v>
      </c>
      <c r="F1154" s="7" t="s">
        <v>17</v>
      </c>
      <c r="G1154" s="7" t="s">
        <v>178</v>
      </c>
      <c r="H1154" s="7" t="s">
        <v>1158</v>
      </c>
      <c r="I1154" s="7" t="s">
        <v>1032</v>
      </c>
      <c r="J1154" s="7" t="s">
        <v>1345</v>
      </c>
      <c r="K1154" s="7" t="s">
        <v>22</v>
      </c>
      <c r="L1154" s="8">
        <v>79</v>
      </c>
      <c r="M1154" s="7" t="s">
        <v>70</v>
      </c>
      <c r="N1154" s="8">
        <v>93</v>
      </c>
      <c r="O1154" s="8">
        <v>1</v>
      </c>
      <c r="P1154" s="5">
        <v>3224.6</v>
      </c>
      <c r="Q1154" s="4">
        <v>45600</v>
      </c>
      <c r="R1154" s="9">
        <v>0.33841435185185187</v>
      </c>
      <c r="S1154" s="8">
        <v>16</v>
      </c>
      <c r="T1154" s="7" t="s">
        <v>4454</v>
      </c>
      <c r="U1154" s="7" t="s">
        <v>4455</v>
      </c>
      <c r="V11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55" spans="1:22" x14ac:dyDescent="0.35">
      <c r="A1155" s="7" t="s">
        <v>2827</v>
      </c>
      <c r="B1155" s="7" t="s">
        <v>1696</v>
      </c>
      <c r="C1155" s="5">
        <v>63.74</v>
      </c>
      <c r="D1155" s="2">
        <v>0.7433564814782585</v>
      </c>
      <c r="E1155" s="4">
        <v>45181</v>
      </c>
      <c r="F1155" s="7" t="s">
        <v>17</v>
      </c>
      <c r="G1155" s="7" t="s">
        <v>265</v>
      </c>
      <c r="H1155" s="7" t="s">
        <v>1132</v>
      </c>
      <c r="I1155" s="7" t="s">
        <v>2828</v>
      </c>
      <c r="J1155" s="7" t="s">
        <v>186</v>
      </c>
      <c r="K1155" s="7" t="s">
        <v>36</v>
      </c>
      <c r="L1155" s="8">
        <v>63</v>
      </c>
      <c r="M1155" s="7" t="s">
        <v>70</v>
      </c>
      <c r="N1155" s="8">
        <v>31</v>
      </c>
      <c r="O1155" s="8">
        <v>1</v>
      </c>
      <c r="P1155" s="5">
        <v>4336.3999999999996</v>
      </c>
      <c r="Q1155" s="4">
        <v>45600</v>
      </c>
      <c r="R1155" s="9">
        <v>0.3395023148148148</v>
      </c>
      <c r="S1155" s="8">
        <v>17</v>
      </c>
      <c r="T1155" s="7" t="s">
        <v>4454</v>
      </c>
      <c r="U1155" s="7" t="s">
        <v>4455</v>
      </c>
      <c r="V11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56" spans="1:22" x14ac:dyDescent="0.35">
      <c r="A1156" s="7" t="s">
        <v>2829</v>
      </c>
      <c r="B1156" s="7" t="s">
        <v>424</v>
      </c>
      <c r="C1156" s="5">
        <v>77.02</v>
      </c>
      <c r="D1156" s="2">
        <v>0.67942129629955161</v>
      </c>
      <c r="E1156" s="4">
        <v>45155</v>
      </c>
      <c r="F1156" s="7" t="s">
        <v>46</v>
      </c>
      <c r="G1156" s="7" t="s">
        <v>172</v>
      </c>
      <c r="H1156" s="7" t="s">
        <v>1859</v>
      </c>
      <c r="I1156" s="7" t="s">
        <v>1556</v>
      </c>
      <c r="J1156" s="7" t="s">
        <v>200</v>
      </c>
      <c r="K1156" s="7" t="s">
        <v>36</v>
      </c>
      <c r="L1156" s="8">
        <v>59</v>
      </c>
      <c r="M1156" s="7" t="s">
        <v>23</v>
      </c>
      <c r="N1156" s="8">
        <v>132</v>
      </c>
      <c r="O1156" s="8">
        <v>1</v>
      </c>
      <c r="P1156" s="5">
        <v>800.83</v>
      </c>
      <c r="Q1156" s="4">
        <v>45600</v>
      </c>
      <c r="R1156" s="9">
        <v>0.33881944444444445</v>
      </c>
      <c r="S1156" s="8">
        <v>16</v>
      </c>
      <c r="T1156" s="7" t="s">
        <v>4454</v>
      </c>
      <c r="U1156" s="7" t="s">
        <v>4455</v>
      </c>
      <c r="V11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57" spans="1:22" x14ac:dyDescent="0.35">
      <c r="A1157" s="7" t="s">
        <v>2830</v>
      </c>
      <c r="B1157" s="7" t="s">
        <v>2581</v>
      </c>
      <c r="C1157" s="5">
        <v>501.15</v>
      </c>
      <c r="D1157" s="2">
        <v>0.75502314815093996</v>
      </c>
      <c r="E1157" s="4">
        <v>45159</v>
      </c>
      <c r="F1157" s="7" t="s">
        <v>17</v>
      </c>
      <c r="G1157" s="7" t="s">
        <v>425</v>
      </c>
      <c r="H1157" s="7" t="s">
        <v>464</v>
      </c>
      <c r="I1157" s="7" t="s">
        <v>1430</v>
      </c>
      <c r="J1157" s="7" t="s">
        <v>769</v>
      </c>
      <c r="K1157" s="7" t="s">
        <v>69</v>
      </c>
      <c r="L1157" s="8">
        <v>47</v>
      </c>
      <c r="M1157" s="7" t="s">
        <v>77</v>
      </c>
      <c r="N1157" s="8">
        <v>208</v>
      </c>
      <c r="O1157" s="8">
        <v>1</v>
      </c>
      <c r="P1157" s="5">
        <v>8821.84</v>
      </c>
      <c r="Q1157" s="4">
        <v>45600</v>
      </c>
      <c r="R1157" s="9">
        <v>0.34135416666666668</v>
      </c>
      <c r="S1157" s="8">
        <v>18</v>
      </c>
      <c r="T1157" s="7" t="s">
        <v>4457</v>
      </c>
      <c r="U1157" s="7" t="s">
        <v>4455</v>
      </c>
      <c r="V11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58" spans="1:22" x14ac:dyDescent="0.35">
      <c r="A1158" s="7" t="s">
        <v>2831</v>
      </c>
      <c r="B1158" s="7" t="s">
        <v>1900</v>
      </c>
      <c r="C1158" s="5">
        <v>917.81</v>
      </c>
      <c r="D1158" s="2">
        <v>0.77703703703446081</v>
      </c>
      <c r="E1158" s="4">
        <v>45168</v>
      </c>
      <c r="F1158" s="7" t="s">
        <v>17</v>
      </c>
      <c r="G1158" s="7" t="s">
        <v>291</v>
      </c>
      <c r="H1158" s="7" t="s">
        <v>1103</v>
      </c>
      <c r="I1158" s="7" t="s">
        <v>837</v>
      </c>
      <c r="J1158" s="7" t="s">
        <v>478</v>
      </c>
      <c r="K1158" s="7" t="s">
        <v>22</v>
      </c>
      <c r="L1158" s="8">
        <v>64</v>
      </c>
      <c r="M1158" s="7" t="s">
        <v>70</v>
      </c>
      <c r="N1158" s="8">
        <v>75</v>
      </c>
      <c r="O1158" s="8">
        <v>2</v>
      </c>
      <c r="P1158" s="5">
        <v>3173.17</v>
      </c>
      <c r="Q1158" s="4">
        <v>45600</v>
      </c>
      <c r="R1158" s="9">
        <v>0.34011574074074075</v>
      </c>
      <c r="S1158" s="8">
        <v>18</v>
      </c>
      <c r="T1158" s="7" t="s">
        <v>4454</v>
      </c>
      <c r="U1158" s="7" t="s">
        <v>4458</v>
      </c>
      <c r="V11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59" spans="1:22" x14ac:dyDescent="0.35">
      <c r="A1159" s="7" t="s">
        <v>2832</v>
      </c>
      <c r="B1159" s="7" t="s">
        <v>2833</v>
      </c>
      <c r="C1159" s="5">
        <v>8.9499999999999993</v>
      </c>
      <c r="D1159" s="2">
        <v>0.66756944444205146</v>
      </c>
      <c r="E1159" s="4">
        <v>45203</v>
      </c>
      <c r="F1159" s="7" t="s">
        <v>17</v>
      </c>
      <c r="G1159" s="7" t="s">
        <v>53</v>
      </c>
      <c r="H1159" s="7" t="s">
        <v>1334</v>
      </c>
      <c r="I1159" s="7" t="s">
        <v>1925</v>
      </c>
      <c r="J1159" s="7" t="s">
        <v>181</v>
      </c>
      <c r="K1159" s="7" t="s">
        <v>36</v>
      </c>
      <c r="L1159" s="8">
        <v>76</v>
      </c>
      <c r="M1159" s="7" t="s">
        <v>70</v>
      </c>
      <c r="N1159" s="8">
        <v>102</v>
      </c>
      <c r="O1159" s="8">
        <v>1</v>
      </c>
      <c r="P1159" s="5">
        <v>3299.84</v>
      </c>
      <c r="Q1159" s="4">
        <v>45600</v>
      </c>
      <c r="R1159" s="9">
        <v>0.34010416666666665</v>
      </c>
      <c r="S1159" s="8">
        <v>16</v>
      </c>
      <c r="T1159" s="7" t="s">
        <v>4454</v>
      </c>
      <c r="U1159" s="7" t="s">
        <v>4455</v>
      </c>
      <c r="V11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60" spans="1:22" x14ac:dyDescent="0.35">
      <c r="A1160" s="7" t="s">
        <v>2834</v>
      </c>
      <c r="B1160" s="7" t="s">
        <v>667</v>
      </c>
      <c r="C1160" s="5">
        <v>173.6</v>
      </c>
      <c r="D1160" s="2">
        <v>0.69314814815152204</v>
      </c>
      <c r="E1160" s="4">
        <v>45258</v>
      </c>
      <c r="F1160" s="7" t="s">
        <v>17</v>
      </c>
      <c r="G1160" s="7" t="s">
        <v>119</v>
      </c>
      <c r="H1160" s="7" t="s">
        <v>1721</v>
      </c>
      <c r="I1160" s="7" t="s">
        <v>1689</v>
      </c>
      <c r="J1160" s="7" t="s">
        <v>169</v>
      </c>
      <c r="K1160" s="7" t="s">
        <v>36</v>
      </c>
      <c r="L1160" s="8">
        <v>21</v>
      </c>
      <c r="M1160" s="7" t="s">
        <v>37</v>
      </c>
      <c r="N1160" s="8">
        <v>160</v>
      </c>
      <c r="O1160" s="8">
        <v>1</v>
      </c>
      <c r="P1160" s="5">
        <v>421.44</v>
      </c>
      <c r="Q1160" s="4">
        <v>45600</v>
      </c>
      <c r="R1160" s="9">
        <v>0.33998842592592593</v>
      </c>
      <c r="S1160" s="8">
        <v>16</v>
      </c>
      <c r="T1160" s="7" t="s">
        <v>4456</v>
      </c>
      <c r="U1160" s="7" t="s">
        <v>4455</v>
      </c>
      <c r="V11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61" spans="1:22" x14ac:dyDescent="0.35">
      <c r="A1161" s="7" t="s">
        <v>2835</v>
      </c>
      <c r="B1161" s="7" t="s">
        <v>2530</v>
      </c>
      <c r="C1161" s="5">
        <v>149.4</v>
      </c>
      <c r="D1161" s="2">
        <v>0.68810185185429873</v>
      </c>
      <c r="E1161" s="4">
        <v>45048</v>
      </c>
      <c r="F1161" s="7" t="s">
        <v>17</v>
      </c>
      <c r="G1161" s="7" t="s">
        <v>265</v>
      </c>
      <c r="H1161" s="7" t="s">
        <v>229</v>
      </c>
      <c r="I1161" s="7" t="s">
        <v>1698</v>
      </c>
      <c r="J1161" s="7" t="s">
        <v>137</v>
      </c>
      <c r="K1161" s="7" t="s">
        <v>22</v>
      </c>
      <c r="L1161" s="8">
        <v>53</v>
      </c>
      <c r="M1161" s="7" t="s">
        <v>70</v>
      </c>
      <c r="N1161" s="8">
        <v>123</v>
      </c>
      <c r="O1161" s="8">
        <v>1</v>
      </c>
      <c r="P1161" s="5">
        <v>1035.22</v>
      </c>
      <c r="Q1161" s="4">
        <v>45600</v>
      </c>
      <c r="R1161" s="9">
        <v>0.34046296296296297</v>
      </c>
      <c r="S1161" s="8">
        <v>16</v>
      </c>
      <c r="T1161" s="7" t="s">
        <v>4457</v>
      </c>
      <c r="U1161" s="7" t="s">
        <v>4455</v>
      </c>
      <c r="V11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62" spans="1:22" x14ac:dyDescent="0.35">
      <c r="A1162" s="7" t="s">
        <v>2836</v>
      </c>
      <c r="B1162" s="7" t="s">
        <v>1992</v>
      </c>
      <c r="C1162" s="5">
        <v>388.21</v>
      </c>
      <c r="D1162" s="2">
        <v>0.69440972222218988</v>
      </c>
      <c r="E1162" s="4">
        <v>45279</v>
      </c>
      <c r="F1162" s="7" t="s">
        <v>46</v>
      </c>
      <c r="G1162" s="7" t="s">
        <v>125</v>
      </c>
      <c r="H1162" s="7" t="s">
        <v>1402</v>
      </c>
      <c r="I1162" s="7" t="s">
        <v>361</v>
      </c>
      <c r="J1162" s="7" t="s">
        <v>759</v>
      </c>
      <c r="K1162" s="7" t="s">
        <v>69</v>
      </c>
      <c r="L1162" s="8">
        <v>53</v>
      </c>
      <c r="M1162" s="7" t="s">
        <v>23</v>
      </c>
      <c r="N1162" s="8">
        <v>237</v>
      </c>
      <c r="O1162" s="8">
        <v>1</v>
      </c>
      <c r="P1162" s="5">
        <v>9724.49</v>
      </c>
      <c r="Q1162" s="4">
        <v>45600</v>
      </c>
      <c r="R1162" s="9">
        <v>0.33908564814814812</v>
      </c>
      <c r="S1162" s="8">
        <v>16</v>
      </c>
      <c r="T1162" s="7" t="s">
        <v>4457</v>
      </c>
      <c r="U1162" s="7" t="s">
        <v>4455</v>
      </c>
      <c r="V11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63" spans="1:22" x14ac:dyDescent="0.35">
      <c r="A1163" s="7" t="s">
        <v>2837</v>
      </c>
      <c r="B1163" s="7" t="s">
        <v>367</v>
      </c>
      <c r="C1163" s="5">
        <v>484.3</v>
      </c>
      <c r="D1163" s="2">
        <v>0.7408796296294895</v>
      </c>
      <c r="E1163" s="4">
        <v>45216</v>
      </c>
      <c r="F1163" s="7" t="s">
        <v>46</v>
      </c>
      <c r="G1163" s="7" t="s">
        <v>388</v>
      </c>
      <c r="H1163" s="7" t="s">
        <v>1145</v>
      </c>
      <c r="I1163" s="7" t="s">
        <v>2838</v>
      </c>
      <c r="J1163" s="7" t="s">
        <v>607</v>
      </c>
      <c r="K1163" s="7" t="s">
        <v>36</v>
      </c>
      <c r="L1163" s="8">
        <v>61</v>
      </c>
      <c r="M1163" s="7" t="s">
        <v>70</v>
      </c>
      <c r="N1163" s="8">
        <v>230</v>
      </c>
      <c r="O1163" s="8">
        <v>3</v>
      </c>
      <c r="P1163" s="5">
        <v>7910.3</v>
      </c>
      <c r="Q1163" s="4">
        <v>45600</v>
      </c>
      <c r="R1163" s="9">
        <v>0.34106481481481482</v>
      </c>
      <c r="S1163" s="8">
        <v>17</v>
      </c>
      <c r="T1163" s="7" t="s">
        <v>4454</v>
      </c>
      <c r="U1163" s="7" t="s">
        <v>4458</v>
      </c>
      <c r="V11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64" spans="1:22" x14ac:dyDescent="0.35">
      <c r="A1164" s="7" t="s">
        <v>2839</v>
      </c>
      <c r="B1164" s="7" t="s">
        <v>91</v>
      </c>
      <c r="C1164" s="5">
        <v>126.04</v>
      </c>
      <c r="D1164" s="2">
        <v>0.69320601852086838</v>
      </c>
      <c r="E1164" s="4">
        <v>45096</v>
      </c>
      <c r="F1164" s="7" t="s">
        <v>46</v>
      </c>
      <c r="G1164" s="7" t="s">
        <v>249</v>
      </c>
      <c r="H1164" s="7" t="s">
        <v>2840</v>
      </c>
      <c r="I1164" s="7" t="s">
        <v>116</v>
      </c>
      <c r="J1164" s="7" t="s">
        <v>62</v>
      </c>
      <c r="K1164" s="7" t="s">
        <v>69</v>
      </c>
      <c r="L1164" s="8">
        <v>65</v>
      </c>
      <c r="M1164" s="7" t="s">
        <v>70</v>
      </c>
      <c r="N1164" s="8">
        <v>167</v>
      </c>
      <c r="O1164" s="8">
        <v>1</v>
      </c>
      <c r="P1164" s="5">
        <v>6041.69</v>
      </c>
      <c r="Q1164" s="4">
        <v>45600</v>
      </c>
      <c r="R1164" s="9">
        <v>0.33895833333333331</v>
      </c>
      <c r="S1164" s="8">
        <v>16</v>
      </c>
      <c r="T1164" s="7" t="s">
        <v>4454</v>
      </c>
      <c r="U1164" s="7" t="s">
        <v>4455</v>
      </c>
      <c r="V11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65" spans="1:22" x14ac:dyDescent="0.35">
      <c r="A1165" s="7" t="s">
        <v>2841</v>
      </c>
      <c r="B1165" s="7" t="s">
        <v>2842</v>
      </c>
      <c r="C1165" s="5">
        <v>52.04</v>
      </c>
      <c r="D1165" s="2">
        <v>0.68641203703737119</v>
      </c>
      <c r="E1165" s="4">
        <v>45134</v>
      </c>
      <c r="F1165" s="7" t="s">
        <v>46</v>
      </c>
      <c r="G1165" s="7" t="s">
        <v>521</v>
      </c>
      <c r="H1165" s="7" t="s">
        <v>179</v>
      </c>
      <c r="I1165" s="7" t="s">
        <v>2346</v>
      </c>
      <c r="J1165" s="7" t="s">
        <v>272</v>
      </c>
      <c r="K1165" s="7" t="s">
        <v>69</v>
      </c>
      <c r="L1165" s="8">
        <v>50</v>
      </c>
      <c r="M1165" s="7" t="s">
        <v>23</v>
      </c>
      <c r="N1165" s="8">
        <v>31</v>
      </c>
      <c r="O1165" s="8">
        <v>1</v>
      </c>
      <c r="P1165" s="5">
        <v>8436.1200000000008</v>
      </c>
      <c r="Q1165" s="4">
        <v>45600</v>
      </c>
      <c r="R1165" s="9">
        <v>0.33863425925925927</v>
      </c>
      <c r="S1165" s="8">
        <v>16</v>
      </c>
      <c r="T1165" s="7" t="s">
        <v>4457</v>
      </c>
      <c r="U1165" s="7" t="s">
        <v>4455</v>
      </c>
      <c r="V11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66" spans="1:22" x14ac:dyDescent="0.35">
      <c r="A1166" s="7" t="s">
        <v>2843</v>
      </c>
      <c r="B1166" s="7" t="s">
        <v>2456</v>
      </c>
      <c r="C1166" s="5">
        <v>389.7</v>
      </c>
      <c r="D1166" s="2">
        <v>0.69444444444525288</v>
      </c>
      <c r="E1166" s="4">
        <v>44995</v>
      </c>
      <c r="F1166" s="7" t="s">
        <v>46</v>
      </c>
      <c r="G1166" s="7" t="s">
        <v>119</v>
      </c>
      <c r="H1166" s="7" t="s">
        <v>2844</v>
      </c>
      <c r="I1166" s="7" t="s">
        <v>357</v>
      </c>
      <c r="J1166" s="7" t="s">
        <v>95</v>
      </c>
      <c r="K1166" s="7" t="s">
        <v>69</v>
      </c>
      <c r="L1166" s="8">
        <v>62</v>
      </c>
      <c r="M1166" s="7" t="s">
        <v>23</v>
      </c>
      <c r="N1166" s="8">
        <v>216</v>
      </c>
      <c r="O1166" s="8">
        <v>1</v>
      </c>
      <c r="P1166" s="5">
        <v>7125.15</v>
      </c>
      <c r="Q1166" s="4">
        <v>45600</v>
      </c>
      <c r="R1166" s="9">
        <v>0.34076388888888887</v>
      </c>
      <c r="S1166" s="8">
        <v>16</v>
      </c>
      <c r="T1166" s="7" t="s">
        <v>4454</v>
      </c>
      <c r="U1166" s="7" t="s">
        <v>4455</v>
      </c>
      <c r="V11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67" spans="1:22" x14ac:dyDescent="0.35">
      <c r="A1167" s="7" t="s">
        <v>2845</v>
      </c>
      <c r="B1167" s="7" t="s">
        <v>52</v>
      </c>
      <c r="C1167" s="5">
        <v>161.1</v>
      </c>
      <c r="D1167" s="2">
        <v>0.72833333333255723</v>
      </c>
      <c r="E1167" s="4">
        <v>45026</v>
      </c>
      <c r="F1167" s="7" t="s">
        <v>46</v>
      </c>
      <c r="G1167" s="7" t="s">
        <v>172</v>
      </c>
      <c r="H1167" s="7" t="s">
        <v>746</v>
      </c>
      <c r="I1167" s="7" t="s">
        <v>55</v>
      </c>
      <c r="J1167" s="7" t="s">
        <v>43</v>
      </c>
      <c r="K1167" s="7" t="s">
        <v>22</v>
      </c>
      <c r="L1167" s="8">
        <v>19</v>
      </c>
      <c r="M1167" s="7" t="s">
        <v>37</v>
      </c>
      <c r="N1167" s="8">
        <v>104</v>
      </c>
      <c r="O1167" s="8">
        <v>1</v>
      </c>
      <c r="P1167" s="5">
        <v>239.12</v>
      </c>
      <c r="Q1167" s="4">
        <v>45600</v>
      </c>
      <c r="R1167" s="9">
        <v>0.34067129629629628</v>
      </c>
      <c r="S1167" s="8">
        <v>17</v>
      </c>
      <c r="T1167" s="7" t="s">
        <v>4456</v>
      </c>
      <c r="U1167" s="7" t="s">
        <v>4455</v>
      </c>
      <c r="V11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68" spans="1:22" x14ac:dyDescent="0.35">
      <c r="A1168" s="7" t="s">
        <v>2846</v>
      </c>
      <c r="B1168" s="7" t="s">
        <v>974</v>
      </c>
      <c r="C1168" s="5">
        <v>309.77</v>
      </c>
      <c r="D1168" s="2">
        <v>0.6888425925935735</v>
      </c>
      <c r="E1168" s="4">
        <v>45054</v>
      </c>
      <c r="F1168" s="7" t="s">
        <v>46</v>
      </c>
      <c r="G1168" s="7" t="s">
        <v>237</v>
      </c>
      <c r="H1168" s="7" t="s">
        <v>2142</v>
      </c>
      <c r="I1168" s="7" t="s">
        <v>1732</v>
      </c>
      <c r="J1168" s="7" t="s">
        <v>752</v>
      </c>
      <c r="K1168" s="7" t="s">
        <v>36</v>
      </c>
      <c r="L1168" s="8">
        <v>67</v>
      </c>
      <c r="M1168" s="7" t="s">
        <v>70</v>
      </c>
      <c r="N1168" s="8">
        <v>137</v>
      </c>
      <c r="O1168" s="8">
        <v>1</v>
      </c>
      <c r="P1168" s="5">
        <v>4378.1400000000003</v>
      </c>
      <c r="Q1168" s="4">
        <v>45600</v>
      </c>
      <c r="R1168" s="9">
        <v>0.33777777777777779</v>
      </c>
      <c r="S1168" s="8">
        <v>16</v>
      </c>
      <c r="T1168" s="7" t="s">
        <v>4454</v>
      </c>
      <c r="U1168" s="7" t="s">
        <v>4455</v>
      </c>
      <c r="V11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69" spans="1:22" x14ac:dyDescent="0.35">
      <c r="A1169" s="7" t="s">
        <v>2847</v>
      </c>
      <c r="B1169" s="7" t="s">
        <v>484</v>
      </c>
      <c r="C1169" s="5">
        <v>838.57</v>
      </c>
      <c r="D1169" s="2">
        <v>0.67251157407736173</v>
      </c>
      <c r="E1169" s="4">
        <v>45103</v>
      </c>
      <c r="F1169" s="7" t="s">
        <v>17</v>
      </c>
      <c r="G1169" s="7" t="s">
        <v>425</v>
      </c>
      <c r="H1169" s="7" t="s">
        <v>1588</v>
      </c>
      <c r="I1169" s="7" t="s">
        <v>1960</v>
      </c>
      <c r="J1169" s="7" t="s">
        <v>143</v>
      </c>
      <c r="K1169" s="7" t="s">
        <v>22</v>
      </c>
      <c r="L1169" s="8">
        <v>41</v>
      </c>
      <c r="M1169" s="7" t="s">
        <v>23</v>
      </c>
      <c r="N1169" s="8">
        <v>273</v>
      </c>
      <c r="O1169" s="8">
        <v>1</v>
      </c>
      <c r="P1169" s="5">
        <v>14576.47</v>
      </c>
      <c r="Q1169" s="4">
        <v>45600</v>
      </c>
      <c r="R1169" s="9">
        <v>0.34126157407407409</v>
      </c>
      <c r="S1169" s="8">
        <v>16</v>
      </c>
      <c r="T1169" s="7" t="s">
        <v>4457</v>
      </c>
      <c r="U1169" s="7" t="s">
        <v>4455</v>
      </c>
      <c r="V11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70" spans="1:22" x14ac:dyDescent="0.35">
      <c r="A1170" s="7" t="s">
        <v>2848</v>
      </c>
      <c r="B1170" s="7" t="s">
        <v>248</v>
      </c>
      <c r="C1170" s="5">
        <v>202.55</v>
      </c>
      <c r="D1170" s="2">
        <v>0.78462962962657912</v>
      </c>
      <c r="E1170" s="4">
        <v>45244</v>
      </c>
      <c r="F1170" s="7" t="s">
        <v>17</v>
      </c>
      <c r="G1170" s="7" t="s">
        <v>323</v>
      </c>
      <c r="H1170" s="7" t="s">
        <v>530</v>
      </c>
      <c r="I1170" s="7" t="s">
        <v>2849</v>
      </c>
      <c r="J1170" s="7" t="s">
        <v>175</v>
      </c>
      <c r="K1170" s="7" t="s">
        <v>22</v>
      </c>
      <c r="L1170" s="8">
        <v>21</v>
      </c>
      <c r="M1170" s="7" t="s">
        <v>37</v>
      </c>
      <c r="N1170" s="8">
        <v>34</v>
      </c>
      <c r="O1170" s="8">
        <v>2</v>
      </c>
      <c r="P1170" s="5">
        <v>701.73</v>
      </c>
      <c r="Q1170" s="4">
        <v>45600</v>
      </c>
      <c r="R1170" s="9">
        <v>0.3397222222222222</v>
      </c>
      <c r="S1170" s="8">
        <v>18</v>
      </c>
      <c r="T1170" s="7" t="s">
        <v>4456</v>
      </c>
      <c r="U1170" s="7" t="s">
        <v>4458</v>
      </c>
      <c r="V11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71" spans="1:22" x14ac:dyDescent="0.35">
      <c r="A1171" s="7" t="s">
        <v>2850</v>
      </c>
      <c r="B1171" s="7" t="s">
        <v>2543</v>
      </c>
      <c r="C1171" s="5">
        <v>724.18</v>
      </c>
      <c r="D1171" s="2">
        <v>0.67182870370015735</v>
      </c>
      <c r="E1171" s="4">
        <v>44963</v>
      </c>
      <c r="F1171" s="7" t="s">
        <v>17</v>
      </c>
      <c r="G1171" s="7" t="s">
        <v>157</v>
      </c>
      <c r="H1171" s="7" t="s">
        <v>2851</v>
      </c>
      <c r="I1171" s="7" t="s">
        <v>1277</v>
      </c>
      <c r="J1171" s="7" t="s">
        <v>43</v>
      </c>
      <c r="K1171" s="7" t="s">
        <v>69</v>
      </c>
      <c r="L1171" s="8">
        <v>41</v>
      </c>
      <c r="M1171" s="7" t="s">
        <v>23</v>
      </c>
      <c r="N1171" s="8">
        <v>134</v>
      </c>
      <c r="O1171" s="8">
        <v>1</v>
      </c>
      <c r="P1171" s="5">
        <v>10922.78</v>
      </c>
      <c r="Q1171" s="4">
        <v>45600</v>
      </c>
      <c r="R1171" s="9">
        <v>0.33913194444444444</v>
      </c>
      <c r="S1171" s="8">
        <v>16</v>
      </c>
      <c r="T1171" s="7" t="s">
        <v>4457</v>
      </c>
      <c r="U1171" s="7" t="s">
        <v>4455</v>
      </c>
      <c r="V11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72" spans="1:22" x14ac:dyDescent="0.35">
      <c r="A1172" s="7" t="s">
        <v>2852</v>
      </c>
      <c r="B1172" s="7" t="s">
        <v>1385</v>
      </c>
      <c r="C1172" s="5">
        <v>124.98</v>
      </c>
      <c r="D1172" s="2">
        <v>0.70296296296146465</v>
      </c>
      <c r="E1172" s="4">
        <v>44978</v>
      </c>
      <c r="F1172" s="7" t="s">
        <v>17</v>
      </c>
      <c r="G1172" s="7" t="s">
        <v>453</v>
      </c>
      <c r="H1172" s="7" t="s">
        <v>786</v>
      </c>
      <c r="I1172" s="7" t="s">
        <v>897</v>
      </c>
      <c r="J1172" s="7" t="s">
        <v>619</v>
      </c>
      <c r="K1172" s="7" t="s">
        <v>22</v>
      </c>
      <c r="L1172" s="8">
        <v>24</v>
      </c>
      <c r="M1172" s="7" t="s">
        <v>37</v>
      </c>
      <c r="N1172" s="8">
        <v>78</v>
      </c>
      <c r="O1172" s="8">
        <v>1</v>
      </c>
      <c r="P1172" s="5">
        <v>642</v>
      </c>
      <c r="Q1172" s="4">
        <v>45600</v>
      </c>
      <c r="R1172" s="9">
        <v>0.3392013888888889</v>
      </c>
      <c r="S1172" s="8">
        <v>16</v>
      </c>
      <c r="T1172" s="7" t="s">
        <v>4456</v>
      </c>
      <c r="U1172" s="7" t="s">
        <v>4455</v>
      </c>
      <c r="V11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73" spans="1:22" x14ac:dyDescent="0.35">
      <c r="A1173" s="7" t="s">
        <v>2853</v>
      </c>
      <c r="B1173" s="7" t="s">
        <v>2854</v>
      </c>
      <c r="C1173" s="5">
        <v>487.32</v>
      </c>
      <c r="D1173" s="2">
        <v>0.75790509259240935</v>
      </c>
      <c r="E1173" s="4">
        <v>45218</v>
      </c>
      <c r="F1173" s="7" t="s">
        <v>17</v>
      </c>
      <c r="G1173" s="7" t="s">
        <v>291</v>
      </c>
      <c r="H1173" s="7" t="s">
        <v>2682</v>
      </c>
      <c r="I1173" s="7" t="s">
        <v>1623</v>
      </c>
      <c r="J1173" s="7" t="s">
        <v>262</v>
      </c>
      <c r="K1173" s="7" t="s">
        <v>69</v>
      </c>
      <c r="L1173" s="8">
        <v>52</v>
      </c>
      <c r="M1173" s="7" t="s">
        <v>23</v>
      </c>
      <c r="N1173" s="8">
        <v>164</v>
      </c>
      <c r="O1173" s="8">
        <v>1</v>
      </c>
      <c r="P1173" s="5">
        <v>7707.96</v>
      </c>
      <c r="Q1173" s="4">
        <v>45600</v>
      </c>
      <c r="R1173" s="9">
        <v>0.33984953703703702</v>
      </c>
      <c r="S1173" s="8">
        <v>18</v>
      </c>
      <c r="T1173" s="7" t="s">
        <v>4457</v>
      </c>
      <c r="U1173" s="7" t="s">
        <v>4455</v>
      </c>
      <c r="V11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74" spans="1:22" x14ac:dyDescent="0.35">
      <c r="A1174" s="7" t="s">
        <v>2855</v>
      </c>
      <c r="B1174" s="7" t="s">
        <v>1507</v>
      </c>
      <c r="C1174" s="5">
        <v>635.91</v>
      </c>
      <c r="D1174" s="2">
        <v>0.70533564814832062</v>
      </c>
      <c r="E1174" s="4">
        <v>45258</v>
      </c>
      <c r="F1174" s="7" t="s">
        <v>46</v>
      </c>
      <c r="G1174" s="7" t="s">
        <v>392</v>
      </c>
      <c r="H1174" s="7" t="s">
        <v>738</v>
      </c>
      <c r="I1174" s="7" t="s">
        <v>779</v>
      </c>
      <c r="J1174" s="7" t="s">
        <v>226</v>
      </c>
      <c r="K1174" s="7" t="s">
        <v>69</v>
      </c>
      <c r="L1174" s="8">
        <v>46</v>
      </c>
      <c r="M1174" s="7" t="s">
        <v>23</v>
      </c>
      <c r="N1174" s="8">
        <v>78</v>
      </c>
      <c r="O1174" s="8">
        <v>1</v>
      </c>
      <c r="P1174" s="5">
        <v>13267.09</v>
      </c>
      <c r="Q1174" s="4">
        <v>45600</v>
      </c>
      <c r="R1174" s="9">
        <v>0.34077546296296296</v>
      </c>
      <c r="S1174" s="8">
        <v>16</v>
      </c>
      <c r="T1174" s="7" t="s">
        <v>4457</v>
      </c>
      <c r="U1174" s="7" t="s">
        <v>4455</v>
      </c>
      <c r="V11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75" spans="1:22" x14ac:dyDescent="0.35">
      <c r="A1175" s="7" t="s">
        <v>2856</v>
      </c>
      <c r="B1175" s="7" t="s">
        <v>2262</v>
      </c>
      <c r="C1175" s="5">
        <v>205.65</v>
      </c>
      <c r="D1175" s="2">
        <v>0.69751157407154096</v>
      </c>
      <c r="E1175" s="4">
        <v>45120</v>
      </c>
      <c r="F1175" s="7" t="s">
        <v>17</v>
      </c>
      <c r="G1175" s="7" t="s">
        <v>26</v>
      </c>
      <c r="H1175" s="7" t="s">
        <v>2012</v>
      </c>
      <c r="I1175" s="7" t="s">
        <v>1363</v>
      </c>
      <c r="J1175" s="7" t="s">
        <v>1014</v>
      </c>
      <c r="K1175" s="7" t="s">
        <v>69</v>
      </c>
      <c r="L1175" s="8">
        <v>62</v>
      </c>
      <c r="M1175" s="7" t="s">
        <v>70</v>
      </c>
      <c r="N1175" s="8">
        <v>144</v>
      </c>
      <c r="O1175" s="8">
        <v>1</v>
      </c>
      <c r="P1175" s="5">
        <v>3582.16</v>
      </c>
      <c r="Q1175" s="4">
        <v>45600</v>
      </c>
      <c r="R1175" s="9">
        <v>0.33989583333333334</v>
      </c>
      <c r="S1175" s="8">
        <v>16</v>
      </c>
      <c r="T1175" s="7" t="s">
        <v>4454</v>
      </c>
      <c r="U1175" s="7" t="s">
        <v>4455</v>
      </c>
      <c r="V11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76" spans="1:22" x14ac:dyDescent="0.35">
      <c r="A1176" s="7" t="s">
        <v>2857</v>
      </c>
      <c r="B1176" s="7" t="s">
        <v>2128</v>
      </c>
      <c r="C1176" s="5">
        <v>39.409999999999997</v>
      </c>
      <c r="D1176" s="2">
        <v>0.68606481481401715</v>
      </c>
      <c r="E1176" s="4">
        <v>45257</v>
      </c>
      <c r="F1176" s="7" t="s">
        <v>17</v>
      </c>
      <c r="G1176" s="7" t="s">
        <v>108</v>
      </c>
      <c r="H1176" s="7" t="s">
        <v>2397</v>
      </c>
      <c r="I1176" s="7" t="s">
        <v>2858</v>
      </c>
      <c r="J1176" s="7" t="s">
        <v>95</v>
      </c>
      <c r="K1176" s="7" t="s">
        <v>69</v>
      </c>
      <c r="L1176" s="8">
        <v>25</v>
      </c>
      <c r="M1176" s="7" t="s">
        <v>37</v>
      </c>
      <c r="N1176" s="8">
        <v>132</v>
      </c>
      <c r="O1176" s="8">
        <v>1</v>
      </c>
      <c r="P1176" s="5">
        <v>921.91</v>
      </c>
      <c r="Q1176" s="4">
        <v>45600</v>
      </c>
      <c r="R1176" s="9">
        <v>0.34099537037037037</v>
      </c>
      <c r="S1176" s="8">
        <v>16</v>
      </c>
      <c r="T1176" s="7" t="s">
        <v>4456</v>
      </c>
      <c r="U1176" s="7" t="s">
        <v>4455</v>
      </c>
      <c r="V11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77" spans="1:22" x14ac:dyDescent="0.35">
      <c r="A1177" s="7" t="s">
        <v>2859</v>
      </c>
      <c r="B1177" s="7" t="s">
        <v>215</v>
      </c>
      <c r="C1177" s="5">
        <v>254</v>
      </c>
      <c r="D1177" s="2">
        <v>0.73162037037400296</v>
      </c>
      <c r="E1177" s="4">
        <v>45061</v>
      </c>
      <c r="F1177" s="7" t="s">
        <v>17</v>
      </c>
      <c r="G1177" s="7" t="s">
        <v>80</v>
      </c>
      <c r="H1177" s="7" t="s">
        <v>709</v>
      </c>
      <c r="I1177" s="7" t="s">
        <v>2206</v>
      </c>
      <c r="J1177" s="7" t="s">
        <v>634</v>
      </c>
      <c r="K1177" s="7" t="s">
        <v>69</v>
      </c>
      <c r="L1177" s="8">
        <v>35</v>
      </c>
      <c r="M1177" s="7" t="s">
        <v>23</v>
      </c>
      <c r="N1177" s="8">
        <v>63</v>
      </c>
      <c r="O1177" s="8">
        <v>1</v>
      </c>
      <c r="P1177" s="5">
        <v>5788.53</v>
      </c>
      <c r="Q1177" s="4">
        <v>45600</v>
      </c>
      <c r="R1177" s="9">
        <v>0.3389699074074074</v>
      </c>
      <c r="S1177" s="8">
        <v>17</v>
      </c>
      <c r="T1177" s="7" t="s">
        <v>4457</v>
      </c>
      <c r="U1177" s="7" t="s">
        <v>4455</v>
      </c>
      <c r="V11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78" spans="1:22" x14ac:dyDescent="0.35">
      <c r="A1178" s="7" t="s">
        <v>2860</v>
      </c>
      <c r="B1178" s="7" t="s">
        <v>781</v>
      </c>
      <c r="C1178" s="5">
        <v>436.8</v>
      </c>
      <c r="D1178" s="2">
        <v>0.68751157407677965</v>
      </c>
      <c r="E1178" s="4">
        <v>45246</v>
      </c>
      <c r="F1178" s="7" t="s">
        <v>17</v>
      </c>
      <c r="G1178" s="7" t="s">
        <v>26</v>
      </c>
      <c r="H1178" s="7" t="s">
        <v>2479</v>
      </c>
      <c r="I1178" s="7" t="s">
        <v>1436</v>
      </c>
      <c r="J1178" s="7" t="s">
        <v>634</v>
      </c>
      <c r="K1178" s="7" t="s">
        <v>69</v>
      </c>
      <c r="L1178" s="8">
        <v>36</v>
      </c>
      <c r="M1178" s="7" t="s">
        <v>77</v>
      </c>
      <c r="N1178" s="8">
        <v>213</v>
      </c>
      <c r="O1178" s="8">
        <v>1</v>
      </c>
      <c r="P1178" s="5">
        <v>4515.43</v>
      </c>
      <c r="Q1178" s="4">
        <v>45600</v>
      </c>
      <c r="R1178" s="9">
        <v>0.33818287037037037</v>
      </c>
      <c r="S1178" s="8">
        <v>16</v>
      </c>
      <c r="T1178" s="7" t="s">
        <v>4457</v>
      </c>
      <c r="U1178" s="7" t="s">
        <v>4455</v>
      </c>
      <c r="V11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79" spans="1:22" x14ac:dyDescent="0.35">
      <c r="A1179" s="7" t="s">
        <v>2861</v>
      </c>
      <c r="B1179" s="7" t="s">
        <v>1900</v>
      </c>
      <c r="C1179" s="5">
        <v>224.73</v>
      </c>
      <c r="D1179" s="2">
        <v>0.68601851852145046</v>
      </c>
      <c r="E1179" s="4">
        <v>44966</v>
      </c>
      <c r="F1179" s="7" t="s">
        <v>17</v>
      </c>
      <c r="G1179" s="7" t="s">
        <v>172</v>
      </c>
      <c r="H1179" s="7" t="s">
        <v>2333</v>
      </c>
      <c r="I1179" s="7" t="s">
        <v>2862</v>
      </c>
      <c r="J1179" s="7" t="s">
        <v>43</v>
      </c>
      <c r="K1179" s="7" t="s">
        <v>69</v>
      </c>
      <c r="L1179" s="8">
        <v>76</v>
      </c>
      <c r="M1179" s="7" t="s">
        <v>70</v>
      </c>
      <c r="N1179" s="8">
        <v>63</v>
      </c>
      <c r="O1179" s="8">
        <v>1</v>
      </c>
      <c r="P1179" s="5">
        <v>7551.89</v>
      </c>
      <c r="Q1179" s="4">
        <v>45600</v>
      </c>
      <c r="R1179" s="9">
        <v>0.33934027777777775</v>
      </c>
      <c r="S1179" s="8">
        <v>16</v>
      </c>
      <c r="T1179" s="7" t="s">
        <v>4454</v>
      </c>
      <c r="U1179" s="7" t="s">
        <v>4455</v>
      </c>
      <c r="V11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80" spans="1:22" x14ac:dyDescent="0.35">
      <c r="A1180" s="7" t="s">
        <v>2863</v>
      </c>
      <c r="B1180" s="7" t="s">
        <v>2650</v>
      </c>
      <c r="C1180" s="5">
        <v>752.69</v>
      </c>
      <c r="D1180" s="2">
        <v>0.78820601852203254</v>
      </c>
      <c r="E1180" s="4">
        <v>45075</v>
      </c>
      <c r="F1180" s="7" t="s">
        <v>46</v>
      </c>
      <c r="G1180" s="7" t="s">
        <v>323</v>
      </c>
      <c r="H1180" s="7" t="s">
        <v>1615</v>
      </c>
      <c r="I1180" s="7" t="s">
        <v>2864</v>
      </c>
      <c r="J1180" s="7" t="s">
        <v>682</v>
      </c>
      <c r="K1180" s="7" t="s">
        <v>22</v>
      </c>
      <c r="L1180" s="8">
        <v>65</v>
      </c>
      <c r="M1180" s="7" t="s">
        <v>23</v>
      </c>
      <c r="N1180" s="8">
        <v>115</v>
      </c>
      <c r="O1180" s="8">
        <v>1</v>
      </c>
      <c r="P1180" s="5">
        <v>14489.69</v>
      </c>
      <c r="Q1180" s="4">
        <v>45600</v>
      </c>
      <c r="R1180" s="9">
        <v>0.33974537037037039</v>
      </c>
      <c r="S1180" s="8">
        <v>18</v>
      </c>
      <c r="T1180" s="7" t="s">
        <v>4454</v>
      </c>
      <c r="U1180" s="7" t="s">
        <v>4455</v>
      </c>
      <c r="V11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81" spans="1:22" x14ac:dyDescent="0.35">
      <c r="A1181" s="7" t="s">
        <v>2865</v>
      </c>
      <c r="B1181" s="7" t="s">
        <v>322</v>
      </c>
      <c r="C1181" s="5">
        <v>78.5</v>
      </c>
      <c r="D1181" s="2">
        <v>0.67124999999941792</v>
      </c>
      <c r="E1181" s="4">
        <v>44971</v>
      </c>
      <c r="F1181" s="7" t="s">
        <v>46</v>
      </c>
      <c r="G1181" s="7" t="s">
        <v>223</v>
      </c>
      <c r="H1181" s="7" t="s">
        <v>443</v>
      </c>
      <c r="I1181" s="7" t="s">
        <v>1571</v>
      </c>
      <c r="J1181" s="7" t="s">
        <v>83</v>
      </c>
      <c r="K1181" s="7" t="s">
        <v>69</v>
      </c>
      <c r="L1181" s="8">
        <v>31</v>
      </c>
      <c r="M1181" s="7" t="s">
        <v>23</v>
      </c>
      <c r="N1181" s="8">
        <v>41</v>
      </c>
      <c r="O1181" s="8">
        <v>1</v>
      </c>
      <c r="P1181" s="5">
        <v>13991.5</v>
      </c>
      <c r="Q1181" s="4">
        <v>45600</v>
      </c>
      <c r="R1181" s="9">
        <v>0.34159722222222222</v>
      </c>
      <c r="S1181" s="8">
        <v>16</v>
      </c>
      <c r="T1181" s="7" t="s">
        <v>4456</v>
      </c>
      <c r="U1181" s="7" t="s">
        <v>4455</v>
      </c>
      <c r="V11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82" spans="1:22" x14ac:dyDescent="0.35">
      <c r="A1182" s="7" t="s">
        <v>2866</v>
      </c>
      <c r="B1182" s="7" t="s">
        <v>2802</v>
      </c>
      <c r="C1182" s="5">
        <v>50</v>
      </c>
      <c r="D1182" s="2">
        <v>0.75361111111124046</v>
      </c>
      <c r="E1182" s="4">
        <v>44981</v>
      </c>
      <c r="F1182" s="7" t="s">
        <v>46</v>
      </c>
      <c r="G1182" s="7" t="s">
        <v>392</v>
      </c>
      <c r="H1182" s="7" t="s">
        <v>109</v>
      </c>
      <c r="I1182" s="7" t="s">
        <v>1032</v>
      </c>
      <c r="J1182" s="7" t="s">
        <v>762</v>
      </c>
      <c r="K1182" s="7" t="s">
        <v>22</v>
      </c>
      <c r="L1182" s="8">
        <v>53</v>
      </c>
      <c r="M1182" s="7" t="s">
        <v>23</v>
      </c>
      <c r="N1182" s="8">
        <v>87</v>
      </c>
      <c r="O1182" s="8">
        <v>1</v>
      </c>
      <c r="P1182" s="5">
        <v>185.87</v>
      </c>
      <c r="Q1182" s="4">
        <v>45600</v>
      </c>
      <c r="R1182" s="9">
        <v>0.34122685185185186</v>
      </c>
      <c r="S1182" s="8">
        <v>18</v>
      </c>
      <c r="T1182" s="7" t="s">
        <v>4457</v>
      </c>
      <c r="U1182" s="7" t="s">
        <v>4455</v>
      </c>
      <c r="V11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83" spans="1:22" x14ac:dyDescent="0.35">
      <c r="A1183" s="7" t="s">
        <v>2867</v>
      </c>
      <c r="B1183" s="7" t="s">
        <v>1137</v>
      </c>
      <c r="C1183" s="5">
        <v>132.41999999999999</v>
      </c>
      <c r="D1183" s="2">
        <v>0.68238425925665069</v>
      </c>
      <c r="E1183" s="4">
        <v>45131</v>
      </c>
      <c r="F1183" s="7" t="s">
        <v>17</v>
      </c>
      <c r="G1183" s="7" t="s">
        <v>114</v>
      </c>
      <c r="H1183" s="7" t="s">
        <v>489</v>
      </c>
      <c r="I1183" s="7" t="s">
        <v>2868</v>
      </c>
      <c r="J1183" s="7" t="s">
        <v>853</v>
      </c>
      <c r="K1183" s="7" t="s">
        <v>22</v>
      </c>
      <c r="L1183" s="8">
        <v>18</v>
      </c>
      <c r="M1183" s="7" t="s">
        <v>37</v>
      </c>
      <c r="N1183" s="8">
        <v>164</v>
      </c>
      <c r="O1183" s="8">
        <v>1</v>
      </c>
      <c r="P1183" s="5">
        <v>726.39</v>
      </c>
      <c r="Q1183" s="4">
        <v>45600</v>
      </c>
      <c r="R1183" s="9">
        <v>0.34164351851851854</v>
      </c>
      <c r="S1183" s="8">
        <v>16</v>
      </c>
      <c r="T1183" s="7" t="s">
        <v>4456</v>
      </c>
      <c r="U1183" s="7" t="s">
        <v>4455</v>
      </c>
      <c r="V11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84" spans="1:22" x14ac:dyDescent="0.35">
      <c r="A1184" s="7" t="s">
        <v>2869</v>
      </c>
      <c r="B1184" s="7" t="s">
        <v>264</v>
      </c>
      <c r="C1184" s="5">
        <v>11.67</v>
      </c>
      <c r="D1184" s="2">
        <v>0.68774305555416504</v>
      </c>
      <c r="E1184" s="4">
        <v>45243</v>
      </c>
      <c r="F1184" s="7" t="s">
        <v>17</v>
      </c>
      <c r="G1184" s="7" t="s">
        <v>157</v>
      </c>
      <c r="H1184" s="7" t="s">
        <v>2870</v>
      </c>
      <c r="I1184" s="7" t="s">
        <v>2181</v>
      </c>
      <c r="J1184" s="7" t="s">
        <v>303</v>
      </c>
      <c r="K1184" s="7" t="s">
        <v>69</v>
      </c>
      <c r="L1184" s="8">
        <v>76</v>
      </c>
      <c r="M1184" s="7" t="s">
        <v>70</v>
      </c>
      <c r="N1184" s="8">
        <v>105</v>
      </c>
      <c r="O1184" s="8">
        <v>1</v>
      </c>
      <c r="P1184" s="5">
        <v>7458.63</v>
      </c>
      <c r="Q1184" s="4">
        <v>45600</v>
      </c>
      <c r="R1184" s="9">
        <v>0.34050925925925923</v>
      </c>
      <c r="S1184" s="8">
        <v>16</v>
      </c>
      <c r="T1184" s="7" t="s">
        <v>4454</v>
      </c>
      <c r="U1184" s="7" t="s">
        <v>4455</v>
      </c>
      <c r="V11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85" spans="1:22" x14ac:dyDescent="0.35">
      <c r="A1185" s="7" t="s">
        <v>2871</v>
      </c>
      <c r="B1185" s="7" t="s">
        <v>1066</v>
      </c>
      <c r="C1185" s="5">
        <v>83.16</v>
      </c>
      <c r="D1185" s="2">
        <v>0.67495370370306773</v>
      </c>
      <c r="E1185" s="4">
        <v>45154</v>
      </c>
      <c r="F1185" s="7" t="s">
        <v>17</v>
      </c>
      <c r="G1185" s="7" t="s">
        <v>140</v>
      </c>
      <c r="H1185" s="7" t="s">
        <v>596</v>
      </c>
      <c r="I1185" s="7" t="s">
        <v>583</v>
      </c>
      <c r="J1185" s="7" t="s">
        <v>50</v>
      </c>
      <c r="K1185" s="7" t="s">
        <v>22</v>
      </c>
      <c r="L1185" s="8">
        <v>61</v>
      </c>
      <c r="M1185" s="7" t="s">
        <v>70</v>
      </c>
      <c r="N1185" s="8">
        <v>177</v>
      </c>
      <c r="O1185" s="8">
        <v>1</v>
      </c>
      <c r="P1185" s="5">
        <v>3065.87</v>
      </c>
      <c r="Q1185" s="4">
        <v>45600</v>
      </c>
      <c r="R1185" s="9">
        <v>0.3394212962962963</v>
      </c>
      <c r="S1185" s="8">
        <v>16</v>
      </c>
      <c r="T1185" s="7" t="s">
        <v>4454</v>
      </c>
      <c r="U1185" s="7" t="s">
        <v>4455</v>
      </c>
      <c r="V11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86" spans="1:22" x14ac:dyDescent="0.35">
      <c r="A1186" s="7" t="s">
        <v>2872</v>
      </c>
      <c r="B1186" s="7" t="s">
        <v>851</v>
      </c>
      <c r="C1186" s="5">
        <v>149.02000000000001</v>
      </c>
      <c r="D1186" s="2">
        <v>0.69156249999650754</v>
      </c>
      <c r="E1186" s="4">
        <v>45170</v>
      </c>
      <c r="F1186" s="7" t="s">
        <v>46</v>
      </c>
      <c r="G1186" s="7" t="s">
        <v>157</v>
      </c>
      <c r="H1186" s="7" t="s">
        <v>2873</v>
      </c>
      <c r="I1186" s="7" t="s">
        <v>2820</v>
      </c>
      <c r="J1186" s="7" t="s">
        <v>62</v>
      </c>
      <c r="K1186" s="7" t="s">
        <v>69</v>
      </c>
      <c r="L1186" s="8">
        <v>46</v>
      </c>
      <c r="M1186" s="7" t="s">
        <v>77</v>
      </c>
      <c r="N1186" s="8">
        <v>176</v>
      </c>
      <c r="O1186" s="8">
        <v>1</v>
      </c>
      <c r="P1186" s="5">
        <v>9379.7199999999993</v>
      </c>
      <c r="Q1186" s="4">
        <v>45600</v>
      </c>
      <c r="R1186" s="9">
        <v>0.33796296296296297</v>
      </c>
      <c r="S1186" s="8">
        <v>16</v>
      </c>
      <c r="T1186" s="7" t="s">
        <v>4457</v>
      </c>
      <c r="U1186" s="7" t="s">
        <v>4455</v>
      </c>
      <c r="V11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87" spans="1:22" x14ac:dyDescent="0.35">
      <c r="A1187" s="7" t="s">
        <v>2874</v>
      </c>
      <c r="B1187" s="7" t="s">
        <v>202</v>
      </c>
      <c r="C1187" s="5">
        <v>74.27</v>
      </c>
      <c r="D1187" s="2">
        <v>0.72021990740904585</v>
      </c>
      <c r="E1187" s="4">
        <v>45120</v>
      </c>
      <c r="F1187" s="7" t="s">
        <v>46</v>
      </c>
      <c r="G1187" s="7" t="s">
        <v>92</v>
      </c>
      <c r="H1187" s="7" t="s">
        <v>1126</v>
      </c>
      <c r="I1187" s="7" t="s">
        <v>1943</v>
      </c>
      <c r="J1187" s="7" t="s">
        <v>277</v>
      </c>
      <c r="K1187" s="7" t="s">
        <v>36</v>
      </c>
      <c r="L1187" s="8">
        <v>59</v>
      </c>
      <c r="M1187" s="7" t="s">
        <v>23</v>
      </c>
      <c r="N1187" s="8">
        <v>148</v>
      </c>
      <c r="O1187" s="8">
        <v>1</v>
      </c>
      <c r="P1187" s="5">
        <v>13696.61</v>
      </c>
      <c r="Q1187" s="4">
        <v>45600</v>
      </c>
      <c r="R1187" s="9">
        <v>0.34120370370370373</v>
      </c>
      <c r="S1187" s="8">
        <v>17</v>
      </c>
      <c r="T1187" s="7" t="s">
        <v>4454</v>
      </c>
      <c r="U1187" s="7" t="s">
        <v>4455</v>
      </c>
      <c r="V11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88" spans="1:22" x14ac:dyDescent="0.35">
      <c r="A1188" s="7" t="s">
        <v>2875</v>
      </c>
      <c r="B1188" s="7" t="s">
        <v>625</v>
      </c>
      <c r="C1188" s="5">
        <v>876.57</v>
      </c>
      <c r="D1188" s="2">
        <v>0.67784722222131677</v>
      </c>
      <c r="E1188" s="4">
        <v>45180</v>
      </c>
      <c r="F1188" s="7" t="s">
        <v>46</v>
      </c>
      <c r="G1188" s="7" t="s">
        <v>595</v>
      </c>
      <c r="H1188" s="7" t="s">
        <v>1939</v>
      </c>
      <c r="I1188" s="7" t="s">
        <v>1188</v>
      </c>
      <c r="J1188" s="7" t="s">
        <v>682</v>
      </c>
      <c r="K1188" s="7" t="s">
        <v>22</v>
      </c>
      <c r="L1188" s="8">
        <v>62</v>
      </c>
      <c r="M1188" s="7" t="s">
        <v>70</v>
      </c>
      <c r="N1188" s="8">
        <v>118</v>
      </c>
      <c r="O1188" s="8">
        <v>1</v>
      </c>
      <c r="P1188" s="5">
        <v>3743.63</v>
      </c>
      <c r="Q1188" s="4">
        <v>45600</v>
      </c>
      <c r="R1188" s="9">
        <v>0.33812500000000001</v>
      </c>
      <c r="S1188" s="8">
        <v>16</v>
      </c>
      <c r="T1188" s="7" t="s">
        <v>4454</v>
      </c>
      <c r="U1188" s="7" t="s">
        <v>4455</v>
      </c>
      <c r="V11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89" spans="1:22" x14ac:dyDescent="0.35">
      <c r="A1189" s="7" t="s">
        <v>2876</v>
      </c>
      <c r="B1189" s="7" t="s">
        <v>2877</v>
      </c>
      <c r="C1189" s="5">
        <v>615.58000000000004</v>
      </c>
      <c r="D1189" s="2">
        <v>0.69444444444525288</v>
      </c>
      <c r="E1189" s="4">
        <v>45194</v>
      </c>
      <c r="F1189" s="7" t="s">
        <v>17</v>
      </c>
      <c r="G1189" s="7" t="s">
        <v>392</v>
      </c>
      <c r="H1189" s="7" t="s">
        <v>1713</v>
      </c>
      <c r="I1189" s="7" t="s">
        <v>2751</v>
      </c>
      <c r="J1189" s="7" t="s">
        <v>128</v>
      </c>
      <c r="K1189" s="7" t="s">
        <v>22</v>
      </c>
      <c r="L1189" s="8">
        <v>42</v>
      </c>
      <c r="M1189" s="7" t="s">
        <v>23</v>
      </c>
      <c r="N1189" s="8">
        <v>133</v>
      </c>
      <c r="O1189" s="8">
        <v>1</v>
      </c>
      <c r="P1189" s="5">
        <v>14343</v>
      </c>
      <c r="Q1189" s="4">
        <v>45600</v>
      </c>
      <c r="R1189" s="9">
        <v>0.34091435185185187</v>
      </c>
      <c r="S1189" s="8">
        <v>16</v>
      </c>
      <c r="T1189" s="7" t="s">
        <v>4457</v>
      </c>
      <c r="U1189" s="7" t="s">
        <v>4455</v>
      </c>
      <c r="V11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90" spans="1:22" x14ac:dyDescent="0.35">
      <c r="A1190" s="7" t="s">
        <v>2878</v>
      </c>
      <c r="B1190" s="7" t="s">
        <v>1023</v>
      </c>
      <c r="C1190" s="5">
        <v>643.03</v>
      </c>
      <c r="D1190" s="2">
        <v>0.68306712962657912</v>
      </c>
      <c r="E1190" s="4">
        <v>45139</v>
      </c>
      <c r="F1190" s="7" t="s">
        <v>46</v>
      </c>
      <c r="G1190" s="7" t="s">
        <v>392</v>
      </c>
      <c r="H1190" s="7" t="s">
        <v>2142</v>
      </c>
      <c r="I1190" s="7" t="s">
        <v>1277</v>
      </c>
      <c r="J1190" s="7" t="s">
        <v>43</v>
      </c>
      <c r="K1190" s="7" t="s">
        <v>36</v>
      </c>
      <c r="L1190" s="8">
        <v>36</v>
      </c>
      <c r="M1190" s="7" t="s">
        <v>77</v>
      </c>
      <c r="N1190" s="8">
        <v>52</v>
      </c>
      <c r="O1190" s="8">
        <v>1</v>
      </c>
      <c r="P1190" s="5">
        <v>2882.16</v>
      </c>
      <c r="Q1190" s="4">
        <v>45600</v>
      </c>
      <c r="R1190" s="9">
        <v>0.33914351851851854</v>
      </c>
      <c r="S1190" s="8">
        <v>16</v>
      </c>
      <c r="T1190" s="7" t="s">
        <v>4457</v>
      </c>
      <c r="U1190" s="7" t="s">
        <v>4455</v>
      </c>
      <c r="V11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91" spans="1:22" x14ac:dyDescent="0.35">
      <c r="A1191" s="7" t="s">
        <v>2879</v>
      </c>
      <c r="B1191" s="7" t="s">
        <v>460</v>
      </c>
      <c r="C1191" s="5">
        <v>7.95</v>
      </c>
      <c r="D1191" s="2">
        <v>0.69805555555649335</v>
      </c>
      <c r="E1191" s="4">
        <v>44935</v>
      </c>
      <c r="F1191" s="7" t="s">
        <v>17</v>
      </c>
      <c r="G1191" s="7" t="s">
        <v>425</v>
      </c>
      <c r="H1191" s="7" t="s">
        <v>2721</v>
      </c>
      <c r="I1191" s="7" t="s">
        <v>2336</v>
      </c>
      <c r="J1191" s="7" t="s">
        <v>343</v>
      </c>
      <c r="K1191" s="7" t="s">
        <v>22</v>
      </c>
      <c r="L1191" s="8">
        <v>79</v>
      </c>
      <c r="M1191" s="7" t="s">
        <v>70</v>
      </c>
      <c r="N1191" s="8">
        <v>65</v>
      </c>
      <c r="O1191" s="8">
        <v>1</v>
      </c>
      <c r="P1191" s="5">
        <v>5631.2</v>
      </c>
      <c r="Q1191" s="4">
        <v>45600</v>
      </c>
      <c r="R1191" s="9">
        <v>0.34034722222222225</v>
      </c>
      <c r="S1191" s="8">
        <v>16</v>
      </c>
      <c r="T1191" s="7" t="s">
        <v>4454</v>
      </c>
      <c r="U1191" s="7" t="s">
        <v>4455</v>
      </c>
      <c r="V11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92" spans="1:22" x14ac:dyDescent="0.35">
      <c r="A1192" s="7" t="s">
        <v>2880</v>
      </c>
      <c r="B1192" s="7" t="s">
        <v>621</v>
      </c>
      <c r="C1192" s="5">
        <v>270.92</v>
      </c>
      <c r="D1192" s="2">
        <v>0.71056712963036261</v>
      </c>
      <c r="E1192" s="4">
        <v>45037</v>
      </c>
      <c r="F1192" s="7" t="s">
        <v>46</v>
      </c>
      <c r="G1192" s="7" t="s">
        <v>108</v>
      </c>
      <c r="H1192" s="7" t="s">
        <v>713</v>
      </c>
      <c r="I1192" s="7" t="s">
        <v>1155</v>
      </c>
      <c r="J1192" s="7" t="s">
        <v>386</v>
      </c>
      <c r="K1192" s="7" t="s">
        <v>69</v>
      </c>
      <c r="L1192" s="8">
        <v>77</v>
      </c>
      <c r="M1192" s="7" t="s">
        <v>70</v>
      </c>
      <c r="N1192" s="8">
        <v>143</v>
      </c>
      <c r="O1192" s="8">
        <v>1</v>
      </c>
      <c r="P1192" s="5">
        <v>4574.43</v>
      </c>
      <c r="Q1192" s="4">
        <v>45600</v>
      </c>
      <c r="R1192" s="9">
        <v>0.33809027777777778</v>
      </c>
      <c r="S1192" s="8">
        <v>17</v>
      </c>
      <c r="T1192" s="7" t="s">
        <v>4454</v>
      </c>
      <c r="U1192" s="7" t="s">
        <v>4455</v>
      </c>
      <c r="V11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93" spans="1:22" x14ac:dyDescent="0.35">
      <c r="A1193" s="7" t="s">
        <v>2881</v>
      </c>
      <c r="B1193" s="7" t="s">
        <v>889</v>
      </c>
      <c r="C1193" s="5">
        <v>499.48</v>
      </c>
      <c r="D1193" s="2">
        <v>0.70631944444176042</v>
      </c>
      <c r="E1193" s="4">
        <v>44943</v>
      </c>
      <c r="F1193" s="7" t="s">
        <v>17</v>
      </c>
      <c r="G1193" s="7" t="s">
        <v>249</v>
      </c>
      <c r="H1193" s="7" t="s">
        <v>1592</v>
      </c>
      <c r="I1193" s="7" t="s">
        <v>42</v>
      </c>
      <c r="J1193" s="7" t="s">
        <v>445</v>
      </c>
      <c r="K1193" s="7" t="s">
        <v>22</v>
      </c>
      <c r="L1193" s="8">
        <v>24</v>
      </c>
      <c r="M1193" s="7" t="s">
        <v>37</v>
      </c>
      <c r="N1193" s="8">
        <v>133</v>
      </c>
      <c r="O1193" s="8">
        <v>1</v>
      </c>
      <c r="P1193" s="5">
        <v>1242.6199999999999</v>
      </c>
      <c r="Q1193" s="4">
        <v>45600</v>
      </c>
      <c r="R1193" s="9">
        <v>0.33939814814814817</v>
      </c>
      <c r="S1193" s="8">
        <v>16</v>
      </c>
      <c r="T1193" s="7" t="s">
        <v>4456</v>
      </c>
      <c r="U1193" s="7" t="s">
        <v>4455</v>
      </c>
      <c r="V11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94" spans="1:22" x14ac:dyDescent="0.35">
      <c r="A1194" s="7" t="s">
        <v>2882</v>
      </c>
      <c r="B1194" s="7" t="s">
        <v>569</v>
      </c>
      <c r="C1194" s="5">
        <v>841.5</v>
      </c>
      <c r="D1194" s="2">
        <v>0.68976851851766696</v>
      </c>
      <c r="E1194" s="4">
        <v>45068</v>
      </c>
      <c r="F1194" s="7" t="s">
        <v>46</v>
      </c>
      <c r="G1194" s="7" t="s">
        <v>47</v>
      </c>
      <c r="H1194" s="7" t="s">
        <v>2883</v>
      </c>
      <c r="I1194" s="7" t="s">
        <v>1100</v>
      </c>
      <c r="J1194" s="7" t="s">
        <v>68</v>
      </c>
      <c r="K1194" s="7" t="s">
        <v>69</v>
      </c>
      <c r="L1194" s="8">
        <v>25</v>
      </c>
      <c r="M1194" s="7" t="s">
        <v>37</v>
      </c>
      <c r="N1194" s="8">
        <v>287</v>
      </c>
      <c r="O1194" s="8">
        <v>1</v>
      </c>
      <c r="P1194" s="5">
        <v>352.31</v>
      </c>
      <c r="Q1194" s="4">
        <v>45600</v>
      </c>
      <c r="R1194" s="9">
        <v>0.33966435185185184</v>
      </c>
      <c r="S1194" s="8">
        <v>16</v>
      </c>
      <c r="T1194" s="7" t="s">
        <v>4456</v>
      </c>
      <c r="U1194" s="7" t="s">
        <v>4455</v>
      </c>
      <c r="V11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95" spans="1:22" x14ac:dyDescent="0.35">
      <c r="A1195" s="7" t="s">
        <v>2884</v>
      </c>
      <c r="B1195" s="7" t="s">
        <v>498</v>
      </c>
      <c r="C1195" s="5">
        <v>138.82</v>
      </c>
      <c r="D1195" s="2">
        <v>0.67523148148029577</v>
      </c>
      <c r="E1195" s="4">
        <v>45215</v>
      </c>
      <c r="F1195" s="7" t="s">
        <v>17</v>
      </c>
      <c r="G1195" s="7" t="s">
        <v>157</v>
      </c>
      <c r="H1195" s="7" t="s">
        <v>2203</v>
      </c>
      <c r="I1195" s="7" t="s">
        <v>1204</v>
      </c>
      <c r="J1195" s="7" t="s">
        <v>95</v>
      </c>
      <c r="K1195" s="7" t="s">
        <v>36</v>
      </c>
      <c r="L1195" s="8">
        <v>77</v>
      </c>
      <c r="M1195" s="7" t="s">
        <v>70</v>
      </c>
      <c r="N1195" s="8">
        <v>53</v>
      </c>
      <c r="O1195" s="8">
        <v>1</v>
      </c>
      <c r="P1195" s="5">
        <v>3100.22</v>
      </c>
      <c r="Q1195" s="4">
        <v>45600</v>
      </c>
      <c r="R1195" s="9">
        <v>0.34152777777777776</v>
      </c>
      <c r="S1195" s="8">
        <v>16</v>
      </c>
      <c r="T1195" s="7" t="s">
        <v>4454</v>
      </c>
      <c r="U1195" s="7" t="s">
        <v>4455</v>
      </c>
      <c r="V11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96" spans="1:22" x14ac:dyDescent="0.35">
      <c r="A1196" s="7" t="s">
        <v>2885</v>
      </c>
      <c r="B1196" s="7" t="s">
        <v>2125</v>
      </c>
      <c r="C1196" s="5">
        <v>231.46</v>
      </c>
      <c r="D1196" s="2">
        <v>0.69618055555474712</v>
      </c>
      <c r="E1196" s="4">
        <v>45085</v>
      </c>
      <c r="F1196" s="7" t="s">
        <v>46</v>
      </c>
      <c r="G1196" s="7" t="s">
        <v>172</v>
      </c>
      <c r="H1196" s="7" t="s">
        <v>2453</v>
      </c>
      <c r="I1196" s="7" t="s">
        <v>261</v>
      </c>
      <c r="J1196" s="7" t="s">
        <v>478</v>
      </c>
      <c r="K1196" s="7" t="s">
        <v>69</v>
      </c>
      <c r="L1196" s="8">
        <v>60</v>
      </c>
      <c r="M1196" s="7" t="s">
        <v>77</v>
      </c>
      <c r="N1196" s="8">
        <v>83</v>
      </c>
      <c r="O1196" s="8">
        <v>1</v>
      </c>
      <c r="P1196" s="5">
        <v>4707.24</v>
      </c>
      <c r="Q1196" s="4">
        <v>45600</v>
      </c>
      <c r="R1196" s="9">
        <v>0.33924768518518517</v>
      </c>
      <c r="S1196" s="8">
        <v>16</v>
      </c>
      <c r="T1196" s="7" t="s">
        <v>4454</v>
      </c>
      <c r="U1196" s="7" t="s">
        <v>4455</v>
      </c>
      <c r="V11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97" spans="1:22" x14ac:dyDescent="0.35">
      <c r="A1197" s="7" t="s">
        <v>2886</v>
      </c>
      <c r="B1197" s="7" t="s">
        <v>2370</v>
      </c>
      <c r="C1197" s="5">
        <v>292.08</v>
      </c>
      <c r="D1197" s="2">
        <v>0.75490740740497131</v>
      </c>
      <c r="E1197" s="4">
        <v>45289</v>
      </c>
      <c r="F1197" s="7" t="s">
        <v>17</v>
      </c>
      <c r="G1197" s="7" t="s">
        <v>125</v>
      </c>
      <c r="H1197" s="7" t="s">
        <v>833</v>
      </c>
      <c r="I1197" s="7" t="s">
        <v>1864</v>
      </c>
      <c r="J1197" s="7" t="s">
        <v>652</v>
      </c>
      <c r="K1197" s="7" t="s">
        <v>22</v>
      </c>
      <c r="L1197" s="8">
        <v>72</v>
      </c>
      <c r="M1197" s="7" t="s">
        <v>70</v>
      </c>
      <c r="N1197" s="8">
        <v>32</v>
      </c>
      <c r="O1197" s="8">
        <v>1</v>
      </c>
      <c r="P1197" s="5">
        <v>7950.48</v>
      </c>
      <c r="Q1197" s="4">
        <v>45600</v>
      </c>
      <c r="R1197" s="9">
        <v>0.33997685185185184</v>
      </c>
      <c r="S1197" s="8">
        <v>18</v>
      </c>
      <c r="T1197" s="7" t="s">
        <v>4454</v>
      </c>
      <c r="U1197" s="7" t="s">
        <v>4455</v>
      </c>
      <c r="V11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198" spans="1:22" x14ac:dyDescent="0.35">
      <c r="A1198" s="7" t="s">
        <v>2887</v>
      </c>
      <c r="B1198" s="7" t="s">
        <v>219</v>
      </c>
      <c r="C1198" s="5">
        <v>63.98</v>
      </c>
      <c r="D1198" s="2">
        <v>0.66785879629605915</v>
      </c>
      <c r="E1198" s="4">
        <v>45229</v>
      </c>
      <c r="F1198" s="7" t="s">
        <v>17</v>
      </c>
      <c r="G1198" s="7" t="s">
        <v>197</v>
      </c>
      <c r="H1198" s="7" t="s">
        <v>798</v>
      </c>
      <c r="I1198" s="7" t="s">
        <v>710</v>
      </c>
      <c r="J1198" s="7" t="s">
        <v>607</v>
      </c>
      <c r="K1198" s="7" t="s">
        <v>36</v>
      </c>
      <c r="L1198" s="8">
        <v>54</v>
      </c>
      <c r="M1198" s="7" t="s">
        <v>23</v>
      </c>
      <c r="N1198" s="8">
        <v>258</v>
      </c>
      <c r="O1198" s="8">
        <v>1</v>
      </c>
      <c r="P1198" s="5">
        <v>7954.12</v>
      </c>
      <c r="Q1198" s="4">
        <v>45600</v>
      </c>
      <c r="R1198" s="9">
        <v>0.33811342592592591</v>
      </c>
      <c r="S1198" s="8">
        <v>16</v>
      </c>
      <c r="T1198" s="7" t="s">
        <v>4457</v>
      </c>
      <c r="U1198" s="7" t="s">
        <v>4455</v>
      </c>
      <c r="V11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199" spans="1:22" x14ac:dyDescent="0.35">
      <c r="A1199" s="7" t="s">
        <v>2888</v>
      </c>
      <c r="B1199" s="7" t="s">
        <v>2889</v>
      </c>
      <c r="C1199" s="5">
        <v>235.21</v>
      </c>
      <c r="D1199" s="2">
        <v>0.697824074071832</v>
      </c>
      <c r="E1199" s="4">
        <v>45215</v>
      </c>
      <c r="F1199" s="7" t="s">
        <v>17</v>
      </c>
      <c r="G1199" s="7" t="s">
        <v>388</v>
      </c>
      <c r="H1199" s="7" t="s">
        <v>2890</v>
      </c>
      <c r="I1199" s="7" t="s">
        <v>2254</v>
      </c>
      <c r="J1199" s="7" t="s">
        <v>83</v>
      </c>
      <c r="K1199" s="7" t="s">
        <v>69</v>
      </c>
      <c r="L1199" s="8">
        <v>67</v>
      </c>
      <c r="M1199" s="7" t="s">
        <v>23</v>
      </c>
      <c r="N1199" s="8">
        <v>74</v>
      </c>
      <c r="O1199" s="8">
        <v>1</v>
      </c>
      <c r="P1199" s="5">
        <v>5946.61</v>
      </c>
      <c r="Q1199" s="4">
        <v>45600</v>
      </c>
      <c r="R1199" s="9">
        <v>0.34096064814814814</v>
      </c>
      <c r="S1199" s="8">
        <v>16</v>
      </c>
      <c r="T1199" s="7" t="s">
        <v>4454</v>
      </c>
      <c r="U1199" s="7" t="s">
        <v>4455</v>
      </c>
      <c r="V11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00" spans="1:22" x14ac:dyDescent="0.35">
      <c r="A1200" s="7" t="s">
        <v>2891</v>
      </c>
      <c r="B1200" s="7" t="s">
        <v>242</v>
      </c>
      <c r="C1200" s="5">
        <v>201.73</v>
      </c>
      <c r="D1200" s="2">
        <v>0.78150462963094469</v>
      </c>
      <c r="E1200" s="4">
        <v>45174</v>
      </c>
      <c r="F1200" s="7" t="s">
        <v>17</v>
      </c>
      <c r="G1200" s="7" t="s">
        <v>197</v>
      </c>
      <c r="H1200" s="7" t="s">
        <v>2892</v>
      </c>
      <c r="I1200" s="7" t="s">
        <v>1637</v>
      </c>
      <c r="J1200" s="7" t="s">
        <v>1287</v>
      </c>
      <c r="K1200" s="7" t="s">
        <v>36</v>
      </c>
      <c r="L1200" s="8">
        <v>57</v>
      </c>
      <c r="M1200" s="7" t="s">
        <v>77</v>
      </c>
      <c r="N1200" s="8">
        <v>78</v>
      </c>
      <c r="O1200" s="8">
        <v>1</v>
      </c>
      <c r="P1200" s="5">
        <v>6650.71</v>
      </c>
      <c r="Q1200" s="4">
        <v>45600</v>
      </c>
      <c r="R1200" s="9">
        <v>0.34174768518518517</v>
      </c>
      <c r="S1200" s="8">
        <v>18</v>
      </c>
      <c r="T1200" s="7" t="s">
        <v>4454</v>
      </c>
      <c r="U1200" s="7" t="s">
        <v>4455</v>
      </c>
      <c r="V12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01" spans="1:22" x14ac:dyDescent="0.35">
      <c r="A1201" s="7" t="s">
        <v>2893</v>
      </c>
      <c r="B1201" s="7" t="s">
        <v>447</v>
      </c>
      <c r="C1201" s="5">
        <v>161.31</v>
      </c>
      <c r="D1201" s="2">
        <v>0.68399305555794854</v>
      </c>
      <c r="E1201" s="4">
        <v>45180</v>
      </c>
      <c r="F1201" s="7" t="s">
        <v>17</v>
      </c>
      <c r="G1201" s="7" t="s">
        <v>80</v>
      </c>
      <c r="H1201" s="7" t="s">
        <v>2119</v>
      </c>
      <c r="I1201" s="7" t="s">
        <v>1629</v>
      </c>
      <c r="J1201" s="7" t="s">
        <v>267</v>
      </c>
      <c r="K1201" s="7" t="s">
        <v>22</v>
      </c>
      <c r="L1201" s="8">
        <v>28</v>
      </c>
      <c r="M1201" s="7" t="s">
        <v>37</v>
      </c>
      <c r="N1201" s="8">
        <v>13</v>
      </c>
      <c r="O1201" s="8">
        <v>1</v>
      </c>
      <c r="P1201" s="5">
        <v>1268.67</v>
      </c>
      <c r="Q1201" s="4">
        <v>45600</v>
      </c>
      <c r="R1201" s="9">
        <v>0.33951388888888889</v>
      </c>
      <c r="S1201" s="8">
        <v>16</v>
      </c>
      <c r="T1201" s="7" t="s">
        <v>4456</v>
      </c>
      <c r="U1201" s="7" t="s">
        <v>4455</v>
      </c>
      <c r="V12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02" spans="1:22" x14ac:dyDescent="0.35">
      <c r="A1202" s="7" t="s">
        <v>2894</v>
      </c>
      <c r="B1202" s="7" t="s">
        <v>892</v>
      </c>
      <c r="C1202" s="5">
        <v>18.41</v>
      </c>
      <c r="D1202" s="2">
        <v>0.72692129629285773</v>
      </c>
      <c r="E1202" s="4">
        <v>45261</v>
      </c>
      <c r="F1202" s="7" t="s">
        <v>17</v>
      </c>
      <c r="G1202" s="7" t="s">
        <v>47</v>
      </c>
      <c r="H1202" s="7" t="s">
        <v>530</v>
      </c>
      <c r="I1202" s="7" t="s">
        <v>2858</v>
      </c>
      <c r="J1202" s="7" t="s">
        <v>831</v>
      </c>
      <c r="K1202" s="7" t="s">
        <v>69</v>
      </c>
      <c r="L1202" s="8">
        <v>53</v>
      </c>
      <c r="M1202" s="7" t="s">
        <v>23</v>
      </c>
      <c r="N1202" s="8">
        <v>168</v>
      </c>
      <c r="O1202" s="8">
        <v>1</v>
      </c>
      <c r="P1202" s="5">
        <v>8287.5400000000009</v>
      </c>
      <c r="Q1202" s="4">
        <v>45600</v>
      </c>
      <c r="R1202" s="9">
        <v>0.34131944444444445</v>
      </c>
      <c r="S1202" s="8">
        <v>17</v>
      </c>
      <c r="T1202" s="7" t="s">
        <v>4457</v>
      </c>
      <c r="U1202" s="7" t="s">
        <v>4455</v>
      </c>
      <c r="V12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03" spans="1:22" x14ac:dyDescent="0.35">
      <c r="A1203" s="7" t="s">
        <v>2895</v>
      </c>
      <c r="B1203" s="7" t="s">
        <v>1088</v>
      </c>
      <c r="C1203" s="5">
        <v>471.75</v>
      </c>
      <c r="D1203" s="2">
        <v>0.77159722222131677</v>
      </c>
      <c r="E1203" s="4">
        <v>45083</v>
      </c>
      <c r="F1203" s="7" t="s">
        <v>46</v>
      </c>
      <c r="G1203" s="7" t="s">
        <v>223</v>
      </c>
      <c r="H1203" s="7" t="s">
        <v>1187</v>
      </c>
      <c r="I1203" s="7" t="s">
        <v>651</v>
      </c>
      <c r="J1203" s="7" t="s">
        <v>122</v>
      </c>
      <c r="K1203" s="7" t="s">
        <v>69</v>
      </c>
      <c r="L1203" s="8">
        <v>34</v>
      </c>
      <c r="M1203" s="7" t="s">
        <v>23</v>
      </c>
      <c r="N1203" s="8">
        <v>41</v>
      </c>
      <c r="O1203" s="8">
        <v>1</v>
      </c>
      <c r="P1203" s="5">
        <v>12948.5</v>
      </c>
      <c r="Q1203" s="4">
        <v>45600</v>
      </c>
      <c r="R1203" s="9">
        <v>0.34090277777777778</v>
      </c>
      <c r="S1203" s="8">
        <v>18</v>
      </c>
      <c r="T1203" s="7" t="s">
        <v>4456</v>
      </c>
      <c r="U1203" s="7" t="s">
        <v>4455</v>
      </c>
      <c r="V12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04" spans="1:22" x14ac:dyDescent="0.35">
      <c r="A1204" s="7" t="s">
        <v>2896</v>
      </c>
      <c r="B1204" s="7" t="s">
        <v>667</v>
      </c>
      <c r="C1204" s="5">
        <v>290.02</v>
      </c>
      <c r="D1204" s="2">
        <v>0.74230324073869269</v>
      </c>
      <c r="E1204" s="4">
        <v>45194</v>
      </c>
      <c r="F1204" s="7" t="s">
        <v>17</v>
      </c>
      <c r="G1204" s="7" t="s">
        <v>178</v>
      </c>
      <c r="H1204" s="7" t="s">
        <v>1389</v>
      </c>
      <c r="I1204" s="7" t="s">
        <v>1318</v>
      </c>
      <c r="J1204" s="7" t="s">
        <v>262</v>
      </c>
      <c r="K1204" s="7" t="s">
        <v>69</v>
      </c>
      <c r="L1204" s="8">
        <v>55</v>
      </c>
      <c r="M1204" s="7" t="s">
        <v>77</v>
      </c>
      <c r="N1204" s="8">
        <v>246</v>
      </c>
      <c r="O1204" s="8">
        <v>1</v>
      </c>
      <c r="P1204" s="5">
        <v>4746.71</v>
      </c>
      <c r="Q1204" s="4">
        <v>45600</v>
      </c>
      <c r="R1204" s="9">
        <v>0.33884259259259258</v>
      </c>
      <c r="S1204" s="8">
        <v>17</v>
      </c>
      <c r="T1204" s="7" t="s">
        <v>4454</v>
      </c>
      <c r="U1204" s="7" t="s">
        <v>4455</v>
      </c>
      <c r="V12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05" spans="1:22" x14ac:dyDescent="0.35">
      <c r="A1205" s="7" t="s">
        <v>2897</v>
      </c>
      <c r="B1205" s="7" t="s">
        <v>1507</v>
      </c>
      <c r="C1205" s="5">
        <v>48.05</v>
      </c>
      <c r="D1205" s="2">
        <v>0.73217592592845904</v>
      </c>
      <c r="E1205" s="4">
        <v>45064</v>
      </c>
      <c r="F1205" s="7" t="s">
        <v>17</v>
      </c>
      <c r="G1205" s="7" t="s">
        <v>203</v>
      </c>
      <c r="H1205" s="7" t="s">
        <v>1201</v>
      </c>
      <c r="I1205" s="7" t="s">
        <v>352</v>
      </c>
      <c r="J1205" s="7" t="s">
        <v>406</v>
      </c>
      <c r="K1205" s="7" t="s">
        <v>69</v>
      </c>
      <c r="L1205" s="8">
        <v>27</v>
      </c>
      <c r="M1205" s="7" t="s">
        <v>77</v>
      </c>
      <c r="N1205" s="8">
        <v>38</v>
      </c>
      <c r="O1205" s="8">
        <v>1</v>
      </c>
      <c r="P1205" s="5">
        <v>5334.97</v>
      </c>
      <c r="Q1205" s="4">
        <v>45600</v>
      </c>
      <c r="R1205" s="9">
        <v>0.33966435185185184</v>
      </c>
      <c r="S1205" s="8">
        <v>17</v>
      </c>
      <c r="T1205" s="7" t="s">
        <v>4456</v>
      </c>
      <c r="U1205" s="7" t="s">
        <v>4455</v>
      </c>
      <c r="V12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06" spans="1:22" x14ac:dyDescent="0.35">
      <c r="A1206" s="7" t="s">
        <v>2898</v>
      </c>
      <c r="B1206" s="7" t="s">
        <v>45</v>
      </c>
      <c r="C1206" s="5">
        <v>359.42</v>
      </c>
      <c r="D1206" s="2">
        <v>0.67890046296088258</v>
      </c>
      <c r="E1206" s="4">
        <v>45075</v>
      </c>
      <c r="F1206" s="7" t="s">
        <v>17</v>
      </c>
      <c r="G1206" s="7" t="s">
        <v>197</v>
      </c>
      <c r="H1206" s="7" t="s">
        <v>1138</v>
      </c>
      <c r="I1206" s="7" t="s">
        <v>2899</v>
      </c>
      <c r="J1206" s="7" t="s">
        <v>548</v>
      </c>
      <c r="K1206" s="7" t="s">
        <v>69</v>
      </c>
      <c r="L1206" s="8">
        <v>55</v>
      </c>
      <c r="M1206" s="7" t="s">
        <v>23</v>
      </c>
      <c r="N1206" s="8">
        <v>30</v>
      </c>
      <c r="O1206" s="8">
        <v>1</v>
      </c>
      <c r="P1206" s="5">
        <v>1765.45</v>
      </c>
      <c r="Q1206" s="4">
        <v>45600</v>
      </c>
      <c r="R1206" s="9">
        <v>0.3379861111111111</v>
      </c>
      <c r="S1206" s="8">
        <v>16</v>
      </c>
      <c r="T1206" s="7" t="s">
        <v>4454</v>
      </c>
      <c r="U1206" s="7" t="s">
        <v>4455</v>
      </c>
      <c r="V12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07" spans="1:22" x14ac:dyDescent="0.35">
      <c r="A1207" s="7" t="s">
        <v>2900</v>
      </c>
      <c r="B1207" s="7" t="s">
        <v>701</v>
      </c>
      <c r="C1207" s="5">
        <v>32.909999999999997</v>
      </c>
      <c r="D1207" s="2">
        <v>0.69237268518190831</v>
      </c>
      <c r="E1207" s="4">
        <v>45050</v>
      </c>
      <c r="F1207" s="7" t="s">
        <v>17</v>
      </c>
      <c r="G1207" s="7" t="s">
        <v>157</v>
      </c>
      <c r="H1207" s="7" t="s">
        <v>2278</v>
      </c>
      <c r="I1207" s="7" t="s">
        <v>1683</v>
      </c>
      <c r="J1207" s="7" t="s">
        <v>308</v>
      </c>
      <c r="K1207" s="7" t="s">
        <v>36</v>
      </c>
      <c r="L1207" s="8">
        <v>19</v>
      </c>
      <c r="M1207" s="7" t="s">
        <v>37</v>
      </c>
      <c r="N1207" s="8">
        <v>255</v>
      </c>
      <c r="O1207" s="8">
        <v>1</v>
      </c>
      <c r="P1207" s="5">
        <v>427.3</v>
      </c>
      <c r="Q1207" s="4">
        <v>45600</v>
      </c>
      <c r="R1207" s="9">
        <v>0.33800925925925923</v>
      </c>
      <c r="S1207" s="8">
        <v>16</v>
      </c>
      <c r="T1207" s="7" t="s">
        <v>4456</v>
      </c>
      <c r="U1207" s="7" t="s">
        <v>4455</v>
      </c>
      <c r="V12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08" spans="1:22" x14ac:dyDescent="0.35">
      <c r="A1208" s="7" t="s">
        <v>2901</v>
      </c>
      <c r="B1208" s="7" t="s">
        <v>1512</v>
      </c>
      <c r="C1208" s="5">
        <v>3.8</v>
      </c>
      <c r="D1208" s="2">
        <v>0.69962962962745223</v>
      </c>
      <c r="E1208" s="4">
        <v>45146</v>
      </c>
      <c r="F1208" s="7" t="s">
        <v>17</v>
      </c>
      <c r="G1208" s="7" t="s">
        <v>114</v>
      </c>
      <c r="H1208" s="7" t="s">
        <v>2902</v>
      </c>
      <c r="I1208" s="7" t="s">
        <v>1929</v>
      </c>
      <c r="J1208" s="7" t="s">
        <v>226</v>
      </c>
      <c r="K1208" s="7" t="s">
        <v>69</v>
      </c>
      <c r="L1208" s="8">
        <v>67</v>
      </c>
      <c r="M1208" s="7" t="s">
        <v>70</v>
      </c>
      <c r="N1208" s="8">
        <v>140</v>
      </c>
      <c r="O1208" s="8">
        <v>1</v>
      </c>
      <c r="P1208" s="5">
        <v>6285.39</v>
      </c>
      <c r="Q1208" s="4">
        <v>45600</v>
      </c>
      <c r="R1208" s="9">
        <v>0.33924768518518517</v>
      </c>
      <c r="S1208" s="8">
        <v>16</v>
      </c>
      <c r="T1208" s="7" t="s">
        <v>4454</v>
      </c>
      <c r="U1208" s="7" t="s">
        <v>4455</v>
      </c>
      <c r="V12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09" spans="1:22" x14ac:dyDescent="0.35">
      <c r="A1209" s="7" t="s">
        <v>2903</v>
      </c>
      <c r="B1209" s="7" t="s">
        <v>215</v>
      </c>
      <c r="C1209" s="5">
        <v>31.81</v>
      </c>
      <c r="D1209" s="2">
        <v>0.73741898148000473</v>
      </c>
      <c r="E1209" s="4">
        <v>45022</v>
      </c>
      <c r="F1209" s="7" t="s">
        <v>17</v>
      </c>
      <c r="G1209" s="7" t="s">
        <v>157</v>
      </c>
      <c r="H1209" s="7" t="s">
        <v>1108</v>
      </c>
      <c r="I1209" s="7" t="s">
        <v>1370</v>
      </c>
      <c r="J1209" s="7" t="s">
        <v>450</v>
      </c>
      <c r="K1209" s="7" t="s">
        <v>36</v>
      </c>
      <c r="L1209" s="8">
        <v>51</v>
      </c>
      <c r="M1209" s="7" t="s">
        <v>70</v>
      </c>
      <c r="N1209" s="8">
        <v>149</v>
      </c>
      <c r="O1209" s="8">
        <v>1</v>
      </c>
      <c r="P1209" s="5">
        <v>1406.6</v>
      </c>
      <c r="Q1209" s="4">
        <v>45600</v>
      </c>
      <c r="R1209" s="9">
        <v>0.33805555555555555</v>
      </c>
      <c r="S1209" s="8">
        <v>17</v>
      </c>
      <c r="T1209" s="7" t="s">
        <v>4457</v>
      </c>
      <c r="U1209" s="7" t="s">
        <v>4455</v>
      </c>
      <c r="V12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10" spans="1:22" x14ac:dyDescent="0.35">
      <c r="A1210" s="7" t="s">
        <v>2904</v>
      </c>
      <c r="B1210" s="7" t="s">
        <v>215</v>
      </c>
      <c r="C1210" s="5">
        <v>220.2</v>
      </c>
      <c r="D1210" s="2">
        <v>0.68407407407357823</v>
      </c>
      <c r="E1210" s="4">
        <v>45180</v>
      </c>
      <c r="F1210" s="7" t="s">
        <v>17</v>
      </c>
      <c r="G1210" s="7" t="s">
        <v>388</v>
      </c>
      <c r="H1210" s="7" t="s">
        <v>2126</v>
      </c>
      <c r="I1210" s="7" t="s">
        <v>1742</v>
      </c>
      <c r="J1210" s="7" t="s">
        <v>478</v>
      </c>
      <c r="K1210" s="7" t="s">
        <v>36</v>
      </c>
      <c r="L1210" s="8">
        <v>28</v>
      </c>
      <c r="M1210" s="7" t="s">
        <v>37</v>
      </c>
      <c r="N1210" s="8">
        <v>102</v>
      </c>
      <c r="O1210" s="8">
        <v>1</v>
      </c>
      <c r="P1210" s="5">
        <v>1075.1500000000001</v>
      </c>
      <c r="Q1210" s="4">
        <v>45600</v>
      </c>
      <c r="R1210" s="9">
        <v>0.34118055555555554</v>
      </c>
      <c r="S1210" s="8">
        <v>16</v>
      </c>
      <c r="T1210" s="7" t="s">
        <v>4456</v>
      </c>
      <c r="U1210" s="7" t="s">
        <v>4455</v>
      </c>
      <c r="V12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11" spans="1:22" x14ac:dyDescent="0.35">
      <c r="A1211" s="7" t="s">
        <v>2905</v>
      </c>
      <c r="B1211" s="7" t="s">
        <v>1765</v>
      </c>
      <c r="C1211" s="5">
        <v>476.03</v>
      </c>
      <c r="D1211" s="2">
        <v>0.67540509259561077</v>
      </c>
      <c r="E1211" s="4">
        <v>45170</v>
      </c>
      <c r="F1211" s="7" t="s">
        <v>46</v>
      </c>
      <c r="G1211" s="7" t="s">
        <v>26</v>
      </c>
      <c r="H1211" s="7" t="s">
        <v>1082</v>
      </c>
      <c r="I1211" s="7" t="s">
        <v>417</v>
      </c>
      <c r="J1211" s="7" t="s">
        <v>362</v>
      </c>
      <c r="K1211" s="7" t="s">
        <v>69</v>
      </c>
      <c r="L1211" s="8">
        <v>77</v>
      </c>
      <c r="M1211" s="7" t="s">
        <v>70</v>
      </c>
      <c r="N1211" s="8">
        <v>99</v>
      </c>
      <c r="O1211" s="8">
        <v>1</v>
      </c>
      <c r="P1211" s="5">
        <v>5958.34</v>
      </c>
      <c r="Q1211" s="4">
        <v>45600</v>
      </c>
      <c r="R1211" s="9">
        <v>0.33967592592592594</v>
      </c>
      <c r="S1211" s="8">
        <v>16</v>
      </c>
      <c r="T1211" s="7" t="s">
        <v>4454</v>
      </c>
      <c r="U1211" s="7" t="s">
        <v>4455</v>
      </c>
      <c r="V12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12" spans="1:22" x14ac:dyDescent="0.35">
      <c r="A1212" s="7" t="s">
        <v>2906</v>
      </c>
      <c r="B1212" s="7" t="s">
        <v>2907</v>
      </c>
      <c r="C1212" s="5">
        <v>141.91</v>
      </c>
      <c r="D1212" s="2">
        <v>0.71393518518743804</v>
      </c>
      <c r="E1212" s="4">
        <v>44945</v>
      </c>
      <c r="F1212" s="7" t="s">
        <v>17</v>
      </c>
      <c r="G1212" s="7" t="s">
        <v>172</v>
      </c>
      <c r="H1212" s="7" t="s">
        <v>2399</v>
      </c>
      <c r="I1212" s="7" t="s">
        <v>185</v>
      </c>
      <c r="J1212" s="7" t="s">
        <v>267</v>
      </c>
      <c r="K1212" s="7" t="s">
        <v>69</v>
      </c>
      <c r="L1212" s="8">
        <v>23</v>
      </c>
      <c r="M1212" s="7" t="s">
        <v>37</v>
      </c>
      <c r="N1212" s="8">
        <v>49</v>
      </c>
      <c r="O1212" s="8">
        <v>1</v>
      </c>
      <c r="P1212" s="5">
        <v>791.97</v>
      </c>
      <c r="Q1212" s="4">
        <v>45600</v>
      </c>
      <c r="R1212" s="9">
        <v>0.34006944444444442</v>
      </c>
      <c r="S1212" s="8">
        <v>17</v>
      </c>
      <c r="T1212" s="7" t="s">
        <v>4456</v>
      </c>
      <c r="U1212" s="7" t="s">
        <v>4455</v>
      </c>
      <c r="V12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13" spans="1:22" x14ac:dyDescent="0.35">
      <c r="A1213" s="7" t="s">
        <v>2908</v>
      </c>
      <c r="B1213" s="7" t="s">
        <v>2543</v>
      </c>
      <c r="C1213" s="5">
        <v>95.83</v>
      </c>
      <c r="D1213" s="2">
        <v>0.66766203703446081</v>
      </c>
      <c r="E1213" s="4">
        <v>45261</v>
      </c>
      <c r="F1213" s="7" t="s">
        <v>17</v>
      </c>
      <c r="G1213" s="7" t="s">
        <v>453</v>
      </c>
      <c r="H1213" s="7" t="s">
        <v>334</v>
      </c>
      <c r="I1213" s="7" t="s">
        <v>205</v>
      </c>
      <c r="J1213" s="7" t="s">
        <v>272</v>
      </c>
      <c r="K1213" s="7" t="s">
        <v>36</v>
      </c>
      <c r="L1213" s="8">
        <v>27</v>
      </c>
      <c r="M1213" s="7" t="s">
        <v>37</v>
      </c>
      <c r="N1213" s="8">
        <v>91</v>
      </c>
      <c r="O1213" s="8">
        <v>1</v>
      </c>
      <c r="P1213" s="5">
        <v>1726.4</v>
      </c>
      <c r="Q1213" s="4">
        <v>45600</v>
      </c>
      <c r="R1213" s="9">
        <v>0.33915509259259258</v>
      </c>
      <c r="S1213" s="8">
        <v>16</v>
      </c>
      <c r="T1213" s="7" t="s">
        <v>4456</v>
      </c>
      <c r="U1213" s="7" t="s">
        <v>4455</v>
      </c>
      <c r="V12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14" spans="1:22" x14ac:dyDescent="0.35">
      <c r="A1214" s="7" t="s">
        <v>2909</v>
      </c>
      <c r="B1214" s="7" t="s">
        <v>923</v>
      </c>
      <c r="C1214" s="5">
        <v>51.15</v>
      </c>
      <c r="D1214" s="2">
        <v>0.72695601851592073</v>
      </c>
      <c r="E1214" s="4">
        <v>44986</v>
      </c>
      <c r="F1214" s="7" t="s">
        <v>46</v>
      </c>
      <c r="G1214" s="7" t="s">
        <v>140</v>
      </c>
      <c r="H1214" s="7" t="s">
        <v>846</v>
      </c>
      <c r="I1214" s="7" t="s">
        <v>1790</v>
      </c>
      <c r="J1214" s="7" t="s">
        <v>62</v>
      </c>
      <c r="K1214" s="7" t="s">
        <v>69</v>
      </c>
      <c r="L1214" s="8">
        <v>46</v>
      </c>
      <c r="M1214" s="7" t="s">
        <v>77</v>
      </c>
      <c r="N1214" s="8">
        <v>199</v>
      </c>
      <c r="O1214" s="8">
        <v>1</v>
      </c>
      <c r="P1214" s="5">
        <v>8992.25</v>
      </c>
      <c r="Q1214" s="4">
        <v>45600</v>
      </c>
      <c r="R1214" s="9">
        <v>0.34090277777777778</v>
      </c>
      <c r="S1214" s="8">
        <v>17</v>
      </c>
      <c r="T1214" s="7" t="s">
        <v>4457</v>
      </c>
      <c r="U1214" s="7" t="s">
        <v>4455</v>
      </c>
      <c r="V12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15" spans="1:22" x14ac:dyDescent="0.35">
      <c r="A1215" s="7" t="s">
        <v>2910</v>
      </c>
      <c r="B1215" s="7" t="s">
        <v>516</v>
      </c>
      <c r="C1215" s="5">
        <v>1192.2</v>
      </c>
      <c r="D1215" s="2">
        <v>0.68156250000174623</v>
      </c>
      <c r="E1215" s="4">
        <v>45281</v>
      </c>
      <c r="F1215" s="7" t="s">
        <v>46</v>
      </c>
      <c r="G1215" s="7" t="s">
        <v>392</v>
      </c>
      <c r="H1215" s="7" t="s">
        <v>2911</v>
      </c>
      <c r="I1215" s="7" t="s">
        <v>1732</v>
      </c>
      <c r="J1215" s="7" t="s">
        <v>482</v>
      </c>
      <c r="K1215" s="7" t="s">
        <v>69</v>
      </c>
      <c r="L1215" s="8">
        <v>60</v>
      </c>
      <c r="M1215" s="7" t="s">
        <v>70</v>
      </c>
      <c r="N1215" s="8">
        <v>103</v>
      </c>
      <c r="O1215" s="8">
        <v>5</v>
      </c>
      <c r="P1215" s="5">
        <v>7816.41</v>
      </c>
      <c r="Q1215" s="4">
        <v>45600</v>
      </c>
      <c r="R1215" s="9">
        <v>0.33974537037037039</v>
      </c>
      <c r="S1215" s="8">
        <v>16</v>
      </c>
      <c r="T1215" s="7" t="s">
        <v>4454</v>
      </c>
      <c r="U1215" s="7" t="s">
        <v>4458</v>
      </c>
      <c r="V12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16" spans="1:22" x14ac:dyDescent="0.35">
      <c r="A1216" s="7" t="s">
        <v>2912</v>
      </c>
      <c r="B1216" s="7" t="s">
        <v>1078</v>
      </c>
      <c r="C1216" s="5">
        <v>50.75</v>
      </c>
      <c r="D1216" s="2">
        <v>0.75998842592525762</v>
      </c>
      <c r="E1216" s="4">
        <v>45152</v>
      </c>
      <c r="F1216" s="7" t="s">
        <v>17</v>
      </c>
      <c r="G1216" s="7" t="s">
        <v>388</v>
      </c>
      <c r="H1216" s="7" t="s">
        <v>311</v>
      </c>
      <c r="I1216" s="7" t="s">
        <v>1868</v>
      </c>
      <c r="J1216" s="7" t="s">
        <v>762</v>
      </c>
      <c r="K1216" s="7" t="s">
        <v>22</v>
      </c>
      <c r="L1216" s="8">
        <v>62</v>
      </c>
      <c r="M1216" s="7" t="s">
        <v>23</v>
      </c>
      <c r="N1216" s="8">
        <v>185</v>
      </c>
      <c r="O1216" s="8">
        <v>1</v>
      </c>
      <c r="P1216" s="5">
        <v>8271.4699999999993</v>
      </c>
      <c r="Q1216" s="4">
        <v>45600</v>
      </c>
      <c r="R1216" s="9">
        <v>0.3386689814814815</v>
      </c>
      <c r="S1216" s="8">
        <v>18</v>
      </c>
      <c r="T1216" s="7" t="s">
        <v>4454</v>
      </c>
      <c r="U1216" s="7" t="s">
        <v>4455</v>
      </c>
      <c r="V12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17" spans="1:22" x14ac:dyDescent="0.35">
      <c r="A1217" s="7" t="s">
        <v>2913</v>
      </c>
      <c r="B1217" s="7" t="s">
        <v>2914</v>
      </c>
      <c r="C1217" s="5">
        <v>185.07</v>
      </c>
      <c r="D1217" s="2">
        <v>0.70671296296495711</v>
      </c>
      <c r="E1217" s="4">
        <v>45279</v>
      </c>
      <c r="F1217" s="7" t="s">
        <v>17</v>
      </c>
      <c r="G1217" s="7" t="s">
        <v>521</v>
      </c>
      <c r="H1217" s="7" t="s">
        <v>464</v>
      </c>
      <c r="I1217" s="7" t="s">
        <v>1411</v>
      </c>
      <c r="J1217" s="7" t="s">
        <v>619</v>
      </c>
      <c r="K1217" s="7" t="s">
        <v>69</v>
      </c>
      <c r="L1217" s="8">
        <v>22</v>
      </c>
      <c r="M1217" s="7" t="s">
        <v>37</v>
      </c>
      <c r="N1217" s="8">
        <v>159</v>
      </c>
      <c r="O1217" s="8">
        <v>1</v>
      </c>
      <c r="P1217" s="5">
        <v>636.41999999999996</v>
      </c>
      <c r="Q1217" s="4">
        <v>45600</v>
      </c>
      <c r="R1217" s="9">
        <v>0.33864583333333331</v>
      </c>
      <c r="S1217" s="8">
        <v>16</v>
      </c>
      <c r="T1217" s="7" t="s">
        <v>4456</v>
      </c>
      <c r="U1217" s="7" t="s">
        <v>4455</v>
      </c>
      <c r="V12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18" spans="1:22" x14ac:dyDescent="0.35">
      <c r="A1218" s="7" t="s">
        <v>2915</v>
      </c>
      <c r="B1218" s="7" t="s">
        <v>1678</v>
      </c>
      <c r="C1218" s="5">
        <v>293.54000000000002</v>
      </c>
      <c r="D1218" s="2">
        <v>0.726527777776937</v>
      </c>
      <c r="E1218" s="4">
        <v>44942</v>
      </c>
      <c r="F1218" s="7" t="s">
        <v>17</v>
      </c>
      <c r="G1218" s="7" t="s">
        <v>285</v>
      </c>
      <c r="H1218" s="7" t="s">
        <v>2916</v>
      </c>
      <c r="I1218" s="7" t="s">
        <v>2025</v>
      </c>
      <c r="J1218" s="7" t="s">
        <v>607</v>
      </c>
      <c r="K1218" s="7" t="s">
        <v>36</v>
      </c>
      <c r="L1218" s="8">
        <v>40</v>
      </c>
      <c r="M1218" s="7" t="s">
        <v>77</v>
      </c>
      <c r="N1218" s="8">
        <v>45</v>
      </c>
      <c r="O1218" s="8">
        <v>1</v>
      </c>
      <c r="P1218" s="5">
        <v>2290.1</v>
      </c>
      <c r="Q1218" s="4">
        <v>45600</v>
      </c>
      <c r="R1218" s="9">
        <v>0.33916666666666667</v>
      </c>
      <c r="S1218" s="8">
        <v>17</v>
      </c>
      <c r="T1218" s="7" t="s">
        <v>4457</v>
      </c>
      <c r="U1218" s="7" t="s">
        <v>4455</v>
      </c>
      <c r="V12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19" spans="1:22" x14ac:dyDescent="0.35">
      <c r="A1219" s="7" t="s">
        <v>2917</v>
      </c>
      <c r="B1219" s="7" t="s">
        <v>1157</v>
      </c>
      <c r="C1219" s="5">
        <v>23.38</v>
      </c>
      <c r="D1219" s="2">
        <v>0.7824189814782585</v>
      </c>
      <c r="E1219" s="4">
        <v>45194</v>
      </c>
      <c r="F1219" s="7" t="s">
        <v>17</v>
      </c>
      <c r="G1219" s="7" t="s">
        <v>92</v>
      </c>
      <c r="H1219" s="7" t="s">
        <v>2918</v>
      </c>
      <c r="I1219" s="7" t="s">
        <v>2193</v>
      </c>
      <c r="J1219" s="7" t="s">
        <v>619</v>
      </c>
      <c r="K1219" s="7" t="s">
        <v>69</v>
      </c>
      <c r="L1219" s="8">
        <v>32</v>
      </c>
      <c r="M1219" s="7" t="s">
        <v>77</v>
      </c>
      <c r="N1219" s="8">
        <v>89</v>
      </c>
      <c r="O1219" s="8">
        <v>1</v>
      </c>
      <c r="P1219" s="5">
        <v>9968.49</v>
      </c>
      <c r="Q1219" s="4">
        <v>45600</v>
      </c>
      <c r="R1219" s="9">
        <v>0.34005787037037039</v>
      </c>
      <c r="S1219" s="8">
        <v>18</v>
      </c>
      <c r="T1219" s="7" t="s">
        <v>4456</v>
      </c>
      <c r="U1219" s="7" t="s">
        <v>4455</v>
      </c>
      <c r="V12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20" spans="1:22" x14ac:dyDescent="0.35">
      <c r="A1220" s="7" t="s">
        <v>2919</v>
      </c>
      <c r="B1220" s="7" t="s">
        <v>1617</v>
      </c>
      <c r="C1220" s="5">
        <v>285.26</v>
      </c>
      <c r="D1220" s="2">
        <v>0.67297453703940846</v>
      </c>
      <c r="E1220" s="4">
        <v>45231</v>
      </c>
      <c r="F1220" s="7" t="s">
        <v>17</v>
      </c>
      <c r="G1220" s="7" t="s">
        <v>47</v>
      </c>
      <c r="H1220" s="7" t="s">
        <v>1486</v>
      </c>
      <c r="I1220" s="7" t="s">
        <v>1359</v>
      </c>
      <c r="J1220" s="7" t="s">
        <v>619</v>
      </c>
      <c r="K1220" s="7" t="s">
        <v>22</v>
      </c>
      <c r="L1220" s="8">
        <v>28</v>
      </c>
      <c r="M1220" s="7" t="s">
        <v>37</v>
      </c>
      <c r="N1220" s="8">
        <v>93</v>
      </c>
      <c r="O1220" s="8">
        <v>1</v>
      </c>
      <c r="P1220" s="5">
        <v>167.72</v>
      </c>
      <c r="Q1220" s="4">
        <v>45600</v>
      </c>
      <c r="R1220" s="9">
        <v>0.34114583333333331</v>
      </c>
      <c r="S1220" s="8">
        <v>16</v>
      </c>
      <c r="T1220" s="7" t="s">
        <v>4456</v>
      </c>
      <c r="U1220" s="7" t="s">
        <v>4455</v>
      </c>
      <c r="V12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21" spans="1:22" x14ac:dyDescent="0.35">
      <c r="A1221" s="7" t="s">
        <v>2920</v>
      </c>
      <c r="B1221" s="7" t="s">
        <v>1311</v>
      </c>
      <c r="C1221" s="5">
        <v>129.47999999999999</v>
      </c>
      <c r="D1221" s="2">
        <v>0.68799768518510973</v>
      </c>
      <c r="E1221" s="4">
        <v>44963</v>
      </c>
      <c r="F1221" s="7" t="s">
        <v>17</v>
      </c>
      <c r="G1221" s="7" t="s">
        <v>59</v>
      </c>
      <c r="H1221" s="7" t="s">
        <v>943</v>
      </c>
      <c r="I1221" s="7" t="s">
        <v>2254</v>
      </c>
      <c r="J1221" s="7" t="s">
        <v>353</v>
      </c>
      <c r="K1221" s="7" t="s">
        <v>22</v>
      </c>
      <c r="L1221" s="8">
        <v>31</v>
      </c>
      <c r="M1221" s="7" t="s">
        <v>77</v>
      </c>
      <c r="N1221" s="8">
        <v>179</v>
      </c>
      <c r="O1221" s="8">
        <v>1</v>
      </c>
      <c r="P1221" s="5">
        <v>7581.7</v>
      </c>
      <c r="Q1221" s="4">
        <v>45600</v>
      </c>
      <c r="R1221" s="9">
        <v>0.34077546296296296</v>
      </c>
      <c r="S1221" s="8">
        <v>16</v>
      </c>
      <c r="T1221" s="7" t="s">
        <v>4456</v>
      </c>
      <c r="U1221" s="7" t="s">
        <v>4455</v>
      </c>
      <c r="V12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22" spans="1:22" x14ac:dyDescent="0.35">
      <c r="A1222" s="7" t="s">
        <v>2921</v>
      </c>
      <c r="B1222" s="7" t="s">
        <v>196</v>
      </c>
      <c r="C1222" s="5">
        <v>743.03</v>
      </c>
      <c r="D1222" s="2">
        <v>0.70531250000203727</v>
      </c>
      <c r="E1222" s="4">
        <v>45134</v>
      </c>
      <c r="F1222" s="7" t="s">
        <v>17</v>
      </c>
      <c r="G1222" s="7" t="s">
        <v>203</v>
      </c>
      <c r="H1222" s="7" t="s">
        <v>270</v>
      </c>
      <c r="I1222" s="7" t="s">
        <v>1876</v>
      </c>
      <c r="J1222" s="7" t="s">
        <v>1345</v>
      </c>
      <c r="K1222" s="7" t="s">
        <v>22</v>
      </c>
      <c r="L1222" s="8">
        <v>50</v>
      </c>
      <c r="M1222" s="7" t="s">
        <v>77</v>
      </c>
      <c r="N1222" s="8">
        <v>174</v>
      </c>
      <c r="O1222" s="8">
        <v>1</v>
      </c>
      <c r="P1222" s="5">
        <v>4111.38</v>
      </c>
      <c r="Q1222" s="4">
        <v>45600</v>
      </c>
      <c r="R1222" s="9">
        <v>0.33980324074074075</v>
      </c>
      <c r="S1222" s="8">
        <v>16</v>
      </c>
      <c r="T1222" s="7" t="s">
        <v>4457</v>
      </c>
      <c r="U1222" s="7" t="s">
        <v>4455</v>
      </c>
      <c r="V12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23" spans="1:22" x14ac:dyDescent="0.35">
      <c r="A1223" s="7" t="s">
        <v>2922</v>
      </c>
      <c r="B1223" s="7" t="s">
        <v>1183</v>
      </c>
      <c r="C1223" s="5">
        <v>297.86</v>
      </c>
      <c r="D1223" s="2">
        <v>0.73060185185022419</v>
      </c>
      <c r="E1223" s="4">
        <v>44963</v>
      </c>
      <c r="F1223" s="7" t="s">
        <v>46</v>
      </c>
      <c r="G1223" s="7" t="s">
        <v>178</v>
      </c>
      <c r="H1223" s="7" t="s">
        <v>990</v>
      </c>
      <c r="I1223" s="7" t="s">
        <v>963</v>
      </c>
      <c r="J1223" s="7" t="s">
        <v>272</v>
      </c>
      <c r="K1223" s="7" t="s">
        <v>22</v>
      </c>
      <c r="L1223" s="8">
        <v>28</v>
      </c>
      <c r="M1223" s="7" t="s">
        <v>37</v>
      </c>
      <c r="N1223" s="8">
        <v>96</v>
      </c>
      <c r="O1223" s="8">
        <v>1</v>
      </c>
      <c r="P1223" s="5">
        <v>1680.14</v>
      </c>
      <c r="Q1223" s="4">
        <v>45600</v>
      </c>
      <c r="R1223" s="9">
        <v>0.34143518518518517</v>
      </c>
      <c r="S1223" s="8">
        <v>17</v>
      </c>
      <c r="T1223" s="7" t="s">
        <v>4456</v>
      </c>
      <c r="U1223" s="7" t="s">
        <v>4455</v>
      </c>
      <c r="V12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24" spans="1:22" x14ac:dyDescent="0.35">
      <c r="A1224" s="7" t="s">
        <v>2923</v>
      </c>
      <c r="B1224" s="7" t="s">
        <v>716</v>
      </c>
      <c r="C1224" s="5">
        <v>231.92</v>
      </c>
      <c r="D1224" s="2">
        <v>0.75064814814686542</v>
      </c>
      <c r="E1224" s="4">
        <v>45117</v>
      </c>
      <c r="F1224" s="7" t="s">
        <v>17</v>
      </c>
      <c r="G1224" s="7" t="s">
        <v>65</v>
      </c>
      <c r="H1224" s="7" t="s">
        <v>1269</v>
      </c>
      <c r="I1224" s="7" t="s">
        <v>1291</v>
      </c>
      <c r="J1224" s="7" t="s">
        <v>474</v>
      </c>
      <c r="K1224" s="7" t="s">
        <v>22</v>
      </c>
      <c r="L1224" s="8">
        <v>66</v>
      </c>
      <c r="M1224" s="7" t="s">
        <v>23</v>
      </c>
      <c r="N1224" s="8">
        <v>12</v>
      </c>
      <c r="O1224" s="8">
        <v>1</v>
      </c>
      <c r="P1224" s="5">
        <v>5715.08</v>
      </c>
      <c r="Q1224" s="4">
        <v>45600</v>
      </c>
      <c r="R1224" s="9">
        <v>0.34128472222222223</v>
      </c>
      <c r="S1224" s="8">
        <v>18</v>
      </c>
      <c r="T1224" s="7" t="s">
        <v>4454</v>
      </c>
      <c r="U1224" s="7" t="s">
        <v>4455</v>
      </c>
      <c r="V12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25" spans="1:22" x14ac:dyDescent="0.35">
      <c r="A1225" s="7" t="s">
        <v>2924</v>
      </c>
      <c r="B1225" s="7" t="s">
        <v>1137</v>
      </c>
      <c r="C1225" s="5">
        <v>295.82</v>
      </c>
      <c r="D1225" s="2">
        <v>0.67740740740555339</v>
      </c>
      <c r="E1225" s="4">
        <v>45274</v>
      </c>
      <c r="F1225" s="7" t="s">
        <v>46</v>
      </c>
      <c r="G1225" s="7" t="s">
        <v>265</v>
      </c>
      <c r="H1225" s="7" t="s">
        <v>1941</v>
      </c>
      <c r="I1225" s="7" t="s">
        <v>2925</v>
      </c>
      <c r="J1225" s="7" t="s">
        <v>576</v>
      </c>
      <c r="K1225" s="7" t="s">
        <v>69</v>
      </c>
      <c r="L1225" s="8">
        <v>47</v>
      </c>
      <c r="M1225" s="7" t="s">
        <v>77</v>
      </c>
      <c r="N1225" s="8">
        <v>46</v>
      </c>
      <c r="O1225" s="8">
        <v>1</v>
      </c>
      <c r="P1225" s="5">
        <v>5897.73</v>
      </c>
      <c r="Q1225" s="4">
        <v>45600</v>
      </c>
      <c r="R1225" s="9">
        <v>0.3387384259259259</v>
      </c>
      <c r="S1225" s="8">
        <v>16</v>
      </c>
      <c r="T1225" s="7" t="s">
        <v>4457</v>
      </c>
      <c r="U1225" s="7" t="s">
        <v>4455</v>
      </c>
      <c r="V12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26" spans="1:22" x14ac:dyDescent="0.35">
      <c r="A1226" s="7" t="s">
        <v>2926</v>
      </c>
      <c r="B1226" s="7" t="s">
        <v>698</v>
      </c>
      <c r="C1226" s="5">
        <v>302.86</v>
      </c>
      <c r="D1226" s="2">
        <v>0.788923611107748</v>
      </c>
      <c r="E1226" s="4">
        <v>45110</v>
      </c>
      <c r="F1226" s="7" t="s">
        <v>17</v>
      </c>
      <c r="G1226" s="7" t="s">
        <v>140</v>
      </c>
      <c r="H1226" s="7" t="s">
        <v>1365</v>
      </c>
      <c r="I1226" s="7" t="s">
        <v>1779</v>
      </c>
      <c r="J1226" s="7" t="s">
        <v>427</v>
      </c>
      <c r="K1226" s="7" t="s">
        <v>36</v>
      </c>
      <c r="L1226" s="8">
        <v>55</v>
      </c>
      <c r="M1226" s="7" t="s">
        <v>23</v>
      </c>
      <c r="N1226" s="8">
        <v>275</v>
      </c>
      <c r="O1226" s="8">
        <v>1</v>
      </c>
      <c r="P1226" s="5">
        <v>5239.24</v>
      </c>
      <c r="Q1226" s="4">
        <v>45600</v>
      </c>
      <c r="R1226" s="9">
        <v>0.34173611111111113</v>
      </c>
      <c r="S1226" s="8">
        <v>18</v>
      </c>
      <c r="T1226" s="7" t="s">
        <v>4454</v>
      </c>
      <c r="U1226" s="7" t="s">
        <v>4455</v>
      </c>
      <c r="V12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27" spans="1:22" x14ac:dyDescent="0.35">
      <c r="A1227" s="7" t="s">
        <v>2927</v>
      </c>
      <c r="B1227" s="7" t="s">
        <v>1796</v>
      </c>
      <c r="C1227" s="5">
        <v>81.08</v>
      </c>
      <c r="D1227" s="2">
        <v>0.70596064814890269</v>
      </c>
      <c r="E1227" s="4">
        <v>45188</v>
      </c>
      <c r="F1227" s="7" t="s">
        <v>17</v>
      </c>
      <c r="G1227" s="7" t="s">
        <v>296</v>
      </c>
      <c r="H1227" s="7" t="s">
        <v>1977</v>
      </c>
      <c r="I1227" s="7" t="s">
        <v>2685</v>
      </c>
      <c r="J1227" s="7" t="s">
        <v>548</v>
      </c>
      <c r="K1227" s="7" t="s">
        <v>22</v>
      </c>
      <c r="L1227" s="8">
        <v>58</v>
      </c>
      <c r="M1227" s="7" t="s">
        <v>77</v>
      </c>
      <c r="N1227" s="8">
        <v>56</v>
      </c>
      <c r="O1227" s="8">
        <v>1</v>
      </c>
      <c r="P1227" s="5">
        <v>7788.91</v>
      </c>
      <c r="Q1227" s="4">
        <v>45600</v>
      </c>
      <c r="R1227" s="9">
        <v>0.33839120370370368</v>
      </c>
      <c r="S1227" s="8">
        <v>16</v>
      </c>
      <c r="T1227" s="7" t="s">
        <v>4454</v>
      </c>
      <c r="U1227" s="7" t="s">
        <v>4455</v>
      </c>
      <c r="V12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28" spans="1:22" x14ac:dyDescent="0.35">
      <c r="A1228" s="7" t="s">
        <v>2928</v>
      </c>
      <c r="B1228" s="7" t="s">
        <v>1799</v>
      </c>
      <c r="C1228" s="5">
        <v>775.6</v>
      </c>
      <c r="D1228" s="2">
        <v>0.73839120370394085</v>
      </c>
      <c r="E1228" s="4">
        <v>45159</v>
      </c>
      <c r="F1228" s="7" t="s">
        <v>46</v>
      </c>
      <c r="G1228" s="7" t="s">
        <v>32</v>
      </c>
      <c r="H1228" s="7" t="s">
        <v>244</v>
      </c>
      <c r="I1228" s="7" t="s">
        <v>225</v>
      </c>
      <c r="J1228" s="7" t="s">
        <v>272</v>
      </c>
      <c r="K1228" s="7" t="s">
        <v>69</v>
      </c>
      <c r="L1228" s="8">
        <v>79</v>
      </c>
      <c r="M1228" s="7" t="s">
        <v>70</v>
      </c>
      <c r="N1228" s="8">
        <v>158</v>
      </c>
      <c r="O1228" s="8">
        <v>1</v>
      </c>
      <c r="P1228" s="5">
        <v>3898.64</v>
      </c>
      <c r="Q1228" s="4">
        <v>45600</v>
      </c>
      <c r="R1228" s="9">
        <v>0.33902777777777776</v>
      </c>
      <c r="S1228" s="8">
        <v>17</v>
      </c>
      <c r="T1228" s="7" t="s">
        <v>4454</v>
      </c>
      <c r="U1228" s="7" t="s">
        <v>4455</v>
      </c>
      <c r="V12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29" spans="1:22" x14ac:dyDescent="0.35">
      <c r="A1229" s="7" t="s">
        <v>2929</v>
      </c>
      <c r="B1229" s="7" t="s">
        <v>2930</v>
      </c>
      <c r="C1229" s="5">
        <v>178.43</v>
      </c>
      <c r="D1229" s="2">
        <v>0.75967592592496658</v>
      </c>
      <c r="E1229" s="4">
        <v>45286</v>
      </c>
      <c r="F1229" s="7" t="s">
        <v>17</v>
      </c>
      <c r="G1229" s="7" t="s">
        <v>197</v>
      </c>
      <c r="H1229" s="7" t="s">
        <v>688</v>
      </c>
      <c r="I1229" s="7" t="s">
        <v>320</v>
      </c>
      <c r="J1229" s="7" t="s">
        <v>576</v>
      </c>
      <c r="K1229" s="7" t="s">
        <v>69</v>
      </c>
      <c r="L1229" s="8">
        <v>26</v>
      </c>
      <c r="M1229" s="7" t="s">
        <v>37</v>
      </c>
      <c r="N1229" s="8">
        <v>136</v>
      </c>
      <c r="O1229" s="8">
        <v>1</v>
      </c>
      <c r="P1229" s="5">
        <v>1214.93</v>
      </c>
      <c r="Q1229" s="4">
        <v>45600</v>
      </c>
      <c r="R1229" s="9">
        <v>0.33886574074074072</v>
      </c>
      <c r="S1229" s="8">
        <v>18</v>
      </c>
      <c r="T1229" s="7" t="s">
        <v>4456</v>
      </c>
      <c r="U1229" s="7" t="s">
        <v>4455</v>
      </c>
      <c r="V12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30" spans="1:22" x14ac:dyDescent="0.35">
      <c r="A1230" s="7" t="s">
        <v>2931</v>
      </c>
      <c r="B1230" s="7" t="s">
        <v>1137</v>
      </c>
      <c r="C1230" s="5">
        <v>211.91</v>
      </c>
      <c r="D1230" s="2">
        <v>0.70212962962978054</v>
      </c>
      <c r="E1230" s="4">
        <v>45187</v>
      </c>
      <c r="F1230" s="7" t="s">
        <v>17</v>
      </c>
      <c r="G1230" s="7" t="s">
        <v>65</v>
      </c>
      <c r="H1230" s="7" t="s">
        <v>2235</v>
      </c>
      <c r="I1230" s="7" t="s">
        <v>1819</v>
      </c>
      <c r="J1230" s="7" t="s">
        <v>326</v>
      </c>
      <c r="K1230" s="7" t="s">
        <v>36</v>
      </c>
      <c r="L1230" s="8">
        <v>20</v>
      </c>
      <c r="M1230" s="7" t="s">
        <v>37</v>
      </c>
      <c r="N1230" s="8">
        <v>181</v>
      </c>
      <c r="O1230" s="8">
        <v>1</v>
      </c>
      <c r="P1230" s="5">
        <v>927.47</v>
      </c>
      <c r="Q1230" s="4">
        <v>45600</v>
      </c>
      <c r="R1230" s="9">
        <v>0.3394212962962963</v>
      </c>
      <c r="S1230" s="8">
        <v>16</v>
      </c>
      <c r="T1230" s="7" t="s">
        <v>4456</v>
      </c>
      <c r="U1230" s="7" t="s">
        <v>4455</v>
      </c>
      <c r="V12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31" spans="1:22" x14ac:dyDescent="0.35">
      <c r="A1231" s="7" t="s">
        <v>2932</v>
      </c>
      <c r="B1231" s="7" t="s">
        <v>1457</v>
      </c>
      <c r="C1231" s="5">
        <v>17.21</v>
      </c>
      <c r="D1231" s="2">
        <v>0.72150462962599704</v>
      </c>
      <c r="E1231" s="4">
        <v>45285</v>
      </c>
      <c r="F1231" s="7" t="s">
        <v>17</v>
      </c>
      <c r="G1231" s="7" t="s">
        <v>296</v>
      </c>
      <c r="H1231" s="7" t="s">
        <v>1091</v>
      </c>
      <c r="I1231" s="7" t="s">
        <v>2685</v>
      </c>
      <c r="J1231" s="7" t="s">
        <v>432</v>
      </c>
      <c r="K1231" s="7" t="s">
        <v>36</v>
      </c>
      <c r="L1231" s="8">
        <v>23</v>
      </c>
      <c r="M1231" s="7" t="s">
        <v>37</v>
      </c>
      <c r="N1231" s="8">
        <v>219</v>
      </c>
      <c r="O1231" s="8">
        <v>1</v>
      </c>
      <c r="P1231" s="5">
        <v>914.16</v>
      </c>
      <c r="Q1231" s="4">
        <v>45600</v>
      </c>
      <c r="R1231" s="9">
        <v>0.33818287037037037</v>
      </c>
      <c r="S1231" s="8">
        <v>17</v>
      </c>
      <c r="T1231" s="7" t="s">
        <v>4456</v>
      </c>
      <c r="U1231" s="7" t="s">
        <v>4455</v>
      </c>
      <c r="V12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32" spans="1:22" x14ac:dyDescent="0.35">
      <c r="A1232" s="7" t="s">
        <v>2933</v>
      </c>
      <c r="B1232" s="7" t="s">
        <v>452</v>
      </c>
      <c r="C1232" s="5">
        <v>124.22</v>
      </c>
      <c r="D1232" s="2">
        <v>0.74833333333663177</v>
      </c>
      <c r="E1232" s="4">
        <v>45065</v>
      </c>
      <c r="F1232" s="7" t="s">
        <v>17</v>
      </c>
      <c r="G1232" s="7" t="s">
        <v>249</v>
      </c>
      <c r="H1232" s="7" t="s">
        <v>2934</v>
      </c>
      <c r="I1232" s="7" t="s">
        <v>2729</v>
      </c>
      <c r="J1232" s="7" t="s">
        <v>759</v>
      </c>
      <c r="K1232" s="7" t="s">
        <v>22</v>
      </c>
      <c r="L1232" s="8">
        <v>23</v>
      </c>
      <c r="M1232" s="7" t="s">
        <v>37</v>
      </c>
      <c r="N1232" s="8">
        <v>172</v>
      </c>
      <c r="O1232" s="8">
        <v>1</v>
      </c>
      <c r="P1232" s="5">
        <v>9695.0400000000009</v>
      </c>
      <c r="Q1232" s="4">
        <v>45600</v>
      </c>
      <c r="R1232" s="9">
        <v>0.33893518518518517</v>
      </c>
      <c r="S1232" s="8">
        <v>17</v>
      </c>
      <c r="T1232" s="7" t="s">
        <v>4456</v>
      </c>
      <c r="U1232" s="7" t="s">
        <v>4455</v>
      </c>
      <c r="V12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33" spans="1:22" x14ac:dyDescent="0.35">
      <c r="A1233" s="7" t="s">
        <v>2935</v>
      </c>
      <c r="B1233" s="7" t="s">
        <v>2073</v>
      </c>
      <c r="C1233" s="5">
        <v>38.369999999999997</v>
      </c>
      <c r="D1233" s="2">
        <v>0.67196759259240935</v>
      </c>
      <c r="E1233" s="4">
        <v>45170</v>
      </c>
      <c r="F1233" s="7" t="s">
        <v>17</v>
      </c>
      <c r="G1233" s="7" t="s">
        <v>237</v>
      </c>
      <c r="H1233" s="7" t="s">
        <v>2340</v>
      </c>
      <c r="I1233" s="7" t="s">
        <v>2641</v>
      </c>
      <c r="J1233" s="7" t="s">
        <v>362</v>
      </c>
      <c r="K1233" s="7" t="s">
        <v>22</v>
      </c>
      <c r="L1233" s="8">
        <v>63</v>
      </c>
      <c r="M1233" s="7" t="s">
        <v>23</v>
      </c>
      <c r="N1233" s="8">
        <v>135</v>
      </c>
      <c r="O1233" s="8">
        <v>1</v>
      </c>
      <c r="P1233" s="5">
        <v>8647.0400000000009</v>
      </c>
      <c r="Q1233" s="4">
        <v>45600</v>
      </c>
      <c r="R1233" s="9">
        <v>0.34032407407407406</v>
      </c>
      <c r="S1233" s="8">
        <v>16</v>
      </c>
      <c r="T1233" s="7" t="s">
        <v>4454</v>
      </c>
      <c r="U1233" s="7" t="s">
        <v>4455</v>
      </c>
      <c r="V12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34" spans="1:22" x14ac:dyDescent="0.35">
      <c r="A1234" s="7" t="s">
        <v>2936</v>
      </c>
      <c r="B1234" s="7" t="s">
        <v>2496</v>
      </c>
      <c r="C1234" s="5">
        <v>269.79000000000002</v>
      </c>
      <c r="D1234" s="2">
        <v>0.67737268518249039</v>
      </c>
      <c r="E1234" s="4">
        <v>45202</v>
      </c>
      <c r="F1234" s="7" t="s">
        <v>17</v>
      </c>
      <c r="G1234" s="7" t="s">
        <v>223</v>
      </c>
      <c r="H1234" s="7" t="s">
        <v>2687</v>
      </c>
      <c r="I1234" s="7" t="s">
        <v>2305</v>
      </c>
      <c r="J1234" s="7" t="s">
        <v>759</v>
      </c>
      <c r="K1234" s="7" t="s">
        <v>22</v>
      </c>
      <c r="L1234" s="8">
        <v>52</v>
      </c>
      <c r="M1234" s="7" t="s">
        <v>77</v>
      </c>
      <c r="N1234" s="8">
        <v>17</v>
      </c>
      <c r="O1234" s="8">
        <v>1</v>
      </c>
      <c r="P1234" s="5">
        <v>1292.0999999999999</v>
      </c>
      <c r="Q1234" s="4">
        <v>45600</v>
      </c>
      <c r="R1234" s="9">
        <v>0.33887731481481481</v>
      </c>
      <c r="S1234" s="8">
        <v>16</v>
      </c>
      <c r="T1234" s="7" t="s">
        <v>4457</v>
      </c>
      <c r="U1234" s="7" t="s">
        <v>4455</v>
      </c>
      <c r="V12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35" spans="1:22" x14ac:dyDescent="0.35">
      <c r="A1235" s="7" t="s">
        <v>2937</v>
      </c>
      <c r="B1235" s="7" t="s">
        <v>145</v>
      </c>
      <c r="C1235" s="5">
        <v>605.41999999999996</v>
      </c>
      <c r="D1235" s="2">
        <v>0.67392361110978527</v>
      </c>
      <c r="E1235" s="4">
        <v>45090</v>
      </c>
      <c r="F1235" s="7" t="s">
        <v>17</v>
      </c>
      <c r="G1235" s="7" t="s">
        <v>32</v>
      </c>
      <c r="H1235" s="7" t="s">
        <v>421</v>
      </c>
      <c r="I1235" s="7" t="s">
        <v>1559</v>
      </c>
      <c r="J1235" s="7" t="s">
        <v>674</v>
      </c>
      <c r="K1235" s="7" t="s">
        <v>22</v>
      </c>
      <c r="L1235" s="8">
        <v>21</v>
      </c>
      <c r="M1235" s="7" t="s">
        <v>37</v>
      </c>
      <c r="N1235" s="8">
        <v>33</v>
      </c>
      <c r="O1235" s="8">
        <v>1</v>
      </c>
      <c r="P1235" s="5">
        <v>392.34</v>
      </c>
      <c r="Q1235" s="4">
        <v>45600</v>
      </c>
      <c r="R1235" s="9">
        <v>0.34004629629629629</v>
      </c>
      <c r="S1235" s="8">
        <v>16</v>
      </c>
      <c r="T1235" s="7" t="s">
        <v>4456</v>
      </c>
      <c r="U1235" s="7" t="s">
        <v>4455</v>
      </c>
      <c r="V12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36" spans="1:22" x14ac:dyDescent="0.35">
      <c r="A1236" s="7" t="s">
        <v>2938</v>
      </c>
      <c r="B1236" s="7" t="s">
        <v>1405</v>
      </c>
      <c r="C1236" s="5">
        <v>11.19</v>
      </c>
      <c r="D1236" s="2">
        <v>0.73209490740555339</v>
      </c>
      <c r="E1236" s="4">
        <v>44928</v>
      </c>
      <c r="F1236" s="7" t="s">
        <v>17</v>
      </c>
      <c r="G1236" s="7" t="s">
        <v>119</v>
      </c>
      <c r="H1236" s="7" t="s">
        <v>2142</v>
      </c>
      <c r="I1236" s="7" t="s">
        <v>1556</v>
      </c>
      <c r="J1236" s="7" t="s">
        <v>277</v>
      </c>
      <c r="K1236" s="7" t="s">
        <v>22</v>
      </c>
      <c r="L1236" s="8">
        <v>60</v>
      </c>
      <c r="M1236" s="7" t="s">
        <v>77</v>
      </c>
      <c r="N1236" s="8">
        <v>40</v>
      </c>
      <c r="O1236" s="8">
        <v>1</v>
      </c>
      <c r="P1236" s="5">
        <v>9877.17</v>
      </c>
      <c r="Q1236" s="4">
        <v>45600</v>
      </c>
      <c r="R1236" s="9">
        <v>0.34192129629629631</v>
      </c>
      <c r="S1236" s="8">
        <v>17</v>
      </c>
      <c r="T1236" s="7" t="s">
        <v>4454</v>
      </c>
      <c r="U1236" s="7" t="s">
        <v>4455</v>
      </c>
      <c r="V12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37" spans="1:22" x14ac:dyDescent="0.35">
      <c r="A1237" s="7" t="s">
        <v>2939</v>
      </c>
      <c r="B1237" s="7" t="s">
        <v>384</v>
      </c>
      <c r="C1237" s="5">
        <v>29.19</v>
      </c>
      <c r="D1237" s="2">
        <v>0.73559027777810115</v>
      </c>
      <c r="E1237" s="4">
        <v>44951</v>
      </c>
      <c r="F1237" s="7" t="s">
        <v>46</v>
      </c>
      <c r="G1237" s="7" t="s">
        <v>80</v>
      </c>
      <c r="H1237" s="7" t="s">
        <v>2890</v>
      </c>
      <c r="I1237" s="7" t="s">
        <v>2425</v>
      </c>
      <c r="J1237" s="7" t="s">
        <v>432</v>
      </c>
      <c r="K1237" s="7" t="s">
        <v>69</v>
      </c>
      <c r="L1237" s="8">
        <v>58</v>
      </c>
      <c r="M1237" s="7" t="s">
        <v>23</v>
      </c>
      <c r="N1237" s="8">
        <v>41</v>
      </c>
      <c r="O1237" s="8">
        <v>1</v>
      </c>
      <c r="P1237" s="5">
        <v>12059.85</v>
      </c>
      <c r="Q1237" s="4">
        <v>45600</v>
      </c>
      <c r="R1237" s="9">
        <v>0.34136574074074072</v>
      </c>
      <c r="S1237" s="8">
        <v>17</v>
      </c>
      <c r="T1237" s="7" t="s">
        <v>4454</v>
      </c>
      <c r="U1237" s="7" t="s">
        <v>4455</v>
      </c>
      <c r="V12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38" spans="1:22" x14ac:dyDescent="0.35">
      <c r="A1238" s="7" t="s">
        <v>2940</v>
      </c>
      <c r="B1238" s="7" t="s">
        <v>228</v>
      </c>
      <c r="C1238" s="5">
        <v>701.7</v>
      </c>
      <c r="D1238" s="2">
        <v>0.70667824074189411</v>
      </c>
      <c r="E1238" s="4">
        <v>45107</v>
      </c>
      <c r="F1238" s="7" t="s">
        <v>46</v>
      </c>
      <c r="G1238" s="7" t="s">
        <v>59</v>
      </c>
      <c r="H1238" s="7" t="s">
        <v>596</v>
      </c>
      <c r="I1238" s="7" t="s">
        <v>104</v>
      </c>
      <c r="J1238" s="7" t="s">
        <v>288</v>
      </c>
      <c r="K1238" s="7" t="s">
        <v>36</v>
      </c>
      <c r="L1238" s="8">
        <v>61</v>
      </c>
      <c r="M1238" s="7" t="s">
        <v>70</v>
      </c>
      <c r="N1238" s="8">
        <v>64</v>
      </c>
      <c r="O1238" s="8">
        <v>1</v>
      </c>
      <c r="P1238" s="5">
        <v>6643.24</v>
      </c>
      <c r="Q1238" s="4">
        <v>45600</v>
      </c>
      <c r="R1238" s="9">
        <v>0.34015046296296297</v>
      </c>
      <c r="S1238" s="8">
        <v>16</v>
      </c>
      <c r="T1238" s="7" t="s">
        <v>4454</v>
      </c>
      <c r="U1238" s="7" t="s">
        <v>4455</v>
      </c>
      <c r="V12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39" spans="1:22" x14ac:dyDescent="0.35">
      <c r="A1239" s="7" t="s">
        <v>2941</v>
      </c>
      <c r="B1239" s="7" t="s">
        <v>1794</v>
      </c>
      <c r="C1239" s="5">
        <v>862.34</v>
      </c>
      <c r="D1239" s="2">
        <v>0.67780092592875008</v>
      </c>
      <c r="E1239" s="4">
        <v>45071</v>
      </c>
      <c r="F1239" s="7" t="s">
        <v>17</v>
      </c>
      <c r="G1239" s="7" t="s">
        <v>291</v>
      </c>
      <c r="H1239" s="7" t="s">
        <v>1486</v>
      </c>
      <c r="I1239" s="7" t="s">
        <v>2167</v>
      </c>
      <c r="J1239" s="7" t="s">
        <v>272</v>
      </c>
      <c r="K1239" s="7" t="s">
        <v>69</v>
      </c>
      <c r="L1239" s="8">
        <v>57</v>
      </c>
      <c r="M1239" s="7" t="s">
        <v>23</v>
      </c>
      <c r="N1239" s="8">
        <v>72</v>
      </c>
      <c r="O1239" s="8">
        <v>1</v>
      </c>
      <c r="P1239" s="5">
        <v>9903.48</v>
      </c>
      <c r="Q1239" s="4">
        <v>45600</v>
      </c>
      <c r="R1239" s="9">
        <v>0.34172453703703703</v>
      </c>
      <c r="S1239" s="8">
        <v>16</v>
      </c>
      <c r="T1239" s="7" t="s">
        <v>4454</v>
      </c>
      <c r="U1239" s="7" t="s">
        <v>4455</v>
      </c>
      <c r="V12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40" spans="1:22" x14ac:dyDescent="0.35">
      <c r="A1240" s="7" t="s">
        <v>2942</v>
      </c>
      <c r="B1240" s="7" t="s">
        <v>2162</v>
      </c>
      <c r="C1240" s="5">
        <v>410.97</v>
      </c>
      <c r="D1240" s="2">
        <v>0.70967592592933215</v>
      </c>
      <c r="E1240" s="4">
        <v>45194</v>
      </c>
      <c r="F1240" s="7" t="s">
        <v>17</v>
      </c>
      <c r="G1240" s="7" t="s">
        <v>140</v>
      </c>
      <c r="H1240" s="7" t="s">
        <v>109</v>
      </c>
      <c r="I1240" s="7" t="s">
        <v>1674</v>
      </c>
      <c r="J1240" s="7" t="s">
        <v>607</v>
      </c>
      <c r="K1240" s="7" t="s">
        <v>22</v>
      </c>
      <c r="L1240" s="8">
        <v>22</v>
      </c>
      <c r="M1240" s="7" t="s">
        <v>37</v>
      </c>
      <c r="N1240" s="8">
        <v>45</v>
      </c>
      <c r="O1240" s="8">
        <v>1</v>
      </c>
      <c r="P1240" s="5">
        <v>151.41999999999999</v>
      </c>
      <c r="Q1240" s="4">
        <v>45600</v>
      </c>
      <c r="R1240" s="9">
        <v>0.34109953703703705</v>
      </c>
      <c r="S1240" s="8">
        <v>17</v>
      </c>
      <c r="T1240" s="7" t="s">
        <v>4456</v>
      </c>
      <c r="U1240" s="7" t="s">
        <v>4455</v>
      </c>
      <c r="V12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41" spans="1:22" x14ac:dyDescent="0.35">
      <c r="A1241" s="7" t="s">
        <v>2943</v>
      </c>
      <c r="B1241" s="7" t="s">
        <v>1682</v>
      </c>
      <c r="C1241" s="5">
        <v>36.97</v>
      </c>
      <c r="D1241" s="2">
        <v>0.72417824074364034</v>
      </c>
      <c r="E1241" s="4">
        <v>45161</v>
      </c>
      <c r="F1241" s="7" t="s">
        <v>17</v>
      </c>
      <c r="G1241" s="7" t="s">
        <v>301</v>
      </c>
      <c r="H1241" s="7" t="s">
        <v>2944</v>
      </c>
      <c r="I1241" s="7" t="s">
        <v>2391</v>
      </c>
      <c r="J1241" s="7" t="s">
        <v>343</v>
      </c>
      <c r="K1241" s="7" t="s">
        <v>69</v>
      </c>
      <c r="L1241" s="8">
        <v>41</v>
      </c>
      <c r="M1241" s="7" t="s">
        <v>77</v>
      </c>
      <c r="N1241" s="8">
        <v>79</v>
      </c>
      <c r="O1241" s="8">
        <v>1</v>
      </c>
      <c r="P1241" s="5">
        <v>2850.92</v>
      </c>
      <c r="Q1241" s="4">
        <v>45600</v>
      </c>
      <c r="R1241" s="9">
        <v>0.33875</v>
      </c>
      <c r="S1241" s="8">
        <v>17</v>
      </c>
      <c r="T1241" s="7" t="s">
        <v>4457</v>
      </c>
      <c r="U1241" s="7" t="s">
        <v>4455</v>
      </c>
      <c r="V12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42" spans="1:22" x14ac:dyDescent="0.35">
      <c r="A1242" s="7" t="s">
        <v>2945</v>
      </c>
      <c r="B1242" s="7" t="s">
        <v>384</v>
      </c>
      <c r="C1242" s="5">
        <v>137.59</v>
      </c>
      <c r="D1242" s="2">
        <v>0.68560185185197042</v>
      </c>
      <c r="E1242" s="4">
        <v>44929</v>
      </c>
      <c r="F1242" s="7" t="s">
        <v>17</v>
      </c>
      <c r="G1242" s="7" t="s">
        <v>80</v>
      </c>
      <c r="H1242" s="7" t="s">
        <v>665</v>
      </c>
      <c r="I1242" s="7" t="s">
        <v>976</v>
      </c>
      <c r="J1242" s="7" t="s">
        <v>149</v>
      </c>
      <c r="K1242" s="7" t="s">
        <v>22</v>
      </c>
      <c r="L1242" s="8">
        <v>30</v>
      </c>
      <c r="M1242" s="7" t="s">
        <v>23</v>
      </c>
      <c r="N1242" s="8">
        <v>95</v>
      </c>
      <c r="O1242" s="8">
        <v>1</v>
      </c>
      <c r="P1242" s="5">
        <v>10679.67</v>
      </c>
      <c r="Q1242" s="4">
        <v>45600</v>
      </c>
      <c r="R1242" s="9">
        <v>0.34131944444444445</v>
      </c>
      <c r="S1242" s="8">
        <v>16</v>
      </c>
      <c r="T1242" s="7" t="s">
        <v>4456</v>
      </c>
      <c r="U1242" s="7" t="s">
        <v>4455</v>
      </c>
      <c r="V12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43" spans="1:22" x14ac:dyDescent="0.35">
      <c r="A1243" s="7" t="s">
        <v>2946</v>
      </c>
      <c r="B1243" s="7" t="s">
        <v>2695</v>
      </c>
      <c r="C1243" s="5">
        <v>168.11</v>
      </c>
      <c r="D1243" s="2">
        <v>0.69783564814861165</v>
      </c>
      <c r="E1243" s="4">
        <v>45065</v>
      </c>
      <c r="F1243" s="7" t="s">
        <v>46</v>
      </c>
      <c r="G1243" s="7" t="s">
        <v>203</v>
      </c>
      <c r="H1243" s="7" t="s">
        <v>2947</v>
      </c>
      <c r="I1243" s="7" t="s">
        <v>1119</v>
      </c>
      <c r="J1243" s="7" t="s">
        <v>21</v>
      </c>
      <c r="K1243" s="7" t="s">
        <v>36</v>
      </c>
      <c r="L1243" s="8">
        <v>51</v>
      </c>
      <c r="M1243" s="7" t="s">
        <v>23</v>
      </c>
      <c r="N1243" s="8">
        <v>12</v>
      </c>
      <c r="O1243" s="8">
        <v>1</v>
      </c>
      <c r="P1243" s="5">
        <v>10652.13</v>
      </c>
      <c r="Q1243" s="4">
        <v>45600</v>
      </c>
      <c r="R1243" s="9">
        <v>0.33818287037037037</v>
      </c>
      <c r="S1243" s="8">
        <v>16</v>
      </c>
      <c r="T1243" s="7" t="s">
        <v>4457</v>
      </c>
      <c r="U1243" s="7" t="s">
        <v>4455</v>
      </c>
      <c r="V12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44" spans="1:22" x14ac:dyDescent="0.35">
      <c r="A1244" s="7" t="s">
        <v>2948</v>
      </c>
      <c r="B1244" s="7" t="s">
        <v>2949</v>
      </c>
      <c r="C1244" s="5">
        <v>430.98</v>
      </c>
      <c r="D1244" s="2">
        <v>0.75986111110978527</v>
      </c>
      <c r="E1244" s="4">
        <v>45209</v>
      </c>
      <c r="F1244" s="7" t="s">
        <v>17</v>
      </c>
      <c r="G1244" s="7" t="s">
        <v>197</v>
      </c>
      <c r="H1244" s="7" t="s">
        <v>2592</v>
      </c>
      <c r="I1244" s="7" t="s">
        <v>2751</v>
      </c>
      <c r="J1244" s="7" t="s">
        <v>707</v>
      </c>
      <c r="K1244" s="7" t="s">
        <v>69</v>
      </c>
      <c r="L1244" s="8">
        <v>24</v>
      </c>
      <c r="M1244" s="7" t="s">
        <v>37</v>
      </c>
      <c r="N1244" s="8">
        <v>93</v>
      </c>
      <c r="O1244" s="8">
        <v>1</v>
      </c>
      <c r="P1244" s="5">
        <v>569.25</v>
      </c>
      <c r="Q1244" s="4">
        <v>45600</v>
      </c>
      <c r="R1244" s="9">
        <v>0.34097222222222223</v>
      </c>
      <c r="S1244" s="8">
        <v>18</v>
      </c>
      <c r="T1244" s="7" t="s">
        <v>4456</v>
      </c>
      <c r="U1244" s="7" t="s">
        <v>4455</v>
      </c>
      <c r="V12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45" spans="1:22" x14ac:dyDescent="0.35">
      <c r="A1245" s="7" t="s">
        <v>2950</v>
      </c>
      <c r="B1245" s="7" t="s">
        <v>1206</v>
      </c>
      <c r="C1245" s="5">
        <v>13.87</v>
      </c>
      <c r="D1245" s="2">
        <v>0.77268518518394558</v>
      </c>
      <c r="E1245" s="4">
        <v>45271</v>
      </c>
      <c r="F1245" s="7" t="s">
        <v>17</v>
      </c>
      <c r="G1245" s="7" t="s">
        <v>425</v>
      </c>
      <c r="H1245" s="7" t="s">
        <v>1522</v>
      </c>
      <c r="I1245" s="7" t="s">
        <v>1996</v>
      </c>
      <c r="J1245" s="7" t="s">
        <v>543</v>
      </c>
      <c r="K1245" s="7" t="s">
        <v>69</v>
      </c>
      <c r="L1245" s="8">
        <v>24</v>
      </c>
      <c r="M1245" s="7" t="s">
        <v>37</v>
      </c>
      <c r="N1245" s="8">
        <v>20</v>
      </c>
      <c r="O1245" s="8">
        <v>1</v>
      </c>
      <c r="P1245" s="5">
        <v>954.83</v>
      </c>
      <c r="Q1245" s="4">
        <v>45600</v>
      </c>
      <c r="R1245" s="9">
        <v>0.3387384259259259</v>
      </c>
      <c r="S1245" s="8">
        <v>18</v>
      </c>
      <c r="T1245" s="7" t="s">
        <v>4456</v>
      </c>
      <c r="U1245" s="7" t="s">
        <v>4455</v>
      </c>
      <c r="V12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46" spans="1:22" x14ac:dyDescent="0.35">
      <c r="A1246" s="7" t="s">
        <v>2951</v>
      </c>
      <c r="B1246" s="7" t="s">
        <v>222</v>
      </c>
      <c r="C1246" s="5">
        <v>642.67999999999995</v>
      </c>
      <c r="D1246" s="2">
        <v>0.69827546296437504</v>
      </c>
      <c r="E1246" s="4">
        <v>45071</v>
      </c>
      <c r="F1246" s="7" t="s">
        <v>17</v>
      </c>
      <c r="G1246" s="7" t="s">
        <v>392</v>
      </c>
      <c r="H1246" s="7" t="s">
        <v>1937</v>
      </c>
      <c r="I1246" s="7" t="s">
        <v>1605</v>
      </c>
      <c r="J1246" s="7" t="s">
        <v>406</v>
      </c>
      <c r="K1246" s="7" t="s">
        <v>22</v>
      </c>
      <c r="L1246" s="8">
        <v>76</v>
      </c>
      <c r="M1246" s="7" t="s">
        <v>70</v>
      </c>
      <c r="N1246" s="8">
        <v>66</v>
      </c>
      <c r="O1246" s="8">
        <v>1</v>
      </c>
      <c r="P1246" s="5">
        <v>1831.2</v>
      </c>
      <c r="Q1246" s="4">
        <v>45600</v>
      </c>
      <c r="R1246" s="9">
        <v>0.34070601851851851</v>
      </c>
      <c r="S1246" s="8">
        <v>16</v>
      </c>
      <c r="T1246" s="7" t="s">
        <v>4454</v>
      </c>
      <c r="U1246" s="7" t="s">
        <v>4455</v>
      </c>
      <c r="V12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47" spans="1:22" x14ac:dyDescent="0.35">
      <c r="A1247" s="7" t="s">
        <v>2952</v>
      </c>
      <c r="B1247" s="7" t="s">
        <v>2500</v>
      </c>
      <c r="C1247" s="5">
        <v>175.07</v>
      </c>
      <c r="D1247" s="2">
        <v>0.70776620370452292</v>
      </c>
      <c r="E1247" s="4">
        <v>45253</v>
      </c>
      <c r="F1247" s="7" t="s">
        <v>17</v>
      </c>
      <c r="G1247" s="7" t="s">
        <v>146</v>
      </c>
      <c r="H1247" s="7" t="s">
        <v>1389</v>
      </c>
      <c r="I1247" s="7" t="s">
        <v>2858</v>
      </c>
      <c r="J1247" s="7" t="s">
        <v>740</v>
      </c>
      <c r="K1247" s="7" t="s">
        <v>36</v>
      </c>
      <c r="L1247" s="8">
        <v>28</v>
      </c>
      <c r="M1247" s="7" t="s">
        <v>77</v>
      </c>
      <c r="N1247" s="8">
        <v>169</v>
      </c>
      <c r="O1247" s="8">
        <v>2</v>
      </c>
      <c r="P1247" s="5">
        <v>9274.64</v>
      </c>
      <c r="Q1247" s="4">
        <v>45600</v>
      </c>
      <c r="R1247" s="9">
        <v>0.34174768518518517</v>
      </c>
      <c r="S1247" s="8">
        <v>16</v>
      </c>
      <c r="T1247" s="7" t="s">
        <v>4456</v>
      </c>
      <c r="U1247" s="7" t="s">
        <v>4458</v>
      </c>
      <c r="V12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48" spans="1:22" x14ac:dyDescent="0.35">
      <c r="A1248" s="7" t="s">
        <v>2953</v>
      </c>
      <c r="B1248" s="7" t="s">
        <v>134</v>
      </c>
      <c r="C1248" s="5">
        <v>302.82</v>
      </c>
      <c r="D1248" s="2">
        <v>0.70162037036789116</v>
      </c>
      <c r="E1248" s="4">
        <v>45233</v>
      </c>
      <c r="F1248" s="7" t="s">
        <v>17</v>
      </c>
      <c r="G1248" s="7" t="s">
        <v>392</v>
      </c>
      <c r="H1248" s="7" t="s">
        <v>2770</v>
      </c>
      <c r="I1248" s="7" t="s">
        <v>2411</v>
      </c>
      <c r="J1248" s="7" t="s">
        <v>68</v>
      </c>
      <c r="K1248" s="7" t="s">
        <v>22</v>
      </c>
      <c r="L1248" s="8">
        <v>36</v>
      </c>
      <c r="M1248" s="7" t="s">
        <v>77</v>
      </c>
      <c r="N1248" s="8">
        <v>175</v>
      </c>
      <c r="O1248" s="8">
        <v>1</v>
      </c>
      <c r="P1248" s="5">
        <v>9384.5400000000009</v>
      </c>
      <c r="Q1248" s="4">
        <v>45600</v>
      </c>
      <c r="R1248" s="9">
        <v>0.33855324074074072</v>
      </c>
      <c r="S1248" s="8">
        <v>16</v>
      </c>
      <c r="T1248" s="7" t="s">
        <v>4457</v>
      </c>
      <c r="U1248" s="7" t="s">
        <v>4455</v>
      </c>
      <c r="V12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49" spans="1:22" x14ac:dyDescent="0.35">
      <c r="A1249" s="7" t="s">
        <v>2954</v>
      </c>
      <c r="B1249" s="7" t="s">
        <v>2024</v>
      </c>
      <c r="C1249" s="5">
        <v>1647.74</v>
      </c>
      <c r="D1249" s="2">
        <v>0.73715277777955635</v>
      </c>
      <c r="E1249" s="4">
        <v>45285</v>
      </c>
      <c r="F1249" s="7" t="s">
        <v>17</v>
      </c>
      <c r="G1249" s="7" t="s">
        <v>108</v>
      </c>
      <c r="H1249" s="7" t="s">
        <v>1555</v>
      </c>
      <c r="I1249" s="7" t="s">
        <v>2316</v>
      </c>
      <c r="J1249" s="7" t="s">
        <v>474</v>
      </c>
      <c r="K1249" s="7" t="s">
        <v>22</v>
      </c>
      <c r="L1249" s="8">
        <v>67</v>
      </c>
      <c r="M1249" s="7" t="s">
        <v>70</v>
      </c>
      <c r="N1249" s="8">
        <v>52</v>
      </c>
      <c r="O1249" s="8">
        <v>1</v>
      </c>
      <c r="P1249" s="5">
        <v>1483.84</v>
      </c>
      <c r="Q1249" s="4">
        <v>45600</v>
      </c>
      <c r="R1249" s="9">
        <v>0.33991898148148147</v>
      </c>
      <c r="S1249" s="8">
        <v>17</v>
      </c>
      <c r="T1249" s="7" t="s">
        <v>4454</v>
      </c>
      <c r="U1249" s="7" t="s">
        <v>4455</v>
      </c>
      <c r="V12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50" spans="1:22" x14ac:dyDescent="0.35">
      <c r="A1250" s="7" t="s">
        <v>2955</v>
      </c>
      <c r="B1250" s="7" t="s">
        <v>1044</v>
      </c>
      <c r="C1250" s="5">
        <v>406.81</v>
      </c>
      <c r="D1250" s="2">
        <v>0.68945601851737592</v>
      </c>
      <c r="E1250" s="4">
        <v>45265</v>
      </c>
      <c r="F1250" s="7" t="s">
        <v>17</v>
      </c>
      <c r="G1250" s="7" t="s">
        <v>203</v>
      </c>
      <c r="H1250" s="7" t="s">
        <v>400</v>
      </c>
      <c r="I1250" s="7" t="s">
        <v>1100</v>
      </c>
      <c r="J1250" s="7" t="s">
        <v>1810</v>
      </c>
      <c r="K1250" s="7" t="s">
        <v>36</v>
      </c>
      <c r="L1250" s="8">
        <v>66</v>
      </c>
      <c r="M1250" s="7" t="s">
        <v>70</v>
      </c>
      <c r="N1250" s="8">
        <v>84</v>
      </c>
      <c r="O1250" s="8">
        <v>1</v>
      </c>
      <c r="P1250" s="5">
        <v>1968.36</v>
      </c>
      <c r="Q1250" s="4">
        <v>45600</v>
      </c>
      <c r="R1250" s="9">
        <v>0.3394212962962963</v>
      </c>
      <c r="S1250" s="8">
        <v>16</v>
      </c>
      <c r="T1250" s="7" t="s">
        <v>4454</v>
      </c>
      <c r="U1250" s="7" t="s">
        <v>4455</v>
      </c>
      <c r="V12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51" spans="1:22" x14ac:dyDescent="0.35">
      <c r="A1251" s="7" t="s">
        <v>2956</v>
      </c>
      <c r="B1251" s="7" t="s">
        <v>737</v>
      </c>
      <c r="C1251" s="5">
        <v>256.3</v>
      </c>
      <c r="D1251" s="2">
        <v>0.68193287037138361</v>
      </c>
      <c r="E1251" s="4">
        <v>45021</v>
      </c>
      <c r="F1251" s="7" t="s">
        <v>17</v>
      </c>
      <c r="G1251" s="7" t="s">
        <v>203</v>
      </c>
      <c r="H1251" s="7" t="s">
        <v>1971</v>
      </c>
      <c r="I1251" s="7" t="s">
        <v>153</v>
      </c>
      <c r="J1251" s="7" t="s">
        <v>386</v>
      </c>
      <c r="K1251" s="7" t="s">
        <v>36</v>
      </c>
      <c r="L1251" s="8">
        <v>53</v>
      </c>
      <c r="M1251" s="7" t="s">
        <v>70</v>
      </c>
      <c r="N1251" s="8">
        <v>172</v>
      </c>
      <c r="O1251" s="8">
        <v>1</v>
      </c>
      <c r="P1251" s="5">
        <v>4203.05</v>
      </c>
      <c r="Q1251" s="4">
        <v>45600</v>
      </c>
      <c r="R1251" s="9">
        <v>0.33776620370370369</v>
      </c>
      <c r="S1251" s="8">
        <v>16</v>
      </c>
      <c r="T1251" s="7" t="s">
        <v>4457</v>
      </c>
      <c r="U1251" s="7" t="s">
        <v>4455</v>
      </c>
      <c r="V12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52" spans="1:22" x14ac:dyDescent="0.35">
      <c r="A1252" s="7" t="s">
        <v>2957</v>
      </c>
      <c r="B1252" s="7" t="s">
        <v>1433</v>
      </c>
      <c r="C1252" s="5">
        <v>80.959999999999994</v>
      </c>
      <c r="D1252" s="2">
        <v>0.74108796296059154</v>
      </c>
      <c r="E1252" s="4">
        <v>45196</v>
      </c>
      <c r="F1252" s="7" t="s">
        <v>46</v>
      </c>
      <c r="G1252" s="7" t="s">
        <v>392</v>
      </c>
      <c r="H1252" s="7" t="s">
        <v>2958</v>
      </c>
      <c r="I1252" s="7" t="s">
        <v>168</v>
      </c>
      <c r="J1252" s="7" t="s">
        <v>303</v>
      </c>
      <c r="K1252" s="7" t="s">
        <v>36</v>
      </c>
      <c r="L1252" s="8">
        <v>19</v>
      </c>
      <c r="M1252" s="7" t="s">
        <v>37</v>
      </c>
      <c r="N1252" s="8">
        <v>97</v>
      </c>
      <c r="O1252" s="8">
        <v>1</v>
      </c>
      <c r="P1252" s="5">
        <v>959.94</v>
      </c>
      <c r="Q1252" s="4">
        <v>45600</v>
      </c>
      <c r="R1252" s="9">
        <v>0.33778935185185183</v>
      </c>
      <c r="S1252" s="8">
        <v>17</v>
      </c>
      <c r="T1252" s="7" t="s">
        <v>4456</v>
      </c>
      <c r="U1252" s="7" t="s">
        <v>4455</v>
      </c>
      <c r="V12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53" spans="1:22" x14ac:dyDescent="0.35">
      <c r="A1253" s="7" t="s">
        <v>2959</v>
      </c>
      <c r="B1253" s="7" t="s">
        <v>1707</v>
      </c>
      <c r="C1253" s="5">
        <v>95.78</v>
      </c>
      <c r="D1253" s="2">
        <v>0.71519675925810589</v>
      </c>
      <c r="E1253" s="4">
        <v>45008</v>
      </c>
      <c r="F1253" s="7" t="s">
        <v>17</v>
      </c>
      <c r="G1253" s="7" t="s">
        <v>47</v>
      </c>
      <c r="H1253" s="7" t="s">
        <v>2548</v>
      </c>
      <c r="I1253" s="7" t="s">
        <v>1884</v>
      </c>
      <c r="J1253" s="7" t="s">
        <v>885</v>
      </c>
      <c r="K1253" s="7" t="s">
        <v>36</v>
      </c>
      <c r="L1253" s="8">
        <v>22</v>
      </c>
      <c r="M1253" s="7" t="s">
        <v>37</v>
      </c>
      <c r="N1253" s="8">
        <v>27</v>
      </c>
      <c r="O1253" s="8">
        <v>1</v>
      </c>
      <c r="P1253" s="5">
        <v>271.64</v>
      </c>
      <c r="Q1253" s="4">
        <v>45600</v>
      </c>
      <c r="R1253" s="9">
        <v>0.33976851851851853</v>
      </c>
      <c r="S1253" s="8">
        <v>17</v>
      </c>
      <c r="T1253" s="7" t="s">
        <v>4456</v>
      </c>
      <c r="U1253" s="7" t="s">
        <v>4455</v>
      </c>
      <c r="V12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54" spans="1:22" x14ac:dyDescent="0.35">
      <c r="A1254" s="7" t="s">
        <v>2960</v>
      </c>
      <c r="B1254" s="7" t="s">
        <v>367</v>
      </c>
      <c r="C1254" s="5">
        <v>379.54</v>
      </c>
      <c r="D1254" s="2">
        <v>0.71821759259182727</v>
      </c>
      <c r="E1254" s="4">
        <v>44929</v>
      </c>
      <c r="F1254" s="7" t="s">
        <v>46</v>
      </c>
      <c r="G1254" s="7" t="s">
        <v>65</v>
      </c>
      <c r="H1254" s="7" t="s">
        <v>1201</v>
      </c>
      <c r="I1254" s="7" t="s">
        <v>245</v>
      </c>
      <c r="J1254" s="7" t="s">
        <v>143</v>
      </c>
      <c r="K1254" s="7" t="s">
        <v>69</v>
      </c>
      <c r="L1254" s="8">
        <v>41</v>
      </c>
      <c r="M1254" s="7" t="s">
        <v>23</v>
      </c>
      <c r="N1254" s="8">
        <v>118</v>
      </c>
      <c r="O1254" s="8">
        <v>1</v>
      </c>
      <c r="P1254" s="5">
        <v>12571.76</v>
      </c>
      <c r="Q1254" s="4">
        <v>45600</v>
      </c>
      <c r="R1254" s="9">
        <v>0.33776620370370369</v>
      </c>
      <c r="S1254" s="8">
        <v>17</v>
      </c>
      <c r="T1254" s="7" t="s">
        <v>4457</v>
      </c>
      <c r="U1254" s="7" t="s">
        <v>4455</v>
      </c>
      <c r="V12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55" spans="1:22" x14ac:dyDescent="0.35">
      <c r="A1255" s="7" t="s">
        <v>2961</v>
      </c>
      <c r="B1255" s="7" t="s">
        <v>274</v>
      </c>
      <c r="C1255" s="5">
        <v>903.19</v>
      </c>
      <c r="D1255" s="2">
        <v>0.74481481481780065</v>
      </c>
      <c r="E1255" s="4">
        <v>45113</v>
      </c>
      <c r="F1255" s="7" t="s">
        <v>17</v>
      </c>
      <c r="G1255" s="7" t="s">
        <v>506</v>
      </c>
      <c r="H1255" s="7" t="s">
        <v>1570</v>
      </c>
      <c r="I1255" s="7" t="s">
        <v>531</v>
      </c>
      <c r="J1255" s="7" t="s">
        <v>165</v>
      </c>
      <c r="K1255" s="7" t="s">
        <v>36</v>
      </c>
      <c r="L1255" s="8">
        <v>22</v>
      </c>
      <c r="M1255" s="7" t="s">
        <v>37</v>
      </c>
      <c r="N1255" s="8">
        <v>65</v>
      </c>
      <c r="O1255" s="8">
        <v>1</v>
      </c>
      <c r="P1255" s="5">
        <v>8627.08</v>
      </c>
      <c r="Q1255" s="4">
        <v>45600</v>
      </c>
      <c r="R1255" s="9">
        <v>0.33792824074074074</v>
      </c>
      <c r="S1255" s="8">
        <v>17</v>
      </c>
      <c r="T1255" s="7" t="s">
        <v>4456</v>
      </c>
      <c r="U1255" s="7" t="s">
        <v>4455</v>
      </c>
      <c r="V12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56" spans="1:22" x14ac:dyDescent="0.35">
      <c r="A1256" s="7" t="s">
        <v>2962</v>
      </c>
      <c r="B1256" s="7" t="s">
        <v>39</v>
      </c>
      <c r="C1256" s="5">
        <v>142.19</v>
      </c>
      <c r="D1256" s="2">
        <v>0.77002314815035788</v>
      </c>
      <c r="E1256" s="4">
        <v>45092</v>
      </c>
      <c r="F1256" s="7" t="s">
        <v>17</v>
      </c>
      <c r="G1256" s="7" t="s">
        <v>26</v>
      </c>
      <c r="H1256" s="7" t="s">
        <v>1253</v>
      </c>
      <c r="I1256" s="7" t="s">
        <v>2963</v>
      </c>
      <c r="J1256" s="7" t="s">
        <v>262</v>
      </c>
      <c r="K1256" s="7" t="s">
        <v>69</v>
      </c>
      <c r="L1256" s="8">
        <v>18</v>
      </c>
      <c r="M1256" s="7" t="s">
        <v>37</v>
      </c>
      <c r="N1256" s="8">
        <v>27</v>
      </c>
      <c r="O1256" s="8">
        <v>4</v>
      </c>
      <c r="P1256" s="5">
        <v>524.46</v>
      </c>
      <c r="Q1256" s="4">
        <v>45600</v>
      </c>
      <c r="R1256" s="9">
        <v>0.34009259259259261</v>
      </c>
      <c r="S1256" s="8">
        <v>18</v>
      </c>
      <c r="T1256" s="7" t="s">
        <v>4456</v>
      </c>
      <c r="U1256" s="7" t="s">
        <v>4458</v>
      </c>
      <c r="V12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57" spans="1:22" x14ac:dyDescent="0.35">
      <c r="A1257" s="7" t="s">
        <v>2964</v>
      </c>
      <c r="B1257" s="7" t="s">
        <v>1802</v>
      </c>
      <c r="C1257" s="5">
        <v>847.45</v>
      </c>
      <c r="D1257" s="2">
        <v>0.68349537037283881</v>
      </c>
      <c r="E1257" s="4">
        <v>45096</v>
      </c>
      <c r="F1257" s="7" t="s">
        <v>17</v>
      </c>
      <c r="G1257" s="7" t="s">
        <v>392</v>
      </c>
      <c r="H1257" s="7" t="s">
        <v>538</v>
      </c>
      <c r="I1257" s="7" t="s">
        <v>1689</v>
      </c>
      <c r="J1257" s="7" t="s">
        <v>564</v>
      </c>
      <c r="K1257" s="7" t="s">
        <v>69</v>
      </c>
      <c r="L1257" s="8">
        <v>28</v>
      </c>
      <c r="M1257" s="7" t="s">
        <v>37</v>
      </c>
      <c r="N1257" s="8">
        <v>175</v>
      </c>
      <c r="O1257" s="8">
        <v>1</v>
      </c>
      <c r="P1257" s="5">
        <v>422.32</v>
      </c>
      <c r="Q1257" s="4">
        <v>45600</v>
      </c>
      <c r="R1257" s="9">
        <v>0.33993055555555557</v>
      </c>
      <c r="S1257" s="8">
        <v>16</v>
      </c>
      <c r="T1257" s="7" t="s">
        <v>4456</v>
      </c>
      <c r="U1257" s="7" t="s">
        <v>4455</v>
      </c>
      <c r="V12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58" spans="1:22" x14ac:dyDescent="0.35">
      <c r="A1258" s="7" t="s">
        <v>2965</v>
      </c>
      <c r="B1258" s="7" t="s">
        <v>2083</v>
      </c>
      <c r="C1258" s="5">
        <v>295.18</v>
      </c>
      <c r="D1258" s="2">
        <v>0.74628472221957054</v>
      </c>
      <c r="E1258" s="4">
        <v>45055</v>
      </c>
      <c r="F1258" s="7" t="s">
        <v>46</v>
      </c>
      <c r="G1258" s="7" t="s">
        <v>323</v>
      </c>
      <c r="H1258" s="7" t="s">
        <v>2966</v>
      </c>
      <c r="I1258" s="7" t="s">
        <v>42</v>
      </c>
      <c r="J1258" s="7" t="s">
        <v>740</v>
      </c>
      <c r="K1258" s="7" t="s">
        <v>69</v>
      </c>
      <c r="L1258" s="8">
        <v>66</v>
      </c>
      <c r="M1258" s="7" t="s">
        <v>23</v>
      </c>
      <c r="N1258" s="8">
        <v>31</v>
      </c>
      <c r="O1258" s="8">
        <v>1</v>
      </c>
      <c r="P1258" s="5">
        <v>12961.53</v>
      </c>
      <c r="Q1258" s="4">
        <v>45600</v>
      </c>
      <c r="R1258" s="9">
        <v>0.33880787037037036</v>
      </c>
      <c r="S1258" s="8">
        <v>17</v>
      </c>
      <c r="T1258" s="7" t="s">
        <v>4454</v>
      </c>
      <c r="U1258" s="7" t="s">
        <v>4455</v>
      </c>
      <c r="V12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59" spans="1:22" x14ac:dyDescent="0.35">
      <c r="A1259" s="7" t="s">
        <v>2967</v>
      </c>
      <c r="B1259" s="7" t="s">
        <v>2264</v>
      </c>
      <c r="C1259" s="5">
        <v>18.46</v>
      </c>
      <c r="D1259" s="2">
        <v>0.68696759259182727</v>
      </c>
      <c r="E1259" s="4">
        <v>45250</v>
      </c>
      <c r="F1259" s="7" t="s">
        <v>17</v>
      </c>
      <c r="G1259" s="7" t="s">
        <v>249</v>
      </c>
      <c r="H1259" s="7" t="s">
        <v>2318</v>
      </c>
      <c r="I1259" s="7" t="s">
        <v>1571</v>
      </c>
      <c r="J1259" s="7" t="s">
        <v>418</v>
      </c>
      <c r="K1259" s="7" t="s">
        <v>69</v>
      </c>
      <c r="L1259" s="8">
        <v>68</v>
      </c>
      <c r="M1259" s="7" t="s">
        <v>70</v>
      </c>
      <c r="N1259" s="8">
        <v>213</v>
      </c>
      <c r="O1259" s="8">
        <v>1</v>
      </c>
      <c r="P1259" s="5">
        <v>6381.6</v>
      </c>
      <c r="Q1259" s="4">
        <v>45600</v>
      </c>
      <c r="R1259" s="9">
        <v>0.34047453703703706</v>
      </c>
      <c r="S1259" s="8">
        <v>16</v>
      </c>
      <c r="T1259" s="7" t="s">
        <v>4454</v>
      </c>
      <c r="U1259" s="7" t="s">
        <v>4455</v>
      </c>
      <c r="V12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60" spans="1:22" x14ac:dyDescent="0.35">
      <c r="A1260" s="7" t="s">
        <v>2968</v>
      </c>
      <c r="B1260" s="7" t="s">
        <v>876</v>
      </c>
      <c r="C1260" s="5">
        <v>603.23</v>
      </c>
      <c r="D1260" s="2">
        <v>0.73209490740555339</v>
      </c>
      <c r="E1260" s="4">
        <v>45162</v>
      </c>
      <c r="F1260" s="7" t="s">
        <v>17</v>
      </c>
      <c r="G1260" s="7" t="s">
        <v>73</v>
      </c>
      <c r="H1260" s="7" t="s">
        <v>2969</v>
      </c>
      <c r="I1260" s="7" t="s">
        <v>1249</v>
      </c>
      <c r="J1260" s="7" t="s">
        <v>111</v>
      </c>
      <c r="K1260" s="7" t="s">
        <v>69</v>
      </c>
      <c r="L1260" s="8">
        <v>28</v>
      </c>
      <c r="M1260" s="7" t="s">
        <v>37</v>
      </c>
      <c r="N1260" s="8">
        <v>48</v>
      </c>
      <c r="O1260" s="8">
        <v>1</v>
      </c>
      <c r="P1260" s="5">
        <v>117.98</v>
      </c>
      <c r="Q1260" s="4">
        <v>45600</v>
      </c>
      <c r="R1260" s="9">
        <v>0.33909722222222222</v>
      </c>
      <c r="S1260" s="8">
        <v>17</v>
      </c>
      <c r="T1260" s="7" t="s">
        <v>4456</v>
      </c>
      <c r="U1260" s="7" t="s">
        <v>4455</v>
      </c>
      <c r="V12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61" spans="1:22" x14ac:dyDescent="0.35">
      <c r="A1261" s="7" t="s">
        <v>2970</v>
      </c>
      <c r="B1261" s="7" t="s">
        <v>1293</v>
      </c>
      <c r="C1261" s="5">
        <v>54.5</v>
      </c>
      <c r="D1261" s="2">
        <v>0.70774305555823958</v>
      </c>
      <c r="E1261" s="4">
        <v>45252</v>
      </c>
      <c r="F1261" s="7" t="s">
        <v>46</v>
      </c>
      <c r="G1261" s="7" t="s">
        <v>243</v>
      </c>
      <c r="H1261" s="7" t="s">
        <v>2947</v>
      </c>
      <c r="I1261" s="7" t="s">
        <v>791</v>
      </c>
      <c r="J1261" s="7" t="s">
        <v>984</v>
      </c>
      <c r="K1261" s="7" t="s">
        <v>69</v>
      </c>
      <c r="L1261" s="8">
        <v>57</v>
      </c>
      <c r="M1261" s="7" t="s">
        <v>70</v>
      </c>
      <c r="N1261" s="8">
        <v>147</v>
      </c>
      <c r="O1261" s="8">
        <v>1</v>
      </c>
      <c r="P1261" s="5">
        <v>1715.22</v>
      </c>
      <c r="Q1261" s="4">
        <v>45600</v>
      </c>
      <c r="R1261" s="9">
        <v>0.3392013888888889</v>
      </c>
      <c r="S1261" s="8">
        <v>16</v>
      </c>
      <c r="T1261" s="7" t="s">
        <v>4454</v>
      </c>
      <c r="U1261" s="7" t="s">
        <v>4455</v>
      </c>
      <c r="V12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62" spans="1:22" x14ac:dyDescent="0.35">
      <c r="A1262" s="7" t="s">
        <v>2971</v>
      </c>
      <c r="B1262" s="7" t="s">
        <v>767</v>
      </c>
      <c r="C1262" s="5">
        <v>414.77</v>
      </c>
      <c r="D1262" s="2">
        <v>0.73407407407648861</v>
      </c>
      <c r="E1262" s="4">
        <v>45292</v>
      </c>
      <c r="F1262" s="7" t="s">
        <v>17</v>
      </c>
      <c r="G1262" s="7" t="s">
        <v>212</v>
      </c>
      <c r="H1262" s="7" t="s">
        <v>2119</v>
      </c>
      <c r="I1262" s="7" t="s">
        <v>234</v>
      </c>
      <c r="J1262" s="7" t="s">
        <v>240</v>
      </c>
      <c r="K1262" s="7" t="s">
        <v>36</v>
      </c>
      <c r="L1262" s="8">
        <v>29</v>
      </c>
      <c r="M1262" s="7" t="s">
        <v>23</v>
      </c>
      <c r="N1262" s="8">
        <v>274</v>
      </c>
      <c r="O1262" s="8">
        <v>1</v>
      </c>
      <c r="P1262" s="5">
        <v>5599.81</v>
      </c>
      <c r="Q1262" s="4">
        <v>45600</v>
      </c>
      <c r="R1262" s="9">
        <v>0.33894675925925927</v>
      </c>
      <c r="S1262" s="8">
        <v>17</v>
      </c>
      <c r="T1262" s="7" t="s">
        <v>4456</v>
      </c>
      <c r="U1262" s="7" t="s">
        <v>4455</v>
      </c>
      <c r="V12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63" spans="1:22" x14ac:dyDescent="0.35">
      <c r="A1263" s="7" t="s">
        <v>2972</v>
      </c>
      <c r="B1263" s="7" t="s">
        <v>1472</v>
      </c>
      <c r="C1263" s="5">
        <v>886.19</v>
      </c>
      <c r="D1263" s="2">
        <v>0.73060185185022419</v>
      </c>
      <c r="E1263" s="4">
        <v>45159</v>
      </c>
      <c r="F1263" s="7" t="s">
        <v>17</v>
      </c>
      <c r="G1263" s="7" t="s">
        <v>521</v>
      </c>
      <c r="H1263" s="7" t="s">
        <v>2617</v>
      </c>
      <c r="I1263" s="7" t="s">
        <v>2738</v>
      </c>
      <c r="J1263" s="7" t="s">
        <v>427</v>
      </c>
      <c r="K1263" s="7" t="s">
        <v>69</v>
      </c>
      <c r="L1263" s="8">
        <v>61</v>
      </c>
      <c r="M1263" s="7" t="s">
        <v>70</v>
      </c>
      <c r="N1263" s="8">
        <v>69</v>
      </c>
      <c r="O1263" s="8">
        <v>1</v>
      </c>
      <c r="P1263" s="5">
        <v>7904.24</v>
      </c>
      <c r="Q1263" s="4">
        <v>45600</v>
      </c>
      <c r="R1263" s="9">
        <v>0.33922453703703703</v>
      </c>
      <c r="S1263" s="8">
        <v>17</v>
      </c>
      <c r="T1263" s="7" t="s">
        <v>4454</v>
      </c>
      <c r="U1263" s="7" t="s">
        <v>4455</v>
      </c>
      <c r="V12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64" spans="1:22" x14ac:dyDescent="0.35">
      <c r="A1264" s="7" t="s">
        <v>2973</v>
      </c>
      <c r="B1264" s="7" t="s">
        <v>1368</v>
      </c>
      <c r="C1264" s="5">
        <v>440.03</v>
      </c>
      <c r="D1264" s="2">
        <v>0.67488425925694173</v>
      </c>
      <c r="E1264" s="4">
        <v>45259</v>
      </c>
      <c r="F1264" s="7" t="s">
        <v>17</v>
      </c>
      <c r="G1264" s="7" t="s">
        <v>223</v>
      </c>
      <c r="H1264" s="7" t="s">
        <v>830</v>
      </c>
      <c r="I1264" s="7" t="s">
        <v>2974</v>
      </c>
      <c r="J1264" s="7" t="s">
        <v>514</v>
      </c>
      <c r="K1264" s="7" t="s">
        <v>36</v>
      </c>
      <c r="L1264" s="8">
        <v>49</v>
      </c>
      <c r="M1264" s="7" t="s">
        <v>77</v>
      </c>
      <c r="N1264" s="8">
        <v>88</v>
      </c>
      <c r="O1264" s="8">
        <v>1</v>
      </c>
      <c r="P1264" s="5">
        <v>1490.44</v>
      </c>
      <c r="Q1264" s="4">
        <v>45600</v>
      </c>
      <c r="R1264" s="9">
        <v>0.34049768518518519</v>
      </c>
      <c r="S1264" s="8">
        <v>16</v>
      </c>
      <c r="T1264" s="7" t="s">
        <v>4457</v>
      </c>
      <c r="U1264" s="7" t="s">
        <v>4455</v>
      </c>
      <c r="V12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65" spans="1:22" x14ac:dyDescent="0.35">
      <c r="A1265" s="7" t="s">
        <v>2975</v>
      </c>
      <c r="B1265" s="7" t="s">
        <v>372</v>
      </c>
      <c r="C1265" s="5">
        <v>35.46</v>
      </c>
      <c r="D1265" s="2">
        <v>0.67811342592904111</v>
      </c>
      <c r="E1265" s="4">
        <v>45008</v>
      </c>
      <c r="F1265" s="7" t="s">
        <v>17</v>
      </c>
      <c r="G1265" s="7" t="s">
        <v>80</v>
      </c>
      <c r="H1265" s="7" t="s">
        <v>2976</v>
      </c>
      <c r="I1265" s="7" t="s">
        <v>104</v>
      </c>
      <c r="J1265" s="7" t="s">
        <v>262</v>
      </c>
      <c r="K1265" s="7" t="s">
        <v>22</v>
      </c>
      <c r="L1265" s="8">
        <v>56</v>
      </c>
      <c r="M1265" s="7" t="s">
        <v>70</v>
      </c>
      <c r="N1265" s="8">
        <v>285</v>
      </c>
      <c r="O1265" s="8">
        <v>1</v>
      </c>
      <c r="P1265" s="5">
        <v>1532.72</v>
      </c>
      <c r="Q1265" s="4">
        <v>45600</v>
      </c>
      <c r="R1265" s="9">
        <v>0.33849537037037036</v>
      </c>
      <c r="S1265" s="8">
        <v>16</v>
      </c>
      <c r="T1265" s="7" t="s">
        <v>4454</v>
      </c>
      <c r="U1265" s="7" t="s">
        <v>4455</v>
      </c>
      <c r="V12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66" spans="1:22" x14ac:dyDescent="0.35">
      <c r="A1266" s="7" t="s">
        <v>2977</v>
      </c>
      <c r="B1266" s="7" t="s">
        <v>2978</v>
      </c>
      <c r="C1266" s="5">
        <v>76.39</v>
      </c>
      <c r="D1266" s="2">
        <v>0.72190972221869742</v>
      </c>
      <c r="E1266" s="4">
        <v>44939</v>
      </c>
      <c r="F1266" s="7" t="s">
        <v>17</v>
      </c>
      <c r="G1266" s="7" t="s">
        <v>114</v>
      </c>
      <c r="H1266" s="7" t="s">
        <v>1010</v>
      </c>
      <c r="I1266" s="7" t="s">
        <v>2614</v>
      </c>
      <c r="J1266" s="7" t="s">
        <v>62</v>
      </c>
      <c r="K1266" s="7" t="s">
        <v>69</v>
      </c>
      <c r="L1266" s="8">
        <v>18</v>
      </c>
      <c r="M1266" s="7" t="s">
        <v>37</v>
      </c>
      <c r="N1266" s="8">
        <v>219</v>
      </c>
      <c r="O1266" s="8">
        <v>1</v>
      </c>
      <c r="P1266" s="5">
        <v>5976</v>
      </c>
      <c r="Q1266" s="4">
        <v>45600</v>
      </c>
      <c r="R1266" s="9">
        <v>0.34038194444444442</v>
      </c>
      <c r="S1266" s="8">
        <v>17</v>
      </c>
      <c r="T1266" s="7" t="s">
        <v>4456</v>
      </c>
      <c r="U1266" s="7" t="s">
        <v>4455</v>
      </c>
      <c r="V12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67" spans="1:22" x14ac:dyDescent="0.35">
      <c r="A1267" s="7" t="s">
        <v>2979</v>
      </c>
      <c r="B1267" s="7" t="s">
        <v>611</v>
      </c>
      <c r="C1267" s="5">
        <v>595.91</v>
      </c>
      <c r="D1267" s="2">
        <v>0.77712962962687016</v>
      </c>
      <c r="E1267" s="4">
        <v>45148</v>
      </c>
      <c r="F1267" s="7" t="s">
        <v>46</v>
      </c>
      <c r="G1267" s="7" t="s">
        <v>237</v>
      </c>
      <c r="H1267" s="7" t="s">
        <v>2505</v>
      </c>
      <c r="I1267" s="7" t="s">
        <v>1414</v>
      </c>
      <c r="J1267" s="7" t="s">
        <v>674</v>
      </c>
      <c r="K1267" s="7" t="s">
        <v>22</v>
      </c>
      <c r="L1267" s="8">
        <v>19</v>
      </c>
      <c r="M1267" s="7" t="s">
        <v>37</v>
      </c>
      <c r="N1267" s="8">
        <v>162</v>
      </c>
      <c r="O1267" s="8">
        <v>1</v>
      </c>
      <c r="P1267" s="5">
        <v>1673.76</v>
      </c>
      <c r="Q1267" s="4">
        <v>45600</v>
      </c>
      <c r="R1267" s="9">
        <v>0.34052083333333333</v>
      </c>
      <c r="S1267" s="8">
        <v>18</v>
      </c>
      <c r="T1267" s="7" t="s">
        <v>4456</v>
      </c>
      <c r="U1267" s="7" t="s">
        <v>4455</v>
      </c>
      <c r="V12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68" spans="1:22" x14ac:dyDescent="0.35">
      <c r="A1268" s="7" t="s">
        <v>2980</v>
      </c>
      <c r="B1268" s="7" t="s">
        <v>923</v>
      </c>
      <c r="C1268" s="5">
        <v>6.03</v>
      </c>
      <c r="D1268" s="2">
        <v>0.77945601852115942</v>
      </c>
      <c r="E1268" s="4">
        <v>45147</v>
      </c>
      <c r="F1268" s="7" t="s">
        <v>17</v>
      </c>
      <c r="G1268" s="7" t="s">
        <v>265</v>
      </c>
      <c r="H1268" s="7" t="s">
        <v>2244</v>
      </c>
      <c r="I1268" s="7" t="s">
        <v>2981</v>
      </c>
      <c r="J1268" s="7" t="s">
        <v>76</v>
      </c>
      <c r="K1268" s="7" t="s">
        <v>69</v>
      </c>
      <c r="L1268" s="8">
        <v>76</v>
      </c>
      <c r="M1268" s="7" t="s">
        <v>70</v>
      </c>
      <c r="N1268" s="8">
        <v>70</v>
      </c>
      <c r="O1268" s="8">
        <v>1</v>
      </c>
      <c r="P1268" s="5">
        <v>3290.72</v>
      </c>
      <c r="Q1268" s="4">
        <v>45600</v>
      </c>
      <c r="R1268" s="9">
        <v>0.33989583333333334</v>
      </c>
      <c r="S1268" s="8">
        <v>18</v>
      </c>
      <c r="T1268" s="7" t="s">
        <v>4454</v>
      </c>
      <c r="U1268" s="7" t="s">
        <v>4455</v>
      </c>
      <c r="V12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69" spans="1:22" x14ac:dyDescent="0.35">
      <c r="A1269" s="7" t="s">
        <v>2982</v>
      </c>
      <c r="B1269" s="7" t="s">
        <v>1009</v>
      </c>
      <c r="C1269" s="5">
        <v>249.34</v>
      </c>
      <c r="D1269" s="2">
        <v>0.72346064815064892</v>
      </c>
      <c r="E1269" s="4">
        <v>45153</v>
      </c>
      <c r="F1269" s="7" t="s">
        <v>17</v>
      </c>
      <c r="G1269" s="7" t="s">
        <v>249</v>
      </c>
      <c r="H1269" s="7" t="s">
        <v>2029</v>
      </c>
      <c r="I1269" s="7" t="s">
        <v>394</v>
      </c>
      <c r="J1269" s="7" t="s">
        <v>769</v>
      </c>
      <c r="K1269" s="7" t="s">
        <v>22</v>
      </c>
      <c r="L1269" s="8">
        <v>26</v>
      </c>
      <c r="M1269" s="7" t="s">
        <v>77</v>
      </c>
      <c r="N1269" s="8">
        <v>197</v>
      </c>
      <c r="O1269" s="8">
        <v>1</v>
      </c>
      <c r="P1269" s="5">
        <v>3030.97</v>
      </c>
      <c r="Q1269" s="4">
        <v>45600</v>
      </c>
      <c r="R1269" s="9">
        <v>0.33885416666666668</v>
      </c>
      <c r="S1269" s="8">
        <v>17</v>
      </c>
      <c r="T1269" s="7" t="s">
        <v>4456</v>
      </c>
      <c r="U1269" s="7" t="s">
        <v>4455</v>
      </c>
      <c r="V12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70" spans="1:22" x14ac:dyDescent="0.35">
      <c r="A1270" s="7" t="s">
        <v>2983</v>
      </c>
      <c r="B1270" s="7" t="s">
        <v>284</v>
      </c>
      <c r="C1270" s="5">
        <v>421.52</v>
      </c>
      <c r="D1270" s="2">
        <v>0.73273148148291511</v>
      </c>
      <c r="E1270" s="4">
        <v>45153</v>
      </c>
      <c r="F1270" s="7" t="s">
        <v>17</v>
      </c>
      <c r="G1270" s="7" t="s">
        <v>223</v>
      </c>
      <c r="H1270" s="7" t="s">
        <v>2461</v>
      </c>
      <c r="I1270" s="7" t="s">
        <v>2984</v>
      </c>
      <c r="J1270" s="7" t="s">
        <v>331</v>
      </c>
      <c r="K1270" s="7" t="s">
        <v>69</v>
      </c>
      <c r="L1270" s="8">
        <v>20</v>
      </c>
      <c r="M1270" s="7" t="s">
        <v>37</v>
      </c>
      <c r="N1270" s="8">
        <v>67</v>
      </c>
      <c r="O1270" s="8">
        <v>1</v>
      </c>
      <c r="P1270" s="5">
        <v>369.86</v>
      </c>
      <c r="Q1270" s="4">
        <v>45600</v>
      </c>
      <c r="R1270" s="9">
        <v>0.34052083333333333</v>
      </c>
      <c r="S1270" s="8">
        <v>17</v>
      </c>
      <c r="T1270" s="7" t="s">
        <v>4456</v>
      </c>
      <c r="U1270" s="7" t="s">
        <v>4455</v>
      </c>
      <c r="V12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71" spans="1:22" x14ac:dyDescent="0.35">
      <c r="A1271" s="7" t="s">
        <v>2985</v>
      </c>
      <c r="B1271" s="7" t="s">
        <v>2986</v>
      </c>
      <c r="C1271" s="5">
        <v>189.77</v>
      </c>
      <c r="D1271" s="2">
        <v>0.67268518518540077</v>
      </c>
      <c r="E1271" s="4">
        <v>44984</v>
      </c>
      <c r="F1271" s="7" t="s">
        <v>17</v>
      </c>
      <c r="G1271" s="7" t="s">
        <v>40</v>
      </c>
      <c r="H1271" s="7" t="s">
        <v>2770</v>
      </c>
      <c r="I1271" s="7" t="s">
        <v>2527</v>
      </c>
      <c r="J1271" s="7" t="s">
        <v>1349</v>
      </c>
      <c r="K1271" s="7" t="s">
        <v>69</v>
      </c>
      <c r="L1271" s="8">
        <v>58</v>
      </c>
      <c r="M1271" s="7" t="s">
        <v>77</v>
      </c>
      <c r="N1271" s="8">
        <v>24</v>
      </c>
      <c r="O1271" s="8">
        <v>1</v>
      </c>
      <c r="P1271" s="5">
        <v>6570.36</v>
      </c>
      <c r="Q1271" s="4">
        <v>45600</v>
      </c>
      <c r="R1271" s="9">
        <v>0.34129629629629632</v>
      </c>
      <c r="S1271" s="8">
        <v>16</v>
      </c>
      <c r="T1271" s="7" t="s">
        <v>4454</v>
      </c>
      <c r="U1271" s="7" t="s">
        <v>4455</v>
      </c>
      <c r="V12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72" spans="1:22" x14ac:dyDescent="0.35">
      <c r="A1272" s="7" t="s">
        <v>2987</v>
      </c>
      <c r="B1272" s="7" t="s">
        <v>1902</v>
      </c>
      <c r="C1272" s="5">
        <v>73.19</v>
      </c>
      <c r="D1272" s="2">
        <v>0.68072916667006211</v>
      </c>
      <c r="E1272" s="4">
        <v>45217</v>
      </c>
      <c r="F1272" s="7" t="s">
        <v>17</v>
      </c>
      <c r="G1272" s="7" t="s">
        <v>47</v>
      </c>
      <c r="H1272" s="7" t="s">
        <v>2988</v>
      </c>
      <c r="I1272" s="7" t="s">
        <v>394</v>
      </c>
      <c r="J1272" s="7" t="s">
        <v>105</v>
      </c>
      <c r="K1272" s="7" t="s">
        <v>69</v>
      </c>
      <c r="L1272" s="8">
        <v>76</v>
      </c>
      <c r="M1272" s="7" t="s">
        <v>70</v>
      </c>
      <c r="N1272" s="8">
        <v>213</v>
      </c>
      <c r="O1272" s="8">
        <v>1</v>
      </c>
      <c r="P1272" s="5">
        <v>2264.98</v>
      </c>
      <c r="Q1272" s="4">
        <v>45600</v>
      </c>
      <c r="R1272" s="9">
        <v>0.34057870370370369</v>
      </c>
      <c r="S1272" s="8">
        <v>16</v>
      </c>
      <c r="T1272" s="7" t="s">
        <v>4454</v>
      </c>
      <c r="U1272" s="7" t="s">
        <v>4455</v>
      </c>
      <c r="V12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73" spans="1:22" x14ac:dyDescent="0.35">
      <c r="A1273" s="7" t="s">
        <v>2989</v>
      </c>
      <c r="B1273" s="7" t="s">
        <v>1528</v>
      </c>
      <c r="C1273" s="5">
        <v>188.13</v>
      </c>
      <c r="D1273" s="2">
        <v>0.75866898147796746</v>
      </c>
      <c r="E1273" s="4">
        <v>45079</v>
      </c>
      <c r="F1273" s="7" t="s">
        <v>46</v>
      </c>
      <c r="G1273" s="7" t="s">
        <v>392</v>
      </c>
      <c r="H1273" s="7" t="s">
        <v>2990</v>
      </c>
      <c r="I1273" s="7" t="s">
        <v>2391</v>
      </c>
      <c r="J1273" s="7" t="s">
        <v>50</v>
      </c>
      <c r="K1273" s="7" t="s">
        <v>36</v>
      </c>
      <c r="L1273" s="8">
        <v>75</v>
      </c>
      <c r="M1273" s="7" t="s">
        <v>70</v>
      </c>
      <c r="N1273" s="8">
        <v>198</v>
      </c>
      <c r="O1273" s="8">
        <v>1</v>
      </c>
      <c r="P1273" s="5">
        <v>5029.87</v>
      </c>
      <c r="Q1273" s="4">
        <v>45600</v>
      </c>
      <c r="R1273" s="9">
        <v>0.34037037037037038</v>
      </c>
      <c r="S1273" s="8">
        <v>18</v>
      </c>
      <c r="T1273" s="7" t="s">
        <v>4454</v>
      </c>
      <c r="U1273" s="7" t="s">
        <v>4455</v>
      </c>
      <c r="V12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74" spans="1:22" x14ac:dyDescent="0.35">
      <c r="A1274" s="7" t="s">
        <v>2991</v>
      </c>
      <c r="B1274" s="7" t="s">
        <v>1391</v>
      </c>
      <c r="C1274" s="5">
        <v>30.52</v>
      </c>
      <c r="D1274" s="2">
        <v>0.72152777777955635</v>
      </c>
      <c r="E1274" s="4">
        <v>45065</v>
      </c>
      <c r="F1274" s="7" t="s">
        <v>17</v>
      </c>
      <c r="G1274" s="7" t="s">
        <v>392</v>
      </c>
      <c r="H1274" s="7" t="s">
        <v>472</v>
      </c>
      <c r="I1274" s="7" t="s">
        <v>2061</v>
      </c>
      <c r="J1274" s="7" t="s">
        <v>262</v>
      </c>
      <c r="K1274" s="7" t="s">
        <v>69</v>
      </c>
      <c r="L1274" s="8">
        <v>62</v>
      </c>
      <c r="M1274" s="7" t="s">
        <v>23</v>
      </c>
      <c r="N1274" s="8">
        <v>122</v>
      </c>
      <c r="O1274" s="8">
        <v>1</v>
      </c>
      <c r="P1274" s="5">
        <v>12327.74</v>
      </c>
      <c r="Q1274" s="4">
        <v>45600</v>
      </c>
      <c r="R1274" s="9">
        <v>0.33840277777777777</v>
      </c>
      <c r="S1274" s="8">
        <v>17</v>
      </c>
      <c r="T1274" s="7" t="s">
        <v>4454</v>
      </c>
      <c r="U1274" s="7" t="s">
        <v>4455</v>
      </c>
      <c r="V12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75" spans="1:22" x14ac:dyDescent="0.35">
      <c r="A1275" s="7" t="s">
        <v>2992</v>
      </c>
      <c r="B1275" s="7" t="s">
        <v>1183</v>
      </c>
      <c r="C1275" s="5">
        <v>1235.69</v>
      </c>
      <c r="D1275" s="2">
        <v>0.67678240740497131</v>
      </c>
      <c r="E1275" s="4">
        <v>45070</v>
      </c>
      <c r="F1275" s="7" t="s">
        <v>46</v>
      </c>
      <c r="G1275" s="7" t="s">
        <v>223</v>
      </c>
      <c r="H1275" s="7" t="s">
        <v>1680</v>
      </c>
      <c r="I1275" s="7" t="s">
        <v>587</v>
      </c>
      <c r="J1275" s="7" t="s">
        <v>122</v>
      </c>
      <c r="K1275" s="7" t="s">
        <v>69</v>
      </c>
      <c r="L1275" s="8">
        <v>20</v>
      </c>
      <c r="M1275" s="7" t="s">
        <v>37</v>
      </c>
      <c r="N1275" s="8">
        <v>118</v>
      </c>
      <c r="O1275" s="8">
        <v>1</v>
      </c>
      <c r="P1275" s="5">
        <v>420.25</v>
      </c>
      <c r="Q1275" s="4">
        <v>45600</v>
      </c>
      <c r="R1275" s="9">
        <v>0.33983796296296298</v>
      </c>
      <c r="S1275" s="8">
        <v>16</v>
      </c>
      <c r="T1275" s="7" t="s">
        <v>4456</v>
      </c>
      <c r="U1275" s="7" t="s">
        <v>4455</v>
      </c>
      <c r="V12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76" spans="1:22" x14ac:dyDescent="0.35">
      <c r="A1276" s="7" t="s">
        <v>2993</v>
      </c>
      <c r="B1276" s="7" t="s">
        <v>1617</v>
      </c>
      <c r="C1276" s="5">
        <v>1159.3900000000001</v>
      </c>
      <c r="D1276" s="2">
        <v>0.68737268518452765</v>
      </c>
      <c r="E1276" s="4">
        <v>45211</v>
      </c>
      <c r="F1276" s="7" t="s">
        <v>17</v>
      </c>
      <c r="G1276" s="7" t="s">
        <v>53</v>
      </c>
      <c r="H1276" s="7" t="s">
        <v>2503</v>
      </c>
      <c r="I1276" s="7" t="s">
        <v>257</v>
      </c>
      <c r="J1276" s="7" t="s">
        <v>50</v>
      </c>
      <c r="K1276" s="7" t="s">
        <v>36</v>
      </c>
      <c r="L1276" s="8">
        <v>41</v>
      </c>
      <c r="M1276" s="7" t="s">
        <v>23</v>
      </c>
      <c r="N1276" s="8">
        <v>150</v>
      </c>
      <c r="O1276" s="8">
        <v>1</v>
      </c>
      <c r="P1276" s="5">
        <v>6499.53</v>
      </c>
      <c r="Q1276" s="4">
        <v>45600</v>
      </c>
      <c r="R1276" s="9">
        <v>0.33781250000000002</v>
      </c>
      <c r="S1276" s="8">
        <v>16</v>
      </c>
      <c r="T1276" s="7" t="s">
        <v>4457</v>
      </c>
      <c r="U1276" s="7" t="s">
        <v>4455</v>
      </c>
      <c r="V12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77" spans="1:22" x14ac:dyDescent="0.35">
      <c r="A1277" s="7" t="s">
        <v>2994</v>
      </c>
      <c r="B1277" s="7" t="s">
        <v>2995</v>
      </c>
      <c r="C1277" s="5">
        <v>170.24</v>
      </c>
      <c r="D1277" s="2">
        <v>0.6834722222192795</v>
      </c>
      <c r="E1277" s="4">
        <v>45082</v>
      </c>
      <c r="F1277" s="7" t="s">
        <v>17</v>
      </c>
      <c r="G1277" s="7" t="s">
        <v>212</v>
      </c>
      <c r="H1277" s="7" t="s">
        <v>798</v>
      </c>
      <c r="I1277" s="7" t="s">
        <v>2273</v>
      </c>
      <c r="J1277" s="7" t="s">
        <v>1345</v>
      </c>
      <c r="K1277" s="7" t="s">
        <v>69</v>
      </c>
      <c r="L1277" s="8">
        <v>62</v>
      </c>
      <c r="M1277" s="7" t="s">
        <v>70</v>
      </c>
      <c r="N1277" s="8">
        <v>133</v>
      </c>
      <c r="O1277" s="8">
        <v>1</v>
      </c>
      <c r="P1277" s="5">
        <v>5172.99</v>
      </c>
      <c r="Q1277" s="4">
        <v>45600</v>
      </c>
      <c r="R1277" s="9">
        <v>0.33893518518518517</v>
      </c>
      <c r="S1277" s="8">
        <v>16</v>
      </c>
      <c r="T1277" s="7" t="s">
        <v>4454</v>
      </c>
      <c r="U1277" s="7" t="s">
        <v>4455</v>
      </c>
      <c r="V12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78" spans="1:22" x14ac:dyDescent="0.35">
      <c r="A1278" s="7" t="s">
        <v>2996</v>
      </c>
      <c r="B1278" s="7" t="s">
        <v>965</v>
      </c>
      <c r="C1278" s="5">
        <v>56.62</v>
      </c>
      <c r="D1278" s="2">
        <v>0.74972222222277196</v>
      </c>
      <c r="E1278" s="4">
        <v>44984</v>
      </c>
      <c r="F1278" s="7" t="s">
        <v>17</v>
      </c>
      <c r="G1278" s="7" t="s">
        <v>119</v>
      </c>
      <c r="H1278" s="7" t="s">
        <v>2997</v>
      </c>
      <c r="I1278" s="7" t="s">
        <v>2609</v>
      </c>
      <c r="J1278" s="7" t="s">
        <v>853</v>
      </c>
      <c r="K1278" s="7" t="s">
        <v>69</v>
      </c>
      <c r="L1278" s="8">
        <v>54</v>
      </c>
      <c r="M1278" s="7" t="s">
        <v>23</v>
      </c>
      <c r="N1278" s="8">
        <v>121</v>
      </c>
      <c r="O1278" s="8">
        <v>1</v>
      </c>
      <c r="P1278" s="5">
        <v>8981.1</v>
      </c>
      <c r="Q1278" s="4">
        <v>45600</v>
      </c>
      <c r="R1278" s="9">
        <v>0.33940972222222221</v>
      </c>
      <c r="S1278" s="8">
        <v>17</v>
      </c>
      <c r="T1278" s="7" t="s">
        <v>4457</v>
      </c>
      <c r="U1278" s="7" t="s">
        <v>4455</v>
      </c>
      <c r="V12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79" spans="1:22" x14ac:dyDescent="0.35">
      <c r="A1279" s="7" t="s">
        <v>2998</v>
      </c>
      <c r="B1279" s="7" t="s">
        <v>1700</v>
      </c>
      <c r="C1279" s="5">
        <v>53.14</v>
      </c>
      <c r="D1279" s="2">
        <v>0.72217592592642177</v>
      </c>
      <c r="E1279" s="4">
        <v>45037</v>
      </c>
      <c r="F1279" s="7" t="s">
        <v>17</v>
      </c>
      <c r="G1279" s="7" t="s">
        <v>146</v>
      </c>
      <c r="H1279" s="7" t="s">
        <v>1924</v>
      </c>
      <c r="I1279" s="7" t="s">
        <v>2999</v>
      </c>
      <c r="J1279" s="7" t="s">
        <v>619</v>
      </c>
      <c r="K1279" s="7" t="s">
        <v>22</v>
      </c>
      <c r="L1279" s="8">
        <v>34</v>
      </c>
      <c r="M1279" s="7" t="s">
        <v>23</v>
      </c>
      <c r="N1279" s="8">
        <v>70</v>
      </c>
      <c r="O1279" s="8">
        <v>1</v>
      </c>
      <c r="P1279" s="5">
        <v>7915</v>
      </c>
      <c r="Q1279" s="4">
        <v>45600</v>
      </c>
      <c r="R1279" s="9">
        <v>0.33836805555555555</v>
      </c>
      <c r="S1279" s="8">
        <v>17</v>
      </c>
      <c r="T1279" s="7" t="s">
        <v>4456</v>
      </c>
      <c r="U1279" s="7" t="s">
        <v>4455</v>
      </c>
      <c r="V12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0" spans="1:22" x14ac:dyDescent="0.35">
      <c r="A1280" s="7" t="s">
        <v>3000</v>
      </c>
      <c r="B1280" s="7" t="s">
        <v>2133</v>
      </c>
      <c r="C1280" s="5">
        <v>587.23</v>
      </c>
      <c r="D1280" s="2">
        <v>0.74615740740409819</v>
      </c>
      <c r="E1280" s="4">
        <v>45138</v>
      </c>
      <c r="F1280" s="7" t="s">
        <v>17</v>
      </c>
      <c r="G1280" s="7" t="s">
        <v>296</v>
      </c>
      <c r="H1280" s="7" t="s">
        <v>2773</v>
      </c>
      <c r="I1280" s="7" t="s">
        <v>1098</v>
      </c>
      <c r="J1280" s="7" t="s">
        <v>83</v>
      </c>
      <c r="K1280" s="7" t="s">
        <v>36</v>
      </c>
      <c r="L1280" s="8">
        <v>27</v>
      </c>
      <c r="M1280" s="7" t="s">
        <v>37</v>
      </c>
      <c r="N1280" s="8">
        <v>144</v>
      </c>
      <c r="O1280" s="8">
        <v>1</v>
      </c>
      <c r="P1280" s="5">
        <v>500.84</v>
      </c>
      <c r="Q1280" s="4">
        <v>45600</v>
      </c>
      <c r="R1280" s="9">
        <v>0.33982638888888889</v>
      </c>
      <c r="S1280" s="8">
        <v>17</v>
      </c>
      <c r="T1280" s="7" t="s">
        <v>4456</v>
      </c>
      <c r="U1280" s="7" t="s">
        <v>4455</v>
      </c>
      <c r="V12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1" spans="1:22" x14ac:dyDescent="0.35">
      <c r="A1281" s="7" t="s">
        <v>3001</v>
      </c>
      <c r="B1281" s="7" t="s">
        <v>452</v>
      </c>
      <c r="C1281" s="5">
        <v>146.15</v>
      </c>
      <c r="D1281" s="2">
        <v>0.74457175925635966</v>
      </c>
      <c r="E1281" s="4">
        <v>44932</v>
      </c>
      <c r="F1281" s="7" t="s">
        <v>17</v>
      </c>
      <c r="G1281" s="7" t="s">
        <v>425</v>
      </c>
      <c r="H1281" s="7" t="s">
        <v>1148</v>
      </c>
      <c r="I1281" s="7" t="s">
        <v>1018</v>
      </c>
      <c r="J1281" s="7" t="s">
        <v>634</v>
      </c>
      <c r="K1281" s="7" t="s">
        <v>69</v>
      </c>
      <c r="L1281" s="8">
        <v>43</v>
      </c>
      <c r="M1281" s="7" t="s">
        <v>23</v>
      </c>
      <c r="N1281" s="8">
        <v>75</v>
      </c>
      <c r="O1281" s="8">
        <v>1</v>
      </c>
      <c r="P1281" s="5">
        <v>13784.4</v>
      </c>
      <c r="Q1281" s="4">
        <v>45600</v>
      </c>
      <c r="R1281" s="9">
        <v>0.33818287037037037</v>
      </c>
      <c r="S1281" s="8">
        <v>17</v>
      </c>
      <c r="T1281" s="7" t="s">
        <v>4457</v>
      </c>
      <c r="U1281" s="7" t="s">
        <v>4455</v>
      </c>
      <c r="V12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2" spans="1:22" x14ac:dyDescent="0.35">
      <c r="A1282" s="7" t="s">
        <v>3002</v>
      </c>
      <c r="B1282" s="7" t="s">
        <v>1176</v>
      </c>
      <c r="C1282" s="5">
        <v>21.27</v>
      </c>
      <c r="D1282" s="2">
        <v>0.70924768518307246</v>
      </c>
      <c r="E1282" s="4">
        <v>45131</v>
      </c>
      <c r="F1282" s="7" t="s">
        <v>46</v>
      </c>
      <c r="G1282" s="7" t="s">
        <v>65</v>
      </c>
      <c r="H1282" s="7" t="s">
        <v>1510</v>
      </c>
      <c r="I1282" s="7" t="s">
        <v>1852</v>
      </c>
      <c r="J1282" s="7" t="s">
        <v>272</v>
      </c>
      <c r="K1282" s="7" t="s">
        <v>36</v>
      </c>
      <c r="L1282" s="8">
        <v>62</v>
      </c>
      <c r="M1282" s="7" t="s">
        <v>70</v>
      </c>
      <c r="N1282" s="8">
        <v>114</v>
      </c>
      <c r="O1282" s="8">
        <v>1</v>
      </c>
      <c r="P1282" s="5">
        <v>7392.79</v>
      </c>
      <c r="Q1282" s="4">
        <v>45600</v>
      </c>
      <c r="R1282" s="9">
        <v>0.34020833333333333</v>
      </c>
      <c r="S1282" s="8">
        <v>17</v>
      </c>
      <c r="T1282" s="7" t="s">
        <v>4454</v>
      </c>
      <c r="U1282" s="7" t="s">
        <v>4455</v>
      </c>
      <c r="V12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3" spans="1:22" x14ac:dyDescent="0.35">
      <c r="A1283" s="7" t="s">
        <v>3003</v>
      </c>
      <c r="B1283" s="7" t="s">
        <v>16</v>
      </c>
      <c r="C1283" s="5">
        <v>1397.59</v>
      </c>
      <c r="D1283" s="2">
        <v>0.72791666666307719</v>
      </c>
      <c r="E1283" s="4">
        <v>45243</v>
      </c>
      <c r="F1283" s="7" t="s">
        <v>46</v>
      </c>
      <c r="G1283" s="7" t="s">
        <v>119</v>
      </c>
      <c r="H1283" s="7" t="s">
        <v>2106</v>
      </c>
      <c r="I1283" s="7" t="s">
        <v>3004</v>
      </c>
      <c r="J1283" s="7" t="s">
        <v>68</v>
      </c>
      <c r="K1283" s="7" t="s">
        <v>22</v>
      </c>
      <c r="L1283" s="8">
        <v>26</v>
      </c>
      <c r="M1283" s="7" t="s">
        <v>37</v>
      </c>
      <c r="N1283" s="8">
        <v>144</v>
      </c>
      <c r="O1283" s="8">
        <v>1</v>
      </c>
      <c r="P1283" s="5">
        <v>1134.79</v>
      </c>
      <c r="Q1283" s="4">
        <v>45600</v>
      </c>
      <c r="R1283" s="9">
        <v>0.33793981481481483</v>
      </c>
      <c r="S1283" s="8">
        <v>17</v>
      </c>
      <c r="T1283" s="7" t="s">
        <v>4456</v>
      </c>
      <c r="U1283" s="7" t="s">
        <v>4455</v>
      </c>
      <c r="V12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4" spans="1:22" x14ac:dyDescent="0.35">
      <c r="A1284" s="7" t="s">
        <v>3005</v>
      </c>
      <c r="B1284" s="7" t="s">
        <v>3006</v>
      </c>
      <c r="C1284" s="5">
        <v>76.02</v>
      </c>
      <c r="D1284" s="2">
        <v>0.70714120370394085</v>
      </c>
      <c r="E1284" s="4">
        <v>45119</v>
      </c>
      <c r="F1284" s="7" t="s">
        <v>46</v>
      </c>
      <c r="G1284" s="7" t="s">
        <v>86</v>
      </c>
      <c r="H1284" s="7" t="s">
        <v>2357</v>
      </c>
      <c r="I1284" s="7" t="s">
        <v>3007</v>
      </c>
      <c r="J1284" s="7" t="s">
        <v>343</v>
      </c>
      <c r="K1284" s="7" t="s">
        <v>36</v>
      </c>
      <c r="L1284" s="8">
        <v>34</v>
      </c>
      <c r="M1284" s="7" t="s">
        <v>23</v>
      </c>
      <c r="N1284" s="8">
        <v>189</v>
      </c>
      <c r="O1284" s="8">
        <v>1</v>
      </c>
      <c r="P1284" s="5">
        <v>14765.41</v>
      </c>
      <c r="Q1284" s="4">
        <v>45600</v>
      </c>
      <c r="R1284" s="9">
        <v>0.34156249999999999</v>
      </c>
      <c r="S1284" s="8">
        <v>16</v>
      </c>
      <c r="T1284" s="7" t="s">
        <v>4456</v>
      </c>
      <c r="U1284" s="7" t="s">
        <v>4455</v>
      </c>
      <c r="V12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85" spans="1:22" x14ac:dyDescent="0.35">
      <c r="A1285" s="7" t="s">
        <v>3008</v>
      </c>
      <c r="B1285" s="7" t="s">
        <v>1385</v>
      </c>
      <c r="C1285" s="5">
        <v>170.19</v>
      </c>
      <c r="D1285" s="2">
        <v>0.73678240740991896</v>
      </c>
      <c r="E1285" s="4">
        <v>45114</v>
      </c>
      <c r="F1285" s="7" t="s">
        <v>46</v>
      </c>
      <c r="G1285" s="7" t="s">
        <v>140</v>
      </c>
      <c r="H1285" s="7" t="s">
        <v>2916</v>
      </c>
      <c r="I1285" s="7" t="s">
        <v>751</v>
      </c>
      <c r="J1285" s="7" t="s">
        <v>543</v>
      </c>
      <c r="K1285" s="7" t="s">
        <v>69</v>
      </c>
      <c r="L1285" s="8">
        <v>27</v>
      </c>
      <c r="M1285" s="7" t="s">
        <v>37</v>
      </c>
      <c r="N1285" s="8">
        <v>156</v>
      </c>
      <c r="O1285" s="8">
        <v>5</v>
      </c>
      <c r="P1285" s="5">
        <v>745.87</v>
      </c>
      <c r="Q1285" s="4">
        <v>45600</v>
      </c>
      <c r="R1285" s="9">
        <v>0.34185185185185185</v>
      </c>
      <c r="S1285" s="8">
        <v>17</v>
      </c>
      <c r="T1285" s="7" t="s">
        <v>4456</v>
      </c>
      <c r="U1285" s="7" t="s">
        <v>4458</v>
      </c>
      <c r="V12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6" spans="1:22" x14ac:dyDescent="0.35">
      <c r="A1286" s="7" t="s">
        <v>3009</v>
      </c>
      <c r="B1286" s="7" t="s">
        <v>1736</v>
      </c>
      <c r="C1286" s="5">
        <v>155.51</v>
      </c>
      <c r="D1286" s="2">
        <v>0.78548611111182254</v>
      </c>
      <c r="E1286" s="4">
        <v>45159</v>
      </c>
      <c r="F1286" s="7" t="s">
        <v>17</v>
      </c>
      <c r="G1286" s="7" t="s">
        <v>40</v>
      </c>
      <c r="H1286" s="7" t="s">
        <v>1429</v>
      </c>
      <c r="I1286" s="7" t="s">
        <v>1467</v>
      </c>
      <c r="J1286" s="7" t="s">
        <v>427</v>
      </c>
      <c r="K1286" s="7" t="s">
        <v>22</v>
      </c>
      <c r="L1286" s="8">
        <v>68</v>
      </c>
      <c r="M1286" s="7" t="s">
        <v>23</v>
      </c>
      <c r="N1286" s="8">
        <v>15</v>
      </c>
      <c r="O1286" s="8">
        <v>1</v>
      </c>
      <c r="P1286" s="5">
        <v>5360.19</v>
      </c>
      <c r="Q1286" s="4">
        <v>45600</v>
      </c>
      <c r="R1286" s="9">
        <v>0.33915509259259258</v>
      </c>
      <c r="S1286" s="8">
        <v>18</v>
      </c>
      <c r="T1286" s="7" t="s">
        <v>4454</v>
      </c>
      <c r="U1286" s="7" t="s">
        <v>4455</v>
      </c>
      <c r="V12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7" spans="1:22" x14ac:dyDescent="0.35">
      <c r="A1287" s="7" t="s">
        <v>3010</v>
      </c>
      <c r="B1287" s="7" t="s">
        <v>2297</v>
      </c>
      <c r="C1287" s="5">
        <v>135.15</v>
      </c>
      <c r="D1287" s="2">
        <v>0.71746527777577285</v>
      </c>
      <c r="E1287" s="4">
        <v>45005</v>
      </c>
      <c r="F1287" s="7" t="s">
        <v>17</v>
      </c>
      <c r="G1287" s="7" t="s">
        <v>521</v>
      </c>
      <c r="H1287" s="7" t="s">
        <v>3011</v>
      </c>
      <c r="I1287" s="7" t="s">
        <v>261</v>
      </c>
      <c r="J1287" s="7" t="s">
        <v>740</v>
      </c>
      <c r="K1287" s="7" t="s">
        <v>36</v>
      </c>
      <c r="L1287" s="8">
        <v>72</v>
      </c>
      <c r="M1287" s="7" t="s">
        <v>70</v>
      </c>
      <c r="N1287" s="8">
        <v>50</v>
      </c>
      <c r="O1287" s="8">
        <v>1</v>
      </c>
      <c r="P1287" s="5">
        <v>5878.14</v>
      </c>
      <c r="Q1287" s="4">
        <v>45600</v>
      </c>
      <c r="R1287" s="9">
        <v>0.34070601851851851</v>
      </c>
      <c r="S1287" s="8">
        <v>17</v>
      </c>
      <c r="T1287" s="7" t="s">
        <v>4454</v>
      </c>
      <c r="U1287" s="7" t="s">
        <v>4455</v>
      </c>
      <c r="V12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88" spans="1:22" x14ac:dyDescent="0.35">
      <c r="A1288" s="7" t="s">
        <v>3012</v>
      </c>
      <c r="B1288" s="7" t="s">
        <v>801</v>
      </c>
      <c r="C1288" s="5">
        <v>39.479999999999997</v>
      </c>
      <c r="D1288" s="2">
        <v>0.69989583333517658</v>
      </c>
      <c r="E1288" s="4">
        <v>45072</v>
      </c>
      <c r="F1288" s="7" t="s">
        <v>17</v>
      </c>
      <c r="G1288" s="7" t="s">
        <v>296</v>
      </c>
      <c r="H1288" s="7" t="s">
        <v>365</v>
      </c>
      <c r="I1288" s="7" t="s">
        <v>185</v>
      </c>
      <c r="J1288" s="7" t="s">
        <v>111</v>
      </c>
      <c r="K1288" s="7" t="s">
        <v>22</v>
      </c>
      <c r="L1288" s="8">
        <v>56</v>
      </c>
      <c r="M1288" s="7" t="s">
        <v>70</v>
      </c>
      <c r="N1288" s="8">
        <v>38</v>
      </c>
      <c r="O1288" s="8">
        <v>1</v>
      </c>
      <c r="P1288" s="5">
        <v>5889.51</v>
      </c>
      <c r="Q1288" s="4">
        <v>45600</v>
      </c>
      <c r="R1288" s="9">
        <v>0.34155092592592595</v>
      </c>
      <c r="S1288" s="8">
        <v>16</v>
      </c>
      <c r="T1288" s="7" t="s">
        <v>4454</v>
      </c>
      <c r="U1288" s="7" t="s">
        <v>4455</v>
      </c>
      <c r="V12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89" spans="1:22" x14ac:dyDescent="0.35">
      <c r="A1289" s="7" t="s">
        <v>3013</v>
      </c>
      <c r="B1289" s="7" t="s">
        <v>1327</v>
      </c>
      <c r="C1289" s="5">
        <v>451.68</v>
      </c>
      <c r="D1289" s="2">
        <v>0.78856481481489027</v>
      </c>
      <c r="E1289" s="4">
        <v>45034</v>
      </c>
      <c r="F1289" s="7" t="s">
        <v>17</v>
      </c>
      <c r="G1289" s="7" t="s">
        <v>26</v>
      </c>
      <c r="H1289" s="7" t="s">
        <v>1379</v>
      </c>
      <c r="I1289" s="7" t="s">
        <v>699</v>
      </c>
      <c r="J1289" s="7" t="s">
        <v>831</v>
      </c>
      <c r="K1289" s="7" t="s">
        <v>36</v>
      </c>
      <c r="L1289" s="8">
        <v>33</v>
      </c>
      <c r="M1289" s="7" t="s">
        <v>77</v>
      </c>
      <c r="N1289" s="8">
        <v>15</v>
      </c>
      <c r="O1289" s="8">
        <v>1</v>
      </c>
      <c r="P1289" s="5">
        <v>4381.54</v>
      </c>
      <c r="Q1289" s="4">
        <v>45600</v>
      </c>
      <c r="R1289" s="9">
        <v>0.34017361111111111</v>
      </c>
      <c r="S1289" s="8">
        <v>18</v>
      </c>
      <c r="T1289" s="7" t="s">
        <v>4456</v>
      </c>
      <c r="U1289" s="7" t="s">
        <v>4455</v>
      </c>
      <c r="V12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90" spans="1:22" x14ac:dyDescent="0.35">
      <c r="A1290" s="7" t="s">
        <v>3014</v>
      </c>
      <c r="B1290" s="7" t="s">
        <v>561</v>
      </c>
      <c r="C1290" s="5">
        <v>19.11</v>
      </c>
      <c r="D1290" s="2">
        <v>0.68822916666977108</v>
      </c>
      <c r="E1290" s="4">
        <v>45187</v>
      </c>
      <c r="F1290" s="7" t="s">
        <v>46</v>
      </c>
      <c r="G1290" s="7" t="s">
        <v>521</v>
      </c>
      <c r="H1290" s="7" t="s">
        <v>1774</v>
      </c>
      <c r="I1290" s="7" t="s">
        <v>1007</v>
      </c>
      <c r="J1290" s="7" t="s">
        <v>83</v>
      </c>
      <c r="K1290" s="7" t="s">
        <v>36</v>
      </c>
      <c r="L1290" s="8">
        <v>49</v>
      </c>
      <c r="M1290" s="7" t="s">
        <v>77</v>
      </c>
      <c r="N1290" s="8">
        <v>160</v>
      </c>
      <c r="O1290" s="8">
        <v>1</v>
      </c>
      <c r="P1290" s="5">
        <v>8478.4599999999991</v>
      </c>
      <c r="Q1290" s="4">
        <v>45600</v>
      </c>
      <c r="R1290" s="9">
        <v>0.34149305555555554</v>
      </c>
      <c r="S1290" s="8">
        <v>16</v>
      </c>
      <c r="T1290" s="7" t="s">
        <v>4457</v>
      </c>
      <c r="U1290" s="7" t="s">
        <v>4455</v>
      </c>
      <c r="V12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91" spans="1:22" x14ac:dyDescent="0.35">
      <c r="A1291" s="7" t="s">
        <v>3015</v>
      </c>
      <c r="B1291" s="7" t="s">
        <v>3016</v>
      </c>
      <c r="C1291" s="5">
        <v>355</v>
      </c>
      <c r="D1291" s="2">
        <v>0.70158564814482816</v>
      </c>
      <c r="E1291" s="4">
        <v>45167</v>
      </c>
      <c r="F1291" s="7" t="s">
        <v>46</v>
      </c>
      <c r="G1291" s="7" t="s">
        <v>157</v>
      </c>
      <c r="H1291" s="7" t="s">
        <v>626</v>
      </c>
      <c r="I1291" s="7" t="s">
        <v>2510</v>
      </c>
      <c r="J1291" s="7" t="s">
        <v>200</v>
      </c>
      <c r="K1291" s="7" t="s">
        <v>36</v>
      </c>
      <c r="L1291" s="8">
        <v>26</v>
      </c>
      <c r="M1291" s="7" t="s">
        <v>37</v>
      </c>
      <c r="N1291" s="8">
        <v>33</v>
      </c>
      <c r="O1291" s="8">
        <v>1</v>
      </c>
      <c r="P1291" s="5">
        <v>185.47</v>
      </c>
      <c r="Q1291" s="4">
        <v>45600</v>
      </c>
      <c r="R1291" s="9">
        <v>0.34067129629629628</v>
      </c>
      <c r="S1291" s="8">
        <v>16</v>
      </c>
      <c r="T1291" s="7" t="s">
        <v>4456</v>
      </c>
      <c r="U1291" s="7" t="s">
        <v>4455</v>
      </c>
      <c r="V12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92" spans="1:22" x14ac:dyDescent="0.35">
      <c r="A1292" s="7" t="s">
        <v>3017</v>
      </c>
      <c r="B1292" s="7" t="s">
        <v>525</v>
      </c>
      <c r="C1292" s="5">
        <v>427.69</v>
      </c>
      <c r="D1292" s="2">
        <v>0.6680902777807205</v>
      </c>
      <c r="E1292" s="4">
        <v>45013</v>
      </c>
      <c r="F1292" s="7" t="s">
        <v>17</v>
      </c>
      <c r="G1292" s="7" t="s">
        <v>40</v>
      </c>
      <c r="H1292" s="7" t="s">
        <v>2824</v>
      </c>
      <c r="I1292" s="7" t="s">
        <v>75</v>
      </c>
      <c r="J1292" s="7" t="s">
        <v>769</v>
      </c>
      <c r="K1292" s="7" t="s">
        <v>22</v>
      </c>
      <c r="L1292" s="8">
        <v>43</v>
      </c>
      <c r="M1292" s="7" t="s">
        <v>77</v>
      </c>
      <c r="N1292" s="8">
        <v>236</v>
      </c>
      <c r="O1292" s="8">
        <v>1</v>
      </c>
      <c r="P1292" s="5">
        <v>2443.54</v>
      </c>
      <c r="Q1292" s="4">
        <v>45600</v>
      </c>
      <c r="R1292" s="9">
        <v>0.34158564814814812</v>
      </c>
      <c r="S1292" s="8">
        <v>16</v>
      </c>
      <c r="T1292" s="7" t="s">
        <v>4457</v>
      </c>
      <c r="U1292" s="7" t="s">
        <v>4455</v>
      </c>
      <c r="V12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93" spans="1:22" x14ac:dyDescent="0.35">
      <c r="A1293" s="7" t="s">
        <v>3018</v>
      </c>
      <c r="B1293" s="7" t="s">
        <v>716</v>
      </c>
      <c r="C1293" s="5">
        <v>254.86</v>
      </c>
      <c r="D1293" s="2">
        <v>0.72344907407386927</v>
      </c>
      <c r="E1293" s="4">
        <v>44952</v>
      </c>
      <c r="F1293" s="7" t="s">
        <v>17</v>
      </c>
      <c r="G1293" s="7" t="s">
        <v>388</v>
      </c>
      <c r="H1293" s="7" t="s">
        <v>3019</v>
      </c>
      <c r="I1293" s="7" t="s">
        <v>1523</v>
      </c>
      <c r="J1293" s="7" t="s">
        <v>759</v>
      </c>
      <c r="K1293" s="7" t="s">
        <v>69</v>
      </c>
      <c r="L1293" s="8">
        <v>23</v>
      </c>
      <c r="M1293" s="7" t="s">
        <v>37</v>
      </c>
      <c r="N1293" s="8">
        <v>102</v>
      </c>
      <c r="O1293" s="8">
        <v>1</v>
      </c>
      <c r="P1293" s="5">
        <v>699.9</v>
      </c>
      <c r="Q1293" s="4">
        <v>45600</v>
      </c>
      <c r="R1293" s="9">
        <v>0.34142361111111114</v>
      </c>
      <c r="S1293" s="8">
        <v>17</v>
      </c>
      <c r="T1293" s="7" t="s">
        <v>4456</v>
      </c>
      <c r="U1293" s="7" t="s">
        <v>4455</v>
      </c>
      <c r="V12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94" spans="1:22" x14ac:dyDescent="0.35">
      <c r="A1294" s="7" t="s">
        <v>3020</v>
      </c>
      <c r="B1294" s="7" t="s">
        <v>1765</v>
      </c>
      <c r="C1294" s="5">
        <v>19.48</v>
      </c>
      <c r="D1294" s="2">
        <v>0.66739583333401242</v>
      </c>
      <c r="E1294" s="4">
        <v>45117</v>
      </c>
      <c r="F1294" s="7" t="s">
        <v>17</v>
      </c>
      <c r="G1294" s="7" t="s">
        <v>323</v>
      </c>
      <c r="H1294" s="7" t="s">
        <v>2170</v>
      </c>
      <c r="I1294" s="7" t="s">
        <v>1669</v>
      </c>
      <c r="J1294" s="7" t="s">
        <v>43</v>
      </c>
      <c r="K1294" s="7" t="s">
        <v>22</v>
      </c>
      <c r="L1294" s="8">
        <v>27</v>
      </c>
      <c r="M1294" s="7" t="s">
        <v>77</v>
      </c>
      <c r="N1294" s="8">
        <v>114</v>
      </c>
      <c r="O1294" s="8">
        <v>1</v>
      </c>
      <c r="P1294" s="5">
        <v>4739.59</v>
      </c>
      <c r="Q1294" s="4">
        <v>45600</v>
      </c>
      <c r="R1294" s="9">
        <v>0.3394212962962963</v>
      </c>
      <c r="S1294" s="8">
        <v>16</v>
      </c>
      <c r="T1294" s="7" t="s">
        <v>4456</v>
      </c>
      <c r="U1294" s="7" t="s">
        <v>4455</v>
      </c>
      <c r="V12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95" spans="1:22" x14ac:dyDescent="0.35">
      <c r="A1295" s="7" t="s">
        <v>3021</v>
      </c>
      <c r="B1295" s="7" t="s">
        <v>1221</v>
      </c>
      <c r="C1295" s="5">
        <v>190.17</v>
      </c>
      <c r="D1295" s="2">
        <v>0.736956018517958</v>
      </c>
      <c r="E1295" s="4">
        <v>45086</v>
      </c>
      <c r="F1295" s="7" t="s">
        <v>17</v>
      </c>
      <c r="G1295" s="7" t="s">
        <v>197</v>
      </c>
      <c r="H1295" s="7" t="s">
        <v>1947</v>
      </c>
      <c r="I1295" s="7" t="s">
        <v>3022</v>
      </c>
      <c r="J1295" s="7" t="s">
        <v>169</v>
      </c>
      <c r="K1295" s="7" t="s">
        <v>22</v>
      </c>
      <c r="L1295" s="8">
        <v>49</v>
      </c>
      <c r="M1295" s="7" t="s">
        <v>23</v>
      </c>
      <c r="N1295" s="8">
        <v>265</v>
      </c>
      <c r="O1295" s="8">
        <v>1</v>
      </c>
      <c r="P1295" s="5">
        <v>12893.85</v>
      </c>
      <c r="Q1295" s="4">
        <v>45600</v>
      </c>
      <c r="R1295" s="9">
        <v>0.33944444444444444</v>
      </c>
      <c r="S1295" s="8">
        <v>17</v>
      </c>
      <c r="T1295" s="7" t="s">
        <v>4457</v>
      </c>
      <c r="U1295" s="7" t="s">
        <v>4455</v>
      </c>
      <c r="V12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96" spans="1:22" x14ac:dyDescent="0.35">
      <c r="A1296" s="7" t="s">
        <v>3023</v>
      </c>
      <c r="B1296" s="7" t="s">
        <v>1620</v>
      </c>
      <c r="C1296" s="5">
        <v>91.38</v>
      </c>
      <c r="D1296" s="2">
        <v>0.69568287036963739</v>
      </c>
      <c r="E1296" s="4">
        <v>45019</v>
      </c>
      <c r="F1296" s="7" t="s">
        <v>17</v>
      </c>
      <c r="G1296" s="7" t="s">
        <v>392</v>
      </c>
      <c r="H1296" s="7" t="s">
        <v>998</v>
      </c>
      <c r="I1296" s="7" t="s">
        <v>673</v>
      </c>
      <c r="J1296" s="7" t="s">
        <v>759</v>
      </c>
      <c r="K1296" s="7" t="s">
        <v>22</v>
      </c>
      <c r="L1296" s="8">
        <v>65</v>
      </c>
      <c r="M1296" s="7" t="s">
        <v>70</v>
      </c>
      <c r="N1296" s="8">
        <v>179</v>
      </c>
      <c r="O1296" s="8">
        <v>1</v>
      </c>
      <c r="P1296" s="5">
        <v>2402.58</v>
      </c>
      <c r="Q1296" s="4">
        <v>45600</v>
      </c>
      <c r="R1296" s="9">
        <v>0.33795138888888887</v>
      </c>
      <c r="S1296" s="8">
        <v>16</v>
      </c>
      <c r="T1296" s="7" t="s">
        <v>4454</v>
      </c>
      <c r="U1296" s="7" t="s">
        <v>4455</v>
      </c>
      <c r="V12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97" spans="1:22" x14ac:dyDescent="0.35">
      <c r="A1297" s="7" t="s">
        <v>3024</v>
      </c>
      <c r="B1297" s="7" t="s">
        <v>777</v>
      </c>
      <c r="C1297" s="5">
        <v>206.63</v>
      </c>
      <c r="D1297" s="2">
        <v>0.67431712963298196</v>
      </c>
      <c r="E1297" s="4">
        <v>45267</v>
      </c>
      <c r="F1297" s="7" t="s">
        <v>46</v>
      </c>
      <c r="G1297" s="7" t="s">
        <v>53</v>
      </c>
      <c r="H1297" s="7" t="s">
        <v>3025</v>
      </c>
      <c r="I1297" s="7" t="s">
        <v>1960</v>
      </c>
      <c r="J1297" s="7" t="s">
        <v>282</v>
      </c>
      <c r="K1297" s="7" t="s">
        <v>36</v>
      </c>
      <c r="L1297" s="8">
        <v>59</v>
      </c>
      <c r="M1297" s="7" t="s">
        <v>70</v>
      </c>
      <c r="N1297" s="8">
        <v>128</v>
      </c>
      <c r="O1297" s="8">
        <v>1</v>
      </c>
      <c r="P1297" s="5">
        <v>7626.53</v>
      </c>
      <c r="Q1297" s="4">
        <v>45600</v>
      </c>
      <c r="R1297" s="9">
        <v>0.34076388888888887</v>
      </c>
      <c r="S1297" s="8">
        <v>16</v>
      </c>
      <c r="T1297" s="7" t="s">
        <v>4454</v>
      </c>
      <c r="U1297" s="7" t="s">
        <v>4455</v>
      </c>
      <c r="V12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298" spans="1:22" x14ac:dyDescent="0.35">
      <c r="A1298" s="7" t="s">
        <v>3026</v>
      </c>
      <c r="B1298" s="7" t="s">
        <v>39</v>
      </c>
      <c r="C1298" s="5">
        <v>93.22</v>
      </c>
      <c r="D1298" s="2">
        <v>0.71637731481314404</v>
      </c>
      <c r="E1298" s="4">
        <v>45023</v>
      </c>
      <c r="F1298" s="7" t="s">
        <v>17</v>
      </c>
      <c r="G1298" s="7" t="s">
        <v>249</v>
      </c>
      <c r="H1298" s="7" t="s">
        <v>1526</v>
      </c>
      <c r="I1298" s="7" t="s">
        <v>1348</v>
      </c>
      <c r="J1298" s="7" t="s">
        <v>95</v>
      </c>
      <c r="K1298" s="7" t="s">
        <v>36</v>
      </c>
      <c r="L1298" s="8">
        <v>52</v>
      </c>
      <c r="M1298" s="7" t="s">
        <v>70</v>
      </c>
      <c r="N1298" s="8">
        <v>52</v>
      </c>
      <c r="O1298" s="8">
        <v>1</v>
      </c>
      <c r="P1298" s="5">
        <v>1014.63</v>
      </c>
      <c r="Q1298" s="4">
        <v>45600</v>
      </c>
      <c r="R1298" s="9">
        <v>0.34005787037037039</v>
      </c>
      <c r="S1298" s="8">
        <v>17</v>
      </c>
      <c r="T1298" s="7" t="s">
        <v>4457</v>
      </c>
      <c r="U1298" s="7" t="s">
        <v>4455</v>
      </c>
      <c r="V12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299" spans="1:22" x14ac:dyDescent="0.35">
      <c r="A1299" s="7" t="s">
        <v>3027</v>
      </c>
      <c r="B1299" s="7" t="s">
        <v>716</v>
      </c>
      <c r="C1299" s="5">
        <v>547.98</v>
      </c>
      <c r="D1299" s="2">
        <v>0.71179398147796746</v>
      </c>
      <c r="E1299" s="4">
        <v>45223</v>
      </c>
      <c r="F1299" s="7" t="s">
        <v>17</v>
      </c>
      <c r="G1299" s="7" t="s">
        <v>53</v>
      </c>
      <c r="H1299" s="7" t="s">
        <v>1731</v>
      </c>
      <c r="I1299" s="7" t="s">
        <v>591</v>
      </c>
      <c r="J1299" s="7" t="s">
        <v>272</v>
      </c>
      <c r="K1299" s="7" t="s">
        <v>22</v>
      </c>
      <c r="L1299" s="8">
        <v>28</v>
      </c>
      <c r="M1299" s="7" t="s">
        <v>37</v>
      </c>
      <c r="N1299" s="8">
        <v>171</v>
      </c>
      <c r="O1299" s="8">
        <v>1</v>
      </c>
      <c r="P1299" s="5">
        <v>1358.54</v>
      </c>
      <c r="Q1299" s="4">
        <v>45600</v>
      </c>
      <c r="R1299" s="9">
        <v>0.33980324074074075</v>
      </c>
      <c r="S1299" s="8">
        <v>17</v>
      </c>
      <c r="T1299" s="7" t="s">
        <v>4456</v>
      </c>
      <c r="U1299" s="7" t="s">
        <v>4455</v>
      </c>
      <c r="V12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00" spans="1:22" x14ac:dyDescent="0.35">
      <c r="A1300" s="7" t="s">
        <v>3028</v>
      </c>
      <c r="B1300" s="7" t="s">
        <v>202</v>
      </c>
      <c r="C1300" s="5">
        <v>641.05999999999995</v>
      </c>
      <c r="D1300" s="2">
        <v>0.67300925926247146</v>
      </c>
      <c r="E1300" s="4">
        <v>45271</v>
      </c>
      <c r="F1300" s="7" t="s">
        <v>17</v>
      </c>
      <c r="G1300" s="7" t="s">
        <v>521</v>
      </c>
      <c r="H1300" s="7" t="s">
        <v>2654</v>
      </c>
      <c r="I1300" s="7" t="s">
        <v>2738</v>
      </c>
      <c r="J1300" s="7" t="s">
        <v>514</v>
      </c>
      <c r="K1300" s="7" t="s">
        <v>22</v>
      </c>
      <c r="L1300" s="8">
        <v>23</v>
      </c>
      <c r="M1300" s="7" t="s">
        <v>37</v>
      </c>
      <c r="N1300" s="8">
        <v>25</v>
      </c>
      <c r="O1300" s="8">
        <v>1</v>
      </c>
      <c r="P1300" s="5">
        <v>1602.13</v>
      </c>
      <c r="Q1300" s="4">
        <v>45600</v>
      </c>
      <c r="R1300" s="9">
        <v>0.3384375</v>
      </c>
      <c r="S1300" s="8">
        <v>16</v>
      </c>
      <c r="T1300" s="7" t="s">
        <v>4456</v>
      </c>
      <c r="U1300" s="7" t="s">
        <v>4455</v>
      </c>
      <c r="V13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01" spans="1:22" x14ac:dyDescent="0.35">
      <c r="A1301" s="7" t="s">
        <v>3029</v>
      </c>
      <c r="B1301" s="7" t="s">
        <v>1027</v>
      </c>
      <c r="C1301" s="5">
        <v>314.55</v>
      </c>
      <c r="D1301" s="2">
        <v>0.71906250000029104</v>
      </c>
      <c r="E1301" s="4">
        <v>45041</v>
      </c>
      <c r="F1301" s="7" t="s">
        <v>46</v>
      </c>
      <c r="G1301" s="7" t="s">
        <v>323</v>
      </c>
      <c r="H1301" s="7" t="s">
        <v>2290</v>
      </c>
      <c r="I1301" s="7" t="s">
        <v>897</v>
      </c>
      <c r="J1301" s="7" t="s">
        <v>353</v>
      </c>
      <c r="K1301" s="7" t="s">
        <v>69</v>
      </c>
      <c r="L1301" s="8">
        <v>27</v>
      </c>
      <c r="M1301" s="7" t="s">
        <v>37</v>
      </c>
      <c r="N1301" s="8">
        <v>19</v>
      </c>
      <c r="O1301" s="8">
        <v>2</v>
      </c>
      <c r="P1301" s="5">
        <v>1105.8900000000001</v>
      </c>
      <c r="Q1301" s="4">
        <v>45600</v>
      </c>
      <c r="R1301" s="9">
        <v>0.33837962962962964</v>
      </c>
      <c r="S1301" s="8">
        <v>17</v>
      </c>
      <c r="T1301" s="7" t="s">
        <v>4456</v>
      </c>
      <c r="U1301" s="7" t="s">
        <v>4458</v>
      </c>
      <c r="V13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02" spans="1:22" x14ac:dyDescent="0.35">
      <c r="A1302" s="7" t="s">
        <v>3030</v>
      </c>
      <c r="B1302" s="7" t="s">
        <v>2053</v>
      </c>
      <c r="C1302" s="5">
        <v>836.45</v>
      </c>
      <c r="D1302" s="2">
        <v>0.6680555555576575</v>
      </c>
      <c r="E1302" s="4">
        <v>44984</v>
      </c>
      <c r="F1302" s="7" t="s">
        <v>17</v>
      </c>
      <c r="G1302" s="7" t="s">
        <v>301</v>
      </c>
      <c r="H1302" s="7" t="s">
        <v>1800</v>
      </c>
      <c r="I1302" s="7" t="s">
        <v>2588</v>
      </c>
      <c r="J1302" s="7" t="s">
        <v>169</v>
      </c>
      <c r="K1302" s="7" t="s">
        <v>36</v>
      </c>
      <c r="L1302" s="8">
        <v>61</v>
      </c>
      <c r="M1302" s="7" t="s">
        <v>70</v>
      </c>
      <c r="N1302" s="8">
        <v>63</v>
      </c>
      <c r="O1302" s="8">
        <v>1</v>
      </c>
      <c r="P1302" s="5">
        <v>1731.89</v>
      </c>
      <c r="Q1302" s="4">
        <v>45600</v>
      </c>
      <c r="R1302" s="9">
        <v>0.34180555555555553</v>
      </c>
      <c r="S1302" s="8">
        <v>16</v>
      </c>
      <c r="T1302" s="7" t="s">
        <v>4454</v>
      </c>
      <c r="U1302" s="7" t="s">
        <v>4455</v>
      </c>
      <c r="V13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03" spans="1:22" x14ac:dyDescent="0.35">
      <c r="A1303" s="7" t="s">
        <v>3031</v>
      </c>
      <c r="B1303" s="7" t="s">
        <v>569</v>
      </c>
      <c r="C1303" s="5">
        <v>1095.0899999999999</v>
      </c>
      <c r="D1303" s="2">
        <v>0.72725694444670808</v>
      </c>
      <c r="E1303" s="4">
        <v>45033</v>
      </c>
      <c r="F1303" s="7" t="s">
        <v>17</v>
      </c>
      <c r="G1303" s="7" t="s">
        <v>212</v>
      </c>
      <c r="H1303" s="7" t="s">
        <v>250</v>
      </c>
      <c r="I1303" s="7" t="s">
        <v>3032</v>
      </c>
      <c r="J1303" s="7" t="s">
        <v>592</v>
      </c>
      <c r="K1303" s="7" t="s">
        <v>22</v>
      </c>
      <c r="L1303" s="8">
        <v>29</v>
      </c>
      <c r="M1303" s="7" t="s">
        <v>77</v>
      </c>
      <c r="N1303" s="8">
        <v>52</v>
      </c>
      <c r="O1303" s="8">
        <v>1</v>
      </c>
      <c r="P1303" s="5">
        <v>8692.4699999999993</v>
      </c>
      <c r="Q1303" s="4">
        <v>45600</v>
      </c>
      <c r="R1303" s="9">
        <v>0.34163194444444445</v>
      </c>
      <c r="S1303" s="8">
        <v>17</v>
      </c>
      <c r="T1303" s="7" t="s">
        <v>4456</v>
      </c>
      <c r="U1303" s="7" t="s">
        <v>4455</v>
      </c>
      <c r="V13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04" spans="1:22" x14ac:dyDescent="0.35">
      <c r="A1304" s="7" t="s">
        <v>3033</v>
      </c>
      <c r="B1304" s="7" t="s">
        <v>1796</v>
      </c>
      <c r="C1304" s="5">
        <v>189.45</v>
      </c>
      <c r="D1304" s="2">
        <v>0.71670138889021473</v>
      </c>
      <c r="E1304" s="4">
        <v>45006</v>
      </c>
      <c r="F1304" s="7" t="s">
        <v>46</v>
      </c>
      <c r="G1304" s="7" t="s">
        <v>388</v>
      </c>
      <c r="H1304" s="7" t="s">
        <v>1469</v>
      </c>
      <c r="I1304" s="7" t="s">
        <v>1359</v>
      </c>
      <c r="J1304" s="7" t="s">
        <v>181</v>
      </c>
      <c r="K1304" s="7" t="s">
        <v>69</v>
      </c>
      <c r="L1304" s="8">
        <v>53</v>
      </c>
      <c r="M1304" s="7" t="s">
        <v>23</v>
      </c>
      <c r="N1304" s="8">
        <v>62</v>
      </c>
      <c r="O1304" s="8">
        <v>1</v>
      </c>
      <c r="P1304" s="5">
        <v>12578.75</v>
      </c>
      <c r="Q1304" s="4">
        <v>45600</v>
      </c>
      <c r="R1304" s="9">
        <v>0.33994212962962961</v>
      </c>
      <c r="S1304" s="8">
        <v>17</v>
      </c>
      <c r="T1304" s="7" t="s">
        <v>4457</v>
      </c>
      <c r="U1304" s="7" t="s">
        <v>4455</v>
      </c>
      <c r="V13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05" spans="1:22" x14ac:dyDescent="0.35">
      <c r="A1305" s="7" t="s">
        <v>3034</v>
      </c>
      <c r="B1305" s="7" t="s">
        <v>550</v>
      </c>
      <c r="C1305" s="5">
        <v>91.84</v>
      </c>
      <c r="D1305" s="2">
        <v>0.72356481481256196</v>
      </c>
      <c r="E1305" s="4">
        <v>45112</v>
      </c>
      <c r="F1305" s="7" t="s">
        <v>46</v>
      </c>
      <c r="G1305" s="7" t="s">
        <v>32</v>
      </c>
      <c r="H1305" s="7" t="s">
        <v>676</v>
      </c>
      <c r="I1305" s="7" t="s">
        <v>3035</v>
      </c>
      <c r="J1305" s="7" t="s">
        <v>282</v>
      </c>
      <c r="K1305" s="7" t="s">
        <v>69</v>
      </c>
      <c r="L1305" s="8">
        <v>67</v>
      </c>
      <c r="M1305" s="7" t="s">
        <v>70</v>
      </c>
      <c r="N1305" s="8">
        <v>80</v>
      </c>
      <c r="O1305" s="8">
        <v>1</v>
      </c>
      <c r="P1305" s="5">
        <v>1712.41</v>
      </c>
      <c r="Q1305" s="4">
        <v>45600</v>
      </c>
      <c r="R1305" s="9">
        <v>0.33925925925925926</v>
      </c>
      <c r="S1305" s="8">
        <v>17</v>
      </c>
      <c r="T1305" s="7" t="s">
        <v>4454</v>
      </c>
      <c r="U1305" s="7" t="s">
        <v>4455</v>
      </c>
      <c r="V13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06" spans="1:22" x14ac:dyDescent="0.35">
      <c r="A1306" s="7" t="s">
        <v>3036</v>
      </c>
      <c r="B1306" s="7" t="s">
        <v>1806</v>
      </c>
      <c r="C1306" s="5">
        <v>609.52</v>
      </c>
      <c r="D1306" s="2">
        <v>0.66906249999738066</v>
      </c>
      <c r="E1306" s="4">
        <v>45135</v>
      </c>
      <c r="F1306" s="7" t="s">
        <v>17</v>
      </c>
      <c r="G1306" s="7" t="s">
        <v>453</v>
      </c>
      <c r="H1306" s="7" t="s">
        <v>1458</v>
      </c>
      <c r="I1306" s="7" t="s">
        <v>352</v>
      </c>
      <c r="J1306" s="7" t="s">
        <v>592</v>
      </c>
      <c r="K1306" s="7" t="s">
        <v>22</v>
      </c>
      <c r="L1306" s="8">
        <v>78</v>
      </c>
      <c r="M1306" s="7" t="s">
        <v>70</v>
      </c>
      <c r="N1306" s="8">
        <v>169</v>
      </c>
      <c r="O1306" s="8">
        <v>1</v>
      </c>
      <c r="P1306" s="5">
        <v>3485.03</v>
      </c>
      <c r="Q1306" s="4">
        <v>45600</v>
      </c>
      <c r="R1306" s="9">
        <v>0.33910879629629631</v>
      </c>
      <c r="S1306" s="8">
        <v>16</v>
      </c>
      <c r="T1306" s="7" t="s">
        <v>4454</v>
      </c>
      <c r="U1306" s="7" t="s">
        <v>4455</v>
      </c>
      <c r="V13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07" spans="1:22" x14ac:dyDescent="0.35">
      <c r="A1307" s="7" t="s">
        <v>3037</v>
      </c>
      <c r="B1307" s="7" t="s">
        <v>896</v>
      </c>
      <c r="C1307" s="5">
        <v>859.3</v>
      </c>
      <c r="D1307" s="2">
        <v>0.72087962963269092</v>
      </c>
      <c r="E1307" s="4">
        <v>45139</v>
      </c>
      <c r="F1307" s="7" t="s">
        <v>46</v>
      </c>
      <c r="G1307" s="7" t="s">
        <v>521</v>
      </c>
      <c r="H1307" s="7" t="s">
        <v>2988</v>
      </c>
      <c r="I1307" s="7" t="s">
        <v>542</v>
      </c>
      <c r="J1307" s="7" t="s">
        <v>386</v>
      </c>
      <c r="K1307" s="7" t="s">
        <v>69</v>
      </c>
      <c r="L1307" s="8">
        <v>78</v>
      </c>
      <c r="M1307" s="7" t="s">
        <v>70</v>
      </c>
      <c r="N1307" s="8">
        <v>68</v>
      </c>
      <c r="O1307" s="8">
        <v>1</v>
      </c>
      <c r="P1307" s="5">
        <v>1146.78</v>
      </c>
      <c r="Q1307" s="4">
        <v>45600</v>
      </c>
      <c r="R1307" s="9">
        <v>0.33814814814814814</v>
      </c>
      <c r="S1307" s="8">
        <v>17</v>
      </c>
      <c r="T1307" s="7" t="s">
        <v>4454</v>
      </c>
      <c r="U1307" s="7" t="s">
        <v>4455</v>
      </c>
      <c r="V13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08" spans="1:22" x14ac:dyDescent="0.35">
      <c r="A1308" s="7" t="s">
        <v>3038</v>
      </c>
      <c r="B1308" s="7" t="s">
        <v>3039</v>
      </c>
      <c r="C1308" s="5">
        <v>100.01</v>
      </c>
      <c r="D1308" s="2">
        <v>0.67142361111473292</v>
      </c>
      <c r="E1308" s="4">
        <v>45106</v>
      </c>
      <c r="F1308" s="7" t="s">
        <v>17</v>
      </c>
      <c r="G1308" s="7" t="s">
        <v>243</v>
      </c>
      <c r="H1308" s="7" t="s">
        <v>2282</v>
      </c>
      <c r="I1308" s="7" t="s">
        <v>2305</v>
      </c>
      <c r="J1308" s="7" t="s">
        <v>885</v>
      </c>
      <c r="K1308" s="7" t="s">
        <v>22</v>
      </c>
      <c r="L1308" s="8">
        <v>50</v>
      </c>
      <c r="M1308" s="7" t="s">
        <v>23</v>
      </c>
      <c r="N1308" s="8">
        <v>63</v>
      </c>
      <c r="O1308" s="8">
        <v>1</v>
      </c>
      <c r="P1308" s="5">
        <v>6393.12</v>
      </c>
      <c r="Q1308" s="4">
        <v>45600</v>
      </c>
      <c r="R1308" s="9">
        <v>0.33989583333333334</v>
      </c>
      <c r="S1308" s="8">
        <v>16</v>
      </c>
      <c r="T1308" s="7" t="s">
        <v>4457</v>
      </c>
      <c r="U1308" s="7" t="s">
        <v>4455</v>
      </c>
      <c r="V13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09" spans="1:22" x14ac:dyDescent="0.35">
      <c r="A1309" s="7" t="s">
        <v>3040</v>
      </c>
      <c r="B1309" s="7" t="s">
        <v>2671</v>
      </c>
      <c r="C1309" s="5">
        <v>28.78</v>
      </c>
      <c r="D1309" s="2">
        <v>0.67226851851592073</v>
      </c>
      <c r="E1309" s="4">
        <v>45145</v>
      </c>
      <c r="F1309" s="7" t="s">
        <v>46</v>
      </c>
      <c r="G1309" s="7" t="s">
        <v>255</v>
      </c>
      <c r="H1309" s="7" t="s">
        <v>2147</v>
      </c>
      <c r="I1309" s="7" t="s">
        <v>276</v>
      </c>
      <c r="J1309" s="7" t="s">
        <v>1287</v>
      </c>
      <c r="K1309" s="7" t="s">
        <v>36</v>
      </c>
      <c r="L1309" s="8">
        <v>40</v>
      </c>
      <c r="M1309" s="7" t="s">
        <v>23</v>
      </c>
      <c r="N1309" s="8">
        <v>51</v>
      </c>
      <c r="O1309" s="8">
        <v>1</v>
      </c>
      <c r="P1309" s="5">
        <v>680.55</v>
      </c>
      <c r="Q1309" s="4">
        <v>45600</v>
      </c>
      <c r="R1309" s="9">
        <v>0.34142361111111114</v>
      </c>
      <c r="S1309" s="8">
        <v>16</v>
      </c>
      <c r="T1309" s="7" t="s">
        <v>4457</v>
      </c>
      <c r="U1309" s="7" t="s">
        <v>4455</v>
      </c>
      <c r="V13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10" spans="1:22" x14ac:dyDescent="0.35">
      <c r="A1310" s="7" t="s">
        <v>3041</v>
      </c>
      <c r="B1310" s="7" t="s">
        <v>1066</v>
      </c>
      <c r="C1310" s="5">
        <v>111.08</v>
      </c>
      <c r="D1310" s="2">
        <v>0.74042824074422242</v>
      </c>
      <c r="E1310" s="4">
        <v>45061</v>
      </c>
      <c r="F1310" s="7" t="s">
        <v>17</v>
      </c>
      <c r="G1310" s="7" t="s">
        <v>265</v>
      </c>
      <c r="H1310" s="7" t="s">
        <v>2203</v>
      </c>
      <c r="I1310" s="7" t="s">
        <v>490</v>
      </c>
      <c r="J1310" s="7" t="s">
        <v>331</v>
      </c>
      <c r="K1310" s="7" t="s">
        <v>36</v>
      </c>
      <c r="L1310" s="8">
        <v>70</v>
      </c>
      <c r="M1310" s="7" t="s">
        <v>23</v>
      </c>
      <c r="N1310" s="8">
        <v>83</v>
      </c>
      <c r="O1310" s="8">
        <v>1</v>
      </c>
      <c r="P1310" s="5">
        <v>7037.34</v>
      </c>
      <c r="Q1310" s="4">
        <v>45600</v>
      </c>
      <c r="R1310" s="9">
        <v>0.34096064814814814</v>
      </c>
      <c r="S1310" s="8">
        <v>17</v>
      </c>
      <c r="T1310" s="7" t="s">
        <v>4454</v>
      </c>
      <c r="U1310" s="7" t="s">
        <v>4455</v>
      </c>
      <c r="V13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11" spans="1:22" x14ac:dyDescent="0.35">
      <c r="A1311" s="7" t="s">
        <v>3042</v>
      </c>
      <c r="B1311" s="7" t="s">
        <v>1030</v>
      </c>
      <c r="C1311" s="5">
        <v>470.96</v>
      </c>
      <c r="D1311" s="2">
        <v>0.68200231481750961</v>
      </c>
      <c r="E1311" s="4">
        <v>44995</v>
      </c>
      <c r="F1311" s="7" t="s">
        <v>46</v>
      </c>
      <c r="G1311" s="7" t="s">
        <v>65</v>
      </c>
      <c r="H1311" s="7" t="s">
        <v>668</v>
      </c>
      <c r="I1311" s="7" t="s">
        <v>2254</v>
      </c>
      <c r="J1311" s="7" t="s">
        <v>308</v>
      </c>
      <c r="K1311" s="7" t="s">
        <v>36</v>
      </c>
      <c r="L1311" s="8">
        <v>69</v>
      </c>
      <c r="M1311" s="7" t="s">
        <v>23</v>
      </c>
      <c r="N1311" s="8">
        <v>124</v>
      </c>
      <c r="O1311" s="8">
        <v>2</v>
      </c>
      <c r="P1311" s="5">
        <v>12991.03</v>
      </c>
      <c r="Q1311" s="4">
        <v>45600</v>
      </c>
      <c r="R1311" s="9">
        <v>0.34108796296296295</v>
      </c>
      <c r="S1311" s="8">
        <v>16</v>
      </c>
      <c r="T1311" s="7" t="s">
        <v>4454</v>
      </c>
      <c r="U1311" s="7" t="s">
        <v>4458</v>
      </c>
      <c r="V13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12" spans="1:22" x14ac:dyDescent="0.35">
      <c r="A1312" s="7" t="s">
        <v>3043</v>
      </c>
      <c r="B1312" s="7" t="s">
        <v>1992</v>
      </c>
      <c r="C1312" s="5">
        <v>52.23</v>
      </c>
      <c r="D1312" s="2">
        <v>0.75577546295971842</v>
      </c>
      <c r="E1312" s="4">
        <v>45180</v>
      </c>
      <c r="F1312" s="7" t="s">
        <v>46</v>
      </c>
      <c r="G1312" s="7" t="s">
        <v>212</v>
      </c>
      <c r="H1312" s="7" t="s">
        <v>1941</v>
      </c>
      <c r="I1312" s="7" t="s">
        <v>1698</v>
      </c>
      <c r="J1312" s="7" t="s">
        <v>1810</v>
      </c>
      <c r="K1312" s="7" t="s">
        <v>69</v>
      </c>
      <c r="L1312" s="8">
        <v>28</v>
      </c>
      <c r="M1312" s="7" t="s">
        <v>37</v>
      </c>
      <c r="N1312" s="8">
        <v>96</v>
      </c>
      <c r="O1312" s="8">
        <v>1</v>
      </c>
      <c r="P1312" s="5">
        <v>105.01</v>
      </c>
      <c r="Q1312" s="4">
        <v>45600</v>
      </c>
      <c r="R1312" s="9">
        <v>0.33901620370370372</v>
      </c>
      <c r="S1312" s="8">
        <v>18</v>
      </c>
      <c r="T1312" s="7" t="s">
        <v>4456</v>
      </c>
      <c r="U1312" s="7" t="s">
        <v>4455</v>
      </c>
      <c r="V13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13" spans="1:22" x14ac:dyDescent="0.35">
      <c r="A1313" s="7" t="s">
        <v>3044</v>
      </c>
      <c r="B1313" s="7" t="s">
        <v>1472</v>
      </c>
      <c r="C1313" s="5">
        <v>78.62</v>
      </c>
      <c r="D1313" s="2">
        <v>0.69894675925752381</v>
      </c>
      <c r="E1313" s="4">
        <v>45138</v>
      </c>
      <c r="F1313" s="7" t="s">
        <v>17</v>
      </c>
      <c r="G1313" s="7" t="s">
        <v>53</v>
      </c>
      <c r="H1313" s="7" t="s">
        <v>3045</v>
      </c>
      <c r="I1313" s="7" t="s">
        <v>2404</v>
      </c>
      <c r="J1313" s="7" t="s">
        <v>820</v>
      </c>
      <c r="K1313" s="7" t="s">
        <v>69</v>
      </c>
      <c r="L1313" s="8">
        <v>32</v>
      </c>
      <c r="M1313" s="7" t="s">
        <v>23</v>
      </c>
      <c r="N1313" s="8">
        <v>52</v>
      </c>
      <c r="O1313" s="8">
        <v>1</v>
      </c>
      <c r="P1313" s="5">
        <v>1360.85</v>
      </c>
      <c r="Q1313" s="4">
        <v>45600</v>
      </c>
      <c r="R1313" s="9">
        <v>0.33902777777777776</v>
      </c>
      <c r="S1313" s="8">
        <v>16</v>
      </c>
      <c r="T1313" s="7" t="s">
        <v>4456</v>
      </c>
      <c r="U1313" s="7" t="s">
        <v>4455</v>
      </c>
      <c r="V13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14" spans="1:22" x14ac:dyDescent="0.35">
      <c r="A1314" s="7" t="s">
        <v>3046</v>
      </c>
      <c r="B1314" s="7" t="s">
        <v>3047</v>
      </c>
      <c r="C1314" s="5">
        <v>47.79</v>
      </c>
      <c r="D1314" s="2">
        <v>0.70856481481314404</v>
      </c>
      <c r="E1314" s="4">
        <v>45184</v>
      </c>
      <c r="F1314" s="7" t="s">
        <v>17</v>
      </c>
      <c r="G1314" s="7" t="s">
        <v>114</v>
      </c>
      <c r="H1314" s="7" t="s">
        <v>1713</v>
      </c>
      <c r="I1314" s="7" t="s">
        <v>1335</v>
      </c>
      <c r="J1314" s="7" t="s">
        <v>639</v>
      </c>
      <c r="K1314" s="7" t="s">
        <v>69</v>
      </c>
      <c r="L1314" s="8">
        <v>25</v>
      </c>
      <c r="M1314" s="7" t="s">
        <v>37</v>
      </c>
      <c r="N1314" s="8">
        <v>37</v>
      </c>
      <c r="O1314" s="8">
        <v>1</v>
      </c>
      <c r="P1314" s="5">
        <v>1649.92</v>
      </c>
      <c r="Q1314" s="4">
        <v>45600</v>
      </c>
      <c r="R1314" s="9">
        <v>0.34160879629629631</v>
      </c>
      <c r="S1314" s="8">
        <v>17</v>
      </c>
      <c r="T1314" s="7" t="s">
        <v>4456</v>
      </c>
      <c r="U1314" s="7" t="s">
        <v>4455</v>
      </c>
      <c r="V13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15" spans="1:22" x14ac:dyDescent="0.35">
      <c r="A1315" s="7" t="s">
        <v>3048</v>
      </c>
      <c r="B1315" s="7" t="s">
        <v>1267</v>
      </c>
      <c r="C1315" s="5">
        <v>333.97</v>
      </c>
      <c r="D1315" s="2">
        <v>0.67959490740759065</v>
      </c>
      <c r="E1315" s="4">
        <v>45007</v>
      </c>
      <c r="F1315" s="7" t="s">
        <v>17</v>
      </c>
      <c r="G1315" s="7" t="s">
        <v>558</v>
      </c>
      <c r="H1315" s="7" t="s">
        <v>368</v>
      </c>
      <c r="I1315" s="7" t="s">
        <v>1112</v>
      </c>
      <c r="J1315" s="7" t="s">
        <v>1349</v>
      </c>
      <c r="K1315" s="7" t="s">
        <v>69</v>
      </c>
      <c r="L1315" s="8">
        <v>52</v>
      </c>
      <c r="M1315" s="7" t="s">
        <v>23</v>
      </c>
      <c r="N1315" s="8">
        <v>45</v>
      </c>
      <c r="O1315" s="8">
        <v>1</v>
      </c>
      <c r="P1315" s="5">
        <v>5237.3599999999997</v>
      </c>
      <c r="Q1315" s="4">
        <v>45600</v>
      </c>
      <c r="R1315" s="9">
        <v>0.34152777777777776</v>
      </c>
      <c r="S1315" s="8">
        <v>16</v>
      </c>
      <c r="T1315" s="7" t="s">
        <v>4457</v>
      </c>
      <c r="U1315" s="7" t="s">
        <v>4455</v>
      </c>
      <c r="V13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16" spans="1:22" x14ac:dyDescent="0.35">
      <c r="A1316" s="7" t="s">
        <v>3049</v>
      </c>
      <c r="B1316" s="7" t="s">
        <v>872</v>
      </c>
      <c r="C1316" s="5">
        <v>30.87</v>
      </c>
      <c r="D1316" s="2">
        <v>0.70187499999883585</v>
      </c>
      <c r="E1316" s="4">
        <v>45119</v>
      </c>
      <c r="F1316" s="7" t="s">
        <v>17</v>
      </c>
      <c r="G1316" s="7" t="s">
        <v>558</v>
      </c>
      <c r="H1316" s="7" t="s">
        <v>618</v>
      </c>
      <c r="I1316" s="7" t="s">
        <v>706</v>
      </c>
      <c r="J1316" s="7" t="s">
        <v>105</v>
      </c>
      <c r="K1316" s="7" t="s">
        <v>22</v>
      </c>
      <c r="L1316" s="8">
        <v>33</v>
      </c>
      <c r="M1316" s="7" t="s">
        <v>23</v>
      </c>
      <c r="N1316" s="8">
        <v>295</v>
      </c>
      <c r="O1316" s="8">
        <v>1</v>
      </c>
      <c r="P1316" s="5">
        <v>14348.65</v>
      </c>
      <c r="Q1316" s="4">
        <v>45600</v>
      </c>
      <c r="R1316" s="9">
        <v>0.34077546296296296</v>
      </c>
      <c r="S1316" s="8">
        <v>16</v>
      </c>
      <c r="T1316" s="7" t="s">
        <v>4456</v>
      </c>
      <c r="U1316" s="7" t="s">
        <v>4455</v>
      </c>
      <c r="V13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17" spans="1:22" x14ac:dyDescent="0.35">
      <c r="A1317" s="7" t="s">
        <v>3050</v>
      </c>
      <c r="B1317" s="7" t="s">
        <v>795</v>
      </c>
      <c r="C1317" s="5">
        <v>710.43</v>
      </c>
      <c r="D1317" s="2">
        <v>0.71343750000232831</v>
      </c>
      <c r="E1317" s="4">
        <v>44993</v>
      </c>
      <c r="F1317" s="7" t="s">
        <v>17</v>
      </c>
      <c r="G1317" s="7" t="s">
        <v>18</v>
      </c>
      <c r="H1317" s="7" t="s">
        <v>1273</v>
      </c>
      <c r="I1317" s="7" t="s">
        <v>1235</v>
      </c>
      <c r="J1317" s="7" t="s">
        <v>83</v>
      </c>
      <c r="K1317" s="7" t="s">
        <v>36</v>
      </c>
      <c r="L1317" s="8">
        <v>67</v>
      </c>
      <c r="M1317" s="7" t="s">
        <v>70</v>
      </c>
      <c r="N1317" s="8">
        <v>115</v>
      </c>
      <c r="O1317" s="8">
        <v>1</v>
      </c>
      <c r="P1317" s="5">
        <v>5625.55</v>
      </c>
      <c r="Q1317" s="4">
        <v>45600</v>
      </c>
      <c r="R1317" s="9">
        <v>0.33937499999999998</v>
      </c>
      <c r="S1317" s="8">
        <v>17</v>
      </c>
      <c r="T1317" s="7" t="s">
        <v>4454</v>
      </c>
      <c r="U1317" s="7" t="s">
        <v>4455</v>
      </c>
      <c r="V13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18" spans="1:22" x14ac:dyDescent="0.35">
      <c r="A1318" s="7" t="s">
        <v>3051</v>
      </c>
      <c r="B1318" s="7" t="s">
        <v>1765</v>
      </c>
      <c r="C1318" s="5">
        <v>220.23</v>
      </c>
      <c r="D1318" s="2">
        <v>0.77457175926247146</v>
      </c>
      <c r="E1318" s="4">
        <v>45187</v>
      </c>
      <c r="F1318" s="7" t="s">
        <v>17</v>
      </c>
      <c r="G1318" s="7" t="s">
        <v>178</v>
      </c>
      <c r="H1318" s="7" t="s">
        <v>579</v>
      </c>
      <c r="I1318" s="7" t="s">
        <v>2327</v>
      </c>
      <c r="J1318" s="7" t="s">
        <v>128</v>
      </c>
      <c r="K1318" s="7" t="s">
        <v>22</v>
      </c>
      <c r="L1318" s="8">
        <v>41</v>
      </c>
      <c r="M1318" s="7" t="s">
        <v>77</v>
      </c>
      <c r="N1318" s="8">
        <v>48</v>
      </c>
      <c r="O1318" s="8">
        <v>1</v>
      </c>
      <c r="P1318" s="5">
        <v>3438.02</v>
      </c>
      <c r="Q1318" s="4">
        <v>45600</v>
      </c>
      <c r="R1318" s="9">
        <v>0.33788194444444447</v>
      </c>
      <c r="S1318" s="8">
        <v>18</v>
      </c>
      <c r="T1318" s="7" t="s">
        <v>4457</v>
      </c>
      <c r="U1318" s="7" t="s">
        <v>4455</v>
      </c>
      <c r="V13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19" spans="1:22" x14ac:dyDescent="0.35">
      <c r="A1319" s="7" t="s">
        <v>3052</v>
      </c>
      <c r="B1319" s="7" t="s">
        <v>657</v>
      </c>
      <c r="C1319" s="5">
        <v>27.28</v>
      </c>
      <c r="D1319" s="2">
        <v>0.68802083333139308</v>
      </c>
      <c r="E1319" s="4">
        <v>45285</v>
      </c>
      <c r="F1319" s="7" t="s">
        <v>17</v>
      </c>
      <c r="G1319" s="7" t="s">
        <v>47</v>
      </c>
      <c r="H1319" s="7" t="s">
        <v>852</v>
      </c>
      <c r="I1319" s="7" t="s">
        <v>486</v>
      </c>
      <c r="J1319" s="7" t="s">
        <v>272</v>
      </c>
      <c r="K1319" s="7" t="s">
        <v>22</v>
      </c>
      <c r="L1319" s="8">
        <v>29</v>
      </c>
      <c r="M1319" s="7" t="s">
        <v>23</v>
      </c>
      <c r="N1319" s="8">
        <v>96</v>
      </c>
      <c r="O1319" s="8">
        <v>1</v>
      </c>
      <c r="P1319" s="5">
        <v>10668.24</v>
      </c>
      <c r="Q1319" s="4">
        <v>45600</v>
      </c>
      <c r="R1319" s="9">
        <v>0.34006944444444442</v>
      </c>
      <c r="S1319" s="8">
        <v>16</v>
      </c>
      <c r="T1319" s="7" t="s">
        <v>4456</v>
      </c>
      <c r="U1319" s="7" t="s">
        <v>4455</v>
      </c>
      <c r="V13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20" spans="1:22" x14ac:dyDescent="0.35">
      <c r="A1320" s="7" t="s">
        <v>3053</v>
      </c>
      <c r="B1320" s="7" t="s">
        <v>102</v>
      </c>
      <c r="C1320" s="5">
        <v>101.52</v>
      </c>
      <c r="D1320" s="2">
        <v>0.682233796294895</v>
      </c>
      <c r="E1320" s="4">
        <v>45147</v>
      </c>
      <c r="F1320" s="7" t="s">
        <v>17</v>
      </c>
      <c r="G1320" s="7" t="s">
        <v>255</v>
      </c>
      <c r="H1320" s="7" t="s">
        <v>1727</v>
      </c>
      <c r="I1320" s="7" t="s">
        <v>3054</v>
      </c>
      <c r="J1320" s="7" t="s">
        <v>572</v>
      </c>
      <c r="K1320" s="7" t="s">
        <v>22</v>
      </c>
      <c r="L1320" s="8">
        <v>49</v>
      </c>
      <c r="M1320" s="7" t="s">
        <v>77</v>
      </c>
      <c r="N1320" s="8">
        <v>98</v>
      </c>
      <c r="O1320" s="8">
        <v>1</v>
      </c>
      <c r="P1320" s="5">
        <v>2018.9</v>
      </c>
      <c r="Q1320" s="4">
        <v>45600</v>
      </c>
      <c r="R1320" s="9">
        <v>0.33932870370370372</v>
      </c>
      <c r="S1320" s="8">
        <v>16</v>
      </c>
      <c r="T1320" s="7" t="s">
        <v>4457</v>
      </c>
      <c r="U1320" s="7" t="s">
        <v>4455</v>
      </c>
      <c r="V13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21" spans="1:22" x14ac:dyDescent="0.35">
      <c r="A1321" s="7" t="s">
        <v>3055</v>
      </c>
      <c r="B1321" s="7" t="s">
        <v>2078</v>
      </c>
      <c r="C1321" s="5">
        <v>162.65</v>
      </c>
      <c r="D1321" s="2">
        <v>0.71886574073869269</v>
      </c>
      <c r="E1321" s="4">
        <v>45057</v>
      </c>
      <c r="F1321" s="7" t="s">
        <v>17</v>
      </c>
      <c r="G1321" s="7" t="s">
        <v>203</v>
      </c>
      <c r="H1321" s="7" t="s">
        <v>1180</v>
      </c>
      <c r="I1321" s="7" t="s">
        <v>1315</v>
      </c>
      <c r="J1321" s="7" t="s">
        <v>769</v>
      </c>
      <c r="K1321" s="7" t="s">
        <v>22</v>
      </c>
      <c r="L1321" s="8">
        <v>59</v>
      </c>
      <c r="M1321" s="7" t="s">
        <v>77</v>
      </c>
      <c r="N1321" s="8">
        <v>147</v>
      </c>
      <c r="O1321" s="8">
        <v>1</v>
      </c>
      <c r="P1321" s="5">
        <v>9500.9500000000007</v>
      </c>
      <c r="Q1321" s="4">
        <v>45600</v>
      </c>
      <c r="R1321" s="9">
        <v>0.34120370370370373</v>
      </c>
      <c r="S1321" s="8">
        <v>17</v>
      </c>
      <c r="T1321" s="7" t="s">
        <v>4454</v>
      </c>
      <c r="U1321" s="7" t="s">
        <v>4455</v>
      </c>
      <c r="V13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22" spans="1:22" x14ac:dyDescent="0.35">
      <c r="A1322" s="7" t="s">
        <v>3056</v>
      </c>
      <c r="B1322" s="7" t="s">
        <v>771</v>
      </c>
      <c r="C1322" s="5">
        <v>10.52</v>
      </c>
      <c r="D1322" s="2">
        <v>0.73530092592409346</v>
      </c>
      <c r="E1322" s="4">
        <v>45126</v>
      </c>
      <c r="F1322" s="7" t="s">
        <v>17</v>
      </c>
      <c r="G1322" s="7" t="s">
        <v>291</v>
      </c>
      <c r="H1322" s="7" t="s">
        <v>1486</v>
      </c>
      <c r="I1322" s="7" t="s">
        <v>3057</v>
      </c>
      <c r="J1322" s="7" t="s">
        <v>62</v>
      </c>
      <c r="K1322" s="7" t="s">
        <v>22</v>
      </c>
      <c r="L1322" s="8">
        <v>55</v>
      </c>
      <c r="M1322" s="7" t="s">
        <v>70</v>
      </c>
      <c r="N1322" s="8">
        <v>30</v>
      </c>
      <c r="O1322" s="8">
        <v>1</v>
      </c>
      <c r="P1322" s="5">
        <v>2472.9899999999998</v>
      </c>
      <c r="Q1322" s="4">
        <v>45600</v>
      </c>
      <c r="R1322" s="9">
        <v>0.34104166666666669</v>
      </c>
      <c r="S1322" s="8">
        <v>17</v>
      </c>
      <c r="T1322" s="7" t="s">
        <v>4454</v>
      </c>
      <c r="U1322" s="7" t="s">
        <v>4455</v>
      </c>
      <c r="V13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23" spans="1:22" x14ac:dyDescent="0.35">
      <c r="A1323" s="7" t="s">
        <v>3058</v>
      </c>
      <c r="B1323" s="7" t="s">
        <v>520</v>
      </c>
      <c r="C1323" s="5">
        <v>270.72000000000003</v>
      </c>
      <c r="D1323" s="2">
        <v>0.72606481481489027</v>
      </c>
      <c r="E1323" s="4">
        <v>45012</v>
      </c>
      <c r="F1323" s="7" t="s">
        <v>17</v>
      </c>
      <c r="G1323" s="7" t="s">
        <v>140</v>
      </c>
      <c r="H1323" s="7" t="s">
        <v>1045</v>
      </c>
      <c r="I1323" s="7" t="s">
        <v>2054</v>
      </c>
      <c r="J1323" s="7" t="s">
        <v>1562</v>
      </c>
      <c r="K1323" s="7" t="s">
        <v>69</v>
      </c>
      <c r="L1323" s="8">
        <v>38</v>
      </c>
      <c r="M1323" s="7" t="s">
        <v>23</v>
      </c>
      <c r="N1323" s="8">
        <v>37</v>
      </c>
      <c r="O1323" s="8">
        <v>1</v>
      </c>
      <c r="P1323" s="5">
        <v>6522.47</v>
      </c>
      <c r="Q1323" s="4">
        <v>45600</v>
      </c>
      <c r="R1323" s="9">
        <v>0.3417824074074074</v>
      </c>
      <c r="S1323" s="8">
        <v>17</v>
      </c>
      <c r="T1323" s="7" t="s">
        <v>4457</v>
      </c>
      <c r="U1323" s="7" t="s">
        <v>4455</v>
      </c>
      <c r="V13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24" spans="1:22" x14ac:dyDescent="0.35">
      <c r="A1324" s="7" t="s">
        <v>3059</v>
      </c>
      <c r="B1324" s="7" t="s">
        <v>3060</v>
      </c>
      <c r="C1324" s="5">
        <v>202.34</v>
      </c>
      <c r="D1324" s="2">
        <v>0.68895833333226619</v>
      </c>
      <c r="E1324" s="4">
        <v>44936</v>
      </c>
      <c r="F1324" s="7" t="s">
        <v>17</v>
      </c>
      <c r="G1324" s="7" t="s">
        <v>203</v>
      </c>
      <c r="H1324" s="7" t="s">
        <v>1855</v>
      </c>
      <c r="I1324" s="7" t="s">
        <v>3061</v>
      </c>
      <c r="J1324" s="7" t="s">
        <v>474</v>
      </c>
      <c r="K1324" s="7" t="s">
        <v>36</v>
      </c>
      <c r="L1324" s="8">
        <v>20</v>
      </c>
      <c r="M1324" s="7" t="s">
        <v>37</v>
      </c>
      <c r="N1324" s="8">
        <v>134</v>
      </c>
      <c r="O1324" s="8">
        <v>1</v>
      </c>
      <c r="P1324" s="5">
        <v>1223.45</v>
      </c>
      <c r="Q1324" s="4">
        <v>45600</v>
      </c>
      <c r="R1324" s="9">
        <v>0.34126157407407409</v>
      </c>
      <c r="S1324" s="8">
        <v>16</v>
      </c>
      <c r="T1324" s="7" t="s">
        <v>4456</v>
      </c>
      <c r="U1324" s="7" t="s">
        <v>4455</v>
      </c>
      <c r="V13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25" spans="1:22" x14ac:dyDescent="0.35">
      <c r="A1325" s="7" t="s">
        <v>3062</v>
      </c>
      <c r="B1325" s="7" t="s">
        <v>1391</v>
      </c>
      <c r="C1325" s="5">
        <v>247.58</v>
      </c>
      <c r="D1325" s="2">
        <v>0.77814814815064892</v>
      </c>
      <c r="E1325" s="4">
        <v>45075</v>
      </c>
      <c r="F1325" s="7" t="s">
        <v>17</v>
      </c>
      <c r="G1325" s="7" t="s">
        <v>237</v>
      </c>
      <c r="H1325" s="7" t="s">
        <v>605</v>
      </c>
      <c r="I1325" s="7" t="s">
        <v>815</v>
      </c>
      <c r="J1325" s="7" t="s">
        <v>1524</v>
      </c>
      <c r="K1325" s="7" t="s">
        <v>22</v>
      </c>
      <c r="L1325" s="8">
        <v>39</v>
      </c>
      <c r="M1325" s="7" t="s">
        <v>77</v>
      </c>
      <c r="N1325" s="8">
        <v>152</v>
      </c>
      <c r="O1325" s="8">
        <v>1</v>
      </c>
      <c r="P1325" s="5">
        <v>778.74</v>
      </c>
      <c r="Q1325" s="4">
        <v>45600</v>
      </c>
      <c r="R1325" s="9">
        <v>0.33840277777777777</v>
      </c>
      <c r="S1325" s="8">
        <v>18</v>
      </c>
      <c r="T1325" s="7" t="s">
        <v>4457</v>
      </c>
      <c r="U1325" s="7" t="s">
        <v>4455</v>
      </c>
      <c r="V13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26" spans="1:22" x14ac:dyDescent="0.35">
      <c r="A1326" s="7" t="s">
        <v>3063</v>
      </c>
      <c r="B1326" s="7" t="s">
        <v>295</v>
      </c>
      <c r="C1326" s="5">
        <v>686.17</v>
      </c>
      <c r="D1326" s="2">
        <v>0.72737268518540077</v>
      </c>
      <c r="E1326" s="4">
        <v>45202</v>
      </c>
      <c r="F1326" s="7" t="s">
        <v>17</v>
      </c>
      <c r="G1326" s="7" t="s">
        <v>114</v>
      </c>
      <c r="H1326" s="7" t="s">
        <v>270</v>
      </c>
      <c r="I1326" s="7" t="s">
        <v>3064</v>
      </c>
      <c r="J1326" s="7" t="s">
        <v>95</v>
      </c>
      <c r="K1326" s="7" t="s">
        <v>22</v>
      </c>
      <c r="L1326" s="8">
        <v>61</v>
      </c>
      <c r="M1326" s="7" t="s">
        <v>70</v>
      </c>
      <c r="N1326" s="8">
        <v>96</v>
      </c>
      <c r="O1326" s="8">
        <v>1</v>
      </c>
      <c r="P1326" s="5">
        <v>2246.15</v>
      </c>
      <c r="Q1326" s="4">
        <v>45600</v>
      </c>
      <c r="R1326" s="9">
        <v>0.33862268518518518</v>
      </c>
      <c r="S1326" s="8">
        <v>17</v>
      </c>
      <c r="T1326" s="7" t="s">
        <v>4454</v>
      </c>
      <c r="U1326" s="7" t="s">
        <v>4455</v>
      </c>
      <c r="V13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27" spans="1:22" x14ac:dyDescent="0.35">
      <c r="A1327" s="7" t="s">
        <v>3065</v>
      </c>
      <c r="B1327" s="7" t="s">
        <v>876</v>
      </c>
      <c r="C1327" s="5">
        <v>359.65</v>
      </c>
      <c r="D1327" s="2">
        <v>0.74925925926072523</v>
      </c>
      <c r="E1327" s="4">
        <v>44938</v>
      </c>
      <c r="F1327" s="7" t="s">
        <v>46</v>
      </c>
      <c r="G1327" s="7" t="s">
        <v>392</v>
      </c>
      <c r="H1327" s="7" t="s">
        <v>2318</v>
      </c>
      <c r="I1327" s="7" t="s">
        <v>583</v>
      </c>
      <c r="J1327" s="7" t="s">
        <v>674</v>
      </c>
      <c r="K1327" s="7" t="s">
        <v>36</v>
      </c>
      <c r="L1327" s="8">
        <v>25</v>
      </c>
      <c r="M1327" s="7" t="s">
        <v>37</v>
      </c>
      <c r="N1327" s="8">
        <v>289</v>
      </c>
      <c r="O1327" s="8">
        <v>1</v>
      </c>
      <c r="P1327" s="5">
        <v>219.53</v>
      </c>
      <c r="Q1327" s="4">
        <v>45600</v>
      </c>
      <c r="R1327" s="9">
        <v>0.33962962962962961</v>
      </c>
      <c r="S1327" s="8">
        <v>17</v>
      </c>
      <c r="T1327" s="7" t="s">
        <v>4456</v>
      </c>
      <c r="U1327" s="7" t="s">
        <v>4455</v>
      </c>
      <c r="V13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28" spans="1:22" x14ac:dyDescent="0.35">
      <c r="A1328" s="7" t="s">
        <v>3066</v>
      </c>
      <c r="B1328" s="7" t="s">
        <v>156</v>
      </c>
      <c r="C1328" s="5">
        <v>109.91</v>
      </c>
      <c r="D1328" s="2">
        <v>0.68289351851854008</v>
      </c>
      <c r="E1328" s="4">
        <v>45047</v>
      </c>
      <c r="F1328" s="7" t="s">
        <v>17</v>
      </c>
      <c r="G1328" s="7" t="s">
        <v>59</v>
      </c>
      <c r="H1328" s="7" t="s">
        <v>914</v>
      </c>
      <c r="I1328" s="7" t="s">
        <v>257</v>
      </c>
      <c r="J1328" s="7" t="s">
        <v>226</v>
      </c>
      <c r="K1328" s="7" t="s">
        <v>69</v>
      </c>
      <c r="L1328" s="8">
        <v>38</v>
      </c>
      <c r="M1328" s="7" t="s">
        <v>23</v>
      </c>
      <c r="N1328" s="8">
        <v>90</v>
      </c>
      <c r="O1328" s="8">
        <v>1</v>
      </c>
      <c r="P1328" s="5">
        <v>12896.06</v>
      </c>
      <c r="Q1328" s="4">
        <v>45600</v>
      </c>
      <c r="R1328" s="9">
        <v>0.3409375</v>
      </c>
      <c r="S1328" s="8">
        <v>16</v>
      </c>
      <c r="T1328" s="7" t="s">
        <v>4457</v>
      </c>
      <c r="U1328" s="7" t="s">
        <v>4455</v>
      </c>
      <c r="V13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29" spans="1:22" x14ac:dyDescent="0.35">
      <c r="A1329" s="7" t="s">
        <v>3067</v>
      </c>
      <c r="B1329" s="7" t="s">
        <v>192</v>
      </c>
      <c r="C1329" s="5">
        <v>215.72</v>
      </c>
      <c r="D1329" s="2">
        <v>0.75322916666482342</v>
      </c>
      <c r="E1329" s="4">
        <v>45210</v>
      </c>
      <c r="F1329" s="7" t="s">
        <v>46</v>
      </c>
      <c r="G1329" s="7" t="s">
        <v>125</v>
      </c>
      <c r="H1329" s="7" t="s">
        <v>2295</v>
      </c>
      <c r="I1329" s="7" t="s">
        <v>1416</v>
      </c>
      <c r="J1329" s="7" t="s">
        <v>418</v>
      </c>
      <c r="K1329" s="7" t="s">
        <v>69</v>
      </c>
      <c r="L1329" s="8">
        <v>30</v>
      </c>
      <c r="M1329" s="7" t="s">
        <v>77</v>
      </c>
      <c r="N1329" s="8">
        <v>137</v>
      </c>
      <c r="O1329" s="8">
        <v>1</v>
      </c>
      <c r="P1329" s="5">
        <v>8697.11</v>
      </c>
      <c r="Q1329" s="4">
        <v>45600</v>
      </c>
      <c r="R1329" s="9">
        <v>0.34159722222222222</v>
      </c>
      <c r="S1329" s="8">
        <v>18</v>
      </c>
      <c r="T1329" s="7" t="s">
        <v>4456</v>
      </c>
      <c r="U1329" s="7" t="s">
        <v>4455</v>
      </c>
      <c r="V13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30" spans="1:22" x14ac:dyDescent="0.35">
      <c r="A1330" s="7" t="s">
        <v>3068</v>
      </c>
      <c r="B1330" s="7" t="s">
        <v>1703</v>
      </c>
      <c r="C1330" s="5">
        <v>490.76</v>
      </c>
      <c r="D1330" s="2">
        <v>0.68620370370626915</v>
      </c>
      <c r="E1330" s="4">
        <v>44945</v>
      </c>
      <c r="F1330" s="7" t="s">
        <v>17</v>
      </c>
      <c r="G1330" s="7" t="s">
        <v>125</v>
      </c>
      <c r="H1330" s="7" t="s">
        <v>2811</v>
      </c>
      <c r="I1330" s="7" t="s">
        <v>3069</v>
      </c>
      <c r="J1330" s="7" t="s">
        <v>122</v>
      </c>
      <c r="K1330" s="7" t="s">
        <v>36</v>
      </c>
      <c r="L1330" s="8">
        <v>66</v>
      </c>
      <c r="M1330" s="7" t="s">
        <v>70</v>
      </c>
      <c r="N1330" s="8">
        <v>156</v>
      </c>
      <c r="O1330" s="8">
        <v>1</v>
      </c>
      <c r="P1330" s="5">
        <v>6414.11</v>
      </c>
      <c r="Q1330" s="4">
        <v>45600</v>
      </c>
      <c r="R1330" s="9">
        <v>0.34009259259259261</v>
      </c>
      <c r="S1330" s="8">
        <v>16</v>
      </c>
      <c r="T1330" s="7" t="s">
        <v>4454</v>
      </c>
      <c r="U1330" s="7" t="s">
        <v>4455</v>
      </c>
      <c r="V13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31" spans="1:22" x14ac:dyDescent="0.35">
      <c r="A1331" s="7" t="s">
        <v>3070</v>
      </c>
      <c r="B1331" s="7" t="s">
        <v>391</v>
      </c>
      <c r="C1331" s="5">
        <v>224.28</v>
      </c>
      <c r="D1331" s="2">
        <v>0.70153935185226146</v>
      </c>
      <c r="E1331" s="4">
        <v>44972</v>
      </c>
      <c r="F1331" s="7" t="s">
        <v>17</v>
      </c>
      <c r="G1331" s="7" t="s">
        <v>265</v>
      </c>
      <c r="H1331" s="7" t="s">
        <v>3071</v>
      </c>
      <c r="I1331" s="7" t="s">
        <v>1399</v>
      </c>
      <c r="J1331" s="7" t="s">
        <v>1524</v>
      </c>
      <c r="K1331" s="7" t="s">
        <v>36</v>
      </c>
      <c r="L1331" s="8">
        <v>64</v>
      </c>
      <c r="M1331" s="7" t="s">
        <v>70</v>
      </c>
      <c r="N1331" s="8">
        <v>68</v>
      </c>
      <c r="O1331" s="8">
        <v>1</v>
      </c>
      <c r="P1331" s="5">
        <v>5767.51</v>
      </c>
      <c r="Q1331" s="4">
        <v>45600</v>
      </c>
      <c r="R1331" s="9">
        <v>0.34087962962962964</v>
      </c>
      <c r="S1331" s="8">
        <v>16</v>
      </c>
      <c r="T1331" s="7" t="s">
        <v>4454</v>
      </c>
      <c r="U1331" s="7" t="s">
        <v>4455</v>
      </c>
      <c r="V13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32" spans="1:22" x14ac:dyDescent="0.35">
      <c r="A1332" s="7" t="s">
        <v>3072</v>
      </c>
      <c r="B1332" s="7" t="s">
        <v>1927</v>
      </c>
      <c r="C1332" s="5">
        <v>614.03</v>
      </c>
      <c r="D1332" s="2">
        <v>0.69252314815093996</v>
      </c>
      <c r="E1332" s="4">
        <v>45054</v>
      </c>
      <c r="F1332" s="7" t="s">
        <v>17</v>
      </c>
      <c r="G1332" s="7" t="s">
        <v>323</v>
      </c>
      <c r="H1332" s="7" t="s">
        <v>1261</v>
      </c>
      <c r="I1332" s="7" t="s">
        <v>2858</v>
      </c>
      <c r="J1332" s="7" t="s">
        <v>572</v>
      </c>
      <c r="K1332" s="7" t="s">
        <v>22</v>
      </c>
      <c r="L1332" s="8">
        <v>68</v>
      </c>
      <c r="M1332" s="7" t="s">
        <v>70</v>
      </c>
      <c r="N1332" s="8">
        <v>51</v>
      </c>
      <c r="O1332" s="8">
        <v>1</v>
      </c>
      <c r="P1332" s="5">
        <v>2815.86</v>
      </c>
      <c r="Q1332" s="4">
        <v>45600</v>
      </c>
      <c r="R1332" s="9">
        <v>0.33902777777777776</v>
      </c>
      <c r="S1332" s="8">
        <v>16</v>
      </c>
      <c r="T1332" s="7" t="s">
        <v>4454</v>
      </c>
      <c r="U1332" s="7" t="s">
        <v>4455</v>
      </c>
      <c r="V13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33" spans="1:22" x14ac:dyDescent="0.35">
      <c r="A1333" s="7" t="s">
        <v>3073</v>
      </c>
      <c r="B1333" s="7" t="s">
        <v>950</v>
      </c>
      <c r="C1333" s="5">
        <v>608.79</v>
      </c>
      <c r="D1333" s="2">
        <v>0.77590277777926531</v>
      </c>
      <c r="E1333" s="4">
        <v>45233</v>
      </c>
      <c r="F1333" s="7" t="s">
        <v>17</v>
      </c>
      <c r="G1333" s="7" t="s">
        <v>157</v>
      </c>
      <c r="H1333" s="7" t="s">
        <v>1265</v>
      </c>
      <c r="I1333" s="7" t="s">
        <v>3074</v>
      </c>
      <c r="J1333" s="7" t="s">
        <v>21</v>
      </c>
      <c r="K1333" s="7" t="s">
        <v>36</v>
      </c>
      <c r="L1333" s="8">
        <v>55</v>
      </c>
      <c r="M1333" s="7" t="s">
        <v>77</v>
      </c>
      <c r="N1333" s="8">
        <v>157</v>
      </c>
      <c r="O1333" s="8">
        <v>1</v>
      </c>
      <c r="P1333" s="5">
        <v>2991.17</v>
      </c>
      <c r="Q1333" s="4">
        <v>45600</v>
      </c>
      <c r="R1333" s="9">
        <v>0.34187499999999998</v>
      </c>
      <c r="S1333" s="8">
        <v>18</v>
      </c>
      <c r="T1333" s="7" t="s">
        <v>4454</v>
      </c>
      <c r="U1333" s="7" t="s">
        <v>4455</v>
      </c>
      <c r="V13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34" spans="1:22" x14ac:dyDescent="0.35">
      <c r="A1334" s="7" t="s">
        <v>3075</v>
      </c>
      <c r="B1334" s="7" t="s">
        <v>1889</v>
      </c>
      <c r="C1334" s="5">
        <v>186.55</v>
      </c>
      <c r="D1334" s="2">
        <v>0.70081018518249039</v>
      </c>
      <c r="E1334" s="4">
        <v>45098</v>
      </c>
      <c r="F1334" s="7" t="s">
        <v>17</v>
      </c>
      <c r="G1334" s="7" t="s">
        <v>243</v>
      </c>
      <c r="H1334" s="7" t="s">
        <v>3076</v>
      </c>
      <c r="I1334" s="7" t="s">
        <v>1018</v>
      </c>
      <c r="J1334" s="7" t="s">
        <v>362</v>
      </c>
      <c r="K1334" s="7" t="s">
        <v>69</v>
      </c>
      <c r="L1334" s="8">
        <v>48</v>
      </c>
      <c r="M1334" s="7" t="s">
        <v>77</v>
      </c>
      <c r="N1334" s="8">
        <v>288</v>
      </c>
      <c r="O1334" s="8">
        <v>1</v>
      </c>
      <c r="P1334" s="5">
        <v>224.65</v>
      </c>
      <c r="Q1334" s="4">
        <v>45600</v>
      </c>
      <c r="R1334" s="9">
        <v>0.33840277777777777</v>
      </c>
      <c r="S1334" s="8">
        <v>16</v>
      </c>
      <c r="T1334" s="7" t="s">
        <v>4457</v>
      </c>
      <c r="U1334" s="7" t="s">
        <v>4455</v>
      </c>
      <c r="V13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35" spans="1:22" x14ac:dyDescent="0.35">
      <c r="A1335" s="7" t="s">
        <v>3077</v>
      </c>
      <c r="B1335" s="7" t="s">
        <v>3078</v>
      </c>
      <c r="C1335" s="5">
        <v>840.16</v>
      </c>
      <c r="D1335" s="2">
        <v>0.69158564815006685</v>
      </c>
      <c r="E1335" s="4">
        <v>45005</v>
      </c>
      <c r="F1335" s="7" t="s">
        <v>46</v>
      </c>
      <c r="G1335" s="7" t="s">
        <v>521</v>
      </c>
      <c r="H1335" s="7" t="s">
        <v>1906</v>
      </c>
      <c r="I1335" s="7" t="s">
        <v>2899</v>
      </c>
      <c r="J1335" s="7" t="s">
        <v>240</v>
      </c>
      <c r="K1335" s="7" t="s">
        <v>69</v>
      </c>
      <c r="L1335" s="8">
        <v>20</v>
      </c>
      <c r="M1335" s="7" t="s">
        <v>37</v>
      </c>
      <c r="N1335" s="8">
        <v>68</v>
      </c>
      <c r="O1335" s="8">
        <v>1</v>
      </c>
      <c r="P1335" s="5">
        <v>1236.76</v>
      </c>
      <c r="Q1335" s="4">
        <v>45600</v>
      </c>
      <c r="R1335" s="9">
        <v>0.34180555555555553</v>
      </c>
      <c r="S1335" s="8">
        <v>16</v>
      </c>
      <c r="T1335" s="7" t="s">
        <v>4456</v>
      </c>
      <c r="U1335" s="7" t="s">
        <v>4455</v>
      </c>
      <c r="V13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36" spans="1:22" x14ac:dyDescent="0.35">
      <c r="A1336" s="7" t="s">
        <v>3079</v>
      </c>
      <c r="B1336" s="7" t="s">
        <v>1027</v>
      </c>
      <c r="C1336" s="5">
        <v>203.34</v>
      </c>
      <c r="D1336" s="2">
        <v>0.71793981481459923</v>
      </c>
      <c r="E1336" s="4">
        <v>45280</v>
      </c>
      <c r="F1336" s="7" t="s">
        <v>17</v>
      </c>
      <c r="G1336" s="7" t="s">
        <v>425</v>
      </c>
      <c r="H1336" s="7" t="s">
        <v>2654</v>
      </c>
      <c r="I1336" s="7" t="s">
        <v>587</v>
      </c>
      <c r="J1336" s="7" t="s">
        <v>885</v>
      </c>
      <c r="K1336" s="7" t="s">
        <v>22</v>
      </c>
      <c r="L1336" s="8">
        <v>60</v>
      </c>
      <c r="M1336" s="7" t="s">
        <v>23</v>
      </c>
      <c r="N1336" s="8">
        <v>66</v>
      </c>
      <c r="O1336" s="8">
        <v>1</v>
      </c>
      <c r="P1336" s="5">
        <v>13586.99</v>
      </c>
      <c r="Q1336" s="4">
        <v>45600</v>
      </c>
      <c r="R1336" s="9">
        <v>0.34008101851851852</v>
      </c>
      <c r="S1336" s="8">
        <v>17</v>
      </c>
      <c r="T1336" s="7" t="s">
        <v>4454</v>
      </c>
      <c r="U1336" s="7" t="s">
        <v>4455</v>
      </c>
      <c r="V13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37" spans="1:22" x14ac:dyDescent="0.35">
      <c r="A1337" s="7" t="s">
        <v>3080</v>
      </c>
      <c r="B1337" s="7" t="s">
        <v>403</v>
      </c>
      <c r="C1337" s="5">
        <v>90.88</v>
      </c>
      <c r="D1337" s="2">
        <v>0.71427083333401242</v>
      </c>
      <c r="E1337" s="4">
        <v>45250</v>
      </c>
      <c r="F1337" s="7" t="s">
        <v>17</v>
      </c>
      <c r="G1337" s="7" t="s">
        <v>521</v>
      </c>
      <c r="H1337" s="7" t="s">
        <v>2252</v>
      </c>
      <c r="I1337" s="7" t="s">
        <v>2391</v>
      </c>
      <c r="J1337" s="7" t="s">
        <v>358</v>
      </c>
      <c r="K1337" s="7" t="s">
        <v>22</v>
      </c>
      <c r="L1337" s="8">
        <v>26</v>
      </c>
      <c r="M1337" s="7" t="s">
        <v>77</v>
      </c>
      <c r="N1337" s="8">
        <v>284</v>
      </c>
      <c r="O1337" s="8">
        <v>1</v>
      </c>
      <c r="P1337" s="5">
        <v>7117.35</v>
      </c>
      <c r="Q1337" s="4">
        <v>45600</v>
      </c>
      <c r="R1337" s="9">
        <v>0.34085648148148145</v>
      </c>
      <c r="S1337" s="8">
        <v>17</v>
      </c>
      <c r="T1337" s="7" t="s">
        <v>4456</v>
      </c>
      <c r="U1337" s="7" t="s">
        <v>4455</v>
      </c>
      <c r="V13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38" spans="1:22" x14ac:dyDescent="0.35">
      <c r="A1338" s="7" t="s">
        <v>3081</v>
      </c>
      <c r="B1338" s="7" t="s">
        <v>2532</v>
      </c>
      <c r="C1338" s="5">
        <v>60.11</v>
      </c>
      <c r="D1338" s="2">
        <v>0.73586805555532919</v>
      </c>
      <c r="E1338" s="4">
        <v>45257</v>
      </c>
      <c r="F1338" s="7" t="s">
        <v>46</v>
      </c>
      <c r="G1338" s="7" t="s">
        <v>86</v>
      </c>
      <c r="H1338" s="7" t="s">
        <v>3082</v>
      </c>
      <c r="I1338" s="7" t="s">
        <v>455</v>
      </c>
      <c r="J1338" s="7" t="s">
        <v>652</v>
      </c>
      <c r="K1338" s="7" t="s">
        <v>69</v>
      </c>
      <c r="L1338" s="8">
        <v>61</v>
      </c>
      <c r="M1338" s="7" t="s">
        <v>70</v>
      </c>
      <c r="N1338" s="8">
        <v>122</v>
      </c>
      <c r="O1338" s="8">
        <v>1</v>
      </c>
      <c r="P1338" s="5">
        <v>7235.87</v>
      </c>
      <c r="Q1338" s="4">
        <v>45600</v>
      </c>
      <c r="R1338" s="9">
        <v>0.33899305555555553</v>
      </c>
      <c r="S1338" s="8">
        <v>17</v>
      </c>
      <c r="T1338" s="7" t="s">
        <v>4454</v>
      </c>
      <c r="U1338" s="7" t="s">
        <v>4455</v>
      </c>
      <c r="V13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39" spans="1:22" x14ac:dyDescent="0.35">
      <c r="A1339" s="7" t="s">
        <v>3083</v>
      </c>
      <c r="B1339" s="7" t="s">
        <v>1799</v>
      </c>
      <c r="C1339" s="5">
        <v>393.92</v>
      </c>
      <c r="D1339" s="2">
        <v>0.70665509259561077</v>
      </c>
      <c r="E1339" s="4">
        <v>45062</v>
      </c>
      <c r="F1339" s="7" t="s">
        <v>17</v>
      </c>
      <c r="G1339" s="7" t="s">
        <v>92</v>
      </c>
      <c r="H1339" s="7" t="s">
        <v>1314</v>
      </c>
      <c r="I1339" s="7" t="s">
        <v>3084</v>
      </c>
      <c r="J1339" s="7" t="s">
        <v>885</v>
      </c>
      <c r="K1339" s="7" t="s">
        <v>69</v>
      </c>
      <c r="L1339" s="8">
        <v>72</v>
      </c>
      <c r="M1339" s="7" t="s">
        <v>70</v>
      </c>
      <c r="N1339" s="8">
        <v>47</v>
      </c>
      <c r="O1339" s="8">
        <v>1</v>
      </c>
      <c r="P1339" s="5">
        <v>7318.64</v>
      </c>
      <c r="Q1339" s="4">
        <v>45600</v>
      </c>
      <c r="R1339" s="9">
        <v>0.34174768518518517</v>
      </c>
      <c r="S1339" s="8">
        <v>16</v>
      </c>
      <c r="T1339" s="7" t="s">
        <v>4454</v>
      </c>
      <c r="U1339" s="7" t="s">
        <v>4455</v>
      </c>
      <c r="V13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40" spans="1:22" x14ac:dyDescent="0.35">
      <c r="A1340" s="7" t="s">
        <v>3085</v>
      </c>
      <c r="B1340" s="7" t="s">
        <v>391</v>
      </c>
      <c r="C1340" s="5">
        <v>19.39</v>
      </c>
      <c r="D1340" s="2">
        <v>0.69398148148320615</v>
      </c>
      <c r="E1340" s="4">
        <v>45247</v>
      </c>
      <c r="F1340" s="7" t="s">
        <v>17</v>
      </c>
      <c r="G1340" s="7" t="s">
        <v>521</v>
      </c>
      <c r="H1340" s="7" t="s">
        <v>2503</v>
      </c>
      <c r="I1340" s="7" t="s">
        <v>1953</v>
      </c>
      <c r="J1340" s="7" t="s">
        <v>619</v>
      </c>
      <c r="K1340" s="7" t="s">
        <v>22</v>
      </c>
      <c r="L1340" s="8">
        <v>43</v>
      </c>
      <c r="M1340" s="7" t="s">
        <v>23</v>
      </c>
      <c r="N1340" s="8">
        <v>45</v>
      </c>
      <c r="O1340" s="8">
        <v>1</v>
      </c>
      <c r="P1340" s="5">
        <v>9847.6</v>
      </c>
      <c r="Q1340" s="4">
        <v>45600</v>
      </c>
      <c r="R1340" s="9">
        <v>0.34125</v>
      </c>
      <c r="S1340" s="8">
        <v>16</v>
      </c>
      <c r="T1340" s="7" t="s">
        <v>4457</v>
      </c>
      <c r="U1340" s="7" t="s">
        <v>4455</v>
      </c>
      <c r="V13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41" spans="1:22" x14ac:dyDescent="0.35">
      <c r="A1341" s="7" t="s">
        <v>3086</v>
      </c>
      <c r="B1341" s="7" t="s">
        <v>974</v>
      </c>
      <c r="C1341" s="5">
        <v>557.41</v>
      </c>
      <c r="D1341" s="2">
        <v>0.70304398148437031</v>
      </c>
      <c r="E1341" s="4">
        <v>45030</v>
      </c>
      <c r="F1341" s="7" t="s">
        <v>46</v>
      </c>
      <c r="G1341" s="7" t="s">
        <v>453</v>
      </c>
      <c r="H1341" s="7" t="s">
        <v>389</v>
      </c>
      <c r="I1341" s="7" t="s">
        <v>3087</v>
      </c>
      <c r="J1341" s="7" t="s">
        <v>343</v>
      </c>
      <c r="K1341" s="7" t="s">
        <v>36</v>
      </c>
      <c r="L1341" s="8">
        <v>80</v>
      </c>
      <c r="M1341" s="7" t="s">
        <v>70</v>
      </c>
      <c r="N1341" s="8">
        <v>49</v>
      </c>
      <c r="O1341" s="8">
        <v>1</v>
      </c>
      <c r="P1341" s="5">
        <v>2968.75</v>
      </c>
      <c r="Q1341" s="4">
        <v>45600</v>
      </c>
      <c r="R1341" s="9">
        <v>0.34020833333333333</v>
      </c>
      <c r="S1341" s="8">
        <v>16</v>
      </c>
      <c r="T1341" s="7" t="s">
        <v>4454</v>
      </c>
      <c r="U1341" s="7" t="s">
        <v>4455</v>
      </c>
      <c r="V13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42" spans="1:22" x14ac:dyDescent="0.35">
      <c r="A1342" s="7" t="s">
        <v>3088</v>
      </c>
      <c r="B1342" s="7" t="s">
        <v>2978</v>
      </c>
      <c r="C1342" s="5">
        <v>57.07</v>
      </c>
      <c r="D1342" s="2">
        <v>0.68752314814628335</v>
      </c>
      <c r="E1342" s="4">
        <v>45163</v>
      </c>
      <c r="F1342" s="7" t="s">
        <v>46</v>
      </c>
      <c r="G1342" s="7" t="s">
        <v>388</v>
      </c>
      <c r="H1342" s="7" t="s">
        <v>220</v>
      </c>
      <c r="I1342" s="7" t="s">
        <v>94</v>
      </c>
      <c r="J1342" s="7" t="s">
        <v>1562</v>
      </c>
      <c r="K1342" s="7" t="s">
        <v>36</v>
      </c>
      <c r="L1342" s="8">
        <v>31</v>
      </c>
      <c r="M1342" s="7" t="s">
        <v>23</v>
      </c>
      <c r="N1342" s="8">
        <v>99</v>
      </c>
      <c r="O1342" s="8">
        <v>1</v>
      </c>
      <c r="P1342" s="5">
        <v>9323.7099999999991</v>
      </c>
      <c r="Q1342" s="4">
        <v>45600</v>
      </c>
      <c r="R1342" s="9">
        <v>0.34137731481481481</v>
      </c>
      <c r="S1342" s="8">
        <v>16</v>
      </c>
      <c r="T1342" s="7" t="s">
        <v>4456</v>
      </c>
      <c r="U1342" s="7" t="s">
        <v>4455</v>
      </c>
      <c r="V13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43" spans="1:22" x14ac:dyDescent="0.35">
      <c r="A1343" s="7" t="s">
        <v>3089</v>
      </c>
      <c r="B1343" s="7" t="s">
        <v>657</v>
      </c>
      <c r="C1343" s="5">
        <v>395.27</v>
      </c>
      <c r="D1343" s="2">
        <v>0.69365740740613546</v>
      </c>
      <c r="E1343" s="4">
        <v>45145</v>
      </c>
      <c r="F1343" s="7" t="s">
        <v>46</v>
      </c>
      <c r="G1343" s="7" t="s">
        <v>172</v>
      </c>
      <c r="H1343" s="7" t="s">
        <v>1330</v>
      </c>
      <c r="I1343" s="7" t="s">
        <v>1195</v>
      </c>
      <c r="J1343" s="7" t="s">
        <v>674</v>
      </c>
      <c r="K1343" s="7" t="s">
        <v>36</v>
      </c>
      <c r="L1343" s="8">
        <v>18</v>
      </c>
      <c r="M1343" s="7" t="s">
        <v>37</v>
      </c>
      <c r="N1343" s="8">
        <v>167</v>
      </c>
      <c r="O1343" s="8">
        <v>1</v>
      </c>
      <c r="P1343" s="5">
        <v>1764.08</v>
      </c>
      <c r="Q1343" s="4">
        <v>45600</v>
      </c>
      <c r="R1343" s="9">
        <v>0.33913194444444444</v>
      </c>
      <c r="S1343" s="8">
        <v>16</v>
      </c>
      <c r="T1343" s="7" t="s">
        <v>4456</v>
      </c>
      <c r="U1343" s="7" t="s">
        <v>4455</v>
      </c>
      <c r="V13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44" spans="1:22" x14ac:dyDescent="0.35">
      <c r="A1344" s="7" t="s">
        <v>3090</v>
      </c>
      <c r="B1344" s="7" t="s">
        <v>2690</v>
      </c>
      <c r="C1344" s="5">
        <v>289.05</v>
      </c>
      <c r="D1344" s="2">
        <v>0.74861111111385981</v>
      </c>
      <c r="E1344" s="4">
        <v>45086</v>
      </c>
      <c r="F1344" s="7" t="s">
        <v>17</v>
      </c>
      <c r="G1344" s="7" t="s">
        <v>203</v>
      </c>
      <c r="H1344" s="7" t="s">
        <v>2203</v>
      </c>
      <c r="I1344" s="7" t="s">
        <v>531</v>
      </c>
      <c r="J1344" s="7" t="s">
        <v>769</v>
      </c>
      <c r="K1344" s="7" t="s">
        <v>22</v>
      </c>
      <c r="L1344" s="8">
        <v>75</v>
      </c>
      <c r="M1344" s="7" t="s">
        <v>70</v>
      </c>
      <c r="N1344" s="8">
        <v>116</v>
      </c>
      <c r="O1344" s="8">
        <v>1</v>
      </c>
      <c r="P1344" s="5">
        <v>5683.49</v>
      </c>
      <c r="Q1344" s="4">
        <v>45600</v>
      </c>
      <c r="R1344" s="9">
        <v>0.34164351851851854</v>
      </c>
      <c r="S1344" s="8">
        <v>17</v>
      </c>
      <c r="T1344" s="7" t="s">
        <v>4454</v>
      </c>
      <c r="U1344" s="7" t="s">
        <v>4455</v>
      </c>
      <c r="V13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45" spans="1:22" x14ac:dyDescent="0.35">
      <c r="A1345" s="7" t="s">
        <v>3091</v>
      </c>
      <c r="B1345" s="7" t="s">
        <v>3092</v>
      </c>
      <c r="C1345" s="5">
        <v>46.11</v>
      </c>
      <c r="D1345" s="2">
        <v>0.71342592592554865</v>
      </c>
      <c r="E1345" s="4">
        <v>45012</v>
      </c>
      <c r="F1345" s="7" t="s">
        <v>17</v>
      </c>
      <c r="G1345" s="7" t="s">
        <v>212</v>
      </c>
      <c r="H1345" s="7" t="s">
        <v>2032</v>
      </c>
      <c r="I1345" s="7" t="s">
        <v>991</v>
      </c>
      <c r="J1345" s="7" t="s">
        <v>122</v>
      </c>
      <c r="K1345" s="7" t="s">
        <v>36</v>
      </c>
      <c r="L1345" s="8">
        <v>33</v>
      </c>
      <c r="M1345" s="7" t="s">
        <v>23</v>
      </c>
      <c r="N1345" s="8">
        <v>233</v>
      </c>
      <c r="O1345" s="8">
        <v>1</v>
      </c>
      <c r="P1345" s="5">
        <v>5225.7299999999996</v>
      </c>
      <c r="Q1345" s="4">
        <v>45600</v>
      </c>
      <c r="R1345" s="9">
        <v>0.34078703703703705</v>
      </c>
      <c r="S1345" s="8">
        <v>17</v>
      </c>
      <c r="T1345" s="7" t="s">
        <v>4456</v>
      </c>
      <c r="U1345" s="7" t="s">
        <v>4455</v>
      </c>
      <c r="V13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46" spans="1:22" x14ac:dyDescent="0.35">
      <c r="A1346" s="7" t="s">
        <v>3093</v>
      </c>
      <c r="B1346" s="7" t="s">
        <v>1172</v>
      </c>
      <c r="C1346" s="5">
        <v>335.5</v>
      </c>
      <c r="D1346" s="2">
        <v>0.66738425925723277</v>
      </c>
      <c r="E1346" s="4">
        <v>45152</v>
      </c>
      <c r="F1346" s="7" t="s">
        <v>17</v>
      </c>
      <c r="G1346" s="7" t="s">
        <v>285</v>
      </c>
      <c r="H1346" s="7" t="s">
        <v>3094</v>
      </c>
      <c r="I1346" s="7" t="s">
        <v>979</v>
      </c>
      <c r="J1346" s="7" t="s">
        <v>362</v>
      </c>
      <c r="K1346" s="7" t="s">
        <v>22</v>
      </c>
      <c r="L1346" s="8">
        <v>63</v>
      </c>
      <c r="M1346" s="7" t="s">
        <v>70</v>
      </c>
      <c r="N1346" s="8">
        <v>47</v>
      </c>
      <c r="O1346" s="8">
        <v>1</v>
      </c>
      <c r="P1346" s="5">
        <v>6445.4</v>
      </c>
      <c r="Q1346" s="4">
        <v>45600</v>
      </c>
      <c r="R1346" s="9">
        <v>0.34193287037037035</v>
      </c>
      <c r="S1346" s="8">
        <v>16</v>
      </c>
      <c r="T1346" s="7" t="s">
        <v>4454</v>
      </c>
      <c r="U1346" s="7" t="s">
        <v>4455</v>
      </c>
      <c r="V13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47" spans="1:22" x14ac:dyDescent="0.35">
      <c r="A1347" s="7" t="s">
        <v>3095</v>
      </c>
      <c r="B1347" s="7" t="s">
        <v>2650</v>
      </c>
      <c r="C1347" s="5">
        <v>388.07</v>
      </c>
      <c r="D1347" s="2">
        <v>0.73203703703620704</v>
      </c>
      <c r="E1347" s="4">
        <v>45174</v>
      </c>
      <c r="F1347" s="7" t="s">
        <v>17</v>
      </c>
      <c r="G1347" s="7" t="s">
        <v>59</v>
      </c>
      <c r="H1347" s="7" t="s">
        <v>1622</v>
      </c>
      <c r="I1347" s="7" t="s">
        <v>547</v>
      </c>
      <c r="J1347" s="7" t="s">
        <v>652</v>
      </c>
      <c r="K1347" s="7" t="s">
        <v>36</v>
      </c>
      <c r="L1347" s="8">
        <v>24</v>
      </c>
      <c r="M1347" s="7" t="s">
        <v>37</v>
      </c>
      <c r="N1347" s="8">
        <v>68</v>
      </c>
      <c r="O1347" s="8">
        <v>1</v>
      </c>
      <c r="P1347" s="5">
        <v>289.70999999999998</v>
      </c>
      <c r="Q1347" s="4">
        <v>45600</v>
      </c>
      <c r="R1347" s="9">
        <v>0.34070601851851851</v>
      </c>
      <c r="S1347" s="8">
        <v>17</v>
      </c>
      <c r="T1347" s="7" t="s">
        <v>4456</v>
      </c>
      <c r="U1347" s="7" t="s">
        <v>4455</v>
      </c>
      <c r="V13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48" spans="1:22" x14ac:dyDescent="0.35">
      <c r="A1348" s="7" t="s">
        <v>3096</v>
      </c>
      <c r="B1348" s="7" t="s">
        <v>1814</v>
      </c>
      <c r="C1348" s="5">
        <v>520.86</v>
      </c>
      <c r="D1348" s="2">
        <v>0.68682870370685123</v>
      </c>
      <c r="E1348" s="4">
        <v>45005</v>
      </c>
      <c r="F1348" s="7" t="s">
        <v>46</v>
      </c>
      <c r="G1348" s="7" t="s">
        <v>285</v>
      </c>
      <c r="H1348" s="7" t="s">
        <v>109</v>
      </c>
      <c r="I1348" s="7" t="s">
        <v>2409</v>
      </c>
      <c r="J1348" s="7" t="s">
        <v>111</v>
      </c>
      <c r="K1348" s="7" t="s">
        <v>36</v>
      </c>
      <c r="L1348" s="8">
        <v>51</v>
      </c>
      <c r="M1348" s="7" t="s">
        <v>77</v>
      </c>
      <c r="N1348" s="8">
        <v>66</v>
      </c>
      <c r="O1348" s="8">
        <v>1</v>
      </c>
      <c r="P1348" s="5">
        <v>9200.74</v>
      </c>
      <c r="Q1348" s="4">
        <v>45600</v>
      </c>
      <c r="R1348" s="9">
        <v>0.33943287037037034</v>
      </c>
      <c r="S1348" s="8">
        <v>16</v>
      </c>
      <c r="T1348" s="7" t="s">
        <v>4457</v>
      </c>
      <c r="U1348" s="7" t="s">
        <v>4455</v>
      </c>
      <c r="V13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49" spans="1:22" x14ac:dyDescent="0.35">
      <c r="A1349" s="7" t="s">
        <v>3097</v>
      </c>
      <c r="B1349" s="7" t="s">
        <v>25</v>
      </c>
      <c r="C1349" s="5">
        <v>787.41</v>
      </c>
      <c r="D1349" s="2">
        <v>0.682268518517958</v>
      </c>
      <c r="E1349" s="4">
        <v>45096</v>
      </c>
      <c r="F1349" s="7" t="s">
        <v>17</v>
      </c>
      <c r="G1349" s="7" t="s">
        <v>92</v>
      </c>
      <c r="H1349" s="7" t="s">
        <v>1241</v>
      </c>
      <c r="I1349" s="7" t="s">
        <v>3098</v>
      </c>
      <c r="J1349" s="7" t="s">
        <v>427</v>
      </c>
      <c r="K1349" s="7" t="s">
        <v>36</v>
      </c>
      <c r="L1349" s="8">
        <v>25</v>
      </c>
      <c r="M1349" s="7" t="s">
        <v>37</v>
      </c>
      <c r="N1349" s="8">
        <v>39</v>
      </c>
      <c r="O1349" s="8">
        <v>1</v>
      </c>
      <c r="P1349" s="5">
        <v>300.87</v>
      </c>
      <c r="Q1349" s="4">
        <v>45600</v>
      </c>
      <c r="R1349" s="9">
        <v>0.33800925925925923</v>
      </c>
      <c r="S1349" s="8">
        <v>16</v>
      </c>
      <c r="T1349" s="7" t="s">
        <v>4456</v>
      </c>
      <c r="U1349" s="7" t="s">
        <v>4455</v>
      </c>
      <c r="V13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50" spans="1:22" x14ac:dyDescent="0.35">
      <c r="A1350" s="7" t="s">
        <v>3099</v>
      </c>
      <c r="B1350" s="7" t="s">
        <v>2420</v>
      </c>
      <c r="C1350" s="5">
        <v>31.7</v>
      </c>
      <c r="D1350" s="2">
        <v>0.70593750000261934</v>
      </c>
      <c r="E1350" s="4">
        <v>45078</v>
      </c>
      <c r="F1350" s="7" t="s">
        <v>46</v>
      </c>
      <c r="G1350" s="7" t="s">
        <v>40</v>
      </c>
      <c r="H1350" s="7" t="s">
        <v>3100</v>
      </c>
      <c r="I1350" s="7" t="s">
        <v>3101</v>
      </c>
      <c r="J1350" s="7" t="s">
        <v>226</v>
      </c>
      <c r="K1350" s="7" t="s">
        <v>22</v>
      </c>
      <c r="L1350" s="8">
        <v>48</v>
      </c>
      <c r="M1350" s="7" t="s">
        <v>23</v>
      </c>
      <c r="N1350" s="8">
        <v>121</v>
      </c>
      <c r="O1350" s="8">
        <v>1</v>
      </c>
      <c r="P1350" s="5">
        <v>743.9</v>
      </c>
      <c r="Q1350" s="4">
        <v>45600</v>
      </c>
      <c r="R1350" s="9">
        <v>0.33891203703703704</v>
      </c>
      <c r="S1350" s="8">
        <v>16</v>
      </c>
      <c r="T1350" s="7" t="s">
        <v>4457</v>
      </c>
      <c r="U1350" s="7" t="s">
        <v>4455</v>
      </c>
      <c r="V13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51" spans="1:22" x14ac:dyDescent="0.35">
      <c r="A1351" s="7" t="s">
        <v>3102</v>
      </c>
      <c r="B1351" s="7" t="s">
        <v>2366</v>
      </c>
      <c r="C1351" s="5">
        <v>22.3</v>
      </c>
      <c r="D1351" s="2">
        <v>0.70644675925723277</v>
      </c>
      <c r="E1351" s="4">
        <v>45047</v>
      </c>
      <c r="F1351" s="7" t="s">
        <v>17</v>
      </c>
      <c r="G1351" s="7" t="s">
        <v>243</v>
      </c>
      <c r="H1351" s="7" t="s">
        <v>2461</v>
      </c>
      <c r="I1351" s="7" t="s">
        <v>153</v>
      </c>
      <c r="J1351" s="7" t="s">
        <v>95</v>
      </c>
      <c r="K1351" s="7" t="s">
        <v>22</v>
      </c>
      <c r="L1351" s="8">
        <v>21</v>
      </c>
      <c r="M1351" s="7" t="s">
        <v>37</v>
      </c>
      <c r="N1351" s="8">
        <v>90</v>
      </c>
      <c r="O1351" s="8">
        <v>1</v>
      </c>
      <c r="P1351" s="5">
        <v>1200.3499999999999</v>
      </c>
      <c r="Q1351" s="4">
        <v>45600</v>
      </c>
      <c r="R1351" s="9">
        <v>0.34187499999999998</v>
      </c>
      <c r="S1351" s="8">
        <v>16</v>
      </c>
      <c r="T1351" s="7" t="s">
        <v>4456</v>
      </c>
      <c r="U1351" s="7" t="s">
        <v>4455</v>
      </c>
      <c r="V13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52" spans="1:22" x14ac:dyDescent="0.35">
      <c r="A1352" s="7" t="s">
        <v>3103</v>
      </c>
      <c r="B1352" s="7" t="s">
        <v>1547</v>
      </c>
      <c r="C1352" s="5">
        <v>203.12</v>
      </c>
      <c r="D1352" s="2">
        <v>0.70819444444350665</v>
      </c>
      <c r="E1352" s="4">
        <v>44944</v>
      </c>
      <c r="F1352" s="7" t="s">
        <v>17</v>
      </c>
      <c r="G1352" s="7" t="s">
        <v>223</v>
      </c>
      <c r="H1352" s="7" t="s">
        <v>1365</v>
      </c>
      <c r="I1352" s="7" t="s">
        <v>615</v>
      </c>
      <c r="J1352" s="7" t="s">
        <v>303</v>
      </c>
      <c r="K1352" s="7" t="s">
        <v>22</v>
      </c>
      <c r="L1352" s="8">
        <v>56</v>
      </c>
      <c r="M1352" s="7" t="s">
        <v>70</v>
      </c>
      <c r="N1352" s="8">
        <v>181</v>
      </c>
      <c r="O1352" s="8">
        <v>1</v>
      </c>
      <c r="P1352" s="5">
        <v>1562.39</v>
      </c>
      <c r="Q1352" s="4">
        <v>45600</v>
      </c>
      <c r="R1352" s="9">
        <v>0.33975694444444443</v>
      </c>
      <c r="S1352" s="8">
        <v>16</v>
      </c>
      <c r="T1352" s="7" t="s">
        <v>4454</v>
      </c>
      <c r="U1352" s="7" t="s">
        <v>4455</v>
      </c>
      <c r="V13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53" spans="1:22" x14ac:dyDescent="0.35">
      <c r="A1353" s="7" t="s">
        <v>3104</v>
      </c>
      <c r="B1353" s="7" t="s">
        <v>3105</v>
      </c>
      <c r="C1353" s="5">
        <v>315.94</v>
      </c>
      <c r="D1353" s="2">
        <v>0.71315972222510027</v>
      </c>
      <c r="E1353" s="4">
        <v>44984</v>
      </c>
      <c r="F1353" s="7" t="s">
        <v>46</v>
      </c>
      <c r="G1353" s="7" t="s">
        <v>40</v>
      </c>
      <c r="H1353" s="7" t="s">
        <v>3106</v>
      </c>
      <c r="I1353" s="7" t="s">
        <v>882</v>
      </c>
      <c r="J1353" s="7" t="s">
        <v>1209</v>
      </c>
      <c r="K1353" s="7" t="s">
        <v>69</v>
      </c>
      <c r="L1353" s="8">
        <v>49</v>
      </c>
      <c r="M1353" s="7" t="s">
        <v>23</v>
      </c>
      <c r="N1353" s="8">
        <v>172</v>
      </c>
      <c r="O1353" s="8">
        <v>1</v>
      </c>
      <c r="P1353" s="5">
        <v>7719.71</v>
      </c>
      <c r="Q1353" s="4">
        <v>45600</v>
      </c>
      <c r="R1353" s="9">
        <v>0.34177083333333336</v>
      </c>
      <c r="S1353" s="8">
        <v>17</v>
      </c>
      <c r="T1353" s="7" t="s">
        <v>4457</v>
      </c>
      <c r="U1353" s="7" t="s">
        <v>4455</v>
      </c>
      <c r="V13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54" spans="1:22" x14ac:dyDescent="0.35">
      <c r="A1354" s="7" t="s">
        <v>3107</v>
      </c>
      <c r="B1354" s="7" t="s">
        <v>3006</v>
      </c>
      <c r="C1354" s="5">
        <v>192.23</v>
      </c>
      <c r="D1354" s="2">
        <v>0.69087962962657912</v>
      </c>
      <c r="E1354" s="4">
        <v>45288</v>
      </c>
      <c r="F1354" s="7" t="s">
        <v>17</v>
      </c>
      <c r="G1354" s="7" t="s">
        <v>86</v>
      </c>
      <c r="H1354" s="7" t="s">
        <v>2106</v>
      </c>
      <c r="I1354" s="7" t="s">
        <v>1503</v>
      </c>
      <c r="J1354" s="7" t="s">
        <v>707</v>
      </c>
      <c r="K1354" s="7" t="s">
        <v>36</v>
      </c>
      <c r="L1354" s="8">
        <v>54</v>
      </c>
      <c r="M1354" s="7" t="s">
        <v>77</v>
      </c>
      <c r="N1354" s="8">
        <v>39</v>
      </c>
      <c r="O1354" s="8">
        <v>3</v>
      </c>
      <c r="P1354" s="5">
        <v>2610.67</v>
      </c>
      <c r="Q1354" s="4">
        <v>45600</v>
      </c>
      <c r="R1354" s="9">
        <v>0.33797453703703706</v>
      </c>
      <c r="S1354" s="8">
        <v>16</v>
      </c>
      <c r="T1354" s="7" t="s">
        <v>4457</v>
      </c>
      <c r="U1354" s="7" t="s">
        <v>4458</v>
      </c>
      <c r="V13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55" spans="1:22" x14ac:dyDescent="0.35">
      <c r="A1355" s="7" t="s">
        <v>3108</v>
      </c>
      <c r="B1355" s="7" t="s">
        <v>1915</v>
      </c>
      <c r="C1355" s="5">
        <v>1510.71</v>
      </c>
      <c r="D1355" s="2">
        <v>0.70033564815093996</v>
      </c>
      <c r="E1355" s="4">
        <v>45092</v>
      </c>
      <c r="F1355" s="7" t="s">
        <v>17</v>
      </c>
      <c r="G1355" s="7" t="s">
        <v>53</v>
      </c>
      <c r="H1355" s="7" t="s">
        <v>1395</v>
      </c>
      <c r="I1355" s="7" t="s">
        <v>3109</v>
      </c>
      <c r="J1355" s="7" t="s">
        <v>406</v>
      </c>
      <c r="K1355" s="7" t="s">
        <v>36</v>
      </c>
      <c r="L1355" s="8">
        <v>66</v>
      </c>
      <c r="M1355" s="7" t="s">
        <v>70</v>
      </c>
      <c r="N1355" s="8">
        <v>51</v>
      </c>
      <c r="O1355" s="8">
        <v>1</v>
      </c>
      <c r="P1355" s="5">
        <v>2060.02</v>
      </c>
      <c r="Q1355" s="4">
        <v>45600</v>
      </c>
      <c r="R1355" s="9">
        <v>0.33971064814814816</v>
      </c>
      <c r="S1355" s="8">
        <v>16</v>
      </c>
      <c r="T1355" s="7" t="s">
        <v>4454</v>
      </c>
      <c r="U1355" s="7" t="s">
        <v>4455</v>
      </c>
      <c r="V13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56" spans="1:22" x14ac:dyDescent="0.35">
      <c r="A1356" s="7" t="s">
        <v>3110</v>
      </c>
      <c r="B1356" s="7" t="s">
        <v>2914</v>
      </c>
      <c r="C1356" s="5">
        <v>0.26</v>
      </c>
      <c r="D1356" s="2">
        <v>0.67694444444350665</v>
      </c>
      <c r="E1356" s="4">
        <v>45253</v>
      </c>
      <c r="F1356" s="7" t="s">
        <v>17</v>
      </c>
      <c r="G1356" s="7" t="s">
        <v>53</v>
      </c>
      <c r="H1356" s="7" t="s">
        <v>3025</v>
      </c>
      <c r="I1356" s="7" t="s">
        <v>3111</v>
      </c>
      <c r="J1356" s="7" t="s">
        <v>277</v>
      </c>
      <c r="K1356" s="7" t="s">
        <v>36</v>
      </c>
      <c r="L1356" s="8">
        <v>20</v>
      </c>
      <c r="M1356" s="7" t="s">
        <v>37</v>
      </c>
      <c r="N1356" s="8">
        <v>173</v>
      </c>
      <c r="O1356" s="8">
        <v>1</v>
      </c>
      <c r="P1356" s="5">
        <v>1833.67</v>
      </c>
      <c r="Q1356" s="4">
        <v>45600</v>
      </c>
      <c r="R1356" s="9">
        <v>0.33871527777777777</v>
      </c>
      <c r="S1356" s="8">
        <v>16</v>
      </c>
      <c r="T1356" s="7" t="s">
        <v>4456</v>
      </c>
      <c r="U1356" s="7" t="s">
        <v>4455</v>
      </c>
      <c r="V13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57" spans="1:22" x14ac:dyDescent="0.35">
      <c r="A1357" s="7" t="s">
        <v>3112</v>
      </c>
      <c r="B1357" s="7" t="s">
        <v>2005</v>
      </c>
      <c r="C1357" s="5">
        <v>210.77</v>
      </c>
      <c r="D1357" s="2">
        <v>0.70162037036789116</v>
      </c>
      <c r="E1357" s="4">
        <v>45077</v>
      </c>
      <c r="F1357" s="7" t="s">
        <v>17</v>
      </c>
      <c r="G1357" s="7" t="s">
        <v>32</v>
      </c>
      <c r="H1357" s="7" t="s">
        <v>2163</v>
      </c>
      <c r="I1357" s="7" t="s">
        <v>1779</v>
      </c>
      <c r="J1357" s="7" t="s">
        <v>209</v>
      </c>
      <c r="K1357" s="7" t="s">
        <v>22</v>
      </c>
      <c r="L1357" s="8">
        <v>71</v>
      </c>
      <c r="M1357" s="7" t="s">
        <v>70</v>
      </c>
      <c r="N1357" s="8">
        <v>161</v>
      </c>
      <c r="O1357" s="8">
        <v>1</v>
      </c>
      <c r="P1357" s="5">
        <v>5396.65</v>
      </c>
      <c r="Q1357" s="4">
        <v>45600</v>
      </c>
      <c r="R1357" s="9">
        <v>0.34121527777777777</v>
      </c>
      <c r="S1357" s="8">
        <v>16</v>
      </c>
      <c r="T1357" s="7" t="s">
        <v>4454</v>
      </c>
      <c r="U1357" s="7" t="s">
        <v>4455</v>
      </c>
      <c r="V13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58" spans="1:22" x14ac:dyDescent="0.35">
      <c r="A1358" s="7" t="s">
        <v>3113</v>
      </c>
      <c r="B1358" s="7" t="s">
        <v>1554</v>
      </c>
      <c r="C1358" s="5">
        <v>406.65</v>
      </c>
      <c r="D1358" s="2">
        <v>0.77273148148378823</v>
      </c>
      <c r="E1358" s="4">
        <v>45238</v>
      </c>
      <c r="F1358" s="7" t="s">
        <v>17</v>
      </c>
      <c r="G1358" s="7" t="s">
        <v>32</v>
      </c>
      <c r="H1358" s="7" t="s">
        <v>315</v>
      </c>
      <c r="I1358" s="7" t="s">
        <v>623</v>
      </c>
      <c r="J1358" s="7" t="s">
        <v>619</v>
      </c>
      <c r="K1358" s="7" t="s">
        <v>22</v>
      </c>
      <c r="L1358" s="8">
        <v>57</v>
      </c>
      <c r="M1358" s="7" t="s">
        <v>23</v>
      </c>
      <c r="N1358" s="8">
        <v>107</v>
      </c>
      <c r="O1358" s="8">
        <v>1</v>
      </c>
      <c r="P1358" s="5">
        <v>12995.7</v>
      </c>
      <c r="Q1358" s="4">
        <v>45600</v>
      </c>
      <c r="R1358" s="9">
        <v>0.34098379629629627</v>
      </c>
      <c r="S1358" s="8">
        <v>18</v>
      </c>
      <c r="T1358" s="7" t="s">
        <v>4454</v>
      </c>
      <c r="U1358" s="7" t="s">
        <v>4455</v>
      </c>
      <c r="V13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59" spans="1:22" x14ac:dyDescent="0.35">
      <c r="A1359" s="7" t="s">
        <v>3114</v>
      </c>
      <c r="B1359" s="7" t="s">
        <v>1085</v>
      </c>
      <c r="C1359" s="5">
        <v>422.9</v>
      </c>
      <c r="D1359" s="2">
        <v>0.67769675925956108</v>
      </c>
      <c r="E1359" s="4">
        <v>44984</v>
      </c>
      <c r="F1359" s="7" t="s">
        <v>17</v>
      </c>
      <c r="G1359" s="7" t="s">
        <v>255</v>
      </c>
      <c r="H1359" s="7" t="s">
        <v>3115</v>
      </c>
      <c r="I1359" s="7" t="s">
        <v>1430</v>
      </c>
      <c r="J1359" s="7" t="s">
        <v>1562</v>
      </c>
      <c r="K1359" s="7" t="s">
        <v>22</v>
      </c>
      <c r="L1359" s="8">
        <v>40</v>
      </c>
      <c r="M1359" s="7" t="s">
        <v>77</v>
      </c>
      <c r="N1359" s="8">
        <v>111</v>
      </c>
      <c r="O1359" s="8">
        <v>1</v>
      </c>
      <c r="P1359" s="5">
        <v>7616.43</v>
      </c>
      <c r="Q1359" s="4">
        <v>45600</v>
      </c>
      <c r="R1359" s="9">
        <v>0.34087962962962964</v>
      </c>
      <c r="S1359" s="8">
        <v>16</v>
      </c>
      <c r="T1359" s="7" t="s">
        <v>4457</v>
      </c>
      <c r="U1359" s="7" t="s">
        <v>4455</v>
      </c>
      <c r="V13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60" spans="1:22" x14ac:dyDescent="0.35">
      <c r="A1360" s="7" t="s">
        <v>3116</v>
      </c>
      <c r="B1360" s="7" t="s">
        <v>804</v>
      </c>
      <c r="C1360" s="5">
        <v>20.62</v>
      </c>
      <c r="D1360" s="2">
        <v>0.71548611111211358</v>
      </c>
      <c r="E1360" s="4">
        <v>45098</v>
      </c>
      <c r="F1360" s="7" t="s">
        <v>46</v>
      </c>
      <c r="G1360" s="7" t="s">
        <v>243</v>
      </c>
      <c r="H1360" s="7" t="s">
        <v>244</v>
      </c>
      <c r="I1360" s="7" t="s">
        <v>773</v>
      </c>
      <c r="J1360" s="7" t="s">
        <v>240</v>
      </c>
      <c r="K1360" s="7" t="s">
        <v>22</v>
      </c>
      <c r="L1360" s="8">
        <v>35</v>
      </c>
      <c r="M1360" s="7" t="s">
        <v>23</v>
      </c>
      <c r="N1360" s="8">
        <v>225</v>
      </c>
      <c r="O1360" s="8">
        <v>1</v>
      </c>
      <c r="P1360" s="5">
        <v>12500.8</v>
      </c>
      <c r="Q1360" s="4">
        <v>45600</v>
      </c>
      <c r="R1360" s="9">
        <v>0.33945601851851853</v>
      </c>
      <c r="S1360" s="8">
        <v>17</v>
      </c>
      <c r="T1360" s="7" t="s">
        <v>4457</v>
      </c>
      <c r="U1360" s="7" t="s">
        <v>4455</v>
      </c>
      <c r="V13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61" spans="1:22" x14ac:dyDescent="0.35">
      <c r="A1361" s="7" t="s">
        <v>3117</v>
      </c>
      <c r="B1361" s="7" t="s">
        <v>826</v>
      </c>
      <c r="C1361" s="5">
        <v>174.39</v>
      </c>
      <c r="D1361" s="2">
        <v>0.67282407407765277</v>
      </c>
      <c r="E1361" s="4">
        <v>44935</v>
      </c>
      <c r="F1361" s="7" t="s">
        <v>17</v>
      </c>
      <c r="G1361" s="7" t="s">
        <v>212</v>
      </c>
      <c r="H1361" s="7" t="s">
        <v>522</v>
      </c>
      <c r="I1361" s="7" t="s">
        <v>575</v>
      </c>
      <c r="J1361" s="7" t="s">
        <v>21</v>
      </c>
      <c r="K1361" s="7" t="s">
        <v>22</v>
      </c>
      <c r="L1361" s="8">
        <v>19</v>
      </c>
      <c r="M1361" s="7" t="s">
        <v>37</v>
      </c>
      <c r="N1361" s="8">
        <v>36</v>
      </c>
      <c r="O1361" s="8">
        <v>1</v>
      </c>
      <c r="P1361" s="5">
        <v>1127.08</v>
      </c>
      <c r="Q1361" s="4">
        <v>45600</v>
      </c>
      <c r="R1361" s="9">
        <v>0.34098379629629627</v>
      </c>
      <c r="S1361" s="8">
        <v>16</v>
      </c>
      <c r="T1361" s="7" t="s">
        <v>4456</v>
      </c>
      <c r="U1361" s="7" t="s">
        <v>4455</v>
      </c>
      <c r="V13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62" spans="1:22" x14ac:dyDescent="0.35">
      <c r="A1362" s="7" t="s">
        <v>3118</v>
      </c>
      <c r="B1362" s="7" t="s">
        <v>927</v>
      </c>
      <c r="C1362" s="5">
        <v>7.86</v>
      </c>
      <c r="D1362" s="2">
        <v>0.69947916666569654</v>
      </c>
      <c r="E1362" s="4">
        <v>45215</v>
      </c>
      <c r="F1362" s="7" t="s">
        <v>46</v>
      </c>
      <c r="G1362" s="7" t="s">
        <v>285</v>
      </c>
      <c r="H1362" s="7" t="s">
        <v>1965</v>
      </c>
      <c r="I1362" s="7" t="s">
        <v>1246</v>
      </c>
      <c r="J1362" s="7" t="s">
        <v>200</v>
      </c>
      <c r="K1362" s="7" t="s">
        <v>69</v>
      </c>
      <c r="L1362" s="8">
        <v>76</v>
      </c>
      <c r="M1362" s="7" t="s">
        <v>70</v>
      </c>
      <c r="N1362" s="8">
        <v>91</v>
      </c>
      <c r="O1362" s="8">
        <v>1</v>
      </c>
      <c r="P1362" s="5">
        <v>3621.98</v>
      </c>
      <c r="Q1362" s="4">
        <v>45600</v>
      </c>
      <c r="R1362" s="9">
        <v>0.33878472222222222</v>
      </c>
      <c r="S1362" s="8">
        <v>16</v>
      </c>
      <c r="T1362" s="7" t="s">
        <v>4454</v>
      </c>
      <c r="U1362" s="7" t="s">
        <v>4455</v>
      </c>
      <c r="V13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63" spans="1:22" x14ac:dyDescent="0.35">
      <c r="A1363" s="7" t="s">
        <v>3119</v>
      </c>
      <c r="B1363" s="7" t="s">
        <v>1472</v>
      </c>
      <c r="C1363" s="5">
        <v>61.98</v>
      </c>
      <c r="D1363" s="2">
        <v>0.76266203703562496</v>
      </c>
      <c r="E1363" s="4">
        <v>44929</v>
      </c>
      <c r="F1363" s="7" t="s">
        <v>17</v>
      </c>
      <c r="G1363" s="7" t="s">
        <v>114</v>
      </c>
      <c r="H1363" s="7" t="s">
        <v>2604</v>
      </c>
      <c r="I1363" s="7" t="s">
        <v>1474</v>
      </c>
      <c r="J1363" s="7" t="s">
        <v>858</v>
      </c>
      <c r="K1363" s="7" t="s">
        <v>36</v>
      </c>
      <c r="L1363" s="8">
        <v>49</v>
      </c>
      <c r="M1363" s="7" t="s">
        <v>77</v>
      </c>
      <c r="N1363" s="8">
        <v>44</v>
      </c>
      <c r="O1363" s="8">
        <v>1</v>
      </c>
      <c r="P1363" s="5">
        <v>5212.28</v>
      </c>
      <c r="Q1363" s="4">
        <v>45600</v>
      </c>
      <c r="R1363" s="9">
        <v>0.33952546296296299</v>
      </c>
      <c r="S1363" s="8">
        <v>18</v>
      </c>
      <c r="T1363" s="7" t="s">
        <v>4457</v>
      </c>
      <c r="U1363" s="7" t="s">
        <v>4455</v>
      </c>
      <c r="V13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64" spans="1:22" x14ac:dyDescent="0.35">
      <c r="A1364" s="7" t="s">
        <v>3120</v>
      </c>
      <c r="B1364" s="7" t="s">
        <v>2650</v>
      </c>
      <c r="C1364" s="5">
        <v>54.85</v>
      </c>
      <c r="D1364" s="2">
        <v>0.67081018518365454</v>
      </c>
      <c r="E1364" s="4">
        <v>45174</v>
      </c>
      <c r="F1364" s="7" t="s">
        <v>46</v>
      </c>
      <c r="G1364" s="7" t="s">
        <v>212</v>
      </c>
      <c r="H1364" s="7" t="s">
        <v>1441</v>
      </c>
      <c r="I1364" s="7" t="s">
        <v>1637</v>
      </c>
      <c r="J1364" s="7" t="s">
        <v>358</v>
      </c>
      <c r="K1364" s="7" t="s">
        <v>69</v>
      </c>
      <c r="L1364" s="8">
        <v>58</v>
      </c>
      <c r="M1364" s="7" t="s">
        <v>70</v>
      </c>
      <c r="N1364" s="8">
        <v>40</v>
      </c>
      <c r="O1364" s="8">
        <v>1</v>
      </c>
      <c r="P1364" s="5">
        <v>2727.45</v>
      </c>
      <c r="Q1364" s="4">
        <v>45600</v>
      </c>
      <c r="R1364" s="9">
        <v>0.34</v>
      </c>
      <c r="S1364" s="8">
        <v>16</v>
      </c>
      <c r="T1364" s="7" t="s">
        <v>4454</v>
      </c>
      <c r="U1364" s="7" t="s">
        <v>4455</v>
      </c>
      <c r="V13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65" spans="1:22" x14ac:dyDescent="0.35">
      <c r="A1365" s="7" t="s">
        <v>3121</v>
      </c>
      <c r="B1365" s="7" t="s">
        <v>2707</v>
      </c>
      <c r="C1365" s="5">
        <v>204.7</v>
      </c>
      <c r="D1365" s="2">
        <v>0.67222222222335404</v>
      </c>
      <c r="E1365" s="4">
        <v>45190</v>
      </c>
      <c r="F1365" s="7" t="s">
        <v>17</v>
      </c>
      <c r="G1365" s="7" t="s">
        <v>53</v>
      </c>
      <c r="H1365" s="7" t="s">
        <v>1939</v>
      </c>
      <c r="I1365" s="7" t="s">
        <v>1581</v>
      </c>
      <c r="J1365" s="7" t="s">
        <v>418</v>
      </c>
      <c r="K1365" s="7" t="s">
        <v>69</v>
      </c>
      <c r="L1365" s="8">
        <v>49</v>
      </c>
      <c r="M1365" s="7" t="s">
        <v>23</v>
      </c>
      <c r="N1365" s="8">
        <v>95</v>
      </c>
      <c r="O1365" s="8">
        <v>5</v>
      </c>
      <c r="P1365" s="5">
        <v>5117.03</v>
      </c>
      <c r="Q1365" s="4">
        <v>45600</v>
      </c>
      <c r="R1365" s="9">
        <v>0.34057870370370369</v>
      </c>
      <c r="S1365" s="8">
        <v>16</v>
      </c>
      <c r="T1365" s="7" t="s">
        <v>4457</v>
      </c>
      <c r="U1365" s="7" t="s">
        <v>4458</v>
      </c>
      <c r="V13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66" spans="1:22" x14ac:dyDescent="0.35">
      <c r="A1366" s="7" t="s">
        <v>3122</v>
      </c>
      <c r="B1366" s="7" t="s">
        <v>1644</v>
      </c>
      <c r="C1366" s="5">
        <v>16.55</v>
      </c>
      <c r="D1366" s="2">
        <v>0.7123842592627625</v>
      </c>
      <c r="E1366" s="4">
        <v>45180</v>
      </c>
      <c r="F1366" s="7" t="s">
        <v>17</v>
      </c>
      <c r="G1366" s="7" t="s">
        <v>255</v>
      </c>
      <c r="H1366" s="7" t="s">
        <v>551</v>
      </c>
      <c r="I1366" s="7" t="s">
        <v>2535</v>
      </c>
      <c r="J1366" s="7" t="s">
        <v>35</v>
      </c>
      <c r="K1366" s="7" t="s">
        <v>69</v>
      </c>
      <c r="L1366" s="8">
        <v>26</v>
      </c>
      <c r="M1366" s="7" t="s">
        <v>77</v>
      </c>
      <c r="N1366" s="8">
        <v>159</v>
      </c>
      <c r="O1366" s="8">
        <v>1</v>
      </c>
      <c r="P1366" s="5">
        <v>6089.79</v>
      </c>
      <c r="Q1366" s="4">
        <v>45600</v>
      </c>
      <c r="R1366" s="9">
        <v>0.33901620370370372</v>
      </c>
      <c r="S1366" s="8">
        <v>17</v>
      </c>
      <c r="T1366" s="7" t="s">
        <v>4456</v>
      </c>
      <c r="U1366" s="7" t="s">
        <v>4455</v>
      </c>
      <c r="V13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67" spans="1:22" x14ac:dyDescent="0.35">
      <c r="A1367" s="7" t="s">
        <v>3123</v>
      </c>
      <c r="B1367" s="7" t="s">
        <v>1069</v>
      </c>
      <c r="C1367" s="5">
        <v>91.32</v>
      </c>
      <c r="D1367" s="2">
        <v>0.69704861110949423</v>
      </c>
      <c r="E1367" s="4">
        <v>45240</v>
      </c>
      <c r="F1367" s="7" t="s">
        <v>17</v>
      </c>
      <c r="G1367" s="7" t="s">
        <v>178</v>
      </c>
      <c r="H1367" s="7" t="s">
        <v>1871</v>
      </c>
      <c r="I1367" s="7" t="s">
        <v>230</v>
      </c>
      <c r="J1367" s="7" t="s">
        <v>682</v>
      </c>
      <c r="K1367" s="7" t="s">
        <v>69</v>
      </c>
      <c r="L1367" s="8">
        <v>58</v>
      </c>
      <c r="M1367" s="7" t="s">
        <v>77</v>
      </c>
      <c r="N1367" s="8">
        <v>77</v>
      </c>
      <c r="O1367" s="8">
        <v>1</v>
      </c>
      <c r="P1367" s="5">
        <v>2618.1</v>
      </c>
      <c r="Q1367" s="4">
        <v>45600</v>
      </c>
      <c r="R1367" s="9">
        <v>0.33914351851851854</v>
      </c>
      <c r="S1367" s="8">
        <v>16</v>
      </c>
      <c r="T1367" s="7" t="s">
        <v>4454</v>
      </c>
      <c r="U1367" s="7" t="s">
        <v>4455</v>
      </c>
      <c r="V13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68" spans="1:22" x14ac:dyDescent="0.35">
      <c r="A1368" s="7" t="s">
        <v>3124</v>
      </c>
      <c r="B1368" s="7" t="s">
        <v>764</v>
      </c>
      <c r="C1368" s="5">
        <v>195.49</v>
      </c>
      <c r="D1368" s="2">
        <v>0.69096064814948477</v>
      </c>
      <c r="E1368" s="4">
        <v>45089</v>
      </c>
      <c r="F1368" s="7" t="s">
        <v>17</v>
      </c>
      <c r="G1368" s="7" t="s">
        <v>92</v>
      </c>
      <c r="H1368" s="7" t="s">
        <v>2361</v>
      </c>
      <c r="I1368" s="7" t="s">
        <v>1505</v>
      </c>
      <c r="J1368" s="7" t="s">
        <v>1810</v>
      </c>
      <c r="K1368" s="7" t="s">
        <v>22</v>
      </c>
      <c r="L1368" s="8">
        <v>31</v>
      </c>
      <c r="M1368" s="7" t="s">
        <v>23</v>
      </c>
      <c r="N1368" s="8">
        <v>212</v>
      </c>
      <c r="O1368" s="8">
        <v>1</v>
      </c>
      <c r="P1368" s="5">
        <v>11988.12</v>
      </c>
      <c r="Q1368" s="4">
        <v>45600</v>
      </c>
      <c r="R1368" s="9">
        <v>0.33929398148148149</v>
      </c>
      <c r="S1368" s="8">
        <v>16</v>
      </c>
      <c r="T1368" s="7" t="s">
        <v>4456</v>
      </c>
      <c r="U1368" s="7" t="s">
        <v>4455</v>
      </c>
      <c r="V13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69" spans="1:22" x14ac:dyDescent="0.35">
      <c r="A1369" s="7" t="s">
        <v>3125</v>
      </c>
      <c r="B1369" s="7" t="s">
        <v>781</v>
      </c>
      <c r="C1369" s="5">
        <v>49.62</v>
      </c>
      <c r="D1369" s="2">
        <v>0.67994212963094469</v>
      </c>
      <c r="E1369" s="4">
        <v>45267</v>
      </c>
      <c r="F1369" s="7" t="s">
        <v>17</v>
      </c>
      <c r="G1369" s="7" t="s">
        <v>595</v>
      </c>
      <c r="H1369" s="7" t="s">
        <v>3126</v>
      </c>
      <c r="I1369" s="7" t="s">
        <v>2111</v>
      </c>
      <c r="J1369" s="7" t="s">
        <v>288</v>
      </c>
      <c r="K1369" s="7" t="s">
        <v>22</v>
      </c>
      <c r="L1369" s="8">
        <v>55</v>
      </c>
      <c r="M1369" s="7" t="s">
        <v>77</v>
      </c>
      <c r="N1369" s="8">
        <v>111</v>
      </c>
      <c r="O1369" s="8">
        <v>1</v>
      </c>
      <c r="P1369" s="5">
        <v>3841.42</v>
      </c>
      <c r="Q1369" s="4">
        <v>45600</v>
      </c>
      <c r="R1369" s="9">
        <v>0.33846064814814814</v>
      </c>
      <c r="S1369" s="8">
        <v>16</v>
      </c>
      <c r="T1369" s="7" t="s">
        <v>4454</v>
      </c>
      <c r="U1369" s="7" t="s">
        <v>4455</v>
      </c>
      <c r="V13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70" spans="1:22" x14ac:dyDescent="0.35">
      <c r="A1370" s="7" t="s">
        <v>3127</v>
      </c>
      <c r="B1370" s="7" t="s">
        <v>1256</v>
      </c>
      <c r="C1370" s="5">
        <v>487.16</v>
      </c>
      <c r="D1370" s="2">
        <v>0.66752314814948477</v>
      </c>
      <c r="E1370" s="4">
        <v>44928</v>
      </c>
      <c r="F1370" s="7" t="s">
        <v>46</v>
      </c>
      <c r="G1370" s="7" t="s">
        <v>140</v>
      </c>
      <c r="H1370" s="7" t="s">
        <v>3128</v>
      </c>
      <c r="I1370" s="7" t="s">
        <v>2013</v>
      </c>
      <c r="J1370" s="7" t="s">
        <v>543</v>
      </c>
      <c r="K1370" s="7" t="s">
        <v>69</v>
      </c>
      <c r="L1370" s="8">
        <v>28</v>
      </c>
      <c r="M1370" s="7" t="s">
        <v>37</v>
      </c>
      <c r="N1370" s="8">
        <v>84</v>
      </c>
      <c r="O1370" s="8">
        <v>1</v>
      </c>
      <c r="P1370" s="5">
        <v>321.20999999999998</v>
      </c>
      <c r="Q1370" s="4">
        <v>45600</v>
      </c>
      <c r="R1370" s="9">
        <v>0.34192129629629631</v>
      </c>
      <c r="S1370" s="8">
        <v>16</v>
      </c>
      <c r="T1370" s="7" t="s">
        <v>4456</v>
      </c>
      <c r="U1370" s="7" t="s">
        <v>4455</v>
      </c>
      <c r="V13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71" spans="1:22" x14ac:dyDescent="0.35">
      <c r="A1371" s="7" t="s">
        <v>3129</v>
      </c>
      <c r="B1371" s="7" t="s">
        <v>1703</v>
      </c>
      <c r="C1371" s="5">
        <v>405.6</v>
      </c>
      <c r="D1371" s="2">
        <v>0.73728009259502869</v>
      </c>
      <c r="E1371" s="4">
        <v>45146</v>
      </c>
      <c r="F1371" s="7" t="s">
        <v>17</v>
      </c>
      <c r="G1371" s="7" t="s">
        <v>255</v>
      </c>
      <c r="H1371" s="7" t="s">
        <v>1937</v>
      </c>
      <c r="I1371" s="7" t="s">
        <v>2822</v>
      </c>
      <c r="J1371" s="7" t="s">
        <v>1000</v>
      </c>
      <c r="K1371" s="7" t="s">
        <v>36</v>
      </c>
      <c r="L1371" s="8">
        <v>37</v>
      </c>
      <c r="M1371" s="7" t="s">
        <v>77</v>
      </c>
      <c r="N1371" s="8">
        <v>44</v>
      </c>
      <c r="O1371" s="8">
        <v>1</v>
      </c>
      <c r="P1371" s="5">
        <v>9754.73</v>
      </c>
      <c r="Q1371" s="4">
        <v>45600</v>
      </c>
      <c r="R1371" s="9">
        <v>0.33986111111111111</v>
      </c>
      <c r="S1371" s="8">
        <v>17</v>
      </c>
      <c r="T1371" s="7" t="s">
        <v>4457</v>
      </c>
      <c r="U1371" s="7" t="s">
        <v>4455</v>
      </c>
      <c r="V13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72" spans="1:22" x14ac:dyDescent="0.35">
      <c r="A1372" s="7" t="s">
        <v>3130</v>
      </c>
      <c r="B1372" s="7" t="s">
        <v>232</v>
      </c>
      <c r="C1372" s="5">
        <v>512.95000000000005</v>
      </c>
      <c r="D1372" s="2">
        <v>0.71430555555707542</v>
      </c>
      <c r="E1372" s="4">
        <v>45215</v>
      </c>
      <c r="F1372" s="7" t="s">
        <v>17</v>
      </c>
      <c r="G1372" s="7" t="s">
        <v>125</v>
      </c>
      <c r="H1372" s="7" t="s">
        <v>2806</v>
      </c>
      <c r="I1372" s="7" t="s">
        <v>239</v>
      </c>
      <c r="J1372" s="7" t="s">
        <v>386</v>
      </c>
      <c r="K1372" s="7" t="s">
        <v>69</v>
      </c>
      <c r="L1372" s="8">
        <v>57</v>
      </c>
      <c r="M1372" s="7" t="s">
        <v>77</v>
      </c>
      <c r="N1372" s="8">
        <v>143</v>
      </c>
      <c r="O1372" s="8">
        <v>1</v>
      </c>
      <c r="P1372" s="5">
        <v>9584.52</v>
      </c>
      <c r="Q1372" s="4">
        <v>45600</v>
      </c>
      <c r="R1372" s="9">
        <v>0.34033564814814815</v>
      </c>
      <c r="S1372" s="8">
        <v>17</v>
      </c>
      <c r="T1372" s="7" t="s">
        <v>4454</v>
      </c>
      <c r="U1372" s="7" t="s">
        <v>4455</v>
      </c>
      <c r="V13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73" spans="1:22" x14ac:dyDescent="0.35">
      <c r="A1373" s="7" t="s">
        <v>3131</v>
      </c>
      <c r="B1373" s="7" t="s">
        <v>442</v>
      </c>
      <c r="C1373" s="5">
        <v>345.94</v>
      </c>
      <c r="D1373" s="2">
        <v>0.73121527778130258</v>
      </c>
      <c r="E1373" s="4">
        <v>45208</v>
      </c>
      <c r="F1373" s="7" t="s">
        <v>17</v>
      </c>
      <c r="G1373" s="7" t="s">
        <v>595</v>
      </c>
      <c r="H1373" s="7" t="s">
        <v>1734</v>
      </c>
      <c r="I1373" s="7" t="s">
        <v>948</v>
      </c>
      <c r="J1373" s="7" t="s">
        <v>740</v>
      </c>
      <c r="K1373" s="7" t="s">
        <v>22</v>
      </c>
      <c r="L1373" s="8">
        <v>31</v>
      </c>
      <c r="M1373" s="7" t="s">
        <v>23</v>
      </c>
      <c r="N1373" s="8">
        <v>163</v>
      </c>
      <c r="O1373" s="8">
        <v>1</v>
      </c>
      <c r="P1373" s="5">
        <v>7624.56</v>
      </c>
      <c r="Q1373" s="4">
        <v>45600</v>
      </c>
      <c r="R1373" s="9">
        <v>0.34143518518518517</v>
      </c>
      <c r="S1373" s="8">
        <v>17</v>
      </c>
      <c r="T1373" s="7" t="s">
        <v>4456</v>
      </c>
      <c r="U1373" s="7" t="s">
        <v>4455</v>
      </c>
      <c r="V13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74" spans="1:22" x14ac:dyDescent="0.35">
      <c r="A1374" s="7" t="s">
        <v>3132</v>
      </c>
      <c r="B1374" s="7" t="s">
        <v>1425</v>
      </c>
      <c r="C1374" s="5">
        <v>356.56</v>
      </c>
      <c r="D1374" s="2">
        <v>0.72454861111327773</v>
      </c>
      <c r="E1374" s="4">
        <v>45208</v>
      </c>
      <c r="F1374" s="7" t="s">
        <v>17</v>
      </c>
      <c r="G1374" s="7" t="s">
        <v>203</v>
      </c>
      <c r="H1374" s="7" t="s">
        <v>1265</v>
      </c>
      <c r="I1374" s="7" t="s">
        <v>1259</v>
      </c>
      <c r="J1374" s="7" t="s">
        <v>740</v>
      </c>
      <c r="K1374" s="7" t="s">
        <v>36</v>
      </c>
      <c r="L1374" s="8">
        <v>47</v>
      </c>
      <c r="M1374" s="7" t="s">
        <v>77</v>
      </c>
      <c r="N1374" s="8">
        <v>52</v>
      </c>
      <c r="O1374" s="8">
        <v>1</v>
      </c>
      <c r="P1374" s="5">
        <v>2485.73</v>
      </c>
      <c r="Q1374" s="4">
        <v>45600</v>
      </c>
      <c r="R1374" s="9">
        <v>0.34163194444444445</v>
      </c>
      <c r="S1374" s="8">
        <v>17</v>
      </c>
      <c r="T1374" s="7" t="s">
        <v>4457</v>
      </c>
      <c r="U1374" s="7" t="s">
        <v>4455</v>
      </c>
      <c r="V13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75" spans="1:22" x14ac:dyDescent="0.35">
      <c r="A1375" s="7" t="s">
        <v>3133</v>
      </c>
      <c r="B1375" s="7" t="s">
        <v>215</v>
      </c>
      <c r="C1375" s="5">
        <v>10.31</v>
      </c>
      <c r="D1375" s="2">
        <v>0.68328703703446081</v>
      </c>
      <c r="E1375" s="4">
        <v>44939</v>
      </c>
      <c r="F1375" s="7" t="s">
        <v>17</v>
      </c>
      <c r="G1375" s="7" t="s">
        <v>108</v>
      </c>
      <c r="H1375" s="7" t="s">
        <v>1305</v>
      </c>
      <c r="I1375" s="7" t="s">
        <v>1481</v>
      </c>
      <c r="J1375" s="7" t="s">
        <v>56</v>
      </c>
      <c r="K1375" s="7" t="s">
        <v>36</v>
      </c>
      <c r="L1375" s="8">
        <v>36</v>
      </c>
      <c r="M1375" s="7" t="s">
        <v>77</v>
      </c>
      <c r="N1375" s="8">
        <v>280</v>
      </c>
      <c r="O1375" s="8">
        <v>1</v>
      </c>
      <c r="P1375" s="5">
        <v>2137.9</v>
      </c>
      <c r="Q1375" s="4">
        <v>45600</v>
      </c>
      <c r="R1375" s="9">
        <v>0.34113425925925928</v>
      </c>
      <c r="S1375" s="8">
        <v>16</v>
      </c>
      <c r="T1375" s="7" t="s">
        <v>4457</v>
      </c>
      <c r="U1375" s="7" t="s">
        <v>4455</v>
      </c>
      <c r="V13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76" spans="1:22" x14ac:dyDescent="0.35">
      <c r="A1376" s="7" t="s">
        <v>3134</v>
      </c>
      <c r="B1376" s="7" t="s">
        <v>2005</v>
      </c>
      <c r="C1376" s="5">
        <v>211.69</v>
      </c>
      <c r="D1376" s="2">
        <v>0.66813657407328719</v>
      </c>
      <c r="E1376" s="4">
        <v>45219</v>
      </c>
      <c r="F1376" s="7" t="s">
        <v>17</v>
      </c>
      <c r="G1376" s="7" t="s">
        <v>47</v>
      </c>
      <c r="H1376" s="7" t="s">
        <v>2170</v>
      </c>
      <c r="I1376" s="7" t="s">
        <v>42</v>
      </c>
      <c r="J1376" s="7" t="s">
        <v>386</v>
      </c>
      <c r="K1376" s="7" t="s">
        <v>69</v>
      </c>
      <c r="L1376" s="8">
        <v>30</v>
      </c>
      <c r="M1376" s="7" t="s">
        <v>23</v>
      </c>
      <c r="N1376" s="8">
        <v>111</v>
      </c>
      <c r="O1376" s="8">
        <v>1</v>
      </c>
      <c r="P1376" s="5">
        <v>6412.85</v>
      </c>
      <c r="Q1376" s="4">
        <v>45600</v>
      </c>
      <c r="R1376" s="9">
        <v>0.33877314814814813</v>
      </c>
      <c r="S1376" s="8">
        <v>16</v>
      </c>
      <c r="T1376" s="7" t="s">
        <v>4456</v>
      </c>
      <c r="U1376" s="7" t="s">
        <v>4455</v>
      </c>
      <c r="V13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77" spans="1:22" x14ac:dyDescent="0.35">
      <c r="A1377" s="7" t="s">
        <v>3135</v>
      </c>
      <c r="B1377" s="7" t="s">
        <v>3136</v>
      </c>
      <c r="C1377" s="5">
        <v>221.49</v>
      </c>
      <c r="D1377" s="2">
        <v>0.75789351851562969</v>
      </c>
      <c r="E1377" s="4">
        <v>45182</v>
      </c>
      <c r="F1377" s="7" t="s">
        <v>46</v>
      </c>
      <c r="G1377" s="7" t="s">
        <v>53</v>
      </c>
      <c r="H1377" s="7" t="s">
        <v>928</v>
      </c>
      <c r="I1377" s="7" t="s">
        <v>1309</v>
      </c>
      <c r="J1377" s="7" t="s">
        <v>29</v>
      </c>
      <c r="K1377" s="7" t="s">
        <v>69</v>
      </c>
      <c r="L1377" s="8">
        <v>23</v>
      </c>
      <c r="M1377" s="7" t="s">
        <v>37</v>
      </c>
      <c r="N1377" s="8">
        <v>196</v>
      </c>
      <c r="O1377" s="8">
        <v>1</v>
      </c>
      <c r="P1377" s="5">
        <v>707.25</v>
      </c>
      <c r="Q1377" s="4">
        <v>45600</v>
      </c>
      <c r="R1377" s="9">
        <v>0.34155092592592595</v>
      </c>
      <c r="S1377" s="8">
        <v>18</v>
      </c>
      <c r="T1377" s="7" t="s">
        <v>4456</v>
      </c>
      <c r="U1377" s="7" t="s">
        <v>4455</v>
      </c>
      <c r="V13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78" spans="1:22" x14ac:dyDescent="0.35">
      <c r="A1378" s="7" t="s">
        <v>3137</v>
      </c>
      <c r="B1378" s="7" t="s">
        <v>1599</v>
      </c>
      <c r="C1378" s="5">
        <v>278.23</v>
      </c>
      <c r="D1378" s="2">
        <v>0.74274305555445608</v>
      </c>
      <c r="E1378" s="4">
        <v>45050</v>
      </c>
      <c r="F1378" s="7" t="s">
        <v>17</v>
      </c>
      <c r="G1378" s="7" t="s">
        <v>558</v>
      </c>
      <c r="H1378" s="7" t="s">
        <v>131</v>
      </c>
      <c r="I1378" s="7" t="s">
        <v>2738</v>
      </c>
      <c r="J1378" s="7" t="s">
        <v>62</v>
      </c>
      <c r="K1378" s="7" t="s">
        <v>36</v>
      </c>
      <c r="L1378" s="8">
        <v>48</v>
      </c>
      <c r="M1378" s="7" t="s">
        <v>77</v>
      </c>
      <c r="N1378" s="8">
        <v>83</v>
      </c>
      <c r="O1378" s="8">
        <v>1</v>
      </c>
      <c r="P1378" s="5">
        <v>8300.5400000000009</v>
      </c>
      <c r="Q1378" s="4">
        <v>45600</v>
      </c>
      <c r="R1378" s="9">
        <v>0.34011574074074075</v>
      </c>
      <c r="S1378" s="8">
        <v>17</v>
      </c>
      <c r="T1378" s="7" t="s">
        <v>4457</v>
      </c>
      <c r="U1378" s="7" t="s">
        <v>4455</v>
      </c>
      <c r="V13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79" spans="1:22" x14ac:dyDescent="0.35">
      <c r="A1379" s="7" t="s">
        <v>3138</v>
      </c>
      <c r="B1379" s="7" t="s">
        <v>1343</v>
      </c>
      <c r="C1379" s="5">
        <v>116.88</v>
      </c>
      <c r="D1379" s="2">
        <v>0.71530092592729488</v>
      </c>
      <c r="E1379" s="4">
        <v>45203</v>
      </c>
      <c r="F1379" s="7" t="s">
        <v>17</v>
      </c>
      <c r="G1379" s="7" t="s">
        <v>92</v>
      </c>
      <c r="H1379" s="7" t="s">
        <v>1697</v>
      </c>
      <c r="I1379" s="7" t="s">
        <v>2899</v>
      </c>
      <c r="J1379" s="7" t="s">
        <v>607</v>
      </c>
      <c r="K1379" s="7" t="s">
        <v>22</v>
      </c>
      <c r="L1379" s="8">
        <v>45</v>
      </c>
      <c r="M1379" s="7" t="s">
        <v>23</v>
      </c>
      <c r="N1379" s="8">
        <v>263</v>
      </c>
      <c r="O1379" s="8">
        <v>1</v>
      </c>
      <c r="P1379" s="5">
        <v>7717.34</v>
      </c>
      <c r="Q1379" s="4">
        <v>45600</v>
      </c>
      <c r="R1379" s="9">
        <v>0.34030092592592592</v>
      </c>
      <c r="S1379" s="8">
        <v>17</v>
      </c>
      <c r="T1379" s="7" t="s">
        <v>4457</v>
      </c>
      <c r="U1379" s="7" t="s">
        <v>4455</v>
      </c>
      <c r="V13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80" spans="1:22" x14ac:dyDescent="0.35">
      <c r="A1380" s="7" t="s">
        <v>3139</v>
      </c>
      <c r="B1380" s="7" t="s">
        <v>107</v>
      </c>
      <c r="C1380" s="5">
        <v>328.77</v>
      </c>
      <c r="D1380" s="2">
        <v>0.74957175926101627</v>
      </c>
      <c r="E1380" s="4">
        <v>45019</v>
      </c>
      <c r="F1380" s="7" t="s">
        <v>46</v>
      </c>
      <c r="G1380" s="7" t="s">
        <v>18</v>
      </c>
      <c r="H1380" s="7" t="s">
        <v>2318</v>
      </c>
      <c r="I1380" s="7" t="s">
        <v>2336</v>
      </c>
      <c r="J1380" s="7" t="s">
        <v>450</v>
      </c>
      <c r="K1380" s="7" t="s">
        <v>36</v>
      </c>
      <c r="L1380" s="8">
        <v>39</v>
      </c>
      <c r="M1380" s="7" t="s">
        <v>23</v>
      </c>
      <c r="N1380" s="8">
        <v>247</v>
      </c>
      <c r="O1380" s="8">
        <v>1</v>
      </c>
      <c r="P1380" s="5">
        <v>6967.03</v>
      </c>
      <c r="Q1380" s="4">
        <v>45600</v>
      </c>
      <c r="R1380" s="9">
        <v>0.34024305555555556</v>
      </c>
      <c r="S1380" s="8">
        <v>17</v>
      </c>
      <c r="T1380" s="7" t="s">
        <v>4457</v>
      </c>
      <c r="U1380" s="7" t="s">
        <v>4455</v>
      </c>
      <c r="V13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81" spans="1:22" x14ac:dyDescent="0.35">
      <c r="A1381" s="7" t="s">
        <v>3140</v>
      </c>
      <c r="B1381" s="7" t="s">
        <v>1023</v>
      </c>
      <c r="C1381" s="5">
        <v>77.53</v>
      </c>
      <c r="D1381" s="2">
        <v>0.75028935185400769</v>
      </c>
      <c r="E1381" s="4">
        <v>45132</v>
      </c>
      <c r="F1381" s="7" t="s">
        <v>17</v>
      </c>
      <c r="G1381" s="7" t="s">
        <v>108</v>
      </c>
      <c r="H1381" s="7" t="s">
        <v>661</v>
      </c>
      <c r="I1381" s="7" t="s">
        <v>3141</v>
      </c>
      <c r="J1381" s="7" t="s">
        <v>29</v>
      </c>
      <c r="K1381" s="7" t="s">
        <v>69</v>
      </c>
      <c r="L1381" s="8">
        <v>54</v>
      </c>
      <c r="M1381" s="7" t="s">
        <v>70</v>
      </c>
      <c r="N1381" s="8">
        <v>55</v>
      </c>
      <c r="O1381" s="8">
        <v>1</v>
      </c>
      <c r="P1381" s="5">
        <v>5158.6000000000004</v>
      </c>
      <c r="Q1381" s="4">
        <v>45600</v>
      </c>
      <c r="R1381" s="9">
        <v>0.33833333333333332</v>
      </c>
      <c r="S1381" s="8">
        <v>18</v>
      </c>
      <c r="T1381" s="7" t="s">
        <v>4457</v>
      </c>
      <c r="U1381" s="7" t="s">
        <v>4455</v>
      </c>
      <c r="V13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82" spans="1:22" x14ac:dyDescent="0.35">
      <c r="A1382" s="7" t="s">
        <v>3142</v>
      </c>
      <c r="B1382" s="7" t="s">
        <v>284</v>
      </c>
      <c r="C1382" s="5">
        <v>421.74</v>
      </c>
      <c r="D1382" s="2">
        <v>0.71325231481750961</v>
      </c>
      <c r="E1382" s="4">
        <v>45097</v>
      </c>
      <c r="F1382" s="7" t="s">
        <v>17</v>
      </c>
      <c r="G1382" s="7" t="s">
        <v>223</v>
      </c>
      <c r="H1382" s="7" t="s">
        <v>630</v>
      </c>
      <c r="I1382" s="7" t="s">
        <v>225</v>
      </c>
      <c r="J1382" s="7" t="s">
        <v>240</v>
      </c>
      <c r="K1382" s="7" t="s">
        <v>36</v>
      </c>
      <c r="L1382" s="8">
        <v>67</v>
      </c>
      <c r="M1382" s="7" t="s">
        <v>23</v>
      </c>
      <c r="N1382" s="8">
        <v>103</v>
      </c>
      <c r="O1382" s="8">
        <v>1</v>
      </c>
      <c r="P1382" s="5">
        <v>12031.14</v>
      </c>
      <c r="Q1382" s="4">
        <v>45600</v>
      </c>
      <c r="R1382" s="9">
        <v>0.3404861111111111</v>
      </c>
      <c r="S1382" s="8">
        <v>17</v>
      </c>
      <c r="T1382" s="7" t="s">
        <v>4454</v>
      </c>
      <c r="U1382" s="7" t="s">
        <v>4455</v>
      </c>
      <c r="V13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83" spans="1:22" x14ac:dyDescent="0.35">
      <c r="A1383" s="7" t="s">
        <v>3143</v>
      </c>
      <c r="B1383" s="7" t="s">
        <v>1027</v>
      </c>
      <c r="C1383" s="5">
        <v>313.69</v>
      </c>
      <c r="D1383" s="2">
        <v>0.6913541666654055</v>
      </c>
      <c r="E1383" s="4">
        <v>44995</v>
      </c>
      <c r="F1383" s="7" t="s">
        <v>17</v>
      </c>
      <c r="G1383" s="7" t="s">
        <v>53</v>
      </c>
      <c r="H1383" s="7" t="s">
        <v>2548</v>
      </c>
      <c r="I1383" s="7" t="s">
        <v>2145</v>
      </c>
      <c r="J1383" s="7" t="s">
        <v>639</v>
      </c>
      <c r="K1383" s="7" t="s">
        <v>69</v>
      </c>
      <c r="L1383" s="8">
        <v>73</v>
      </c>
      <c r="M1383" s="7" t="s">
        <v>70</v>
      </c>
      <c r="N1383" s="8">
        <v>152</v>
      </c>
      <c r="O1383" s="8">
        <v>1</v>
      </c>
      <c r="P1383" s="5">
        <v>7093.68</v>
      </c>
      <c r="Q1383" s="4">
        <v>45600</v>
      </c>
      <c r="R1383" s="9">
        <v>0.34054398148148146</v>
      </c>
      <c r="S1383" s="8">
        <v>16</v>
      </c>
      <c r="T1383" s="7" t="s">
        <v>4454</v>
      </c>
      <c r="U1383" s="7" t="s">
        <v>4455</v>
      </c>
      <c r="V13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84" spans="1:22" x14ac:dyDescent="0.35">
      <c r="A1384" s="7" t="s">
        <v>3144</v>
      </c>
      <c r="B1384" s="7" t="s">
        <v>130</v>
      </c>
      <c r="C1384" s="5">
        <v>411.72</v>
      </c>
      <c r="D1384" s="2">
        <v>0.78045138889137888</v>
      </c>
      <c r="E1384" s="4">
        <v>45097</v>
      </c>
      <c r="F1384" s="7" t="s">
        <v>17</v>
      </c>
      <c r="G1384" s="7" t="s">
        <v>453</v>
      </c>
      <c r="H1384" s="7" t="s">
        <v>2513</v>
      </c>
      <c r="I1384" s="7" t="s">
        <v>1571</v>
      </c>
      <c r="J1384" s="7" t="s">
        <v>240</v>
      </c>
      <c r="K1384" s="7" t="s">
        <v>69</v>
      </c>
      <c r="L1384" s="8">
        <v>29</v>
      </c>
      <c r="M1384" s="7" t="s">
        <v>23</v>
      </c>
      <c r="N1384" s="8">
        <v>153</v>
      </c>
      <c r="O1384" s="8">
        <v>1</v>
      </c>
      <c r="P1384" s="5">
        <v>8539.86</v>
      </c>
      <c r="Q1384" s="4">
        <v>45600</v>
      </c>
      <c r="R1384" s="9">
        <v>0.3414699074074074</v>
      </c>
      <c r="S1384" s="8">
        <v>18</v>
      </c>
      <c r="T1384" s="7" t="s">
        <v>4456</v>
      </c>
      <c r="U1384" s="7" t="s">
        <v>4455</v>
      </c>
      <c r="V13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85" spans="1:22" x14ac:dyDescent="0.35">
      <c r="A1385" s="7" t="s">
        <v>3145</v>
      </c>
      <c r="B1385" s="7" t="s">
        <v>1327</v>
      </c>
      <c r="C1385" s="5">
        <v>508.73</v>
      </c>
      <c r="D1385" s="2">
        <v>0.68256944444146939</v>
      </c>
      <c r="E1385" s="4">
        <v>45121</v>
      </c>
      <c r="F1385" s="7" t="s">
        <v>17</v>
      </c>
      <c r="G1385" s="7" t="s">
        <v>265</v>
      </c>
      <c r="H1385" s="7" t="s">
        <v>3071</v>
      </c>
      <c r="I1385" s="7" t="s">
        <v>3146</v>
      </c>
      <c r="J1385" s="7" t="s">
        <v>358</v>
      </c>
      <c r="K1385" s="7" t="s">
        <v>69</v>
      </c>
      <c r="L1385" s="8">
        <v>59</v>
      </c>
      <c r="M1385" s="7" t="s">
        <v>70</v>
      </c>
      <c r="N1385" s="8">
        <v>89</v>
      </c>
      <c r="O1385" s="8">
        <v>1</v>
      </c>
      <c r="P1385" s="5">
        <v>7640.57</v>
      </c>
      <c r="Q1385" s="4">
        <v>45600</v>
      </c>
      <c r="R1385" s="9">
        <v>0.33966435185185184</v>
      </c>
      <c r="S1385" s="8">
        <v>16</v>
      </c>
      <c r="T1385" s="7" t="s">
        <v>4454</v>
      </c>
      <c r="U1385" s="7" t="s">
        <v>4455</v>
      </c>
      <c r="V13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86" spans="1:22" x14ac:dyDescent="0.35">
      <c r="A1386" s="7" t="s">
        <v>3147</v>
      </c>
      <c r="B1386" s="7" t="s">
        <v>1069</v>
      </c>
      <c r="C1386" s="5">
        <v>153.08000000000001</v>
      </c>
      <c r="D1386" s="2">
        <v>0.70634259259531973</v>
      </c>
      <c r="E1386" s="4">
        <v>45257</v>
      </c>
      <c r="F1386" s="7" t="s">
        <v>17</v>
      </c>
      <c r="G1386" s="7" t="s">
        <v>296</v>
      </c>
      <c r="H1386" s="7" t="s">
        <v>917</v>
      </c>
      <c r="I1386" s="7" t="s">
        <v>2729</v>
      </c>
      <c r="J1386" s="7" t="s">
        <v>100</v>
      </c>
      <c r="K1386" s="7" t="s">
        <v>22</v>
      </c>
      <c r="L1386" s="8">
        <v>24</v>
      </c>
      <c r="M1386" s="7" t="s">
        <v>37</v>
      </c>
      <c r="N1386" s="8">
        <v>201</v>
      </c>
      <c r="O1386" s="8">
        <v>1</v>
      </c>
      <c r="P1386" s="5">
        <v>1292.21</v>
      </c>
      <c r="Q1386" s="4">
        <v>45600</v>
      </c>
      <c r="R1386" s="9">
        <v>0.33991898148148147</v>
      </c>
      <c r="S1386" s="8">
        <v>16</v>
      </c>
      <c r="T1386" s="7" t="s">
        <v>4456</v>
      </c>
      <c r="U1386" s="7" t="s">
        <v>4455</v>
      </c>
      <c r="V13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87" spans="1:22" x14ac:dyDescent="0.35">
      <c r="A1387" s="7" t="s">
        <v>3148</v>
      </c>
      <c r="B1387" s="7" t="s">
        <v>1452</v>
      </c>
      <c r="C1387" s="5">
        <v>23.01</v>
      </c>
      <c r="D1387" s="2">
        <v>0.77296296296117362</v>
      </c>
      <c r="E1387" s="4">
        <v>45086</v>
      </c>
      <c r="F1387" s="7" t="s">
        <v>17</v>
      </c>
      <c r="G1387" s="7" t="s">
        <v>146</v>
      </c>
      <c r="H1387" s="7" t="s">
        <v>409</v>
      </c>
      <c r="I1387" s="7" t="s">
        <v>174</v>
      </c>
      <c r="J1387" s="7" t="s">
        <v>277</v>
      </c>
      <c r="K1387" s="7" t="s">
        <v>69</v>
      </c>
      <c r="L1387" s="8">
        <v>63</v>
      </c>
      <c r="M1387" s="7" t="s">
        <v>70</v>
      </c>
      <c r="N1387" s="8">
        <v>166</v>
      </c>
      <c r="O1387" s="8">
        <v>1</v>
      </c>
      <c r="P1387" s="5">
        <v>5958.75</v>
      </c>
      <c r="Q1387" s="4">
        <v>45600</v>
      </c>
      <c r="R1387" s="9">
        <v>0.33974537037037039</v>
      </c>
      <c r="S1387" s="8">
        <v>18</v>
      </c>
      <c r="T1387" s="7" t="s">
        <v>4454</v>
      </c>
      <c r="U1387" s="7" t="s">
        <v>4455</v>
      </c>
      <c r="V13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88" spans="1:22" x14ac:dyDescent="0.35">
      <c r="A1388" s="7" t="s">
        <v>3149</v>
      </c>
      <c r="B1388" s="7" t="s">
        <v>2671</v>
      </c>
      <c r="C1388" s="5">
        <v>69.28</v>
      </c>
      <c r="D1388" s="2">
        <v>0.69194444444292458</v>
      </c>
      <c r="E1388" s="4">
        <v>45229</v>
      </c>
      <c r="F1388" s="7" t="s">
        <v>17</v>
      </c>
      <c r="G1388" s="7" t="s">
        <v>140</v>
      </c>
      <c r="H1388" s="7" t="s">
        <v>1912</v>
      </c>
      <c r="I1388" s="7" t="s">
        <v>2389</v>
      </c>
      <c r="J1388" s="7" t="s">
        <v>272</v>
      </c>
      <c r="K1388" s="7" t="s">
        <v>36</v>
      </c>
      <c r="L1388" s="8">
        <v>25</v>
      </c>
      <c r="M1388" s="7" t="s">
        <v>37</v>
      </c>
      <c r="N1388" s="8">
        <v>129</v>
      </c>
      <c r="O1388" s="8">
        <v>1</v>
      </c>
      <c r="P1388" s="5">
        <v>708.74</v>
      </c>
      <c r="Q1388" s="4">
        <v>45600</v>
      </c>
      <c r="R1388" s="9">
        <v>0.34098379629629627</v>
      </c>
      <c r="S1388" s="8">
        <v>16</v>
      </c>
      <c r="T1388" s="7" t="s">
        <v>4456</v>
      </c>
      <c r="U1388" s="7" t="s">
        <v>4455</v>
      </c>
      <c r="V13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89" spans="1:22" x14ac:dyDescent="0.35">
      <c r="A1389" s="7" t="s">
        <v>3150</v>
      </c>
      <c r="B1389" s="7" t="s">
        <v>171</v>
      </c>
      <c r="C1389" s="5">
        <v>51.25</v>
      </c>
      <c r="D1389" s="2">
        <v>0.67795138889050577</v>
      </c>
      <c r="E1389" s="4">
        <v>45167</v>
      </c>
      <c r="F1389" s="7" t="s">
        <v>46</v>
      </c>
      <c r="G1389" s="7" t="s">
        <v>119</v>
      </c>
      <c r="H1389" s="7" t="s">
        <v>1379</v>
      </c>
      <c r="I1389" s="7" t="s">
        <v>465</v>
      </c>
      <c r="J1389" s="7" t="s">
        <v>252</v>
      </c>
      <c r="K1389" s="7" t="s">
        <v>69</v>
      </c>
      <c r="L1389" s="8">
        <v>28</v>
      </c>
      <c r="M1389" s="7" t="s">
        <v>37</v>
      </c>
      <c r="N1389" s="8">
        <v>66</v>
      </c>
      <c r="O1389" s="8">
        <v>1</v>
      </c>
      <c r="P1389" s="5">
        <v>1744.4</v>
      </c>
      <c r="Q1389" s="4">
        <v>45600</v>
      </c>
      <c r="R1389" s="9">
        <v>0.34157407407407409</v>
      </c>
      <c r="S1389" s="8">
        <v>16</v>
      </c>
      <c r="T1389" s="7" t="s">
        <v>4456</v>
      </c>
      <c r="U1389" s="7" t="s">
        <v>4455</v>
      </c>
      <c r="V13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90" spans="1:22" x14ac:dyDescent="0.35">
      <c r="A1390" s="7" t="s">
        <v>3151</v>
      </c>
      <c r="B1390" s="7" t="s">
        <v>2372</v>
      </c>
      <c r="C1390" s="5">
        <v>407.65</v>
      </c>
      <c r="D1390" s="2">
        <v>0.72053240740933688</v>
      </c>
      <c r="E1390" s="4">
        <v>45145</v>
      </c>
      <c r="F1390" s="7" t="s">
        <v>17</v>
      </c>
      <c r="G1390" s="7" t="s">
        <v>114</v>
      </c>
      <c r="H1390" s="7" t="s">
        <v>315</v>
      </c>
      <c r="I1390" s="7" t="s">
        <v>3152</v>
      </c>
      <c r="J1390" s="7" t="s">
        <v>312</v>
      </c>
      <c r="K1390" s="7" t="s">
        <v>22</v>
      </c>
      <c r="L1390" s="8">
        <v>25</v>
      </c>
      <c r="M1390" s="7" t="s">
        <v>37</v>
      </c>
      <c r="N1390" s="8">
        <v>263</v>
      </c>
      <c r="O1390" s="8">
        <v>1</v>
      </c>
      <c r="P1390" s="5">
        <v>273.77999999999997</v>
      </c>
      <c r="Q1390" s="4">
        <v>45600</v>
      </c>
      <c r="R1390" s="9">
        <v>0.33931712962962962</v>
      </c>
      <c r="S1390" s="8">
        <v>17</v>
      </c>
      <c r="T1390" s="7" t="s">
        <v>4456</v>
      </c>
      <c r="U1390" s="7" t="s">
        <v>4455</v>
      </c>
      <c r="V13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91" spans="1:22" x14ac:dyDescent="0.35">
      <c r="A1391" s="7" t="s">
        <v>3153</v>
      </c>
      <c r="B1391" s="7" t="s">
        <v>3154</v>
      </c>
      <c r="C1391" s="5">
        <v>459.25</v>
      </c>
      <c r="D1391" s="2">
        <v>0.69760416666395031</v>
      </c>
      <c r="E1391" s="4">
        <v>45069</v>
      </c>
      <c r="F1391" s="7" t="s">
        <v>17</v>
      </c>
      <c r="G1391" s="7" t="s">
        <v>255</v>
      </c>
      <c r="H1391" s="7" t="s">
        <v>906</v>
      </c>
      <c r="I1391" s="7" t="s">
        <v>921</v>
      </c>
      <c r="J1391" s="7" t="s">
        <v>169</v>
      </c>
      <c r="K1391" s="7" t="s">
        <v>69</v>
      </c>
      <c r="L1391" s="8">
        <v>25</v>
      </c>
      <c r="M1391" s="7" t="s">
        <v>37</v>
      </c>
      <c r="N1391" s="8">
        <v>59</v>
      </c>
      <c r="O1391" s="8">
        <v>1</v>
      </c>
      <c r="P1391" s="5">
        <v>130.76</v>
      </c>
      <c r="Q1391" s="4">
        <v>45600</v>
      </c>
      <c r="R1391" s="9">
        <v>0.34151620370370372</v>
      </c>
      <c r="S1391" s="8">
        <v>16</v>
      </c>
      <c r="T1391" s="7" t="s">
        <v>4456</v>
      </c>
      <c r="U1391" s="7" t="s">
        <v>4455</v>
      </c>
      <c r="V13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92" spans="1:22" x14ac:dyDescent="0.35">
      <c r="A1392" s="7" t="s">
        <v>3155</v>
      </c>
      <c r="B1392" s="7" t="s">
        <v>248</v>
      </c>
      <c r="C1392" s="5">
        <v>301.56</v>
      </c>
      <c r="D1392" s="2">
        <v>0.7408449074064265</v>
      </c>
      <c r="E1392" s="4">
        <v>44966</v>
      </c>
      <c r="F1392" s="7" t="s">
        <v>17</v>
      </c>
      <c r="G1392" s="7" t="s">
        <v>59</v>
      </c>
      <c r="H1392" s="7" t="s">
        <v>862</v>
      </c>
      <c r="I1392" s="7" t="s">
        <v>779</v>
      </c>
      <c r="J1392" s="7" t="s">
        <v>1349</v>
      </c>
      <c r="K1392" s="7" t="s">
        <v>69</v>
      </c>
      <c r="L1392" s="8">
        <v>49</v>
      </c>
      <c r="M1392" s="7" t="s">
        <v>23</v>
      </c>
      <c r="N1392" s="8">
        <v>118</v>
      </c>
      <c r="O1392" s="8">
        <v>1</v>
      </c>
      <c r="P1392" s="5">
        <v>10389.6</v>
      </c>
      <c r="Q1392" s="4">
        <v>45600</v>
      </c>
      <c r="R1392" s="9">
        <v>0.34054398148148146</v>
      </c>
      <c r="S1392" s="8">
        <v>17</v>
      </c>
      <c r="T1392" s="7" t="s">
        <v>4457</v>
      </c>
      <c r="U1392" s="7" t="s">
        <v>4455</v>
      </c>
      <c r="V13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93" spans="1:22" x14ac:dyDescent="0.35">
      <c r="A1393" s="7" t="s">
        <v>3156</v>
      </c>
      <c r="B1393" s="7" t="s">
        <v>2128</v>
      </c>
      <c r="C1393" s="5">
        <v>17.670000000000002</v>
      </c>
      <c r="D1393" s="2">
        <v>0.74329861110891216</v>
      </c>
      <c r="E1393" s="4">
        <v>45104</v>
      </c>
      <c r="F1393" s="7" t="s">
        <v>17</v>
      </c>
      <c r="G1393" s="7" t="s">
        <v>18</v>
      </c>
      <c r="H1393" s="7" t="s">
        <v>1253</v>
      </c>
      <c r="I1393" s="7" t="s">
        <v>431</v>
      </c>
      <c r="J1393" s="7" t="s">
        <v>885</v>
      </c>
      <c r="K1393" s="7" t="s">
        <v>36</v>
      </c>
      <c r="L1393" s="8">
        <v>63</v>
      </c>
      <c r="M1393" s="7" t="s">
        <v>23</v>
      </c>
      <c r="N1393" s="8">
        <v>91</v>
      </c>
      <c r="O1393" s="8">
        <v>1</v>
      </c>
      <c r="P1393" s="5">
        <v>1048.18</v>
      </c>
      <c r="Q1393" s="4">
        <v>45600</v>
      </c>
      <c r="R1393" s="9">
        <v>0.34091435185185187</v>
      </c>
      <c r="S1393" s="8">
        <v>17</v>
      </c>
      <c r="T1393" s="7" t="s">
        <v>4454</v>
      </c>
      <c r="U1393" s="7" t="s">
        <v>4455</v>
      </c>
      <c r="V13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94" spans="1:22" x14ac:dyDescent="0.35">
      <c r="A1394" s="7" t="s">
        <v>3157</v>
      </c>
      <c r="B1394" s="7" t="s">
        <v>2225</v>
      </c>
      <c r="C1394" s="5">
        <v>5.29</v>
      </c>
      <c r="D1394" s="2">
        <v>0.7668981481474475</v>
      </c>
      <c r="E1394" s="4">
        <v>44998</v>
      </c>
      <c r="F1394" s="7" t="s">
        <v>46</v>
      </c>
      <c r="G1394" s="7" t="s">
        <v>212</v>
      </c>
      <c r="H1394" s="7" t="s">
        <v>3158</v>
      </c>
      <c r="I1394" s="7" t="s">
        <v>940</v>
      </c>
      <c r="J1394" s="7" t="s">
        <v>181</v>
      </c>
      <c r="K1394" s="7" t="s">
        <v>36</v>
      </c>
      <c r="L1394" s="8">
        <v>32</v>
      </c>
      <c r="M1394" s="7" t="s">
        <v>23</v>
      </c>
      <c r="N1394" s="8">
        <v>132</v>
      </c>
      <c r="O1394" s="8">
        <v>1</v>
      </c>
      <c r="P1394" s="5">
        <v>12896.68</v>
      </c>
      <c r="Q1394" s="4">
        <v>45600</v>
      </c>
      <c r="R1394" s="9">
        <v>0.3410185185185185</v>
      </c>
      <c r="S1394" s="8">
        <v>18</v>
      </c>
      <c r="T1394" s="7" t="s">
        <v>4456</v>
      </c>
      <c r="U1394" s="7" t="s">
        <v>4455</v>
      </c>
      <c r="V13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95" spans="1:22" x14ac:dyDescent="0.35">
      <c r="A1395" s="7" t="s">
        <v>3159</v>
      </c>
      <c r="B1395" s="7" t="s">
        <v>1659</v>
      </c>
      <c r="C1395" s="5">
        <v>401.37</v>
      </c>
      <c r="D1395" s="2">
        <v>0.67938657407648861</v>
      </c>
      <c r="E1395" s="4">
        <v>45187</v>
      </c>
      <c r="F1395" s="7" t="s">
        <v>17</v>
      </c>
      <c r="G1395" s="7" t="s">
        <v>140</v>
      </c>
      <c r="H1395" s="7" t="s">
        <v>1812</v>
      </c>
      <c r="I1395" s="7" t="s">
        <v>320</v>
      </c>
      <c r="J1395" s="7" t="s">
        <v>1000</v>
      </c>
      <c r="K1395" s="7" t="s">
        <v>69</v>
      </c>
      <c r="L1395" s="8">
        <v>43</v>
      </c>
      <c r="M1395" s="7" t="s">
        <v>77</v>
      </c>
      <c r="N1395" s="8">
        <v>251</v>
      </c>
      <c r="O1395" s="8">
        <v>1</v>
      </c>
      <c r="P1395" s="5">
        <v>8208.5400000000009</v>
      </c>
      <c r="Q1395" s="4">
        <v>45600</v>
      </c>
      <c r="R1395" s="9">
        <v>0.34144675925925927</v>
      </c>
      <c r="S1395" s="8">
        <v>16</v>
      </c>
      <c r="T1395" s="7" t="s">
        <v>4457</v>
      </c>
      <c r="U1395" s="7" t="s">
        <v>4455</v>
      </c>
      <c r="V13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96" spans="1:22" x14ac:dyDescent="0.35">
      <c r="A1396" s="7" t="s">
        <v>3160</v>
      </c>
      <c r="B1396" s="7" t="s">
        <v>337</v>
      </c>
      <c r="C1396" s="5">
        <v>145.4</v>
      </c>
      <c r="D1396" s="2">
        <v>0.74557870370335877</v>
      </c>
      <c r="E1396" s="4">
        <v>45113</v>
      </c>
      <c r="F1396" s="7" t="s">
        <v>17</v>
      </c>
      <c r="G1396" s="7" t="s">
        <v>255</v>
      </c>
      <c r="H1396" s="7" t="s">
        <v>2399</v>
      </c>
      <c r="I1396" s="7" t="s">
        <v>2167</v>
      </c>
      <c r="J1396" s="7" t="s">
        <v>252</v>
      </c>
      <c r="K1396" s="7" t="s">
        <v>36</v>
      </c>
      <c r="L1396" s="8">
        <v>38</v>
      </c>
      <c r="M1396" s="7" t="s">
        <v>77</v>
      </c>
      <c r="N1396" s="8">
        <v>24</v>
      </c>
      <c r="O1396" s="8">
        <v>1</v>
      </c>
      <c r="P1396" s="5">
        <v>5244.49</v>
      </c>
      <c r="Q1396" s="4">
        <v>45600</v>
      </c>
      <c r="R1396" s="9">
        <v>0.3401851851851852</v>
      </c>
      <c r="S1396" s="8">
        <v>17</v>
      </c>
      <c r="T1396" s="7" t="s">
        <v>4457</v>
      </c>
      <c r="U1396" s="7" t="s">
        <v>4455</v>
      </c>
      <c r="V13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397" spans="1:22" x14ac:dyDescent="0.35">
      <c r="A1397" s="7" t="s">
        <v>3161</v>
      </c>
      <c r="B1397" s="7" t="s">
        <v>1405</v>
      </c>
      <c r="C1397" s="5">
        <v>556.34</v>
      </c>
      <c r="D1397" s="2">
        <v>0.69053240741050104</v>
      </c>
      <c r="E1397" s="4">
        <v>45218</v>
      </c>
      <c r="F1397" s="7" t="s">
        <v>17</v>
      </c>
      <c r="G1397" s="7" t="s">
        <v>59</v>
      </c>
      <c r="H1397" s="7" t="s">
        <v>2355</v>
      </c>
      <c r="I1397" s="7" t="s">
        <v>1523</v>
      </c>
      <c r="J1397" s="7" t="s">
        <v>1000</v>
      </c>
      <c r="K1397" s="7" t="s">
        <v>36</v>
      </c>
      <c r="L1397" s="8">
        <v>37</v>
      </c>
      <c r="M1397" s="7" t="s">
        <v>23</v>
      </c>
      <c r="N1397" s="8">
        <v>46</v>
      </c>
      <c r="O1397" s="8">
        <v>1</v>
      </c>
      <c r="P1397" s="5">
        <v>11935.14</v>
      </c>
      <c r="Q1397" s="4">
        <v>45600</v>
      </c>
      <c r="R1397" s="9">
        <v>0.33833333333333332</v>
      </c>
      <c r="S1397" s="8">
        <v>16</v>
      </c>
      <c r="T1397" s="7" t="s">
        <v>4457</v>
      </c>
      <c r="U1397" s="7" t="s">
        <v>4455</v>
      </c>
      <c r="V13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98" spans="1:22" x14ac:dyDescent="0.35">
      <c r="A1398" s="7" t="s">
        <v>3162</v>
      </c>
      <c r="B1398" s="7" t="s">
        <v>167</v>
      </c>
      <c r="C1398" s="5">
        <v>34.31</v>
      </c>
      <c r="D1398" s="2">
        <v>0.70518518518656492</v>
      </c>
      <c r="E1398" s="4">
        <v>45044</v>
      </c>
      <c r="F1398" s="7" t="s">
        <v>17</v>
      </c>
      <c r="G1398" s="7" t="s">
        <v>243</v>
      </c>
      <c r="H1398" s="7" t="s">
        <v>1871</v>
      </c>
      <c r="I1398" s="7" t="s">
        <v>2378</v>
      </c>
      <c r="J1398" s="7" t="s">
        <v>209</v>
      </c>
      <c r="K1398" s="7" t="s">
        <v>22</v>
      </c>
      <c r="L1398" s="8">
        <v>24</v>
      </c>
      <c r="M1398" s="7" t="s">
        <v>37</v>
      </c>
      <c r="N1398" s="8">
        <v>251</v>
      </c>
      <c r="O1398" s="8">
        <v>1</v>
      </c>
      <c r="P1398" s="5">
        <v>1484.76</v>
      </c>
      <c r="Q1398" s="4">
        <v>45600</v>
      </c>
      <c r="R1398" s="9">
        <v>0.34127314814814813</v>
      </c>
      <c r="S1398" s="8">
        <v>16</v>
      </c>
      <c r="T1398" s="7" t="s">
        <v>4456</v>
      </c>
      <c r="U1398" s="7" t="s">
        <v>4455</v>
      </c>
      <c r="V13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399" spans="1:22" x14ac:dyDescent="0.35">
      <c r="A1399" s="7" t="s">
        <v>3163</v>
      </c>
      <c r="B1399" s="7" t="s">
        <v>1272</v>
      </c>
      <c r="C1399" s="5">
        <v>780.59</v>
      </c>
      <c r="D1399" s="2">
        <v>0.74916666666831588</v>
      </c>
      <c r="E1399" s="4">
        <v>45105</v>
      </c>
      <c r="F1399" s="7" t="s">
        <v>46</v>
      </c>
      <c r="G1399" s="7" t="s">
        <v>255</v>
      </c>
      <c r="H1399" s="7" t="s">
        <v>1479</v>
      </c>
      <c r="I1399" s="7" t="s">
        <v>2038</v>
      </c>
      <c r="J1399" s="7" t="s">
        <v>707</v>
      </c>
      <c r="K1399" s="7" t="s">
        <v>36</v>
      </c>
      <c r="L1399" s="8">
        <v>23</v>
      </c>
      <c r="M1399" s="7" t="s">
        <v>37</v>
      </c>
      <c r="N1399" s="8">
        <v>145</v>
      </c>
      <c r="O1399" s="8">
        <v>1</v>
      </c>
      <c r="P1399" s="5">
        <v>6513.34</v>
      </c>
      <c r="Q1399" s="4">
        <v>45600</v>
      </c>
      <c r="R1399" s="9">
        <v>0.3382060185185185</v>
      </c>
      <c r="S1399" s="8">
        <v>17</v>
      </c>
      <c r="T1399" s="7" t="s">
        <v>4456</v>
      </c>
      <c r="U1399" s="7" t="s">
        <v>4455</v>
      </c>
      <c r="V13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00" spans="1:22" x14ac:dyDescent="0.35">
      <c r="A1400" s="7" t="s">
        <v>3164</v>
      </c>
      <c r="B1400" s="7" t="s">
        <v>1385</v>
      </c>
      <c r="C1400" s="5">
        <v>282.64999999999998</v>
      </c>
      <c r="D1400" s="2">
        <v>0.73791666666511446</v>
      </c>
      <c r="E1400" s="4">
        <v>44993</v>
      </c>
      <c r="F1400" s="7" t="s">
        <v>17</v>
      </c>
      <c r="G1400" s="7" t="s">
        <v>157</v>
      </c>
      <c r="H1400" s="7" t="s">
        <v>807</v>
      </c>
      <c r="I1400" s="7" t="s">
        <v>2150</v>
      </c>
      <c r="J1400" s="7" t="s">
        <v>445</v>
      </c>
      <c r="K1400" s="7" t="s">
        <v>22</v>
      </c>
      <c r="L1400" s="8">
        <v>35</v>
      </c>
      <c r="M1400" s="7" t="s">
        <v>23</v>
      </c>
      <c r="N1400" s="8">
        <v>161</v>
      </c>
      <c r="O1400" s="8">
        <v>1</v>
      </c>
      <c r="P1400" s="5">
        <v>13801.15</v>
      </c>
      <c r="Q1400" s="4">
        <v>45600</v>
      </c>
      <c r="R1400" s="9">
        <v>0.33947916666666667</v>
      </c>
      <c r="S1400" s="8">
        <v>17</v>
      </c>
      <c r="T1400" s="7" t="s">
        <v>4457</v>
      </c>
      <c r="U1400" s="7" t="s">
        <v>4455</v>
      </c>
      <c r="V14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01" spans="1:22" x14ac:dyDescent="0.35">
      <c r="A1401" s="7" t="s">
        <v>3165</v>
      </c>
      <c r="B1401" s="7" t="s">
        <v>1114</v>
      </c>
      <c r="C1401" s="5">
        <v>305.27</v>
      </c>
      <c r="D1401" s="2">
        <v>0.68446759258949896</v>
      </c>
      <c r="E1401" s="4">
        <v>45196</v>
      </c>
      <c r="F1401" s="7" t="s">
        <v>17</v>
      </c>
      <c r="G1401" s="7" t="s">
        <v>146</v>
      </c>
      <c r="H1401" s="7" t="s">
        <v>881</v>
      </c>
      <c r="I1401" s="7" t="s">
        <v>1375</v>
      </c>
      <c r="J1401" s="7" t="s">
        <v>128</v>
      </c>
      <c r="K1401" s="7" t="s">
        <v>36</v>
      </c>
      <c r="L1401" s="8">
        <v>68</v>
      </c>
      <c r="M1401" s="7" t="s">
        <v>23</v>
      </c>
      <c r="N1401" s="8">
        <v>147</v>
      </c>
      <c r="O1401" s="8">
        <v>1</v>
      </c>
      <c r="P1401" s="5">
        <v>12958.65</v>
      </c>
      <c r="Q1401" s="4">
        <v>45600</v>
      </c>
      <c r="R1401" s="9">
        <v>0.33994212962962961</v>
      </c>
      <c r="S1401" s="8">
        <v>16</v>
      </c>
      <c r="T1401" s="7" t="s">
        <v>4454</v>
      </c>
      <c r="U1401" s="7" t="s">
        <v>4455</v>
      </c>
      <c r="V14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02" spans="1:22" x14ac:dyDescent="0.35">
      <c r="A1402" s="7" t="s">
        <v>3166</v>
      </c>
      <c r="B1402" s="7" t="s">
        <v>3154</v>
      </c>
      <c r="C1402" s="5">
        <v>185.81</v>
      </c>
      <c r="D1402" s="2">
        <v>0.687569444446126</v>
      </c>
      <c r="E1402" s="4">
        <v>45189</v>
      </c>
      <c r="F1402" s="7" t="s">
        <v>17</v>
      </c>
      <c r="G1402" s="7" t="s">
        <v>119</v>
      </c>
      <c r="H1402" s="7" t="s">
        <v>3167</v>
      </c>
      <c r="I1402" s="7" t="s">
        <v>1053</v>
      </c>
      <c r="J1402" s="7" t="s">
        <v>450</v>
      </c>
      <c r="K1402" s="7" t="s">
        <v>36</v>
      </c>
      <c r="L1402" s="8">
        <v>32</v>
      </c>
      <c r="M1402" s="7" t="s">
        <v>23</v>
      </c>
      <c r="N1402" s="8">
        <v>116</v>
      </c>
      <c r="O1402" s="8">
        <v>1</v>
      </c>
      <c r="P1402" s="5">
        <v>9588.7099999999991</v>
      </c>
      <c r="Q1402" s="4">
        <v>45600</v>
      </c>
      <c r="R1402" s="9">
        <v>0.34045138888888887</v>
      </c>
      <c r="S1402" s="8">
        <v>16</v>
      </c>
      <c r="T1402" s="7" t="s">
        <v>4456</v>
      </c>
      <c r="U1402" s="7" t="s">
        <v>4455</v>
      </c>
      <c r="V14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03" spans="1:22" x14ac:dyDescent="0.35">
      <c r="A1403" s="7" t="s">
        <v>3168</v>
      </c>
      <c r="B1403" s="7" t="s">
        <v>578</v>
      </c>
      <c r="C1403" s="5">
        <v>66.010000000000005</v>
      </c>
      <c r="D1403" s="2">
        <v>0.77753472221957054</v>
      </c>
      <c r="E1403" s="4">
        <v>45205</v>
      </c>
      <c r="F1403" s="7" t="s">
        <v>17</v>
      </c>
      <c r="G1403" s="7" t="s">
        <v>178</v>
      </c>
      <c r="H1403" s="7" t="s">
        <v>1539</v>
      </c>
      <c r="I1403" s="7" t="s">
        <v>1515</v>
      </c>
      <c r="J1403" s="7" t="s">
        <v>564</v>
      </c>
      <c r="K1403" s="7" t="s">
        <v>36</v>
      </c>
      <c r="L1403" s="8">
        <v>49</v>
      </c>
      <c r="M1403" s="7" t="s">
        <v>77</v>
      </c>
      <c r="N1403" s="8">
        <v>179</v>
      </c>
      <c r="O1403" s="8">
        <v>1</v>
      </c>
      <c r="P1403" s="5">
        <v>3475.99</v>
      </c>
      <c r="Q1403" s="4">
        <v>45600</v>
      </c>
      <c r="R1403" s="9">
        <v>0.33825231481481483</v>
      </c>
      <c r="S1403" s="8">
        <v>18</v>
      </c>
      <c r="T1403" s="7" t="s">
        <v>4457</v>
      </c>
      <c r="U1403" s="7" t="s">
        <v>4455</v>
      </c>
      <c r="V14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04" spans="1:22" x14ac:dyDescent="0.35">
      <c r="A1404" s="7" t="s">
        <v>3169</v>
      </c>
      <c r="B1404" s="7" t="s">
        <v>1111</v>
      </c>
      <c r="C1404" s="5">
        <v>447.95</v>
      </c>
      <c r="D1404" s="2">
        <v>0.7277314814782585</v>
      </c>
      <c r="E1404" s="4">
        <v>44937</v>
      </c>
      <c r="F1404" s="7" t="s">
        <v>17</v>
      </c>
      <c r="G1404" s="7" t="s">
        <v>255</v>
      </c>
      <c r="H1404" s="7" t="s">
        <v>306</v>
      </c>
      <c r="I1404" s="7" t="s">
        <v>2327</v>
      </c>
      <c r="J1404" s="7" t="s">
        <v>43</v>
      </c>
      <c r="K1404" s="7" t="s">
        <v>69</v>
      </c>
      <c r="L1404" s="8">
        <v>29</v>
      </c>
      <c r="M1404" s="7" t="s">
        <v>77</v>
      </c>
      <c r="N1404" s="8">
        <v>75</v>
      </c>
      <c r="O1404" s="8">
        <v>1</v>
      </c>
      <c r="P1404" s="5">
        <v>7544.4</v>
      </c>
      <c r="Q1404" s="4">
        <v>45600</v>
      </c>
      <c r="R1404" s="9">
        <v>0.33981481481481479</v>
      </c>
      <c r="S1404" s="8">
        <v>17</v>
      </c>
      <c r="T1404" s="7" t="s">
        <v>4456</v>
      </c>
      <c r="U1404" s="7" t="s">
        <v>4455</v>
      </c>
      <c r="V14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05" spans="1:22" x14ac:dyDescent="0.35">
      <c r="A1405" s="7" t="s">
        <v>3170</v>
      </c>
      <c r="B1405" s="7" t="s">
        <v>64</v>
      </c>
      <c r="C1405" s="5">
        <v>279.3</v>
      </c>
      <c r="D1405" s="2">
        <v>0.7278009259243845</v>
      </c>
      <c r="E1405" s="4">
        <v>45099</v>
      </c>
      <c r="F1405" s="7" t="s">
        <v>17</v>
      </c>
      <c r="G1405" s="7" t="s">
        <v>53</v>
      </c>
      <c r="H1405" s="7" t="s">
        <v>2170</v>
      </c>
      <c r="I1405" s="7" t="s">
        <v>615</v>
      </c>
      <c r="J1405" s="7" t="s">
        <v>1281</v>
      </c>
      <c r="K1405" s="7" t="s">
        <v>22</v>
      </c>
      <c r="L1405" s="8">
        <v>19</v>
      </c>
      <c r="M1405" s="7" t="s">
        <v>37</v>
      </c>
      <c r="N1405" s="8">
        <v>48</v>
      </c>
      <c r="O1405" s="8">
        <v>1</v>
      </c>
      <c r="P1405" s="5">
        <v>1193.6099999999999</v>
      </c>
      <c r="Q1405" s="4">
        <v>45600</v>
      </c>
      <c r="R1405" s="9">
        <v>0.33842592592592591</v>
      </c>
      <c r="S1405" s="8">
        <v>17</v>
      </c>
      <c r="T1405" s="7" t="s">
        <v>4456</v>
      </c>
      <c r="U1405" s="7" t="s">
        <v>4455</v>
      </c>
      <c r="V14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06" spans="1:22" x14ac:dyDescent="0.35">
      <c r="A1406" s="7" t="s">
        <v>3171</v>
      </c>
      <c r="B1406" s="7" t="s">
        <v>569</v>
      </c>
      <c r="C1406" s="5">
        <v>26.75</v>
      </c>
      <c r="D1406" s="2">
        <v>0.68406249999679858</v>
      </c>
      <c r="E1406" s="4">
        <v>45054</v>
      </c>
      <c r="F1406" s="7" t="s">
        <v>17</v>
      </c>
      <c r="G1406" s="7" t="s">
        <v>65</v>
      </c>
      <c r="H1406" s="7" t="s">
        <v>890</v>
      </c>
      <c r="I1406" s="7" t="s">
        <v>369</v>
      </c>
      <c r="J1406" s="7" t="s">
        <v>1287</v>
      </c>
      <c r="K1406" s="7" t="s">
        <v>36</v>
      </c>
      <c r="L1406" s="8">
        <v>33</v>
      </c>
      <c r="M1406" s="7" t="s">
        <v>23</v>
      </c>
      <c r="N1406" s="8">
        <v>27</v>
      </c>
      <c r="O1406" s="8">
        <v>1</v>
      </c>
      <c r="P1406" s="5">
        <v>12063.77</v>
      </c>
      <c r="Q1406" s="4">
        <v>45600</v>
      </c>
      <c r="R1406" s="9">
        <v>0.33819444444444446</v>
      </c>
      <c r="S1406" s="8">
        <v>16</v>
      </c>
      <c r="T1406" s="7" t="s">
        <v>4456</v>
      </c>
      <c r="U1406" s="7" t="s">
        <v>4455</v>
      </c>
      <c r="V14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07" spans="1:22" x14ac:dyDescent="0.35">
      <c r="A1407" s="7" t="s">
        <v>3172</v>
      </c>
      <c r="B1407" s="7" t="s">
        <v>909</v>
      </c>
      <c r="C1407" s="5">
        <v>611.15</v>
      </c>
      <c r="D1407" s="2">
        <v>0.71701388889050577</v>
      </c>
      <c r="E1407" s="4">
        <v>45149</v>
      </c>
      <c r="F1407" s="7" t="s">
        <v>17</v>
      </c>
      <c r="G1407" s="7" t="s">
        <v>73</v>
      </c>
      <c r="H1407" s="7" t="s">
        <v>2447</v>
      </c>
      <c r="I1407" s="7" t="s">
        <v>2849</v>
      </c>
      <c r="J1407" s="7" t="s">
        <v>35</v>
      </c>
      <c r="K1407" s="7" t="s">
        <v>22</v>
      </c>
      <c r="L1407" s="8">
        <v>27</v>
      </c>
      <c r="M1407" s="7" t="s">
        <v>37</v>
      </c>
      <c r="N1407" s="8">
        <v>121</v>
      </c>
      <c r="O1407" s="8">
        <v>1</v>
      </c>
      <c r="P1407" s="5">
        <v>892.83</v>
      </c>
      <c r="Q1407" s="4">
        <v>45600</v>
      </c>
      <c r="R1407" s="9">
        <v>0.33984953703703702</v>
      </c>
      <c r="S1407" s="8">
        <v>17</v>
      </c>
      <c r="T1407" s="7" t="s">
        <v>4456</v>
      </c>
      <c r="U1407" s="7" t="s">
        <v>4455</v>
      </c>
      <c r="V14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08" spans="1:22" x14ac:dyDescent="0.35">
      <c r="A1408" s="7" t="s">
        <v>3173</v>
      </c>
      <c r="B1408" s="7" t="s">
        <v>3174</v>
      </c>
      <c r="C1408" s="5">
        <v>275.2</v>
      </c>
      <c r="D1408" s="2">
        <v>0.71780092592234723</v>
      </c>
      <c r="E1408" s="4">
        <v>45162</v>
      </c>
      <c r="F1408" s="7" t="s">
        <v>17</v>
      </c>
      <c r="G1408" s="7" t="s">
        <v>203</v>
      </c>
      <c r="H1408" s="7" t="s">
        <v>2230</v>
      </c>
      <c r="I1408" s="7" t="s">
        <v>1335</v>
      </c>
      <c r="J1408" s="7" t="s">
        <v>707</v>
      </c>
      <c r="K1408" s="7" t="s">
        <v>36</v>
      </c>
      <c r="L1408" s="8">
        <v>54</v>
      </c>
      <c r="M1408" s="7" t="s">
        <v>77</v>
      </c>
      <c r="N1408" s="8">
        <v>81</v>
      </c>
      <c r="O1408" s="8">
        <v>1</v>
      </c>
      <c r="P1408" s="5">
        <v>1230.1199999999999</v>
      </c>
      <c r="Q1408" s="4">
        <v>45600</v>
      </c>
      <c r="R1408" s="9">
        <v>0.34016203703703701</v>
      </c>
      <c r="S1408" s="8">
        <v>17</v>
      </c>
      <c r="T1408" s="7" t="s">
        <v>4457</v>
      </c>
      <c r="U1408" s="7" t="s">
        <v>4455</v>
      </c>
      <c r="V14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09" spans="1:22" x14ac:dyDescent="0.35">
      <c r="A1409" s="7" t="s">
        <v>3175</v>
      </c>
      <c r="B1409" s="7" t="s">
        <v>589</v>
      </c>
      <c r="C1409" s="5">
        <v>427.79</v>
      </c>
      <c r="D1409" s="2">
        <v>0.73798611111124046</v>
      </c>
      <c r="E1409" s="4">
        <v>44978</v>
      </c>
      <c r="F1409" s="7" t="s">
        <v>17</v>
      </c>
      <c r="G1409" s="7" t="s">
        <v>223</v>
      </c>
      <c r="H1409" s="7" t="s">
        <v>454</v>
      </c>
      <c r="I1409" s="7" t="s">
        <v>627</v>
      </c>
      <c r="J1409" s="7" t="s">
        <v>1810</v>
      </c>
      <c r="K1409" s="7" t="s">
        <v>69</v>
      </c>
      <c r="L1409" s="8">
        <v>18</v>
      </c>
      <c r="M1409" s="7" t="s">
        <v>37</v>
      </c>
      <c r="N1409" s="8">
        <v>189</v>
      </c>
      <c r="O1409" s="8">
        <v>1</v>
      </c>
      <c r="P1409" s="5">
        <v>1479.67</v>
      </c>
      <c r="Q1409" s="4">
        <v>45600</v>
      </c>
      <c r="R1409" s="9">
        <v>0.33951388888888889</v>
      </c>
      <c r="S1409" s="8">
        <v>17</v>
      </c>
      <c r="T1409" s="7" t="s">
        <v>4456</v>
      </c>
      <c r="U1409" s="7" t="s">
        <v>4455</v>
      </c>
      <c r="V14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10" spans="1:22" x14ac:dyDescent="0.35">
      <c r="A1410" s="7" t="s">
        <v>3176</v>
      </c>
      <c r="B1410" s="7" t="s">
        <v>1874</v>
      </c>
      <c r="C1410" s="5">
        <v>469.13</v>
      </c>
      <c r="D1410" s="2">
        <v>0.74579861111124046</v>
      </c>
      <c r="E1410" s="4">
        <v>45264</v>
      </c>
      <c r="F1410" s="7" t="s">
        <v>46</v>
      </c>
      <c r="G1410" s="7" t="s">
        <v>237</v>
      </c>
      <c r="H1410" s="7" t="s">
        <v>1584</v>
      </c>
      <c r="I1410" s="7" t="s">
        <v>2091</v>
      </c>
      <c r="J1410" s="7" t="s">
        <v>35</v>
      </c>
      <c r="K1410" s="7" t="s">
        <v>22</v>
      </c>
      <c r="L1410" s="8">
        <v>54</v>
      </c>
      <c r="M1410" s="7" t="s">
        <v>23</v>
      </c>
      <c r="N1410" s="8">
        <v>139</v>
      </c>
      <c r="O1410" s="8">
        <v>1</v>
      </c>
      <c r="P1410" s="5">
        <v>1265.28</v>
      </c>
      <c r="Q1410" s="4">
        <v>45600</v>
      </c>
      <c r="R1410" s="9">
        <v>0.33854166666666669</v>
      </c>
      <c r="S1410" s="8">
        <v>17</v>
      </c>
      <c r="T1410" s="7" t="s">
        <v>4457</v>
      </c>
      <c r="U1410" s="7" t="s">
        <v>4455</v>
      </c>
      <c r="V14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11" spans="1:22" x14ac:dyDescent="0.35">
      <c r="A1411" s="7" t="s">
        <v>3177</v>
      </c>
      <c r="B1411" s="7" t="s">
        <v>2512</v>
      </c>
      <c r="C1411" s="5">
        <v>102.81</v>
      </c>
      <c r="D1411" s="2">
        <v>0.68263888888759539</v>
      </c>
      <c r="E1411" s="4">
        <v>45264</v>
      </c>
      <c r="F1411" s="7" t="s">
        <v>17</v>
      </c>
      <c r="G1411" s="7" t="s">
        <v>59</v>
      </c>
      <c r="H1411" s="7" t="s">
        <v>726</v>
      </c>
      <c r="I1411" s="7" t="s">
        <v>180</v>
      </c>
      <c r="J1411" s="7" t="s">
        <v>226</v>
      </c>
      <c r="K1411" s="7" t="s">
        <v>69</v>
      </c>
      <c r="L1411" s="8">
        <v>76</v>
      </c>
      <c r="M1411" s="7" t="s">
        <v>70</v>
      </c>
      <c r="N1411" s="8">
        <v>47</v>
      </c>
      <c r="O1411" s="8">
        <v>1</v>
      </c>
      <c r="P1411" s="5">
        <v>3228.87</v>
      </c>
      <c r="Q1411" s="4">
        <v>45600</v>
      </c>
      <c r="R1411" s="9">
        <v>0.3389699074074074</v>
      </c>
      <c r="S1411" s="8">
        <v>16</v>
      </c>
      <c r="T1411" s="7" t="s">
        <v>4454</v>
      </c>
      <c r="U1411" s="7" t="s">
        <v>4455</v>
      </c>
      <c r="V14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12" spans="1:22" x14ac:dyDescent="0.35">
      <c r="A1412" s="7" t="s">
        <v>3178</v>
      </c>
      <c r="B1412" s="7" t="s">
        <v>1081</v>
      </c>
      <c r="C1412" s="5">
        <v>22.61</v>
      </c>
      <c r="D1412" s="2">
        <v>0.74726851852028631</v>
      </c>
      <c r="E1412" s="4">
        <v>45281</v>
      </c>
      <c r="F1412" s="7" t="s">
        <v>17</v>
      </c>
      <c r="G1412" s="7" t="s">
        <v>59</v>
      </c>
      <c r="H1412" s="7" t="s">
        <v>2916</v>
      </c>
      <c r="I1412" s="7" t="s">
        <v>1411</v>
      </c>
      <c r="J1412" s="7" t="s">
        <v>514</v>
      </c>
      <c r="K1412" s="7" t="s">
        <v>36</v>
      </c>
      <c r="L1412" s="8">
        <v>19</v>
      </c>
      <c r="M1412" s="7" t="s">
        <v>37</v>
      </c>
      <c r="N1412" s="8">
        <v>145</v>
      </c>
      <c r="O1412" s="8">
        <v>1</v>
      </c>
      <c r="P1412" s="5">
        <v>1111.67</v>
      </c>
      <c r="Q1412" s="4">
        <v>45600</v>
      </c>
      <c r="R1412" s="9">
        <v>0.33804398148148146</v>
      </c>
      <c r="S1412" s="8">
        <v>17</v>
      </c>
      <c r="T1412" s="7" t="s">
        <v>4456</v>
      </c>
      <c r="U1412" s="7" t="s">
        <v>4455</v>
      </c>
      <c r="V14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13" spans="1:22" x14ac:dyDescent="0.35">
      <c r="A1413" s="7" t="s">
        <v>3179</v>
      </c>
      <c r="B1413" s="7" t="s">
        <v>314</v>
      </c>
      <c r="C1413" s="5">
        <v>68.28</v>
      </c>
      <c r="D1413" s="2">
        <v>0.78754629629838746</v>
      </c>
      <c r="E1413" s="4">
        <v>45085</v>
      </c>
      <c r="F1413" s="7" t="s">
        <v>17</v>
      </c>
      <c r="G1413" s="7" t="s">
        <v>388</v>
      </c>
      <c r="H1413" s="7" t="s">
        <v>1713</v>
      </c>
      <c r="I1413" s="7" t="s">
        <v>1674</v>
      </c>
      <c r="J1413" s="7" t="s">
        <v>740</v>
      </c>
      <c r="K1413" s="7" t="s">
        <v>36</v>
      </c>
      <c r="L1413" s="8">
        <v>56</v>
      </c>
      <c r="M1413" s="7" t="s">
        <v>77</v>
      </c>
      <c r="N1413" s="8">
        <v>293</v>
      </c>
      <c r="O1413" s="8">
        <v>1</v>
      </c>
      <c r="P1413" s="5">
        <v>3213.16</v>
      </c>
      <c r="Q1413" s="4">
        <v>45600</v>
      </c>
      <c r="R1413" s="9">
        <v>0.33916666666666667</v>
      </c>
      <c r="S1413" s="8">
        <v>18</v>
      </c>
      <c r="T1413" s="7" t="s">
        <v>4454</v>
      </c>
      <c r="U1413" s="7" t="s">
        <v>4455</v>
      </c>
      <c r="V14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14" spans="1:22" x14ac:dyDescent="0.35">
      <c r="A1414" s="7" t="s">
        <v>3180</v>
      </c>
      <c r="B1414" s="7" t="s">
        <v>1206</v>
      </c>
      <c r="C1414" s="5">
        <v>33.65</v>
      </c>
      <c r="D1414" s="2">
        <v>0.72086805555591127</v>
      </c>
      <c r="E1414" s="4">
        <v>45187</v>
      </c>
      <c r="F1414" s="7" t="s">
        <v>46</v>
      </c>
      <c r="G1414" s="7" t="s">
        <v>203</v>
      </c>
      <c r="H1414" s="7" t="s">
        <v>1082</v>
      </c>
      <c r="I1414" s="7" t="s">
        <v>2206</v>
      </c>
      <c r="J1414" s="7" t="s">
        <v>652</v>
      </c>
      <c r="K1414" s="7" t="s">
        <v>36</v>
      </c>
      <c r="L1414" s="8">
        <v>63</v>
      </c>
      <c r="M1414" s="7" t="s">
        <v>23</v>
      </c>
      <c r="N1414" s="8">
        <v>146</v>
      </c>
      <c r="O1414" s="8">
        <v>1</v>
      </c>
      <c r="P1414" s="5">
        <v>12719.93</v>
      </c>
      <c r="Q1414" s="4">
        <v>45600</v>
      </c>
      <c r="R1414" s="9">
        <v>0.33847222222222223</v>
      </c>
      <c r="S1414" s="8">
        <v>17</v>
      </c>
      <c r="T1414" s="7" t="s">
        <v>4454</v>
      </c>
      <c r="U1414" s="7" t="s">
        <v>4455</v>
      </c>
      <c r="V14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15" spans="1:22" x14ac:dyDescent="0.35">
      <c r="A1415" s="7" t="s">
        <v>3181</v>
      </c>
      <c r="B1415" s="7" t="s">
        <v>232</v>
      </c>
      <c r="C1415" s="5">
        <v>362.68</v>
      </c>
      <c r="D1415" s="2">
        <v>0.75160879629402189</v>
      </c>
      <c r="E1415" s="4">
        <v>44942</v>
      </c>
      <c r="F1415" s="7" t="s">
        <v>46</v>
      </c>
      <c r="G1415" s="7" t="s">
        <v>172</v>
      </c>
      <c r="H1415" s="7" t="s">
        <v>1269</v>
      </c>
      <c r="I1415" s="7" t="s">
        <v>3182</v>
      </c>
      <c r="J1415" s="7" t="s">
        <v>240</v>
      </c>
      <c r="K1415" s="7" t="s">
        <v>22</v>
      </c>
      <c r="L1415" s="8">
        <v>63</v>
      </c>
      <c r="M1415" s="7" t="s">
        <v>70</v>
      </c>
      <c r="N1415" s="8">
        <v>137</v>
      </c>
      <c r="O1415" s="8">
        <v>1</v>
      </c>
      <c r="P1415" s="5">
        <v>2040.77</v>
      </c>
      <c r="Q1415" s="4">
        <v>45600</v>
      </c>
      <c r="R1415" s="9">
        <v>0.33784722222222224</v>
      </c>
      <c r="S1415" s="8">
        <v>18</v>
      </c>
      <c r="T1415" s="7" t="s">
        <v>4454</v>
      </c>
      <c r="U1415" s="7" t="s">
        <v>4455</v>
      </c>
      <c r="V14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16" spans="1:22" x14ac:dyDescent="0.35">
      <c r="A1416" s="7" t="s">
        <v>3183</v>
      </c>
      <c r="B1416" s="7" t="s">
        <v>509</v>
      </c>
      <c r="C1416" s="5">
        <v>73.23</v>
      </c>
      <c r="D1416" s="2">
        <v>0.695451388892252</v>
      </c>
      <c r="E1416" s="4">
        <v>45100</v>
      </c>
      <c r="F1416" s="7" t="s">
        <v>17</v>
      </c>
      <c r="G1416" s="7" t="s">
        <v>212</v>
      </c>
      <c r="H1416" s="7" t="s">
        <v>373</v>
      </c>
      <c r="I1416" s="7" t="s">
        <v>3184</v>
      </c>
      <c r="J1416" s="7" t="s">
        <v>277</v>
      </c>
      <c r="K1416" s="7" t="s">
        <v>69</v>
      </c>
      <c r="L1416" s="8">
        <v>20</v>
      </c>
      <c r="M1416" s="7" t="s">
        <v>37</v>
      </c>
      <c r="N1416" s="8">
        <v>172</v>
      </c>
      <c r="O1416" s="8">
        <v>1</v>
      </c>
      <c r="P1416" s="5">
        <v>1309.8499999999999</v>
      </c>
      <c r="Q1416" s="4">
        <v>45600</v>
      </c>
      <c r="R1416" s="9">
        <v>0.34192129629629631</v>
      </c>
      <c r="S1416" s="8">
        <v>16</v>
      </c>
      <c r="T1416" s="7" t="s">
        <v>4456</v>
      </c>
      <c r="U1416" s="7" t="s">
        <v>4455</v>
      </c>
      <c r="V14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17" spans="1:22" x14ac:dyDescent="0.35">
      <c r="A1417" s="7" t="s">
        <v>3185</v>
      </c>
      <c r="B1417" s="7" t="s">
        <v>1472</v>
      </c>
      <c r="C1417" s="5">
        <v>654.49</v>
      </c>
      <c r="D1417" s="2">
        <v>0.68861111110891216</v>
      </c>
      <c r="E1417" s="4">
        <v>45250</v>
      </c>
      <c r="F1417" s="7" t="s">
        <v>46</v>
      </c>
      <c r="G1417" s="7" t="s">
        <v>119</v>
      </c>
      <c r="H1417" s="7" t="s">
        <v>19</v>
      </c>
      <c r="I1417" s="7" t="s">
        <v>440</v>
      </c>
      <c r="J1417" s="7" t="s">
        <v>406</v>
      </c>
      <c r="K1417" s="7" t="s">
        <v>36</v>
      </c>
      <c r="L1417" s="8">
        <v>25</v>
      </c>
      <c r="M1417" s="7" t="s">
        <v>37</v>
      </c>
      <c r="N1417" s="8">
        <v>104</v>
      </c>
      <c r="O1417" s="8">
        <v>1</v>
      </c>
      <c r="P1417" s="5">
        <v>164.61</v>
      </c>
      <c r="Q1417" s="4">
        <v>45600</v>
      </c>
      <c r="R1417" s="9">
        <v>0.33934027777777775</v>
      </c>
      <c r="S1417" s="8">
        <v>16</v>
      </c>
      <c r="T1417" s="7" t="s">
        <v>4456</v>
      </c>
      <c r="U1417" s="7" t="s">
        <v>4455</v>
      </c>
      <c r="V14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18" spans="1:22" x14ac:dyDescent="0.35">
      <c r="A1418" s="7" t="s">
        <v>3186</v>
      </c>
      <c r="B1418" s="7" t="s">
        <v>2000</v>
      </c>
      <c r="C1418" s="5">
        <v>18.559999999999999</v>
      </c>
      <c r="D1418" s="2">
        <v>0.71135416666948004</v>
      </c>
      <c r="E1418" s="4">
        <v>45040</v>
      </c>
      <c r="F1418" s="7" t="s">
        <v>46</v>
      </c>
      <c r="G1418" s="7" t="s">
        <v>92</v>
      </c>
      <c r="H1418" s="7" t="s">
        <v>3187</v>
      </c>
      <c r="I1418" s="7" t="s">
        <v>2268</v>
      </c>
      <c r="J1418" s="7" t="s">
        <v>209</v>
      </c>
      <c r="K1418" s="7" t="s">
        <v>69</v>
      </c>
      <c r="L1418" s="8">
        <v>49</v>
      </c>
      <c r="M1418" s="7" t="s">
        <v>77</v>
      </c>
      <c r="N1418" s="8">
        <v>161</v>
      </c>
      <c r="O1418" s="8">
        <v>1</v>
      </c>
      <c r="P1418" s="5">
        <v>4230.37</v>
      </c>
      <c r="Q1418" s="4">
        <v>45600</v>
      </c>
      <c r="R1418" s="9">
        <v>0.33865740740740741</v>
      </c>
      <c r="S1418" s="8">
        <v>17</v>
      </c>
      <c r="T1418" s="7" t="s">
        <v>4457</v>
      </c>
      <c r="U1418" s="7" t="s">
        <v>4455</v>
      </c>
      <c r="V14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19" spans="1:22" x14ac:dyDescent="0.35">
      <c r="A1419" s="7" t="s">
        <v>3188</v>
      </c>
      <c r="B1419" s="7" t="s">
        <v>2601</v>
      </c>
      <c r="C1419" s="5">
        <v>389.05</v>
      </c>
      <c r="D1419" s="2">
        <v>0.73273148148291511</v>
      </c>
      <c r="E1419" s="4">
        <v>44932</v>
      </c>
      <c r="F1419" s="7" t="s">
        <v>17</v>
      </c>
      <c r="G1419" s="7" t="s">
        <v>323</v>
      </c>
      <c r="H1419" s="7" t="s">
        <v>1912</v>
      </c>
      <c r="I1419" s="7" t="s">
        <v>765</v>
      </c>
      <c r="J1419" s="7" t="s">
        <v>326</v>
      </c>
      <c r="K1419" s="7" t="s">
        <v>22</v>
      </c>
      <c r="L1419" s="8">
        <v>27</v>
      </c>
      <c r="M1419" s="7" t="s">
        <v>37</v>
      </c>
      <c r="N1419" s="8">
        <v>41</v>
      </c>
      <c r="O1419" s="8">
        <v>1</v>
      </c>
      <c r="P1419" s="5">
        <v>761</v>
      </c>
      <c r="Q1419" s="4">
        <v>45600</v>
      </c>
      <c r="R1419" s="9">
        <v>0.34129629629629632</v>
      </c>
      <c r="S1419" s="8">
        <v>17</v>
      </c>
      <c r="T1419" s="7" t="s">
        <v>4456</v>
      </c>
      <c r="U1419" s="7" t="s">
        <v>4455</v>
      </c>
      <c r="V14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20" spans="1:22" x14ac:dyDescent="0.35">
      <c r="A1420" s="7" t="s">
        <v>3189</v>
      </c>
      <c r="B1420" s="7" t="s">
        <v>1327</v>
      </c>
      <c r="C1420" s="5">
        <v>7.38</v>
      </c>
      <c r="D1420" s="2">
        <v>0.69982638888905058</v>
      </c>
      <c r="E1420" s="4">
        <v>45000</v>
      </c>
      <c r="F1420" s="7" t="s">
        <v>17</v>
      </c>
      <c r="G1420" s="7" t="s">
        <v>26</v>
      </c>
      <c r="H1420" s="7" t="s">
        <v>3190</v>
      </c>
      <c r="I1420" s="7" t="s">
        <v>2013</v>
      </c>
      <c r="J1420" s="7" t="s">
        <v>592</v>
      </c>
      <c r="K1420" s="7" t="s">
        <v>36</v>
      </c>
      <c r="L1420" s="8">
        <v>67</v>
      </c>
      <c r="M1420" s="7" t="s">
        <v>70</v>
      </c>
      <c r="N1420" s="8">
        <v>105</v>
      </c>
      <c r="O1420" s="8">
        <v>1</v>
      </c>
      <c r="P1420" s="5">
        <v>2923.83</v>
      </c>
      <c r="Q1420" s="4">
        <v>45600</v>
      </c>
      <c r="R1420" s="9">
        <v>0.3404861111111111</v>
      </c>
      <c r="S1420" s="8">
        <v>16</v>
      </c>
      <c r="T1420" s="7" t="s">
        <v>4454</v>
      </c>
      <c r="U1420" s="7" t="s">
        <v>4455</v>
      </c>
      <c r="V14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21" spans="1:22" x14ac:dyDescent="0.35">
      <c r="A1421" s="7" t="s">
        <v>3191</v>
      </c>
      <c r="B1421" s="7" t="s">
        <v>1405</v>
      </c>
      <c r="C1421" s="5">
        <v>109.48</v>
      </c>
      <c r="D1421" s="2">
        <v>0.73497685185429873</v>
      </c>
      <c r="E1421" s="4">
        <v>45103</v>
      </c>
      <c r="F1421" s="7" t="s">
        <v>17</v>
      </c>
      <c r="G1421" s="7" t="s">
        <v>197</v>
      </c>
      <c r="H1421" s="7" t="s">
        <v>2230</v>
      </c>
      <c r="I1421" s="7" t="s">
        <v>3069</v>
      </c>
      <c r="J1421" s="7" t="s">
        <v>181</v>
      </c>
      <c r="K1421" s="7" t="s">
        <v>36</v>
      </c>
      <c r="L1421" s="8">
        <v>61</v>
      </c>
      <c r="M1421" s="7" t="s">
        <v>70</v>
      </c>
      <c r="N1421" s="8">
        <v>93</v>
      </c>
      <c r="O1421" s="8">
        <v>1</v>
      </c>
      <c r="P1421" s="5">
        <v>7372.47</v>
      </c>
      <c r="Q1421" s="4">
        <v>45600</v>
      </c>
      <c r="R1421" s="9">
        <v>0.33849537037037036</v>
      </c>
      <c r="S1421" s="8">
        <v>17</v>
      </c>
      <c r="T1421" s="7" t="s">
        <v>4454</v>
      </c>
      <c r="U1421" s="7" t="s">
        <v>4455</v>
      </c>
      <c r="V14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22" spans="1:22" x14ac:dyDescent="0.35">
      <c r="A1422" s="7" t="s">
        <v>3192</v>
      </c>
      <c r="B1422" s="7" t="s">
        <v>2133</v>
      </c>
      <c r="C1422" s="5">
        <v>66.91</v>
      </c>
      <c r="D1422" s="2">
        <v>0.78283564814773854</v>
      </c>
      <c r="E1422" s="4">
        <v>44956</v>
      </c>
      <c r="F1422" s="7" t="s">
        <v>17</v>
      </c>
      <c r="G1422" s="7" t="s">
        <v>59</v>
      </c>
      <c r="H1422" s="7" t="s">
        <v>3193</v>
      </c>
      <c r="I1422" s="7" t="s">
        <v>1717</v>
      </c>
      <c r="J1422" s="7" t="s">
        <v>478</v>
      </c>
      <c r="K1422" s="7" t="s">
        <v>22</v>
      </c>
      <c r="L1422" s="8">
        <v>39</v>
      </c>
      <c r="M1422" s="7" t="s">
        <v>23</v>
      </c>
      <c r="N1422" s="8">
        <v>85</v>
      </c>
      <c r="O1422" s="8">
        <v>1</v>
      </c>
      <c r="P1422" s="5">
        <v>871.1</v>
      </c>
      <c r="Q1422" s="4">
        <v>45600</v>
      </c>
      <c r="R1422" s="9">
        <v>0.34049768518518519</v>
      </c>
      <c r="S1422" s="8">
        <v>18</v>
      </c>
      <c r="T1422" s="7" t="s">
        <v>4457</v>
      </c>
      <c r="U1422" s="7" t="s">
        <v>4455</v>
      </c>
      <c r="V14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23" spans="1:22" x14ac:dyDescent="0.35">
      <c r="A1423" s="7" t="s">
        <v>3194</v>
      </c>
      <c r="B1423" s="7" t="s">
        <v>1874</v>
      </c>
      <c r="C1423" s="5">
        <v>335.48</v>
      </c>
      <c r="D1423" s="2">
        <v>0.67104166666831588</v>
      </c>
      <c r="E1423" s="4">
        <v>44987</v>
      </c>
      <c r="F1423" s="7" t="s">
        <v>17</v>
      </c>
      <c r="G1423" s="7" t="s">
        <v>53</v>
      </c>
      <c r="H1423" s="7" t="s">
        <v>2548</v>
      </c>
      <c r="I1423" s="7" t="s">
        <v>979</v>
      </c>
      <c r="J1423" s="7" t="s">
        <v>143</v>
      </c>
      <c r="K1423" s="7" t="s">
        <v>69</v>
      </c>
      <c r="L1423" s="8">
        <v>45</v>
      </c>
      <c r="M1423" s="7" t="s">
        <v>77</v>
      </c>
      <c r="N1423" s="8">
        <v>155</v>
      </c>
      <c r="O1423" s="8">
        <v>1</v>
      </c>
      <c r="P1423" s="5">
        <v>3023.16</v>
      </c>
      <c r="Q1423" s="4">
        <v>45600</v>
      </c>
      <c r="R1423" s="9">
        <v>0.33802083333333333</v>
      </c>
      <c r="S1423" s="8">
        <v>16</v>
      </c>
      <c r="T1423" s="7" t="s">
        <v>4457</v>
      </c>
      <c r="U1423" s="7" t="s">
        <v>4455</v>
      </c>
      <c r="V14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24" spans="1:22" x14ac:dyDescent="0.35">
      <c r="A1424" s="7" t="s">
        <v>3195</v>
      </c>
      <c r="B1424" s="7" t="s">
        <v>3196</v>
      </c>
      <c r="C1424" s="5">
        <v>38.14</v>
      </c>
      <c r="D1424" s="2">
        <v>0.70231481481459923</v>
      </c>
      <c r="E1424" s="4">
        <v>45288</v>
      </c>
      <c r="F1424" s="7" t="s">
        <v>17</v>
      </c>
      <c r="G1424" s="7" t="s">
        <v>86</v>
      </c>
      <c r="H1424" s="7" t="s">
        <v>3197</v>
      </c>
      <c r="I1424" s="7" t="s">
        <v>3101</v>
      </c>
      <c r="J1424" s="7" t="s">
        <v>607</v>
      </c>
      <c r="K1424" s="7" t="s">
        <v>36</v>
      </c>
      <c r="L1424" s="8">
        <v>19</v>
      </c>
      <c r="M1424" s="7" t="s">
        <v>37</v>
      </c>
      <c r="N1424" s="8">
        <v>174</v>
      </c>
      <c r="O1424" s="8">
        <v>1</v>
      </c>
      <c r="P1424" s="5">
        <v>1119.21</v>
      </c>
      <c r="Q1424" s="4">
        <v>45600</v>
      </c>
      <c r="R1424" s="9">
        <v>0.3402662037037037</v>
      </c>
      <c r="S1424" s="8">
        <v>16</v>
      </c>
      <c r="T1424" s="7" t="s">
        <v>4456</v>
      </c>
      <c r="U1424" s="7" t="s">
        <v>4455</v>
      </c>
      <c r="V14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25" spans="1:22" x14ac:dyDescent="0.35">
      <c r="A1425" s="7" t="s">
        <v>3198</v>
      </c>
      <c r="B1425" s="7" t="s">
        <v>1520</v>
      </c>
      <c r="C1425" s="5">
        <v>1076.98</v>
      </c>
      <c r="D1425" s="2">
        <v>0.75862268518540077</v>
      </c>
      <c r="E1425" s="4">
        <v>45280</v>
      </c>
      <c r="F1425" s="7" t="s">
        <v>17</v>
      </c>
      <c r="G1425" s="7" t="s">
        <v>73</v>
      </c>
      <c r="H1425" s="7" t="s">
        <v>1692</v>
      </c>
      <c r="I1425" s="7" t="s">
        <v>2206</v>
      </c>
      <c r="J1425" s="7" t="s">
        <v>277</v>
      </c>
      <c r="K1425" s="7" t="s">
        <v>69</v>
      </c>
      <c r="L1425" s="8">
        <v>60</v>
      </c>
      <c r="M1425" s="7" t="s">
        <v>23</v>
      </c>
      <c r="N1425" s="8">
        <v>173</v>
      </c>
      <c r="O1425" s="8">
        <v>1</v>
      </c>
      <c r="P1425" s="5">
        <v>11833.73</v>
      </c>
      <c r="Q1425" s="4">
        <v>45600</v>
      </c>
      <c r="R1425" s="9">
        <v>0.3399652777777778</v>
      </c>
      <c r="S1425" s="8">
        <v>18</v>
      </c>
      <c r="T1425" s="7" t="s">
        <v>4454</v>
      </c>
      <c r="U1425" s="7" t="s">
        <v>4455</v>
      </c>
      <c r="V14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26" spans="1:22" x14ac:dyDescent="0.35">
      <c r="A1426" s="7" t="s">
        <v>3199</v>
      </c>
      <c r="B1426" s="7" t="s">
        <v>2467</v>
      </c>
      <c r="C1426" s="5">
        <v>360.02</v>
      </c>
      <c r="D1426" s="2">
        <v>0.68687499999941792</v>
      </c>
      <c r="E1426" s="4">
        <v>44966</v>
      </c>
      <c r="F1426" s="7" t="s">
        <v>17</v>
      </c>
      <c r="G1426" s="7" t="s">
        <v>323</v>
      </c>
      <c r="H1426" s="7" t="s">
        <v>1305</v>
      </c>
      <c r="I1426" s="7" t="s">
        <v>2206</v>
      </c>
      <c r="J1426" s="7" t="s">
        <v>432</v>
      </c>
      <c r="K1426" s="7" t="s">
        <v>36</v>
      </c>
      <c r="L1426" s="8">
        <v>68</v>
      </c>
      <c r="M1426" s="7" t="s">
        <v>70</v>
      </c>
      <c r="N1426" s="8">
        <v>68</v>
      </c>
      <c r="O1426" s="8">
        <v>1</v>
      </c>
      <c r="P1426" s="5">
        <v>6400.59</v>
      </c>
      <c r="Q1426" s="4">
        <v>45600</v>
      </c>
      <c r="R1426" s="9">
        <v>0.3395023148148148</v>
      </c>
      <c r="S1426" s="8">
        <v>16</v>
      </c>
      <c r="T1426" s="7" t="s">
        <v>4454</v>
      </c>
      <c r="U1426" s="7" t="s">
        <v>4455</v>
      </c>
      <c r="V14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27" spans="1:22" x14ac:dyDescent="0.35">
      <c r="A1427" s="7" t="s">
        <v>3200</v>
      </c>
      <c r="B1427" s="7" t="s">
        <v>974</v>
      </c>
      <c r="C1427" s="5">
        <v>567.71</v>
      </c>
      <c r="D1427" s="2">
        <v>0.77734953703475185</v>
      </c>
      <c r="E1427" s="4">
        <v>44963</v>
      </c>
      <c r="F1427" s="7" t="s">
        <v>17</v>
      </c>
      <c r="G1427" s="7" t="s">
        <v>92</v>
      </c>
      <c r="H1427" s="7" t="s">
        <v>695</v>
      </c>
      <c r="I1427" s="7" t="s">
        <v>2193</v>
      </c>
      <c r="J1427" s="7" t="s">
        <v>572</v>
      </c>
      <c r="K1427" s="7" t="s">
        <v>36</v>
      </c>
      <c r="L1427" s="8">
        <v>63</v>
      </c>
      <c r="M1427" s="7" t="s">
        <v>23</v>
      </c>
      <c r="N1427" s="8">
        <v>80</v>
      </c>
      <c r="O1427" s="8">
        <v>1</v>
      </c>
      <c r="P1427" s="5">
        <v>13884.24</v>
      </c>
      <c r="Q1427" s="4">
        <v>45600</v>
      </c>
      <c r="R1427" s="9">
        <v>0.34074074074074073</v>
      </c>
      <c r="S1427" s="8">
        <v>18</v>
      </c>
      <c r="T1427" s="7" t="s">
        <v>4454</v>
      </c>
      <c r="U1427" s="7" t="s">
        <v>4455</v>
      </c>
      <c r="V14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28" spans="1:22" x14ac:dyDescent="0.35">
      <c r="A1428" s="7" t="s">
        <v>3201</v>
      </c>
      <c r="B1428" s="7" t="s">
        <v>1200</v>
      </c>
      <c r="C1428" s="5">
        <v>218.19</v>
      </c>
      <c r="D1428" s="2">
        <v>0.68716435185342561</v>
      </c>
      <c r="E1428" s="4">
        <v>45069</v>
      </c>
      <c r="F1428" s="7" t="s">
        <v>17</v>
      </c>
      <c r="G1428" s="7" t="s">
        <v>119</v>
      </c>
      <c r="H1428" s="7" t="s">
        <v>807</v>
      </c>
      <c r="I1428" s="7" t="s">
        <v>2030</v>
      </c>
      <c r="J1428" s="7" t="s">
        <v>303</v>
      </c>
      <c r="K1428" s="7" t="s">
        <v>22</v>
      </c>
      <c r="L1428" s="8">
        <v>19</v>
      </c>
      <c r="M1428" s="7" t="s">
        <v>37</v>
      </c>
      <c r="N1428" s="8">
        <v>185</v>
      </c>
      <c r="O1428" s="8">
        <v>1</v>
      </c>
      <c r="P1428" s="5">
        <v>620.83000000000004</v>
      </c>
      <c r="Q1428" s="4">
        <v>45600</v>
      </c>
      <c r="R1428" s="9">
        <v>0.34059027777777778</v>
      </c>
      <c r="S1428" s="8">
        <v>16</v>
      </c>
      <c r="T1428" s="7" t="s">
        <v>4456</v>
      </c>
      <c r="U1428" s="7" t="s">
        <v>4455</v>
      </c>
      <c r="V14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29" spans="1:22" x14ac:dyDescent="0.35">
      <c r="A1429" s="7" t="s">
        <v>3202</v>
      </c>
      <c r="B1429" s="7" t="s">
        <v>1193</v>
      </c>
      <c r="C1429" s="5">
        <v>209.99</v>
      </c>
      <c r="D1429" s="2">
        <v>0.72177083333372138</v>
      </c>
      <c r="E1429" s="4">
        <v>45176</v>
      </c>
      <c r="F1429" s="7" t="s">
        <v>17</v>
      </c>
      <c r="G1429" s="7" t="s">
        <v>114</v>
      </c>
      <c r="H1429" s="7" t="s">
        <v>3203</v>
      </c>
      <c r="I1429" s="7" t="s">
        <v>378</v>
      </c>
      <c r="J1429" s="7" t="s">
        <v>240</v>
      </c>
      <c r="K1429" s="7" t="s">
        <v>22</v>
      </c>
      <c r="L1429" s="8">
        <v>19</v>
      </c>
      <c r="M1429" s="7" t="s">
        <v>37</v>
      </c>
      <c r="N1429" s="8">
        <v>40</v>
      </c>
      <c r="O1429" s="8">
        <v>1</v>
      </c>
      <c r="P1429" s="5">
        <v>1938.01</v>
      </c>
      <c r="Q1429" s="4">
        <v>45600</v>
      </c>
      <c r="R1429" s="9">
        <v>0.34142361111111114</v>
      </c>
      <c r="S1429" s="8">
        <v>17</v>
      </c>
      <c r="T1429" s="7" t="s">
        <v>4456</v>
      </c>
      <c r="U1429" s="7" t="s">
        <v>4455</v>
      </c>
      <c r="V14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30" spans="1:22" x14ac:dyDescent="0.35">
      <c r="A1430" s="7" t="s">
        <v>3204</v>
      </c>
      <c r="B1430" s="7" t="s">
        <v>1753</v>
      </c>
      <c r="C1430" s="5">
        <v>11.02</v>
      </c>
      <c r="D1430" s="2">
        <v>0.68950231481721858</v>
      </c>
      <c r="E1430" s="4">
        <v>45243</v>
      </c>
      <c r="F1430" s="7" t="s">
        <v>17</v>
      </c>
      <c r="G1430" s="7" t="s">
        <v>255</v>
      </c>
      <c r="H1430" s="7" t="s">
        <v>1160</v>
      </c>
      <c r="I1430" s="7" t="s">
        <v>2868</v>
      </c>
      <c r="J1430" s="7" t="s">
        <v>181</v>
      </c>
      <c r="K1430" s="7" t="s">
        <v>69</v>
      </c>
      <c r="L1430" s="8">
        <v>19</v>
      </c>
      <c r="M1430" s="7" t="s">
        <v>37</v>
      </c>
      <c r="N1430" s="8">
        <v>280</v>
      </c>
      <c r="O1430" s="8">
        <v>1</v>
      </c>
      <c r="P1430" s="5">
        <v>964.79</v>
      </c>
      <c r="Q1430" s="4">
        <v>45600</v>
      </c>
      <c r="R1430" s="9">
        <v>0.33814814814814814</v>
      </c>
      <c r="S1430" s="8">
        <v>16</v>
      </c>
      <c r="T1430" s="7" t="s">
        <v>4456</v>
      </c>
      <c r="U1430" s="7" t="s">
        <v>4455</v>
      </c>
      <c r="V14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31" spans="1:22" x14ac:dyDescent="0.35">
      <c r="A1431" s="7" t="s">
        <v>3205</v>
      </c>
      <c r="B1431" s="7" t="s">
        <v>729</v>
      </c>
      <c r="C1431" s="5">
        <v>83.43</v>
      </c>
      <c r="D1431" s="2">
        <v>0.68666666666831588</v>
      </c>
      <c r="E1431" s="4">
        <v>45076</v>
      </c>
      <c r="F1431" s="7" t="s">
        <v>17</v>
      </c>
      <c r="G1431" s="7" t="s">
        <v>203</v>
      </c>
      <c r="H1431" s="7" t="s">
        <v>244</v>
      </c>
      <c r="I1431" s="7" t="s">
        <v>1742</v>
      </c>
      <c r="J1431" s="7" t="s">
        <v>445</v>
      </c>
      <c r="K1431" s="7" t="s">
        <v>36</v>
      </c>
      <c r="L1431" s="8">
        <v>56</v>
      </c>
      <c r="M1431" s="7" t="s">
        <v>70</v>
      </c>
      <c r="N1431" s="8">
        <v>109</v>
      </c>
      <c r="O1431" s="8">
        <v>1</v>
      </c>
      <c r="P1431" s="5">
        <v>1870.16</v>
      </c>
      <c r="Q1431" s="4">
        <v>45600</v>
      </c>
      <c r="R1431" s="9">
        <v>0.34143518518518517</v>
      </c>
      <c r="S1431" s="8">
        <v>16</v>
      </c>
      <c r="T1431" s="7" t="s">
        <v>4454</v>
      </c>
      <c r="U1431" s="7" t="s">
        <v>4455</v>
      </c>
      <c r="V14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32" spans="1:22" x14ac:dyDescent="0.35">
      <c r="A1432" s="7" t="s">
        <v>3206</v>
      </c>
      <c r="B1432" s="7" t="s">
        <v>3207</v>
      </c>
      <c r="C1432" s="5">
        <v>344.97</v>
      </c>
      <c r="D1432" s="2">
        <v>0.72976851851854008</v>
      </c>
      <c r="E1432" s="4">
        <v>45005</v>
      </c>
      <c r="F1432" s="7" t="s">
        <v>17</v>
      </c>
      <c r="G1432" s="7" t="s">
        <v>119</v>
      </c>
      <c r="H1432" s="7" t="s">
        <v>1548</v>
      </c>
      <c r="I1432" s="7" t="s">
        <v>1637</v>
      </c>
      <c r="J1432" s="7" t="s">
        <v>1345</v>
      </c>
      <c r="K1432" s="7" t="s">
        <v>36</v>
      </c>
      <c r="L1432" s="8">
        <v>34</v>
      </c>
      <c r="M1432" s="7" t="s">
        <v>23</v>
      </c>
      <c r="N1432" s="8">
        <v>106</v>
      </c>
      <c r="O1432" s="8">
        <v>1</v>
      </c>
      <c r="P1432" s="5">
        <v>5577.94</v>
      </c>
      <c r="Q1432" s="4">
        <v>45600</v>
      </c>
      <c r="R1432" s="9">
        <v>0.3400347222222222</v>
      </c>
      <c r="S1432" s="8">
        <v>17</v>
      </c>
      <c r="T1432" s="7" t="s">
        <v>4456</v>
      </c>
      <c r="U1432" s="7" t="s">
        <v>4455</v>
      </c>
      <c r="V14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33" spans="1:22" x14ac:dyDescent="0.35">
      <c r="A1433" s="7" t="s">
        <v>3208</v>
      </c>
      <c r="B1433" s="7" t="s">
        <v>1401</v>
      </c>
      <c r="C1433" s="5">
        <v>172.29</v>
      </c>
      <c r="D1433" s="2">
        <v>0.72406249999767169</v>
      </c>
      <c r="E1433" s="4">
        <v>44956</v>
      </c>
      <c r="F1433" s="7" t="s">
        <v>17</v>
      </c>
      <c r="G1433" s="7" t="s">
        <v>506</v>
      </c>
      <c r="H1433" s="7" t="s">
        <v>1692</v>
      </c>
      <c r="I1433" s="7" t="s">
        <v>1455</v>
      </c>
      <c r="J1433" s="7" t="s">
        <v>639</v>
      </c>
      <c r="K1433" s="7" t="s">
        <v>22</v>
      </c>
      <c r="L1433" s="8">
        <v>36</v>
      </c>
      <c r="M1433" s="7" t="s">
        <v>77</v>
      </c>
      <c r="N1433" s="8">
        <v>283</v>
      </c>
      <c r="O1433" s="8">
        <v>1</v>
      </c>
      <c r="P1433" s="5">
        <v>8700.7999999999993</v>
      </c>
      <c r="Q1433" s="4">
        <v>45600</v>
      </c>
      <c r="R1433" s="9">
        <v>0.33937499999999998</v>
      </c>
      <c r="S1433" s="8">
        <v>17</v>
      </c>
      <c r="T1433" s="7" t="s">
        <v>4457</v>
      </c>
      <c r="U1433" s="7" t="s">
        <v>4455</v>
      </c>
      <c r="V14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34" spans="1:22" x14ac:dyDescent="0.35">
      <c r="A1434" s="7" t="s">
        <v>3209</v>
      </c>
      <c r="B1434" s="7" t="s">
        <v>1517</v>
      </c>
      <c r="C1434" s="5">
        <v>195.54</v>
      </c>
      <c r="D1434" s="2">
        <v>0.67040509259095415</v>
      </c>
      <c r="E1434" s="4">
        <v>45124</v>
      </c>
      <c r="F1434" s="7" t="s">
        <v>17</v>
      </c>
      <c r="G1434" s="7" t="s">
        <v>296</v>
      </c>
      <c r="H1434" s="7" t="s">
        <v>2851</v>
      </c>
      <c r="I1434" s="7" t="s">
        <v>3210</v>
      </c>
      <c r="J1434" s="7" t="s">
        <v>137</v>
      </c>
      <c r="K1434" s="7" t="s">
        <v>36</v>
      </c>
      <c r="L1434" s="8">
        <v>60</v>
      </c>
      <c r="M1434" s="7" t="s">
        <v>70</v>
      </c>
      <c r="N1434" s="8">
        <v>255</v>
      </c>
      <c r="O1434" s="8">
        <v>1</v>
      </c>
      <c r="P1434" s="5">
        <v>2794.66</v>
      </c>
      <c r="Q1434" s="4">
        <v>45600</v>
      </c>
      <c r="R1434" s="9">
        <v>0.33959490740740739</v>
      </c>
      <c r="S1434" s="8">
        <v>16</v>
      </c>
      <c r="T1434" s="7" t="s">
        <v>4454</v>
      </c>
      <c r="U1434" s="7" t="s">
        <v>4455</v>
      </c>
      <c r="V14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35" spans="1:22" x14ac:dyDescent="0.35">
      <c r="A1435" s="7" t="s">
        <v>3211</v>
      </c>
      <c r="B1435" s="7" t="s">
        <v>25</v>
      </c>
      <c r="C1435" s="5">
        <v>101.23</v>
      </c>
      <c r="D1435" s="2">
        <v>0.77362268518481869</v>
      </c>
      <c r="E1435" s="4">
        <v>45142</v>
      </c>
      <c r="F1435" s="7" t="s">
        <v>17</v>
      </c>
      <c r="G1435" s="7" t="s">
        <v>521</v>
      </c>
      <c r="H1435" s="7" t="s">
        <v>3167</v>
      </c>
      <c r="I1435" s="7" t="s">
        <v>1181</v>
      </c>
      <c r="J1435" s="7" t="s">
        <v>21</v>
      </c>
      <c r="K1435" s="7" t="s">
        <v>36</v>
      </c>
      <c r="L1435" s="8">
        <v>45</v>
      </c>
      <c r="M1435" s="7" t="s">
        <v>77</v>
      </c>
      <c r="N1435" s="8">
        <v>87</v>
      </c>
      <c r="O1435" s="8">
        <v>1</v>
      </c>
      <c r="P1435" s="5">
        <v>6169.71</v>
      </c>
      <c r="Q1435" s="4">
        <v>45600</v>
      </c>
      <c r="R1435" s="9">
        <v>0.3379861111111111</v>
      </c>
      <c r="S1435" s="8">
        <v>18</v>
      </c>
      <c r="T1435" s="7" t="s">
        <v>4457</v>
      </c>
      <c r="U1435" s="7" t="s">
        <v>4455</v>
      </c>
      <c r="V14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36" spans="1:22" x14ac:dyDescent="0.35">
      <c r="A1436" s="7" t="s">
        <v>3212</v>
      </c>
      <c r="B1436" s="7" t="s">
        <v>3213</v>
      </c>
      <c r="C1436" s="5">
        <v>180.46</v>
      </c>
      <c r="D1436" s="2">
        <v>0.68506944444379769</v>
      </c>
      <c r="E1436" s="4">
        <v>44998</v>
      </c>
      <c r="F1436" s="7" t="s">
        <v>17</v>
      </c>
      <c r="G1436" s="7" t="s">
        <v>558</v>
      </c>
      <c r="H1436" s="7" t="s">
        <v>730</v>
      </c>
      <c r="I1436" s="7" t="s">
        <v>1370</v>
      </c>
      <c r="J1436" s="7" t="s">
        <v>353</v>
      </c>
      <c r="K1436" s="7" t="s">
        <v>22</v>
      </c>
      <c r="L1436" s="8">
        <v>25</v>
      </c>
      <c r="M1436" s="7" t="s">
        <v>37</v>
      </c>
      <c r="N1436" s="8">
        <v>34</v>
      </c>
      <c r="O1436" s="8">
        <v>1</v>
      </c>
      <c r="P1436" s="5">
        <v>831.75</v>
      </c>
      <c r="Q1436" s="4">
        <v>45600</v>
      </c>
      <c r="R1436" s="9">
        <v>0.3412384259259259</v>
      </c>
      <c r="S1436" s="8">
        <v>16</v>
      </c>
      <c r="T1436" s="7" t="s">
        <v>4456</v>
      </c>
      <c r="U1436" s="7" t="s">
        <v>4455</v>
      </c>
      <c r="V14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37" spans="1:22" x14ac:dyDescent="0.35">
      <c r="A1437" s="7" t="s">
        <v>3214</v>
      </c>
      <c r="B1437" s="7" t="s">
        <v>3215</v>
      </c>
      <c r="C1437" s="5">
        <v>692.55</v>
      </c>
      <c r="D1437" s="2">
        <v>0.70251157407619758</v>
      </c>
      <c r="E1437" s="4">
        <v>44992</v>
      </c>
      <c r="F1437" s="7" t="s">
        <v>17</v>
      </c>
      <c r="G1437" s="7" t="s">
        <v>249</v>
      </c>
      <c r="H1437" s="7" t="s">
        <v>2119</v>
      </c>
      <c r="I1437" s="7" t="s">
        <v>1430</v>
      </c>
      <c r="J1437" s="7" t="s">
        <v>707</v>
      </c>
      <c r="K1437" s="7" t="s">
        <v>69</v>
      </c>
      <c r="L1437" s="8">
        <v>53</v>
      </c>
      <c r="M1437" s="7" t="s">
        <v>70</v>
      </c>
      <c r="N1437" s="8">
        <v>109</v>
      </c>
      <c r="O1437" s="8">
        <v>1</v>
      </c>
      <c r="P1437" s="5">
        <v>2451.56</v>
      </c>
      <c r="Q1437" s="4">
        <v>45600</v>
      </c>
      <c r="R1437" s="9">
        <v>0.34186342592592595</v>
      </c>
      <c r="S1437" s="8">
        <v>16</v>
      </c>
      <c r="T1437" s="7" t="s">
        <v>4457</v>
      </c>
      <c r="U1437" s="7" t="s">
        <v>4455</v>
      </c>
      <c r="V14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38" spans="1:22" x14ac:dyDescent="0.35">
      <c r="A1438" s="7" t="s">
        <v>3216</v>
      </c>
      <c r="B1438" s="7" t="s">
        <v>716</v>
      </c>
      <c r="C1438" s="5">
        <v>147.31</v>
      </c>
      <c r="D1438" s="2">
        <v>0.71559027778130258</v>
      </c>
      <c r="E1438" s="4">
        <v>45089</v>
      </c>
      <c r="F1438" s="7" t="s">
        <v>46</v>
      </c>
      <c r="G1438" s="7" t="s">
        <v>32</v>
      </c>
      <c r="H1438" s="7" t="s">
        <v>778</v>
      </c>
      <c r="I1438" s="7" t="s">
        <v>651</v>
      </c>
      <c r="J1438" s="7" t="s">
        <v>262</v>
      </c>
      <c r="K1438" s="7" t="s">
        <v>36</v>
      </c>
      <c r="L1438" s="8">
        <v>34</v>
      </c>
      <c r="M1438" s="7" t="s">
        <v>23</v>
      </c>
      <c r="N1438" s="8">
        <v>92</v>
      </c>
      <c r="O1438" s="8">
        <v>1</v>
      </c>
      <c r="P1438" s="5">
        <v>13625.52</v>
      </c>
      <c r="Q1438" s="4">
        <v>45600</v>
      </c>
      <c r="R1438" s="9">
        <v>0.33886574074074072</v>
      </c>
      <c r="S1438" s="8">
        <v>17</v>
      </c>
      <c r="T1438" s="7" t="s">
        <v>4456</v>
      </c>
      <c r="U1438" s="7" t="s">
        <v>4455</v>
      </c>
      <c r="V14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39" spans="1:22" x14ac:dyDescent="0.35">
      <c r="A1439" s="7" t="s">
        <v>3217</v>
      </c>
      <c r="B1439" s="7" t="s">
        <v>3218</v>
      </c>
      <c r="C1439" s="5">
        <v>107.48</v>
      </c>
      <c r="D1439" s="2">
        <v>0.73493055555445608</v>
      </c>
      <c r="E1439" s="4">
        <v>44964</v>
      </c>
      <c r="F1439" s="7" t="s">
        <v>17</v>
      </c>
      <c r="G1439" s="7" t="s">
        <v>140</v>
      </c>
      <c r="H1439" s="7" t="s">
        <v>2657</v>
      </c>
      <c r="I1439" s="7" t="s">
        <v>1464</v>
      </c>
      <c r="J1439" s="7" t="s">
        <v>707</v>
      </c>
      <c r="K1439" s="7" t="s">
        <v>69</v>
      </c>
      <c r="L1439" s="8">
        <v>20</v>
      </c>
      <c r="M1439" s="7" t="s">
        <v>37</v>
      </c>
      <c r="N1439" s="8">
        <v>103</v>
      </c>
      <c r="O1439" s="8">
        <v>1</v>
      </c>
      <c r="P1439" s="5">
        <v>1379.39</v>
      </c>
      <c r="Q1439" s="4">
        <v>45600</v>
      </c>
      <c r="R1439" s="9">
        <v>0.34174768518518517</v>
      </c>
      <c r="S1439" s="8">
        <v>17</v>
      </c>
      <c r="T1439" s="7" t="s">
        <v>4456</v>
      </c>
      <c r="U1439" s="7" t="s">
        <v>4455</v>
      </c>
      <c r="V14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40" spans="1:22" x14ac:dyDescent="0.35">
      <c r="A1440" s="7" t="s">
        <v>3219</v>
      </c>
      <c r="B1440" s="7" t="s">
        <v>2467</v>
      </c>
      <c r="C1440" s="5">
        <v>1831.02</v>
      </c>
      <c r="D1440" s="2">
        <v>0.7303472222192795</v>
      </c>
      <c r="E1440" s="4">
        <v>45184</v>
      </c>
      <c r="F1440" s="7" t="s">
        <v>46</v>
      </c>
      <c r="G1440" s="7" t="s">
        <v>125</v>
      </c>
      <c r="H1440" s="7" t="s">
        <v>2892</v>
      </c>
      <c r="I1440" s="7" t="s">
        <v>747</v>
      </c>
      <c r="J1440" s="7" t="s">
        <v>445</v>
      </c>
      <c r="K1440" s="7" t="s">
        <v>36</v>
      </c>
      <c r="L1440" s="8">
        <v>62</v>
      </c>
      <c r="M1440" s="7" t="s">
        <v>23</v>
      </c>
      <c r="N1440" s="8">
        <v>83</v>
      </c>
      <c r="O1440" s="8">
        <v>1</v>
      </c>
      <c r="P1440" s="5">
        <v>11498.01</v>
      </c>
      <c r="Q1440" s="4">
        <v>45600</v>
      </c>
      <c r="R1440" s="9">
        <v>0.34087962962962964</v>
      </c>
      <c r="S1440" s="8">
        <v>17</v>
      </c>
      <c r="T1440" s="7" t="s">
        <v>4454</v>
      </c>
      <c r="U1440" s="7" t="s">
        <v>4455</v>
      </c>
      <c r="V14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41" spans="1:22" x14ac:dyDescent="0.35">
      <c r="A1441" s="7" t="s">
        <v>3220</v>
      </c>
      <c r="B1441" s="7" t="s">
        <v>1405</v>
      </c>
      <c r="C1441" s="5">
        <v>81.510000000000005</v>
      </c>
      <c r="D1441" s="2">
        <v>0.67386574074043892</v>
      </c>
      <c r="E1441" s="4">
        <v>45148</v>
      </c>
      <c r="F1441" s="7" t="s">
        <v>17</v>
      </c>
      <c r="G1441" s="7" t="s">
        <v>453</v>
      </c>
      <c r="H1441" s="7" t="s">
        <v>1575</v>
      </c>
      <c r="I1441" s="7" t="s">
        <v>874</v>
      </c>
      <c r="J1441" s="7" t="s">
        <v>128</v>
      </c>
      <c r="K1441" s="7" t="s">
        <v>69</v>
      </c>
      <c r="L1441" s="8">
        <v>25</v>
      </c>
      <c r="M1441" s="7" t="s">
        <v>37</v>
      </c>
      <c r="N1441" s="8">
        <v>97</v>
      </c>
      <c r="O1441" s="8">
        <v>1</v>
      </c>
      <c r="P1441" s="5">
        <v>865.49</v>
      </c>
      <c r="Q1441" s="4">
        <v>45600</v>
      </c>
      <c r="R1441" s="9">
        <v>0.33836805555555555</v>
      </c>
      <c r="S1441" s="8">
        <v>16</v>
      </c>
      <c r="T1441" s="7" t="s">
        <v>4456</v>
      </c>
      <c r="U1441" s="7" t="s">
        <v>4455</v>
      </c>
      <c r="V14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42" spans="1:22" x14ac:dyDescent="0.35">
      <c r="A1442" s="7" t="s">
        <v>3221</v>
      </c>
      <c r="B1442" s="7" t="s">
        <v>192</v>
      </c>
      <c r="C1442" s="5">
        <v>365.48</v>
      </c>
      <c r="D1442" s="2">
        <v>0.74932870370685123</v>
      </c>
      <c r="E1442" s="4">
        <v>45068</v>
      </c>
      <c r="F1442" s="7" t="s">
        <v>46</v>
      </c>
      <c r="G1442" s="7" t="s">
        <v>59</v>
      </c>
      <c r="H1442" s="7" t="s">
        <v>179</v>
      </c>
      <c r="I1442" s="7" t="s">
        <v>547</v>
      </c>
      <c r="J1442" s="7" t="s">
        <v>984</v>
      </c>
      <c r="K1442" s="7" t="s">
        <v>36</v>
      </c>
      <c r="L1442" s="8">
        <v>76</v>
      </c>
      <c r="M1442" s="7" t="s">
        <v>70</v>
      </c>
      <c r="N1442" s="8">
        <v>216</v>
      </c>
      <c r="O1442" s="8">
        <v>1</v>
      </c>
      <c r="P1442" s="5">
        <v>7147.4</v>
      </c>
      <c r="Q1442" s="4">
        <v>45600</v>
      </c>
      <c r="R1442" s="9">
        <v>0.3407175925925926</v>
      </c>
      <c r="S1442" s="8">
        <v>17</v>
      </c>
      <c r="T1442" s="7" t="s">
        <v>4454</v>
      </c>
      <c r="U1442" s="7" t="s">
        <v>4455</v>
      </c>
      <c r="V14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43" spans="1:22" x14ac:dyDescent="0.35">
      <c r="A1443" s="7" t="s">
        <v>3222</v>
      </c>
      <c r="B1443" s="7" t="s">
        <v>171</v>
      </c>
      <c r="C1443" s="5">
        <v>491.1</v>
      </c>
      <c r="D1443" s="2">
        <v>0.67265046296233777</v>
      </c>
      <c r="E1443" s="4">
        <v>45082</v>
      </c>
      <c r="F1443" s="7" t="s">
        <v>46</v>
      </c>
      <c r="G1443" s="7" t="s">
        <v>26</v>
      </c>
      <c r="H1443" s="7" t="s">
        <v>2265</v>
      </c>
      <c r="I1443" s="7" t="s">
        <v>2391</v>
      </c>
      <c r="J1443" s="7" t="s">
        <v>652</v>
      </c>
      <c r="K1443" s="7" t="s">
        <v>36</v>
      </c>
      <c r="L1443" s="8">
        <v>35</v>
      </c>
      <c r="M1443" s="7" t="s">
        <v>77</v>
      </c>
      <c r="N1443" s="8">
        <v>125</v>
      </c>
      <c r="O1443" s="8">
        <v>1</v>
      </c>
      <c r="P1443" s="5">
        <v>7833.85</v>
      </c>
      <c r="Q1443" s="4">
        <v>45600</v>
      </c>
      <c r="R1443" s="9">
        <v>0.33856481481481482</v>
      </c>
      <c r="S1443" s="8">
        <v>16</v>
      </c>
      <c r="T1443" s="7" t="s">
        <v>4457</v>
      </c>
      <c r="U1443" s="7" t="s">
        <v>4455</v>
      </c>
      <c r="V14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44" spans="1:22" x14ac:dyDescent="0.35">
      <c r="A1444" s="7" t="s">
        <v>3223</v>
      </c>
      <c r="B1444" s="7" t="s">
        <v>1700</v>
      </c>
      <c r="C1444" s="5">
        <v>452.8</v>
      </c>
      <c r="D1444" s="2">
        <v>0.69804398147971369</v>
      </c>
      <c r="E1444" s="4">
        <v>45254</v>
      </c>
      <c r="F1444" s="7" t="s">
        <v>17</v>
      </c>
      <c r="G1444" s="7" t="s">
        <v>140</v>
      </c>
      <c r="H1444" s="7" t="s">
        <v>2437</v>
      </c>
      <c r="I1444" s="7" t="s">
        <v>2131</v>
      </c>
      <c r="J1444" s="7" t="s">
        <v>639</v>
      </c>
      <c r="K1444" s="7" t="s">
        <v>69</v>
      </c>
      <c r="L1444" s="8">
        <v>80</v>
      </c>
      <c r="M1444" s="7" t="s">
        <v>70</v>
      </c>
      <c r="N1444" s="8">
        <v>151</v>
      </c>
      <c r="O1444" s="8">
        <v>1</v>
      </c>
      <c r="P1444" s="5">
        <v>4840.67</v>
      </c>
      <c r="Q1444" s="4">
        <v>45600</v>
      </c>
      <c r="R1444" s="9">
        <v>0.33858796296296295</v>
      </c>
      <c r="S1444" s="8">
        <v>16</v>
      </c>
      <c r="T1444" s="7" t="s">
        <v>4454</v>
      </c>
      <c r="U1444" s="7" t="s">
        <v>4455</v>
      </c>
      <c r="V14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45" spans="1:22" x14ac:dyDescent="0.35">
      <c r="A1445" s="7" t="s">
        <v>3224</v>
      </c>
      <c r="B1445" s="7" t="s">
        <v>691</v>
      </c>
      <c r="C1445" s="5">
        <v>645.04</v>
      </c>
      <c r="D1445" s="2">
        <v>0.71452546296495711</v>
      </c>
      <c r="E1445" s="4">
        <v>45282</v>
      </c>
      <c r="F1445" s="7" t="s">
        <v>17</v>
      </c>
      <c r="G1445" s="7" t="s">
        <v>92</v>
      </c>
      <c r="H1445" s="7" t="s">
        <v>2312</v>
      </c>
      <c r="I1445" s="7" t="s">
        <v>824</v>
      </c>
      <c r="J1445" s="7" t="s">
        <v>240</v>
      </c>
      <c r="K1445" s="7" t="s">
        <v>69</v>
      </c>
      <c r="L1445" s="8">
        <v>70</v>
      </c>
      <c r="M1445" s="7" t="s">
        <v>70</v>
      </c>
      <c r="N1445" s="8">
        <v>78</v>
      </c>
      <c r="O1445" s="8">
        <v>1</v>
      </c>
      <c r="P1445" s="5">
        <v>7361.47</v>
      </c>
      <c r="Q1445" s="4">
        <v>45600</v>
      </c>
      <c r="R1445" s="9">
        <v>0.33853009259259259</v>
      </c>
      <c r="S1445" s="8">
        <v>17</v>
      </c>
      <c r="T1445" s="7" t="s">
        <v>4454</v>
      </c>
      <c r="U1445" s="7" t="s">
        <v>4455</v>
      </c>
      <c r="V14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46" spans="1:22" x14ac:dyDescent="0.35">
      <c r="A1446" s="7" t="s">
        <v>3225</v>
      </c>
      <c r="B1446" s="7" t="s">
        <v>2779</v>
      </c>
      <c r="C1446" s="5">
        <v>169.28</v>
      </c>
      <c r="D1446" s="2">
        <v>0.75562499999796273</v>
      </c>
      <c r="E1446" s="4">
        <v>45012</v>
      </c>
      <c r="F1446" s="7" t="s">
        <v>17</v>
      </c>
      <c r="G1446" s="7" t="s">
        <v>243</v>
      </c>
      <c r="H1446" s="7" t="s">
        <v>2247</v>
      </c>
      <c r="I1446" s="7" t="s">
        <v>983</v>
      </c>
      <c r="J1446" s="7" t="s">
        <v>100</v>
      </c>
      <c r="K1446" s="7" t="s">
        <v>69</v>
      </c>
      <c r="L1446" s="8">
        <v>45</v>
      </c>
      <c r="M1446" s="7" t="s">
        <v>23</v>
      </c>
      <c r="N1446" s="8">
        <v>114</v>
      </c>
      <c r="O1446" s="8">
        <v>1</v>
      </c>
      <c r="P1446" s="5">
        <v>5128.4399999999996</v>
      </c>
      <c r="Q1446" s="4">
        <v>45600</v>
      </c>
      <c r="R1446" s="9">
        <v>0.34159722222222222</v>
      </c>
      <c r="S1446" s="8">
        <v>18</v>
      </c>
      <c r="T1446" s="7" t="s">
        <v>4457</v>
      </c>
      <c r="U1446" s="7" t="s">
        <v>4455</v>
      </c>
      <c r="V14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47" spans="1:22" x14ac:dyDescent="0.35">
      <c r="A1447" s="7" t="s">
        <v>3226</v>
      </c>
      <c r="B1447" s="7" t="s">
        <v>1167</v>
      </c>
      <c r="C1447" s="5">
        <v>88.42</v>
      </c>
      <c r="D1447" s="2">
        <v>0.6863310185217415</v>
      </c>
      <c r="E1447" s="4">
        <v>45217</v>
      </c>
      <c r="F1447" s="7" t="s">
        <v>17</v>
      </c>
      <c r="G1447" s="7" t="s">
        <v>506</v>
      </c>
      <c r="H1447" s="7" t="s">
        <v>1187</v>
      </c>
      <c r="I1447" s="7" t="s">
        <v>3227</v>
      </c>
      <c r="J1447" s="7" t="s">
        <v>1287</v>
      </c>
      <c r="K1447" s="7" t="s">
        <v>22</v>
      </c>
      <c r="L1447" s="8">
        <v>62</v>
      </c>
      <c r="M1447" s="7" t="s">
        <v>23</v>
      </c>
      <c r="N1447" s="8">
        <v>91</v>
      </c>
      <c r="O1447" s="8">
        <v>1</v>
      </c>
      <c r="P1447" s="5">
        <v>12381.45</v>
      </c>
      <c r="Q1447" s="4">
        <v>45600</v>
      </c>
      <c r="R1447" s="9">
        <v>0.33975694444444443</v>
      </c>
      <c r="S1447" s="8">
        <v>16</v>
      </c>
      <c r="T1447" s="7" t="s">
        <v>4454</v>
      </c>
      <c r="U1447" s="7" t="s">
        <v>4455</v>
      </c>
      <c r="V14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48" spans="1:22" x14ac:dyDescent="0.35">
      <c r="A1448" s="7" t="s">
        <v>3228</v>
      </c>
      <c r="B1448" s="7" t="s">
        <v>2238</v>
      </c>
      <c r="C1448" s="5">
        <v>155.53</v>
      </c>
      <c r="D1448" s="2">
        <v>0.71148148148495238</v>
      </c>
      <c r="E1448" s="4">
        <v>45009</v>
      </c>
      <c r="F1448" s="7" t="s">
        <v>17</v>
      </c>
      <c r="G1448" s="7" t="s">
        <v>197</v>
      </c>
      <c r="H1448" s="7" t="s">
        <v>1010</v>
      </c>
      <c r="I1448" s="7" t="s">
        <v>615</v>
      </c>
      <c r="J1448" s="7" t="s">
        <v>576</v>
      </c>
      <c r="K1448" s="7" t="s">
        <v>22</v>
      </c>
      <c r="L1448" s="8">
        <v>29</v>
      </c>
      <c r="M1448" s="7" t="s">
        <v>77</v>
      </c>
      <c r="N1448" s="8">
        <v>66</v>
      </c>
      <c r="O1448" s="8">
        <v>1</v>
      </c>
      <c r="P1448" s="5">
        <v>4008.05</v>
      </c>
      <c r="Q1448" s="4">
        <v>45600</v>
      </c>
      <c r="R1448" s="9">
        <v>0.33930555555555558</v>
      </c>
      <c r="S1448" s="8">
        <v>17</v>
      </c>
      <c r="T1448" s="7" t="s">
        <v>4456</v>
      </c>
      <c r="U1448" s="7" t="s">
        <v>4455</v>
      </c>
      <c r="V14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49" spans="1:22" x14ac:dyDescent="0.35">
      <c r="A1449" s="7" t="s">
        <v>3229</v>
      </c>
      <c r="B1449" s="7" t="s">
        <v>1536</v>
      </c>
      <c r="C1449" s="5">
        <v>991.82</v>
      </c>
      <c r="D1449" s="2">
        <v>0.67799768518307246</v>
      </c>
      <c r="E1449" s="4">
        <v>45264</v>
      </c>
      <c r="F1449" s="7" t="s">
        <v>17</v>
      </c>
      <c r="G1449" s="7" t="s">
        <v>178</v>
      </c>
      <c r="H1449" s="7" t="s">
        <v>2433</v>
      </c>
      <c r="I1449" s="7" t="s">
        <v>493</v>
      </c>
      <c r="J1449" s="7" t="s">
        <v>564</v>
      </c>
      <c r="K1449" s="7" t="s">
        <v>36</v>
      </c>
      <c r="L1449" s="8">
        <v>43</v>
      </c>
      <c r="M1449" s="7" t="s">
        <v>77</v>
      </c>
      <c r="N1449" s="8">
        <v>300</v>
      </c>
      <c r="O1449" s="8">
        <v>1</v>
      </c>
      <c r="P1449" s="5">
        <v>3493.13</v>
      </c>
      <c r="Q1449" s="4">
        <v>45600</v>
      </c>
      <c r="R1449" s="9">
        <v>0.34040509259259261</v>
      </c>
      <c r="S1449" s="8">
        <v>16</v>
      </c>
      <c r="T1449" s="7" t="s">
        <v>4457</v>
      </c>
      <c r="U1449" s="7" t="s">
        <v>4455</v>
      </c>
      <c r="V14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50" spans="1:22" x14ac:dyDescent="0.35">
      <c r="A1450" s="7" t="s">
        <v>3230</v>
      </c>
      <c r="B1450" s="7" t="s">
        <v>2500</v>
      </c>
      <c r="C1450" s="5">
        <v>39.24</v>
      </c>
      <c r="D1450" s="2">
        <v>0.77328703703824431</v>
      </c>
      <c r="E1450" s="4">
        <v>45244</v>
      </c>
      <c r="F1450" s="7" t="s">
        <v>17</v>
      </c>
      <c r="G1450" s="7" t="s">
        <v>323</v>
      </c>
      <c r="H1450" s="7" t="s">
        <v>512</v>
      </c>
      <c r="I1450" s="7" t="s">
        <v>1637</v>
      </c>
      <c r="J1450" s="7" t="s">
        <v>312</v>
      </c>
      <c r="K1450" s="7" t="s">
        <v>22</v>
      </c>
      <c r="L1450" s="8">
        <v>77</v>
      </c>
      <c r="M1450" s="7" t="s">
        <v>70</v>
      </c>
      <c r="N1450" s="8">
        <v>106</v>
      </c>
      <c r="O1450" s="8">
        <v>1</v>
      </c>
      <c r="P1450" s="5">
        <v>6462.41</v>
      </c>
      <c r="Q1450" s="4">
        <v>45600</v>
      </c>
      <c r="R1450" s="9">
        <v>0.34118055555555554</v>
      </c>
      <c r="S1450" s="8">
        <v>18</v>
      </c>
      <c r="T1450" s="7" t="s">
        <v>4454</v>
      </c>
      <c r="U1450" s="7" t="s">
        <v>4455</v>
      </c>
      <c r="V14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51" spans="1:22" x14ac:dyDescent="0.35">
      <c r="A1451" s="7" t="s">
        <v>3231</v>
      </c>
      <c r="B1451" s="7" t="s">
        <v>1612</v>
      </c>
      <c r="C1451" s="5">
        <v>152.01</v>
      </c>
      <c r="D1451" s="2">
        <v>0.69577546296204673</v>
      </c>
      <c r="E1451" s="4">
        <v>44980</v>
      </c>
      <c r="F1451" s="7" t="s">
        <v>17</v>
      </c>
      <c r="G1451" s="7" t="s">
        <v>157</v>
      </c>
      <c r="H1451" s="7" t="s">
        <v>1145</v>
      </c>
      <c r="I1451" s="7" t="s">
        <v>2555</v>
      </c>
      <c r="J1451" s="7" t="s">
        <v>312</v>
      </c>
      <c r="K1451" s="7" t="s">
        <v>22</v>
      </c>
      <c r="L1451" s="8">
        <v>42</v>
      </c>
      <c r="M1451" s="7" t="s">
        <v>77</v>
      </c>
      <c r="N1451" s="8">
        <v>111</v>
      </c>
      <c r="O1451" s="8">
        <v>3</v>
      </c>
      <c r="P1451" s="5">
        <v>4625.12</v>
      </c>
      <c r="Q1451" s="4">
        <v>45600</v>
      </c>
      <c r="R1451" s="9">
        <v>0.34113425925925928</v>
      </c>
      <c r="S1451" s="8">
        <v>16</v>
      </c>
      <c r="T1451" s="7" t="s">
        <v>4457</v>
      </c>
      <c r="U1451" s="7" t="s">
        <v>4458</v>
      </c>
      <c r="V14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52" spans="1:22" x14ac:dyDescent="0.35">
      <c r="A1452" s="7" t="s">
        <v>3232</v>
      </c>
      <c r="B1452" s="7" t="s">
        <v>764</v>
      </c>
      <c r="C1452" s="5">
        <v>78.77</v>
      </c>
      <c r="D1452" s="2">
        <v>0.77568287037138361</v>
      </c>
      <c r="E1452" s="4">
        <v>45054</v>
      </c>
      <c r="F1452" s="7" t="s">
        <v>46</v>
      </c>
      <c r="G1452" s="7" t="s">
        <v>146</v>
      </c>
      <c r="H1452" s="7" t="s">
        <v>810</v>
      </c>
      <c r="I1452" s="7" t="s">
        <v>1772</v>
      </c>
      <c r="J1452" s="7" t="s">
        <v>674</v>
      </c>
      <c r="K1452" s="7" t="s">
        <v>22</v>
      </c>
      <c r="L1452" s="8">
        <v>48</v>
      </c>
      <c r="M1452" s="7" t="s">
        <v>77</v>
      </c>
      <c r="N1452" s="8">
        <v>50</v>
      </c>
      <c r="O1452" s="8">
        <v>1</v>
      </c>
      <c r="P1452" s="5">
        <v>6470.57</v>
      </c>
      <c r="Q1452" s="4">
        <v>45600</v>
      </c>
      <c r="R1452" s="9">
        <v>0.33797453703703706</v>
      </c>
      <c r="S1452" s="8">
        <v>18</v>
      </c>
      <c r="T1452" s="7" t="s">
        <v>4457</v>
      </c>
      <c r="U1452" s="7" t="s">
        <v>4455</v>
      </c>
      <c r="V14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53" spans="1:22" x14ac:dyDescent="0.35">
      <c r="A1453" s="7" t="s">
        <v>3233</v>
      </c>
      <c r="B1453" s="7" t="s">
        <v>367</v>
      </c>
      <c r="C1453" s="5">
        <v>26.5</v>
      </c>
      <c r="D1453" s="2">
        <v>0.6965162037013215</v>
      </c>
      <c r="E1453" s="4">
        <v>44965</v>
      </c>
      <c r="F1453" s="7" t="s">
        <v>17</v>
      </c>
      <c r="G1453" s="7" t="s">
        <v>65</v>
      </c>
      <c r="H1453" s="7" t="s">
        <v>1640</v>
      </c>
      <c r="I1453" s="7" t="s">
        <v>347</v>
      </c>
      <c r="J1453" s="7" t="s">
        <v>370</v>
      </c>
      <c r="K1453" s="7" t="s">
        <v>36</v>
      </c>
      <c r="L1453" s="8">
        <v>48</v>
      </c>
      <c r="M1453" s="7" t="s">
        <v>77</v>
      </c>
      <c r="N1453" s="8">
        <v>179</v>
      </c>
      <c r="O1453" s="8">
        <v>1</v>
      </c>
      <c r="P1453" s="5">
        <v>4854.83</v>
      </c>
      <c r="Q1453" s="4">
        <v>45600</v>
      </c>
      <c r="R1453" s="9">
        <v>0.33847222222222223</v>
      </c>
      <c r="S1453" s="8">
        <v>16</v>
      </c>
      <c r="T1453" s="7" t="s">
        <v>4457</v>
      </c>
      <c r="U1453" s="7" t="s">
        <v>4455</v>
      </c>
      <c r="V14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54" spans="1:22" x14ac:dyDescent="0.35">
      <c r="A1454" s="7" t="s">
        <v>3234</v>
      </c>
      <c r="B1454" s="7" t="s">
        <v>729</v>
      </c>
      <c r="C1454" s="5">
        <v>83.62</v>
      </c>
      <c r="D1454" s="2">
        <v>0.72093750000203727</v>
      </c>
      <c r="E1454" s="4">
        <v>45099</v>
      </c>
      <c r="F1454" s="7" t="s">
        <v>17</v>
      </c>
      <c r="G1454" s="7" t="s">
        <v>40</v>
      </c>
      <c r="H1454" s="7" t="s">
        <v>2116</v>
      </c>
      <c r="I1454" s="7" t="s">
        <v>3235</v>
      </c>
      <c r="J1454" s="7" t="s">
        <v>853</v>
      </c>
      <c r="K1454" s="7" t="s">
        <v>22</v>
      </c>
      <c r="L1454" s="8">
        <v>48</v>
      </c>
      <c r="M1454" s="7" t="s">
        <v>23</v>
      </c>
      <c r="N1454" s="8">
        <v>146</v>
      </c>
      <c r="O1454" s="8">
        <v>1</v>
      </c>
      <c r="P1454" s="5">
        <v>12652.22</v>
      </c>
      <c r="Q1454" s="4">
        <v>45600</v>
      </c>
      <c r="R1454" s="9">
        <v>0.34173611111111113</v>
      </c>
      <c r="S1454" s="8">
        <v>17</v>
      </c>
      <c r="T1454" s="7" t="s">
        <v>4457</v>
      </c>
      <c r="U1454" s="7" t="s">
        <v>4455</v>
      </c>
      <c r="V14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55" spans="1:22" x14ac:dyDescent="0.35">
      <c r="A1455" s="7" t="s">
        <v>3236</v>
      </c>
      <c r="B1455" s="7" t="s">
        <v>1617</v>
      </c>
      <c r="C1455" s="5">
        <v>142.78</v>
      </c>
      <c r="D1455" s="2">
        <v>0.69504629629955161</v>
      </c>
      <c r="E1455" s="4">
        <v>45055</v>
      </c>
      <c r="F1455" s="7" t="s">
        <v>17</v>
      </c>
      <c r="G1455" s="7" t="s">
        <v>18</v>
      </c>
      <c r="H1455" s="7" t="s">
        <v>2282</v>
      </c>
      <c r="I1455" s="7" t="s">
        <v>2555</v>
      </c>
      <c r="J1455" s="7" t="s">
        <v>1037</v>
      </c>
      <c r="K1455" s="7" t="s">
        <v>69</v>
      </c>
      <c r="L1455" s="8">
        <v>68</v>
      </c>
      <c r="M1455" s="7" t="s">
        <v>23</v>
      </c>
      <c r="N1455" s="8">
        <v>150</v>
      </c>
      <c r="O1455" s="8">
        <v>1</v>
      </c>
      <c r="P1455" s="5">
        <v>11705.88</v>
      </c>
      <c r="Q1455" s="4">
        <v>45600</v>
      </c>
      <c r="R1455" s="9">
        <v>0.34192129629629631</v>
      </c>
      <c r="S1455" s="8">
        <v>16</v>
      </c>
      <c r="T1455" s="7" t="s">
        <v>4454</v>
      </c>
      <c r="U1455" s="7" t="s">
        <v>4455</v>
      </c>
      <c r="V14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56" spans="1:22" x14ac:dyDescent="0.35">
      <c r="A1456" s="7" t="s">
        <v>3237</v>
      </c>
      <c r="B1456" s="7" t="s">
        <v>3238</v>
      </c>
      <c r="C1456" s="5">
        <v>55.99</v>
      </c>
      <c r="D1456" s="2">
        <v>0.67805555555241881</v>
      </c>
      <c r="E1456" s="4">
        <v>45243</v>
      </c>
      <c r="F1456" s="7" t="s">
        <v>17</v>
      </c>
      <c r="G1456" s="7" t="s">
        <v>506</v>
      </c>
      <c r="H1456" s="7" t="s">
        <v>3239</v>
      </c>
      <c r="I1456" s="7" t="s">
        <v>34</v>
      </c>
      <c r="J1456" s="7" t="s">
        <v>980</v>
      </c>
      <c r="K1456" s="7" t="s">
        <v>22</v>
      </c>
      <c r="L1456" s="8">
        <v>35</v>
      </c>
      <c r="M1456" s="7" t="s">
        <v>23</v>
      </c>
      <c r="N1456" s="8">
        <v>95</v>
      </c>
      <c r="O1456" s="8">
        <v>1</v>
      </c>
      <c r="P1456" s="5">
        <v>932.61</v>
      </c>
      <c r="Q1456" s="4">
        <v>45600</v>
      </c>
      <c r="R1456" s="9">
        <v>0.33842592592592591</v>
      </c>
      <c r="S1456" s="8">
        <v>16</v>
      </c>
      <c r="T1456" s="7" t="s">
        <v>4457</v>
      </c>
      <c r="U1456" s="7" t="s">
        <v>4455</v>
      </c>
      <c r="V14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57" spans="1:22" x14ac:dyDescent="0.35">
      <c r="A1457" s="7" t="s">
        <v>3240</v>
      </c>
      <c r="B1457" s="7" t="s">
        <v>3241</v>
      </c>
      <c r="C1457" s="5">
        <v>774.48</v>
      </c>
      <c r="D1457" s="2">
        <v>0.67552083333430346</v>
      </c>
      <c r="E1457" s="4">
        <v>44991</v>
      </c>
      <c r="F1457" s="7" t="s">
        <v>17</v>
      </c>
      <c r="G1457" s="7" t="s">
        <v>108</v>
      </c>
      <c r="H1457" s="7" t="s">
        <v>338</v>
      </c>
      <c r="I1457" s="7" t="s">
        <v>1411</v>
      </c>
      <c r="J1457" s="7" t="s">
        <v>759</v>
      </c>
      <c r="K1457" s="7" t="s">
        <v>69</v>
      </c>
      <c r="L1457" s="8">
        <v>61</v>
      </c>
      <c r="M1457" s="7" t="s">
        <v>23</v>
      </c>
      <c r="N1457" s="8">
        <v>31</v>
      </c>
      <c r="O1457" s="8">
        <v>1</v>
      </c>
      <c r="P1457" s="5">
        <v>11613.58</v>
      </c>
      <c r="Q1457" s="4">
        <v>45600</v>
      </c>
      <c r="R1457" s="9">
        <v>0.33927083333333335</v>
      </c>
      <c r="S1457" s="8">
        <v>16</v>
      </c>
      <c r="T1457" s="7" t="s">
        <v>4454</v>
      </c>
      <c r="U1457" s="7" t="s">
        <v>4455</v>
      </c>
      <c r="V14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58" spans="1:22" x14ac:dyDescent="0.35">
      <c r="A1458" s="7" t="s">
        <v>3242</v>
      </c>
      <c r="B1458" s="7" t="s">
        <v>2128</v>
      </c>
      <c r="C1458" s="5">
        <v>105.37</v>
      </c>
      <c r="D1458" s="2">
        <v>0.77175925925985212</v>
      </c>
      <c r="E1458" s="4">
        <v>45057</v>
      </c>
      <c r="F1458" s="7" t="s">
        <v>17</v>
      </c>
      <c r="G1458" s="7" t="s">
        <v>285</v>
      </c>
      <c r="H1458" s="7" t="s">
        <v>772</v>
      </c>
      <c r="I1458" s="7" t="s">
        <v>1104</v>
      </c>
      <c r="J1458" s="7" t="s">
        <v>169</v>
      </c>
      <c r="K1458" s="7" t="s">
        <v>22</v>
      </c>
      <c r="L1458" s="8">
        <v>25</v>
      </c>
      <c r="M1458" s="7" t="s">
        <v>37</v>
      </c>
      <c r="N1458" s="8">
        <v>160</v>
      </c>
      <c r="O1458" s="8">
        <v>1</v>
      </c>
      <c r="P1458" s="5">
        <v>1068.55</v>
      </c>
      <c r="Q1458" s="4">
        <v>45600</v>
      </c>
      <c r="R1458" s="9">
        <v>0.34009259259259261</v>
      </c>
      <c r="S1458" s="8">
        <v>18</v>
      </c>
      <c r="T1458" s="7" t="s">
        <v>4456</v>
      </c>
      <c r="U1458" s="7" t="s">
        <v>4455</v>
      </c>
      <c r="V14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59" spans="1:22" x14ac:dyDescent="0.35">
      <c r="A1459" s="7" t="s">
        <v>3243</v>
      </c>
      <c r="B1459" s="7" t="s">
        <v>1612</v>
      </c>
      <c r="C1459" s="5">
        <v>118.83</v>
      </c>
      <c r="D1459" s="2">
        <v>0.67390046296350192</v>
      </c>
      <c r="E1459" s="4">
        <v>45103</v>
      </c>
      <c r="F1459" s="7" t="s">
        <v>17</v>
      </c>
      <c r="G1459" s="7" t="s">
        <v>301</v>
      </c>
      <c r="H1459" s="7" t="s">
        <v>502</v>
      </c>
      <c r="I1459" s="7" t="s">
        <v>1589</v>
      </c>
      <c r="J1459" s="7" t="s">
        <v>137</v>
      </c>
      <c r="K1459" s="7" t="s">
        <v>36</v>
      </c>
      <c r="L1459" s="8">
        <v>28</v>
      </c>
      <c r="M1459" s="7" t="s">
        <v>37</v>
      </c>
      <c r="N1459" s="8">
        <v>295</v>
      </c>
      <c r="O1459" s="8">
        <v>1</v>
      </c>
      <c r="P1459" s="5">
        <v>1616.3</v>
      </c>
      <c r="Q1459" s="4">
        <v>45600</v>
      </c>
      <c r="R1459" s="9">
        <v>0.33921296296296294</v>
      </c>
      <c r="S1459" s="8">
        <v>16</v>
      </c>
      <c r="T1459" s="7" t="s">
        <v>4456</v>
      </c>
      <c r="U1459" s="7" t="s">
        <v>4455</v>
      </c>
      <c r="V14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0" spans="1:22" x14ac:dyDescent="0.35">
      <c r="A1460" s="7" t="s">
        <v>3244</v>
      </c>
      <c r="B1460" s="7" t="s">
        <v>380</v>
      </c>
      <c r="C1460" s="5">
        <v>46.22</v>
      </c>
      <c r="D1460" s="2">
        <v>0.695243055553874</v>
      </c>
      <c r="E1460" s="4">
        <v>45243</v>
      </c>
      <c r="F1460" s="7" t="s">
        <v>17</v>
      </c>
      <c r="G1460" s="7" t="s">
        <v>223</v>
      </c>
      <c r="H1460" s="7" t="s">
        <v>2270</v>
      </c>
      <c r="I1460" s="7" t="s">
        <v>2206</v>
      </c>
      <c r="J1460" s="7" t="s">
        <v>474</v>
      </c>
      <c r="K1460" s="7" t="s">
        <v>69</v>
      </c>
      <c r="L1460" s="8">
        <v>23</v>
      </c>
      <c r="M1460" s="7" t="s">
        <v>37</v>
      </c>
      <c r="N1460" s="8">
        <v>217</v>
      </c>
      <c r="O1460" s="8">
        <v>1</v>
      </c>
      <c r="P1460" s="5">
        <v>471.28</v>
      </c>
      <c r="Q1460" s="4">
        <v>45600</v>
      </c>
      <c r="R1460" s="9">
        <v>0.33957175925925925</v>
      </c>
      <c r="S1460" s="8">
        <v>16</v>
      </c>
      <c r="T1460" s="7" t="s">
        <v>4456</v>
      </c>
      <c r="U1460" s="7" t="s">
        <v>4455</v>
      </c>
      <c r="V14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1" spans="1:22" x14ac:dyDescent="0.35">
      <c r="A1461" s="7" t="s">
        <v>3245</v>
      </c>
      <c r="B1461" s="7" t="s">
        <v>367</v>
      </c>
      <c r="C1461" s="5">
        <v>659.71</v>
      </c>
      <c r="D1461" s="2">
        <v>0.67388888888672227</v>
      </c>
      <c r="E1461" s="4">
        <v>45051</v>
      </c>
      <c r="F1461" s="7" t="s">
        <v>46</v>
      </c>
      <c r="G1461" s="7" t="s">
        <v>223</v>
      </c>
      <c r="H1461" s="7" t="s">
        <v>1328</v>
      </c>
      <c r="I1461" s="7" t="s">
        <v>1195</v>
      </c>
      <c r="J1461" s="7" t="s">
        <v>29</v>
      </c>
      <c r="K1461" s="7" t="s">
        <v>69</v>
      </c>
      <c r="L1461" s="8">
        <v>21</v>
      </c>
      <c r="M1461" s="7" t="s">
        <v>37</v>
      </c>
      <c r="N1461" s="8">
        <v>148</v>
      </c>
      <c r="O1461" s="8">
        <v>1</v>
      </c>
      <c r="P1461" s="5">
        <v>106.86</v>
      </c>
      <c r="Q1461" s="4">
        <v>45600</v>
      </c>
      <c r="R1461" s="9">
        <v>0.3399537037037037</v>
      </c>
      <c r="S1461" s="8">
        <v>16</v>
      </c>
      <c r="T1461" s="7" t="s">
        <v>4456</v>
      </c>
      <c r="U1461" s="7" t="s">
        <v>4455</v>
      </c>
      <c r="V14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2" spans="1:22" x14ac:dyDescent="0.35">
      <c r="A1462" s="7" t="s">
        <v>3246</v>
      </c>
      <c r="B1462" s="7" t="s">
        <v>540</v>
      </c>
      <c r="C1462" s="5">
        <v>377.97</v>
      </c>
      <c r="D1462" s="2">
        <v>0.70148148148291511</v>
      </c>
      <c r="E1462" s="4">
        <v>45247</v>
      </c>
      <c r="F1462" s="7" t="s">
        <v>17</v>
      </c>
      <c r="G1462" s="7" t="s">
        <v>172</v>
      </c>
      <c r="H1462" s="7" t="s">
        <v>1645</v>
      </c>
      <c r="I1462" s="7" t="s">
        <v>646</v>
      </c>
      <c r="J1462" s="7" t="s">
        <v>165</v>
      </c>
      <c r="K1462" s="7" t="s">
        <v>36</v>
      </c>
      <c r="L1462" s="8">
        <v>72</v>
      </c>
      <c r="M1462" s="7" t="s">
        <v>70</v>
      </c>
      <c r="N1462" s="8">
        <v>160</v>
      </c>
      <c r="O1462" s="8">
        <v>1</v>
      </c>
      <c r="P1462" s="5">
        <v>2457.1</v>
      </c>
      <c r="Q1462" s="4">
        <v>45600</v>
      </c>
      <c r="R1462" s="9">
        <v>0.3410185185185185</v>
      </c>
      <c r="S1462" s="8">
        <v>16</v>
      </c>
      <c r="T1462" s="7" t="s">
        <v>4454</v>
      </c>
      <c r="U1462" s="7" t="s">
        <v>4455</v>
      </c>
      <c r="V14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3" spans="1:22" x14ac:dyDescent="0.35">
      <c r="A1463" s="7" t="s">
        <v>3247</v>
      </c>
      <c r="B1463" s="7" t="s">
        <v>2648</v>
      </c>
      <c r="C1463" s="5">
        <v>114.1</v>
      </c>
      <c r="D1463" s="2">
        <v>0.739606481482042</v>
      </c>
      <c r="E1463" s="4">
        <v>45068</v>
      </c>
      <c r="F1463" s="7" t="s">
        <v>17</v>
      </c>
      <c r="G1463" s="7" t="s">
        <v>388</v>
      </c>
      <c r="H1463" s="7" t="s">
        <v>1671</v>
      </c>
      <c r="I1463" s="7" t="s">
        <v>3248</v>
      </c>
      <c r="J1463" s="7" t="s">
        <v>1209</v>
      </c>
      <c r="K1463" s="7" t="s">
        <v>69</v>
      </c>
      <c r="L1463" s="8">
        <v>69</v>
      </c>
      <c r="M1463" s="7" t="s">
        <v>70</v>
      </c>
      <c r="N1463" s="8">
        <v>148</v>
      </c>
      <c r="O1463" s="8">
        <v>1</v>
      </c>
      <c r="P1463" s="5">
        <v>5882.12</v>
      </c>
      <c r="Q1463" s="4">
        <v>45600</v>
      </c>
      <c r="R1463" s="9">
        <v>0.34119212962962964</v>
      </c>
      <c r="S1463" s="8">
        <v>17</v>
      </c>
      <c r="T1463" s="7" t="s">
        <v>4454</v>
      </c>
      <c r="U1463" s="7" t="s">
        <v>4455</v>
      </c>
      <c r="V14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64" spans="1:22" x14ac:dyDescent="0.35">
      <c r="A1464" s="7" t="s">
        <v>3249</v>
      </c>
      <c r="B1464" s="7" t="s">
        <v>1700</v>
      </c>
      <c r="C1464" s="5">
        <v>11.3</v>
      </c>
      <c r="D1464" s="2">
        <v>0.690081018517958</v>
      </c>
      <c r="E1464" s="4">
        <v>45261</v>
      </c>
      <c r="F1464" s="7" t="s">
        <v>46</v>
      </c>
      <c r="G1464" s="7" t="s">
        <v>108</v>
      </c>
      <c r="H1464" s="7" t="s">
        <v>499</v>
      </c>
      <c r="I1464" s="7" t="s">
        <v>824</v>
      </c>
      <c r="J1464" s="7" t="s">
        <v>252</v>
      </c>
      <c r="K1464" s="7" t="s">
        <v>36</v>
      </c>
      <c r="L1464" s="8">
        <v>55</v>
      </c>
      <c r="M1464" s="7" t="s">
        <v>70</v>
      </c>
      <c r="N1464" s="8">
        <v>41</v>
      </c>
      <c r="O1464" s="8">
        <v>1</v>
      </c>
      <c r="P1464" s="5">
        <v>1938.99</v>
      </c>
      <c r="Q1464" s="4">
        <v>45600</v>
      </c>
      <c r="R1464" s="9">
        <v>0.33987268518518521</v>
      </c>
      <c r="S1464" s="8">
        <v>16</v>
      </c>
      <c r="T1464" s="7" t="s">
        <v>4454</v>
      </c>
      <c r="U1464" s="7" t="s">
        <v>4455</v>
      </c>
      <c r="V14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5" spans="1:22" x14ac:dyDescent="0.35">
      <c r="A1465" s="7" t="s">
        <v>3250</v>
      </c>
      <c r="B1465" s="7" t="s">
        <v>3251</v>
      </c>
      <c r="C1465" s="5">
        <v>95.5</v>
      </c>
      <c r="D1465" s="2">
        <v>0.68335648148058681</v>
      </c>
      <c r="E1465" s="4">
        <v>45068</v>
      </c>
      <c r="F1465" s="7" t="s">
        <v>17</v>
      </c>
      <c r="G1465" s="7" t="s">
        <v>296</v>
      </c>
      <c r="H1465" s="7" t="s">
        <v>1891</v>
      </c>
      <c r="I1465" s="7" t="s">
        <v>793</v>
      </c>
      <c r="J1465" s="7" t="s">
        <v>1000</v>
      </c>
      <c r="K1465" s="7" t="s">
        <v>36</v>
      </c>
      <c r="L1465" s="8">
        <v>57</v>
      </c>
      <c r="M1465" s="7" t="s">
        <v>70</v>
      </c>
      <c r="N1465" s="8">
        <v>17</v>
      </c>
      <c r="O1465" s="8">
        <v>1</v>
      </c>
      <c r="P1465" s="5">
        <v>4079.09</v>
      </c>
      <c r="Q1465" s="4">
        <v>45600</v>
      </c>
      <c r="R1465" s="9">
        <v>0.33910879629629631</v>
      </c>
      <c r="S1465" s="8">
        <v>16</v>
      </c>
      <c r="T1465" s="7" t="s">
        <v>4454</v>
      </c>
      <c r="U1465" s="7" t="s">
        <v>4455</v>
      </c>
      <c r="V14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6" spans="1:22" x14ac:dyDescent="0.35">
      <c r="A1466" s="7" t="s">
        <v>3252</v>
      </c>
      <c r="B1466" s="7" t="s">
        <v>822</v>
      </c>
      <c r="C1466" s="5">
        <v>130.93</v>
      </c>
      <c r="D1466" s="2">
        <v>0.70288194444583496</v>
      </c>
      <c r="E1466" s="4">
        <v>44965</v>
      </c>
      <c r="F1466" s="7" t="s">
        <v>46</v>
      </c>
      <c r="G1466" s="7" t="s">
        <v>26</v>
      </c>
      <c r="H1466" s="7" t="s">
        <v>987</v>
      </c>
      <c r="I1466" s="7" t="s">
        <v>2044</v>
      </c>
      <c r="J1466" s="7" t="s">
        <v>885</v>
      </c>
      <c r="K1466" s="7" t="s">
        <v>69</v>
      </c>
      <c r="L1466" s="8">
        <v>28</v>
      </c>
      <c r="M1466" s="7" t="s">
        <v>77</v>
      </c>
      <c r="N1466" s="8">
        <v>149</v>
      </c>
      <c r="O1466" s="8">
        <v>1</v>
      </c>
      <c r="P1466" s="5">
        <v>860.12</v>
      </c>
      <c r="Q1466" s="4">
        <v>45600</v>
      </c>
      <c r="R1466" s="9">
        <v>0.34118055555555554</v>
      </c>
      <c r="S1466" s="8">
        <v>16</v>
      </c>
      <c r="T1466" s="7" t="s">
        <v>4456</v>
      </c>
      <c r="U1466" s="7" t="s">
        <v>4455</v>
      </c>
      <c r="V14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7" spans="1:22" x14ac:dyDescent="0.35">
      <c r="A1467" s="7" t="s">
        <v>3253</v>
      </c>
      <c r="B1467" s="7" t="s">
        <v>162</v>
      </c>
      <c r="C1467" s="5">
        <v>272.97000000000003</v>
      </c>
      <c r="D1467" s="2">
        <v>0.77921296295971842</v>
      </c>
      <c r="E1467" s="4">
        <v>45033</v>
      </c>
      <c r="F1467" s="7" t="s">
        <v>17</v>
      </c>
      <c r="G1467" s="7" t="s">
        <v>388</v>
      </c>
      <c r="H1467" s="7" t="s">
        <v>2270</v>
      </c>
      <c r="I1467" s="7" t="s">
        <v>3184</v>
      </c>
      <c r="J1467" s="7" t="s">
        <v>450</v>
      </c>
      <c r="K1467" s="7" t="s">
        <v>36</v>
      </c>
      <c r="L1467" s="8">
        <v>68</v>
      </c>
      <c r="M1467" s="7" t="s">
        <v>70</v>
      </c>
      <c r="N1467" s="8">
        <v>174</v>
      </c>
      <c r="O1467" s="8">
        <v>1</v>
      </c>
      <c r="P1467" s="5">
        <v>7811.31</v>
      </c>
      <c r="Q1467" s="4">
        <v>45600</v>
      </c>
      <c r="R1467" s="9">
        <v>0.3409490740740741</v>
      </c>
      <c r="S1467" s="8">
        <v>18</v>
      </c>
      <c r="T1467" s="7" t="s">
        <v>4454</v>
      </c>
      <c r="U1467" s="7" t="s">
        <v>4455</v>
      </c>
      <c r="V14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68" spans="1:22" x14ac:dyDescent="0.35">
      <c r="A1468" s="7" t="s">
        <v>3254</v>
      </c>
      <c r="B1468" s="7" t="s">
        <v>3241</v>
      </c>
      <c r="C1468" s="5">
        <v>73.349999999999994</v>
      </c>
      <c r="D1468" s="2">
        <v>0.690150462964084</v>
      </c>
      <c r="E1468" s="4">
        <v>44998</v>
      </c>
      <c r="F1468" s="7" t="s">
        <v>17</v>
      </c>
      <c r="G1468" s="7" t="s">
        <v>212</v>
      </c>
      <c r="H1468" s="7" t="s">
        <v>3255</v>
      </c>
      <c r="I1468" s="7" t="s">
        <v>347</v>
      </c>
      <c r="J1468" s="7" t="s">
        <v>482</v>
      </c>
      <c r="K1468" s="7" t="s">
        <v>69</v>
      </c>
      <c r="L1468" s="8">
        <v>24</v>
      </c>
      <c r="M1468" s="7" t="s">
        <v>37</v>
      </c>
      <c r="N1468" s="8">
        <v>47</v>
      </c>
      <c r="O1468" s="8">
        <v>1</v>
      </c>
      <c r="P1468" s="5">
        <v>1181.8399999999999</v>
      </c>
      <c r="Q1468" s="4">
        <v>45600</v>
      </c>
      <c r="R1468" s="9">
        <v>0.34024305555555556</v>
      </c>
      <c r="S1468" s="8">
        <v>16</v>
      </c>
      <c r="T1468" s="7" t="s">
        <v>4456</v>
      </c>
      <c r="U1468" s="7" t="s">
        <v>4455</v>
      </c>
      <c r="V14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69" spans="1:22" x14ac:dyDescent="0.35">
      <c r="A1469" s="7" t="s">
        <v>3256</v>
      </c>
      <c r="B1469" s="7" t="s">
        <v>2481</v>
      </c>
      <c r="C1469" s="5">
        <v>29.94</v>
      </c>
      <c r="D1469" s="2">
        <v>0.68203703704057261</v>
      </c>
      <c r="E1469" s="4">
        <v>45212</v>
      </c>
      <c r="F1469" s="7" t="s">
        <v>17</v>
      </c>
      <c r="G1469" s="7" t="s">
        <v>212</v>
      </c>
      <c r="H1469" s="7" t="s">
        <v>566</v>
      </c>
      <c r="I1469" s="7" t="s">
        <v>1686</v>
      </c>
      <c r="J1469" s="7" t="s">
        <v>370</v>
      </c>
      <c r="K1469" s="7" t="s">
        <v>22</v>
      </c>
      <c r="L1469" s="8">
        <v>58</v>
      </c>
      <c r="M1469" s="7" t="s">
        <v>23</v>
      </c>
      <c r="N1469" s="8">
        <v>243</v>
      </c>
      <c r="O1469" s="8">
        <v>1</v>
      </c>
      <c r="P1469" s="5">
        <v>10915.54</v>
      </c>
      <c r="Q1469" s="4">
        <v>45600</v>
      </c>
      <c r="R1469" s="9">
        <v>0.34167824074074077</v>
      </c>
      <c r="S1469" s="8">
        <v>16</v>
      </c>
      <c r="T1469" s="7" t="s">
        <v>4454</v>
      </c>
      <c r="U1469" s="7" t="s">
        <v>4455</v>
      </c>
      <c r="V14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70" spans="1:22" x14ac:dyDescent="0.35">
      <c r="A1470" s="7" t="s">
        <v>3257</v>
      </c>
      <c r="B1470" s="7" t="s">
        <v>550</v>
      </c>
      <c r="C1470" s="5">
        <v>307.24</v>
      </c>
      <c r="D1470" s="2">
        <v>0.6707060185217415</v>
      </c>
      <c r="E1470" s="4">
        <v>45232</v>
      </c>
      <c r="F1470" s="7" t="s">
        <v>17</v>
      </c>
      <c r="G1470" s="7" t="s">
        <v>223</v>
      </c>
      <c r="H1470" s="7" t="s">
        <v>2063</v>
      </c>
      <c r="I1470" s="7" t="s">
        <v>1768</v>
      </c>
      <c r="J1470" s="7" t="s">
        <v>1287</v>
      </c>
      <c r="K1470" s="7" t="s">
        <v>22</v>
      </c>
      <c r="L1470" s="8">
        <v>19</v>
      </c>
      <c r="M1470" s="7" t="s">
        <v>37</v>
      </c>
      <c r="N1470" s="8">
        <v>136</v>
      </c>
      <c r="O1470" s="8">
        <v>2</v>
      </c>
      <c r="P1470" s="5">
        <v>1670.72</v>
      </c>
      <c r="Q1470" s="4">
        <v>45600</v>
      </c>
      <c r="R1470" s="9">
        <v>0.34016203703703701</v>
      </c>
      <c r="S1470" s="8">
        <v>16</v>
      </c>
      <c r="T1470" s="7" t="s">
        <v>4456</v>
      </c>
      <c r="U1470" s="7" t="s">
        <v>4458</v>
      </c>
      <c r="V14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71" spans="1:22" x14ac:dyDescent="0.35">
      <c r="A1471" s="7" t="s">
        <v>3258</v>
      </c>
      <c r="B1471" s="7" t="s">
        <v>704</v>
      </c>
      <c r="C1471" s="5">
        <v>50.52</v>
      </c>
      <c r="D1471" s="2">
        <v>0.68725694444583496</v>
      </c>
      <c r="E1471" s="4">
        <v>45215</v>
      </c>
      <c r="F1471" s="7" t="s">
        <v>17</v>
      </c>
      <c r="G1471" s="7" t="s">
        <v>388</v>
      </c>
      <c r="H1471" s="7" t="s">
        <v>2355</v>
      </c>
      <c r="I1471" s="7" t="s">
        <v>1689</v>
      </c>
      <c r="J1471" s="7" t="s">
        <v>175</v>
      </c>
      <c r="K1471" s="7" t="s">
        <v>36</v>
      </c>
      <c r="L1471" s="8">
        <v>20</v>
      </c>
      <c r="M1471" s="7" t="s">
        <v>37</v>
      </c>
      <c r="N1471" s="8">
        <v>140</v>
      </c>
      <c r="O1471" s="8">
        <v>1</v>
      </c>
      <c r="P1471" s="5">
        <v>1121.19</v>
      </c>
      <c r="Q1471" s="4">
        <v>45600</v>
      </c>
      <c r="R1471" s="9">
        <v>0.3397222222222222</v>
      </c>
      <c r="S1471" s="8">
        <v>16</v>
      </c>
      <c r="T1471" s="7" t="s">
        <v>4456</v>
      </c>
      <c r="U1471" s="7" t="s">
        <v>4455</v>
      </c>
      <c r="V14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72" spans="1:22" x14ac:dyDescent="0.35">
      <c r="A1472" s="7" t="s">
        <v>3259</v>
      </c>
      <c r="B1472" s="7" t="s">
        <v>2671</v>
      </c>
      <c r="C1472" s="5">
        <v>820.46</v>
      </c>
      <c r="D1472" s="2">
        <v>0.68250000000261934</v>
      </c>
      <c r="E1472" s="4">
        <v>45019</v>
      </c>
      <c r="F1472" s="7" t="s">
        <v>46</v>
      </c>
      <c r="G1472" s="7" t="s">
        <v>157</v>
      </c>
      <c r="H1472" s="7" t="s">
        <v>2302</v>
      </c>
      <c r="I1472" s="7" t="s">
        <v>1092</v>
      </c>
      <c r="J1472" s="7" t="s">
        <v>576</v>
      </c>
      <c r="K1472" s="7" t="s">
        <v>36</v>
      </c>
      <c r="L1472" s="8">
        <v>53</v>
      </c>
      <c r="M1472" s="7" t="s">
        <v>77</v>
      </c>
      <c r="N1472" s="8">
        <v>243</v>
      </c>
      <c r="O1472" s="8">
        <v>1</v>
      </c>
      <c r="P1472" s="5">
        <v>5621.86</v>
      </c>
      <c r="Q1472" s="4">
        <v>45600</v>
      </c>
      <c r="R1472" s="9">
        <v>0.34054398148148146</v>
      </c>
      <c r="S1472" s="8">
        <v>16</v>
      </c>
      <c r="T1472" s="7" t="s">
        <v>4457</v>
      </c>
      <c r="U1472" s="7" t="s">
        <v>4455</v>
      </c>
      <c r="V14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73" spans="1:22" x14ac:dyDescent="0.35">
      <c r="A1473" s="7" t="s">
        <v>3260</v>
      </c>
      <c r="B1473" s="7" t="s">
        <v>3078</v>
      </c>
      <c r="C1473" s="5">
        <v>153.07</v>
      </c>
      <c r="D1473" s="2">
        <v>0.77635416666453239</v>
      </c>
      <c r="E1473" s="4">
        <v>45019</v>
      </c>
      <c r="F1473" s="7" t="s">
        <v>17</v>
      </c>
      <c r="G1473" s="7" t="s">
        <v>73</v>
      </c>
      <c r="H1473" s="7" t="s">
        <v>823</v>
      </c>
      <c r="I1473" s="7" t="s">
        <v>67</v>
      </c>
      <c r="J1473" s="7" t="s">
        <v>639</v>
      </c>
      <c r="K1473" s="7" t="s">
        <v>22</v>
      </c>
      <c r="L1473" s="8">
        <v>56</v>
      </c>
      <c r="M1473" s="7" t="s">
        <v>77</v>
      </c>
      <c r="N1473" s="8">
        <v>116</v>
      </c>
      <c r="O1473" s="8">
        <v>1</v>
      </c>
      <c r="P1473" s="5">
        <v>8873.43</v>
      </c>
      <c r="Q1473" s="4">
        <v>45600</v>
      </c>
      <c r="R1473" s="9">
        <v>0.34173611111111113</v>
      </c>
      <c r="S1473" s="8">
        <v>18</v>
      </c>
      <c r="T1473" s="7" t="s">
        <v>4454</v>
      </c>
      <c r="U1473" s="7" t="s">
        <v>4455</v>
      </c>
      <c r="V14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74" spans="1:22" x14ac:dyDescent="0.35">
      <c r="A1474" s="7" t="s">
        <v>3261</v>
      </c>
      <c r="B1474" s="7" t="s">
        <v>452</v>
      </c>
      <c r="C1474" s="5">
        <v>52.94</v>
      </c>
      <c r="D1474" s="2">
        <v>0.73362268518394558</v>
      </c>
      <c r="E1474" s="4">
        <v>45089</v>
      </c>
      <c r="F1474" s="7" t="s">
        <v>17</v>
      </c>
      <c r="G1474" s="7" t="s">
        <v>255</v>
      </c>
      <c r="H1474" s="7" t="s">
        <v>1543</v>
      </c>
      <c r="I1474" s="7" t="s">
        <v>575</v>
      </c>
      <c r="J1474" s="7" t="s">
        <v>29</v>
      </c>
      <c r="K1474" s="7" t="s">
        <v>69</v>
      </c>
      <c r="L1474" s="8">
        <v>41</v>
      </c>
      <c r="M1474" s="7" t="s">
        <v>23</v>
      </c>
      <c r="N1474" s="8">
        <v>146</v>
      </c>
      <c r="O1474" s="8">
        <v>1</v>
      </c>
      <c r="P1474" s="5">
        <v>6990.92</v>
      </c>
      <c r="Q1474" s="4">
        <v>45600</v>
      </c>
      <c r="R1474" s="9">
        <v>0.34106481481481482</v>
      </c>
      <c r="S1474" s="8">
        <v>17</v>
      </c>
      <c r="T1474" s="7" t="s">
        <v>4457</v>
      </c>
      <c r="U1474" s="7" t="s">
        <v>4455</v>
      </c>
      <c r="V14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75" spans="1:22" x14ac:dyDescent="0.35">
      <c r="A1475" s="7" t="s">
        <v>3262</v>
      </c>
      <c r="B1475" s="7" t="s">
        <v>1814</v>
      </c>
      <c r="C1475" s="5">
        <v>384.41</v>
      </c>
      <c r="D1475" s="2">
        <v>0.70380787036992842</v>
      </c>
      <c r="E1475" s="4">
        <v>45033</v>
      </c>
      <c r="F1475" s="7" t="s">
        <v>17</v>
      </c>
      <c r="G1475" s="7" t="s">
        <v>392</v>
      </c>
      <c r="H1475" s="7" t="s">
        <v>3263</v>
      </c>
      <c r="I1475" s="7" t="s">
        <v>2751</v>
      </c>
      <c r="J1475" s="7" t="s">
        <v>482</v>
      </c>
      <c r="K1475" s="7" t="s">
        <v>22</v>
      </c>
      <c r="L1475" s="8">
        <v>60</v>
      </c>
      <c r="M1475" s="7" t="s">
        <v>77</v>
      </c>
      <c r="N1475" s="8">
        <v>65</v>
      </c>
      <c r="O1475" s="8">
        <v>1</v>
      </c>
      <c r="P1475" s="5">
        <v>7831.56</v>
      </c>
      <c r="Q1475" s="4">
        <v>45600</v>
      </c>
      <c r="R1475" s="9">
        <v>0.34042824074074074</v>
      </c>
      <c r="S1475" s="8">
        <v>16</v>
      </c>
      <c r="T1475" s="7" t="s">
        <v>4454</v>
      </c>
      <c r="U1475" s="7" t="s">
        <v>4455</v>
      </c>
      <c r="V14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76" spans="1:22" x14ac:dyDescent="0.35">
      <c r="A1476" s="7" t="s">
        <v>3264</v>
      </c>
      <c r="B1476" s="7" t="s">
        <v>2297</v>
      </c>
      <c r="C1476" s="5">
        <v>235.42</v>
      </c>
      <c r="D1476" s="2">
        <v>0.77386574073898373</v>
      </c>
      <c r="E1476" s="4">
        <v>45117</v>
      </c>
      <c r="F1476" s="7" t="s">
        <v>17</v>
      </c>
      <c r="G1476" s="7" t="s">
        <v>425</v>
      </c>
      <c r="H1476" s="7" t="s">
        <v>786</v>
      </c>
      <c r="I1476" s="7" t="s">
        <v>2346</v>
      </c>
      <c r="J1476" s="7" t="s">
        <v>406</v>
      </c>
      <c r="K1476" s="7" t="s">
        <v>69</v>
      </c>
      <c r="L1476" s="8">
        <v>51</v>
      </c>
      <c r="M1476" s="7" t="s">
        <v>70</v>
      </c>
      <c r="N1476" s="8">
        <v>175</v>
      </c>
      <c r="O1476" s="8">
        <v>1</v>
      </c>
      <c r="P1476" s="5">
        <v>6173.23</v>
      </c>
      <c r="Q1476" s="4">
        <v>45600</v>
      </c>
      <c r="R1476" s="9">
        <v>0.34104166666666669</v>
      </c>
      <c r="S1476" s="8">
        <v>18</v>
      </c>
      <c r="T1476" s="7" t="s">
        <v>4457</v>
      </c>
      <c r="U1476" s="7" t="s">
        <v>4455</v>
      </c>
      <c r="V14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77" spans="1:22" x14ac:dyDescent="0.35">
      <c r="A1477" s="7" t="s">
        <v>3265</v>
      </c>
      <c r="B1477" s="7" t="s">
        <v>1457</v>
      </c>
      <c r="C1477" s="5">
        <v>114.23</v>
      </c>
      <c r="D1477" s="2">
        <v>0.73321759259124519</v>
      </c>
      <c r="E1477" s="4">
        <v>45084</v>
      </c>
      <c r="F1477" s="7" t="s">
        <v>17</v>
      </c>
      <c r="G1477" s="7" t="s">
        <v>323</v>
      </c>
      <c r="H1477" s="7" t="s">
        <v>782</v>
      </c>
      <c r="I1477" s="7" t="s">
        <v>2254</v>
      </c>
      <c r="J1477" s="7" t="s">
        <v>548</v>
      </c>
      <c r="K1477" s="7" t="s">
        <v>22</v>
      </c>
      <c r="L1477" s="8">
        <v>56</v>
      </c>
      <c r="M1477" s="7" t="s">
        <v>23</v>
      </c>
      <c r="N1477" s="8">
        <v>64</v>
      </c>
      <c r="O1477" s="8">
        <v>1</v>
      </c>
      <c r="P1477" s="5">
        <v>9523.7199999999993</v>
      </c>
      <c r="Q1477" s="4">
        <v>45600</v>
      </c>
      <c r="R1477" s="9">
        <v>0.3379050925925926</v>
      </c>
      <c r="S1477" s="8">
        <v>17</v>
      </c>
      <c r="T1477" s="7" t="s">
        <v>4454</v>
      </c>
      <c r="U1477" s="7" t="s">
        <v>4455</v>
      </c>
      <c r="V14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78" spans="1:22" x14ac:dyDescent="0.35">
      <c r="A1478" s="7" t="s">
        <v>3266</v>
      </c>
      <c r="B1478" s="7" t="s">
        <v>139</v>
      </c>
      <c r="C1478" s="5">
        <v>12.62</v>
      </c>
      <c r="D1478" s="2">
        <v>0.69148148148087785</v>
      </c>
      <c r="E1478" s="4">
        <v>45051</v>
      </c>
      <c r="F1478" s="7" t="s">
        <v>17</v>
      </c>
      <c r="G1478" s="7" t="s">
        <v>506</v>
      </c>
      <c r="H1478" s="7" t="s">
        <v>2997</v>
      </c>
      <c r="I1478" s="7" t="s">
        <v>2838</v>
      </c>
      <c r="J1478" s="7" t="s">
        <v>1524</v>
      </c>
      <c r="K1478" s="7" t="s">
        <v>69</v>
      </c>
      <c r="L1478" s="8">
        <v>33</v>
      </c>
      <c r="M1478" s="7" t="s">
        <v>23</v>
      </c>
      <c r="N1478" s="8">
        <v>61</v>
      </c>
      <c r="O1478" s="8">
        <v>1</v>
      </c>
      <c r="P1478" s="5">
        <v>6420.47</v>
      </c>
      <c r="Q1478" s="4">
        <v>45600</v>
      </c>
      <c r="R1478" s="9">
        <v>0.33961805555555558</v>
      </c>
      <c r="S1478" s="8">
        <v>16</v>
      </c>
      <c r="T1478" s="7" t="s">
        <v>4456</v>
      </c>
      <c r="U1478" s="7" t="s">
        <v>4455</v>
      </c>
      <c r="V14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79" spans="1:22" x14ac:dyDescent="0.35">
      <c r="A1479" s="7" t="s">
        <v>3267</v>
      </c>
      <c r="B1479" s="7" t="s">
        <v>725</v>
      </c>
      <c r="C1479" s="5">
        <v>997.37</v>
      </c>
      <c r="D1479" s="2">
        <v>0.76667824073956581</v>
      </c>
      <c r="E1479" s="4">
        <v>45282</v>
      </c>
      <c r="F1479" s="7" t="s">
        <v>17</v>
      </c>
      <c r="G1479" s="7" t="s">
        <v>157</v>
      </c>
      <c r="H1479" s="7" t="s">
        <v>2022</v>
      </c>
      <c r="I1479" s="7" t="s">
        <v>1518</v>
      </c>
      <c r="J1479" s="7" t="s">
        <v>200</v>
      </c>
      <c r="K1479" s="7" t="s">
        <v>22</v>
      </c>
      <c r="L1479" s="8">
        <v>23</v>
      </c>
      <c r="M1479" s="7" t="s">
        <v>37</v>
      </c>
      <c r="N1479" s="8">
        <v>145</v>
      </c>
      <c r="O1479" s="8">
        <v>1</v>
      </c>
      <c r="P1479" s="5">
        <v>1146.0899999999999</v>
      </c>
      <c r="Q1479" s="4">
        <v>45600</v>
      </c>
      <c r="R1479" s="9">
        <v>0.33846064814814814</v>
      </c>
      <c r="S1479" s="8">
        <v>18</v>
      </c>
      <c r="T1479" s="7" t="s">
        <v>4456</v>
      </c>
      <c r="U1479" s="7" t="s">
        <v>4455</v>
      </c>
      <c r="V14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80" spans="1:22" x14ac:dyDescent="0.35">
      <c r="A1480" s="7" t="s">
        <v>3268</v>
      </c>
      <c r="B1480" s="7" t="s">
        <v>52</v>
      </c>
      <c r="C1480" s="5">
        <v>373.52</v>
      </c>
      <c r="D1480" s="2">
        <v>0.68290509259531973</v>
      </c>
      <c r="E1480" s="4">
        <v>45194</v>
      </c>
      <c r="F1480" s="7" t="s">
        <v>17</v>
      </c>
      <c r="G1480" s="7" t="s">
        <v>521</v>
      </c>
      <c r="H1480" s="7" t="s">
        <v>562</v>
      </c>
      <c r="I1480" s="7" t="s">
        <v>1830</v>
      </c>
      <c r="J1480" s="7" t="s">
        <v>607</v>
      </c>
      <c r="K1480" s="7" t="s">
        <v>22</v>
      </c>
      <c r="L1480" s="8">
        <v>35</v>
      </c>
      <c r="M1480" s="7" t="s">
        <v>77</v>
      </c>
      <c r="N1480" s="8">
        <v>235</v>
      </c>
      <c r="O1480" s="8">
        <v>1</v>
      </c>
      <c r="P1480" s="5">
        <v>6430.41</v>
      </c>
      <c r="Q1480" s="4">
        <v>45600</v>
      </c>
      <c r="R1480" s="9">
        <v>0.34115740740740741</v>
      </c>
      <c r="S1480" s="8">
        <v>16</v>
      </c>
      <c r="T1480" s="7" t="s">
        <v>4457</v>
      </c>
      <c r="U1480" s="7" t="s">
        <v>4455</v>
      </c>
      <c r="V14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81" spans="1:22" x14ac:dyDescent="0.35">
      <c r="A1481" s="7" t="s">
        <v>3269</v>
      </c>
      <c r="B1481" s="7" t="s">
        <v>3136</v>
      </c>
      <c r="C1481" s="5">
        <v>336.05</v>
      </c>
      <c r="D1481" s="2">
        <v>0.72104166666395031</v>
      </c>
      <c r="E1481" s="4">
        <v>45040</v>
      </c>
      <c r="F1481" s="7" t="s">
        <v>17</v>
      </c>
      <c r="G1481" s="7" t="s">
        <v>237</v>
      </c>
      <c r="H1481" s="7" t="s">
        <v>2447</v>
      </c>
      <c r="I1481" s="7" t="s">
        <v>1676</v>
      </c>
      <c r="J1481" s="7" t="s">
        <v>62</v>
      </c>
      <c r="K1481" s="7" t="s">
        <v>69</v>
      </c>
      <c r="L1481" s="8">
        <v>28</v>
      </c>
      <c r="M1481" s="7" t="s">
        <v>37</v>
      </c>
      <c r="N1481" s="8">
        <v>164</v>
      </c>
      <c r="O1481" s="8">
        <v>1</v>
      </c>
      <c r="P1481" s="5">
        <v>1635.05</v>
      </c>
      <c r="Q1481" s="4">
        <v>45600</v>
      </c>
      <c r="R1481" s="9">
        <v>0.34181712962962962</v>
      </c>
      <c r="S1481" s="8">
        <v>17</v>
      </c>
      <c r="T1481" s="7" t="s">
        <v>4456</v>
      </c>
      <c r="U1481" s="7" t="s">
        <v>4455</v>
      </c>
      <c r="V14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82" spans="1:22" x14ac:dyDescent="0.35">
      <c r="A1482" s="7" t="s">
        <v>3270</v>
      </c>
      <c r="B1482" s="7" t="s">
        <v>712</v>
      </c>
      <c r="C1482" s="5">
        <v>366.93</v>
      </c>
      <c r="D1482" s="2">
        <v>0.77986111111385981</v>
      </c>
      <c r="E1482" s="4">
        <v>45271</v>
      </c>
      <c r="F1482" s="7" t="s">
        <v>17</v>
      </c>
      <c r="G1482" s="7" t="s">
        <v>26</v>
      </c>
      <c r="H1482" s="7" t="s">
        <v>1633</v>
      </c>
      <c r="I1482" s="7" t="s">
        <v>655</v>
      </c>
      <c r="J1482" s="7" t="s">
        <v>303</v>
      </c>
      <c r="K1482" s="7" t="s">
        <v>36</v>
      </c>
      <c r="L1482" s="8">
        <v>66</v>
      </c>
      <c r="M1482" s="7" t="s">
        <v>70</v>
      </c>
      <c r="N1482" s="8">
        <v>33</v>
      </c>
      <c r="O1482" s="8">
        <v>1</v>
      </c>
      <c r="P1482" s="5">
        <v>6697.79</v>
      </c>
      <c r="Q1482" s="4">
        <v>45600</v>
      </c>
      <c r="R1482" s="9">
        <v>0.34135416666666668</v>
      </c>
      <c r="S1482" s="8">
        <v>18</v>
      </c>
      <c r="T1482" s="7" t="s">
        <v>4454</v>
      </c>
      <c r="U1482" s="7" t="s">
        <v>4455</v>
      </c>
      <c r="V14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83" spans="1:22" x14ac:dyDescent="0.35">
      <c r="A1483" s="7" t="s">
        <v>3271</v>
      </c>
      <c r="B1483" s="7" t="s">
        <v>498</v>
      </c>
      <c r="C1483" s="5">
        <v>112.27</v>
      </c>
      <c r="D1483" s="2">
        <v>0.73255787036760012</v>
      </c>
      <c r="E1483" s="4">
        <v>45218</v>
      </c>
      <c r="F1483" s="7" t="s">
        <v>17</v>
      </c>
      <c r="G1483" s="7" t="s">
        <v>59</v>
      </c>
      <c r="H1483" s="7" t="s">
        <v>74</v>
      </c>
      <c r="I1483" s="7" t="s">
        <v>1985</v>
      </c>
      <c r="J1483" s="7" t="s">
        <v>83</v>
      </c>
      <c r="K1483" s="7" t="s">
        <v>69</v>
      </c>
      <c r="L1483" s="8">
        <v>58</v>
      </c>
      <c r="M1483" s="7" t="s">
        <v>23</v>
      </c>
      <c r="N1483" s="8">
        <v>102</v>
      </c>
      <c r="O1483" s="8">
        <v>1</v>
      </c>
      <c r="P1483" s="5">
        <v>7369.89</v>
      </c>
      <c r="Q1483" s="4">
        <v>45600</v>
      </c>
      <c r="R1483" s="9">
        <v>0.3412384259259259</v>
      </c>
      <c r="S1483" s="8">
        <v>17</v>
      </c>
      <c r="T1483" s="7" t="s">
        <v>4454</v>
      </c>
      <c r="U1483" s="7" t="s">
        <v>4455</v>
      </c>
      <c r="V14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84" spans="1:22" x14ac:dyDescent="0.35">
      <c r="A1484" s="7" t="s">
        <v>3272</v>
      </c>
      <c r="B1484" s="7" t="s">
        <v>1612</v>
      </c>
      <c r="C1484" s="5">
        <v>494.96</v>
      </c>
      <c r="D1484" s="2">
        <v>0.69071759259531973</v>
      </c>
      <c r="E1484" s="4">
        <v>45016</v>
      </c>
      <c r="F1484" s="7" t="s">
        <v>17</v>
      </c>
      <c r="G1484" s="7" t="s">
        <v>285</v>
      </c>
      <c r="H1484" s="7" t="s">
        <v>1160</v>
      </c>
      <c r="I1484" s="7" t="s">
        <v>655</v>
      </c>
      <c r="J1484" s="7" t="s">
        <v>652</v>
      </c>
      <c r="K1484" s="7" t="s">
        <v>22</v>
      </c>
      <c r="L1484" s="8">
        <v>40</v>
      </c>
      <c r="M1484" s="7" t="s">
        <v>77</v>
      </c>
      <c r="N1484" s="8">
        <v>132</v>
      </c>
      <c r="O1484" s="8">
        <v>1</v>
      </c>
      <c r="P1484" s="5">
        <v>6903.68</v>
      </c>
      <c r="Q1484" s="4">
        <v>45600</v>
      </c>
      <c r="R1484" s="9">
        <v>0.33928240740740739</v>
      </c>
      <c r="S1484" s="8">
        <v>16</v>
      </c>
      <c r="T1484" s="7" t="s">
        <v>4457</v>
      </c>
      <c r="U1484" s="7" t="s">
        <v>4455</v>
      </c>
      <c r="V14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85" spans="1:22" x14ac:dyDescent="0.35">
      <c r="A1485" s="7" t="s">
        <v>3273</v>
      </c>
      <c r="B1485" s="7" t="s">
        <v>942</v>
      </c>
      <c r="C1485" s="5">
        <v>561.58000000000004</v>
      </c>
      <c r="D1485" s="2">
        <v>0.73502314814686542</v>
      </c>
      <c r="E1485" s="4">
        <v>45100</v>
      </c>
      <c r="F1485" s="7" t="s">
        <v>17</v>
      </c>
      <c r="G1485" s="7" t="s">
        <v>285</v>
      </c>
      <c r="H1485" s="7" t="s">
        <v>1594</v>
      </c>
      <c r="I1485" s="7" t="s">
        <v>3274</v>
      </c>
      <c r="J1485" s="7" t="s">
        <v>154</v>
      </c>
      <c r="K1485" s="7" t="s">
        <v>36</v>
      </c>
      <c r="L1485" s="8">
        <v>65</v>
      </c>
      <c r="M1485" s="7" t="s">
        <v>23</v>
      </c>
      <c r="N1485" s="8">
        <v>23</v>
      </c>
      <c r="O1485" s="8">
        <v>1</v>
      </c>
      <c r="P1485" s="5">
        <v>11748.86</v>
      </c>
      <c r="Q1485" s="4">
        <v>45600</v>
      </c>
      <c r="R1485" s="9">
        <v>0.33787037037037038</v>
      </c>
      <c r="S1485" s="8">
        <v>17</v>
      </c>
      <c r="T1485" s="7" t="s">
        <v>4454</v>
      </c>
      <c r="U1485" s="7" t="s">
        <v>4455</v>
      </c>
      <c r="V14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86" spans="1:22" x14ac:dyDescent="0.35">
      <c r="A1486" s="7" t="s">
        <v>3275</v>
      </c>
      <c r="B1486" s="7" t="s">
        <v>202</v>
      </c>
      <c r="C1486" s="5">
        <v>440.94</v>
      </c>
      <c r="D1486" s="2">
        <v>0.77670138888788642</v>
      </c>
      <c r="E1486" s="4">
        <v>45182</v>
      </c>
      <c r="F1486" s="7" t="s">
        <v>17</v>
      </c>
      <c r="G1486" s="7" t="s">
        <v>237</v>
      </c>
      <c r="H1486" s="7" t="s">
        <v>2318</v>
      </c>
      <c r="I1486" s="7" t="s">
        <v>1399</v>
      </c>
      <c r="J1486" s="7" t="s">
        <v>181</v>
      </c>
      <c r="K1486" s="7" t="s">
        <v>36</v>
      </c>
      <c r="L1486" s="8">
        <v>42</v>
      </c>
      <c r="M1486" s="7" t="s">
        <v>23</v>
      </c>
      <c r="N1486" s="8">
        <v>148</v>
      </c>
      <c r="O1486" s="8">
        <v>1</v>
      </c>
      <c r="P1486" s="5">
        <v>7303.23</v>
      </c>
      <c r="Q1486" s="4">
        <v>45600</v>
      </c>
      <c r="R1486" s="9">
        <v>0.34122685185185186</v>
      </c>
      <c r="S1486" s="8">
        <v>18</v>
      </c>
      <c r="T1486" s="7" t="s">
        <v>4457</v>
      </c>
      <c r="U1486" s="7" t="s">
        <v>4455</v>
      </c>
      <c r="V14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87" spans="1:22" x14ac:dyDescent="0.35">
      <c r="A1487" s="7" t="s">
        <v>3276</v>
      </c>
      <c r="B1487" s="7" t="s">
        <v>529</v>
      </c>
      <c r="C1487" s="5">
        <v>71.900000000000006</v>
      </c>
      <c r="D1487" s="2">
        <v>0.68656249999912689</v>
      </c>
      <c r="E1487" s="4">
        <v>44977</v>
      </c>
      <c r="F1487" s="7" t="s">
        <v>17</v>
      </c>
      <c r="G1487" s="7" t="s">
        <v>140</v>
      </c>
      <c r="H1487" s="7" t="s">
        <v>654</v>
      </c>
      <c r="I1487" s="7" t="s">
        <v>2416</v>
      </c>
      <c r="J1487" s="7" t="s">
        <v>759</v>
      </c>
      <c r="K1487" s="7" t="s">
        <v>69</v>
      </c>
      <c r="L1487" s="8">
        <v>29</v>
      </c>
      <c r="M1487" s="7" t="s">
        <v>23</v>
      </c>
      <c r="N1487" s="8">
        <v>51</v>
      </c>
      <c r="O1487" s="8">
        <v>1</v>
      </c>
      <c r="P1487" s="5">
        <v>10619.35</v>
      </c>
      <c r="Q1487" s="4">
        <v>45600</v>
      </c>
      <c r="R1487" s="9">
        <v>0.34174768518518517</v>
      </c>
      <c r="S1487" s="8">
        <v>16</v>
      </c>
      <c r="T1487" s="7" t="s">
        <v>4456</v>
      </c>
      <c r="U1487" s="7" t="s">
        <v>4455</v>
      </c>
      <c r="V14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88" spans="1:22" x14ac:dyDescent="0.35">
      <c r="A1488" s="7" t="s">
        <v>3277</v>
      </c>
      <c r="B1488" s="7" t="s">
        <v>1069</v>
      </c>
      <c r="C1488" s="5">
        <v>256.66000000000003</v>
      </c>
      <c r="D1488" s="2">
        <v>0.71392361111065838</v>
      </c>
      <c r="E1488" s="4">
        <v>45124</v>
      </c>
      <c r="F1488" s="7" t="s">
        <v>46</v>
      </c>
      <c r="G1488" s="7" t="s">
        <v>40</v>
      </c>
      <c r="H1488" s="7" t="s">
        <v>2355</v>
      </c>
      <c r="I1488" s="7" t="s">
        <v>465</v>
      </c>
      <c r="J1488" s="7" t="s">
        <v>414</v>
      </c>
      <c r="K1488" s="7" t="s">
        <v>36</v>
      </c>
      <c r="L1488" s="8">
        <v>54</v>
      </c>
      <c r="M1488" s="7" t="s">
        <v>70</v>
      </c>
      <c r="N1488" s="8">
        <v>137</v>
      </c>
      <c r="O1488" s="8">
        <v>1</v>
      </c>
      <c r="P1488" s="5">
        <v>1794.5</v>
      </c>
      <c r="Q1488" s="4">
        <v>45600</v>
      </c>
      <c r="R1488" s="9">
        <v>0.33813657407407405</v>
      </c>
      <c r="S1488" s="8">
        <v>17</v>
      </c>
      <c r="T1488" s="7" t="s">
        <v>4457</v>
      </c>
      <c r="U1488" s="7" t="s">
        <v>4455</v>
      </c>
      <c r="V14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89" spans="1:22" x14ac:dyDescent="0.35">
      <c r="A1489" s="7" t="s">
        <v>3278</v>
      </c>
      <c r="B1489" s="7" t="s">
        <v>2070</v>
      </c>
      <c r="C1489" s="5">
        <v>166.55</v>
      </c>
      <c r="D1489" s="2">
        <v>0.74425925925606862</v>
      </c>
      <c r="E1489" s="4">
        <v>45120</v>
      </c>
      <c r="F1489" s="7" t="s">
        <v>46</v>
      </c>
      <c r="G1489" s="7" t="s">
        <v>26</v>
      </c>
      <c r="H1489" s="7" t="s">
        <v>1510</v>
      </c>
      <c r="I1489" s="7" t="s">
        <v>1007</v>
      </c>
      <c r="J1489" s="7" t="s">
        <v>149</v>
      </c>
      <c r="K1489" s="7" t="s">
        <v>69</v>
      </c>
      <c r="L1489" s="8">
        <v>59</v>
      </c>
      <c r="M1489" s="7" t="s">
        <v>23</v>
      </c>
      <c r="N1489" s="8">
        <v>99</v>
      </c>
      <c r="O1489" s="8">
        <v>1</v>
      </c>
      <c r="P1489" s="5">
        <v>12970.21</v>
      </c>
      <c r="Q1489" s="4">
        <v>45600</v>
      </c>
      <c r="R1489" s="9">
        <v>0.34</v>
      </c>
      <c r="S1489" s="8">
        <v>17</v>
      </c>
      <c r="T1489" s="7" t="s">
        <v>4454</v>
      </c>
      <c r="U1489" s="7" t="s">
        <v>4455</v>
      </c>
      <c r="V14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90" spans="1:22" x14ac:dyDescent="0.35">
      <c r="A1490" s="7" t="s">
        <v>3279</v>
      </c>
      <c r="B1490" s="7" t="s">
        <v>625</v>
      </c>
      <c r="C1490" s="5">
        <v>276.26</v>
      </c>
      <c r="D1490" s="2">
        <v>0.71168981481605442</v>
      </c>
      <c r="E1490" s="4">
        <v>44970</v>
      </c>
      <c r="F1490" s="7" t="s">
        <v>17</v>
      </c>
      <c r="G1490" s="7" t="s">
        <v>108</v>
      </c>
      <c r="H1490" s="7" t="s">
        <v>2139</v>
      </c>
      <c r="I1490" s="7" t="s">
        <v>2620</v>
      </c>
      <c r="J1490" s="7" t="s">
        <v>1209</v>
      </c>
      <c r="K1490" s="7" t="s">
        <v>69</v>
      </c>
      <c r="L1490" s="8">
        <v>56</v>
      </c>
      <c r="M1490" s="7" t="s">
        <v>23</v>
      </c>
      <c r="N1490" s="8">
        <v>143</v>
      </c>
      <c r="O1490" s="8">
        <v>1</v>
      </c>
      <c r="P1490" s="5">
        <v>120.89</v>
      </c>
      <c r="Q1490" s="4">
        <v>45600</v>
      </c>
      <c r="R1490" s="9">
        <v>0.34151620370370372</v>
      </c>
      <c r="S1490" s="8">
        <v>17</v>
      </c>
      <c r="T1490" s="7" t="s">
        <v>4454</v>
      </c>
      <c r="U1490" s="7" t="s">
        <v>4455</v>
      </c>
      <c r="V14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91" spans="1:22" x14ac:dyDescent="0.35">
      <c r="A1491" s="7" t="s">
        <v>3280</v>
      </c>
      <c r="B1491" s="7" t="s">
        <v>2601</v>
      </c>
      <c r="C1491" s="5">
        <v>35.46</v>
      </c>
      <c r="D1491" s="2">
        <v>0.69318287036730908</v>
      </c>
      <c r="E1491" s="4">
        <v>45125</v>
      </c>
      <c r="F1491" s="7" t="s">
        <v>17</v>
      </c>
      <c r="G1491" s="7" t="s">
        <v>65</v>
      </c>
      <c r="H1491" s="7" t="s">
        <v>2170</v>
      </c>
      <c r="I1491" s="7" t="s">
        <v>1427</v>
      </c>
      <c r="J1491" s="7" t="s">
        <v>89</v>
      </c>
      <c r="K1491" s="7" t="s">
        <v>22</v>
      </c>
      <c r="L1491" s="8">
        <v>67</v>
      </c>
      <c r="M1491" s="7" t="s">
        <v>23</v>
      </c>
      <c r="N1491" s="8">
        <v>164</v>
      </c>
      <c r="O1491" s="8">
        <v>1</v>
      </c>
      <c r="P1491" s="5">
        <v>5692.31</v>
      </c>
      <c r="Q1491" s="4">
        <v>45600</v>
      </c>
      <c r="R1491" s="9">
        <v>0.34041666666666665</v>
      </c>
      <c r="S1491" s="8">
        <v>16</v>
      </c>
      <c r="T1491" s="7" t="s">
        <v>4454</v>
      </c>
      <c r="U1491" s="7" t="s">
        <v>4455</v>
      </c>
      <c r="V14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92" spans="1:22" x14ac:dyDescent="0.35">
      <c r="A1492" s="7" t="s">
        <v>3281</v>
      </c>
      <c r="B1492" s="7" t="s">
        <v>1186</v>
      </c>
      <c r="C1492" s="5">
        <v>38.14</v>
      </c>
      <c r="D1492" s="2">
        <v>0.67777777777519077</v>
      </c>
      <c r="E1492" s="4">
        <v>45023</v>
      </c>
      <c r="F1492" s="7" t="s">
        <v>17</v>
      </c>
      <c r="G1492" s="7" t="s">
        <v>595</v>
      </c>
      <c r="H1492" s="7" t="s">
        <v>1337</v>
      </c>
      <c r="I1492" s="7" t="s">
        <v>2094</v>
      </c>
      <c r="J1492" s="7" t="s">
        <v>831</v>
      </c>
      <c r="K1492" s="7" t="s">
        <v>69</v>
      </c>
      <c r="L1492" s="8">
        <v>50</v>
      </c>
      <c r="M1492" s="7" t="s">
        <v>77</v>
      </c>
      <c r="N1492" s="8">
        <v>165</v>
      </c>
      <c r="O1492" s="8">
        <v>1</v>
      </c>
      <c r="P1492" s="5">
        <v>9879.8700000000008</v>
      </c>
      <c r="Q1492" s="4">
        <v>45600</v>
      </c>
      <c r="R1492" s="9">
        <v>0.33837962962962964</v>
      </c>
      <c r="S1492" s="8">
        <v>16</v>
      </c>
      <c r="T1492" s="7" t="s">
        <v>4457</v>
      </c>
      <c r="U1492" s="7" t="s">
        <v>4455</v>
      </c>
      <c r="V14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93" spans="1:22" x14ac:dyDescent="0.35">
      <c r="A1493" s="7" t="s">
        <v>3282</v>
      </c>
      <c r="B1493" s="7" t="s">
        <v>1301</v>
      </c>
      <c r="C1493" s="5">
        <v>506.26</v>
      </c>
      <c r="D1493" s="2">
        <v>0.768136574071832</v>
      </c>
      <c r="E1493" s="4">
        <v>45278</v>
      </c>
      <c r="F1493" s="7" t="s">
        <v>46</v>
      </c>
      <c r="G1493" s="7" t="s">
        <v>197</v>
      </c>
      <c r="H1493" s="7" t="s">
        <v>1522</v>
      </c>
      <c r="I1493" s="7" t="s">
        <v>1414</v>
      </c>
      <c r="J1493" s="7" t="s">
        <v>240</v>
      </c>
      <c r="K1493" s="7" t="s">
        <v>22</v>
      </c>
      <c r="L1493" s="8">
        <v>64</v>
      </c>
      <c r="M1493" s="7" t="s">
        <v>70</v>
      </c>
      <c r="N1493" s="8">
        <v>86</v>
      </c>
      <c r="O1493" s="8">
        <v>1</v>
      </c>
      <c r="P1493" s="5">
        <v>6266.65</v>
      </c>
      <c r="Q1493" s="4">
        <v>45600</v>
      </c>
      <c r="R1493" s="9">
        <v>0.34158564814814812</v>
      </c>
      <c r="S1493" s="8">
        <v>18</v>
      </c>
      <c r="T1493" s="7" t="s">
        <v>4454</v>
      </c>
      <c r="U1493" s="7" t="s">
        <v>4455</v>
      </c>
      <c r="V14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94" spans="1:22" x14ac:dyDescent="0.35">
      <c r="A1494" s="7" t="s">
        <v>3283</v>
      </c>
      <c r="B1494" s="7" t="s">
        <v>2102</v>
      </c>
      <c r="C1494" s="5">
        <v>736.32</v>
      </c>
      <c r="D1494" s="2">
        <v>0.71256944444758119</v>
      </c>
      <c r="E1494" s="4">
        <v>45028</v>
      </c>
      <c r="F1494" s="7" t="s">
        <v>17</v>
      </c>
      <c r="G1494" s="7" t="s">
        <v>65</v>
      </c>
      <c r="H1494" s="7" t="s">
        <v>823</v>
      </c>
      <c r="I1494" s="7" t="s">
        <v>1772</v>
      </c>
      <c r="J1494" s="7" t="s">
        <v>56</v>
      </c>
      <c r="K1494" s="7" t="s">
        <v>36</v>
      </c>
      <c r="L1494" s="8">
        <v>31</v>
      </c>
      <c r="M1494" s="7" t="s">
        <v>23</v>
      </c>
      <c r="N1494" s="8">
        <v>28</v>
      </c>
      <c r="O1494" s="8">
        <v>1</v>
      </c>
      <c r="P1494" s="5">
        <v>14268.95</v>
      </c>
      <c r="Q1494" s="4">
        <v>45600</v>
      </c>
      <c r="R1494" s="9">
        <v>0.34054398148148146</v>
      </c>
      <c r="S1494" s="8">
        <v>17</v>
      </c>
      <c r="T1494" s="7" t="s">
        <v>4456</v>
      </c>
      <c r="U1494" s="7" t="s">
        <v>4455</v>
      </c>
      <c r="V14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95" spans="1:22" x14ac:dyDescent="0.35">
      <c r="A1495" s="7" t="s">
        <v>3284</v>
      </c>
      <c r="B1495" s="7" t="s">
        <v>222</v>
      </c>
      <c r="C1495" s="5">
        <v>389.43</v>
      </c>
      <c r="D1495" s="2">
        <v>0.7512384259243845</v>
      </c>
      <c r="E1495" s="4">
        <v>45257</v>
      </c>
      <c r="F1495" s="7" t="s">
        <v>46</v>
      </c>
      <c r="G1495" s="7" t="s">
        <v>119</v>
      </c>
      <c r="H1495" s="7" t="s">
        <v>966</v>
      </c>
      <c r="I1495" s="7" t="s">
        <v>731</v>
      </c>
      <c r="J1495" s="7" t="s">
        <v>262</v>
      </c>
      <c r="K1495" s="7" t="s">
        <v>22</v>
      </c>
      <c r="L1495" s="8">
        <v>52</v>
      </c>
      <c r="M1495" s="7" t="s">
        <v>77</v>
      </c>
      <c r="N1495" s="8">
        <v>151</v>
      </c>
      <c r="O1495" s="8">
        <v>1</v>
      </c>
      <c r="P1495" s="5">
        <v>6449.83</v>
      </c>
      <c r="Q1495" s="4">
        <v>45600</v>
      </c>
      <c r="R1495" s="9">
        <v>0.3409375</v>
      </c>
      <c r="S1495" s="8">
        <v>18</v>
      </c>
      <c r="T1495" s="7" t="s">
        <v>4457</v>
      </c>
      <c r="U1495" s="7" t="s">
        <v>4455</v>
      </c>
      <c r="V14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96" spans="1:22" x14ac:dyDescent="0.35">
      <c r="A1496" s="7" t="s">
        <v>3285</v>
      </c>
      <c r="B1496" s="7" t="s">
        <v>3286</v>
      </c>
      <c r="C1496" s="5">
        <v>25.58</v>
      </c>
      <c r="D1496" s="2">
        <v>0.68983796296379296</v>
      </c>
      <c r="E1496" s="4">
        <v>45246</v>
      </c>
      <c r="F1496" s="7" t="s">
        <v>17</v>
      </c>
      <c r="G1496" s="7" t="s">
        <v>296</v>
      </c>
      <c r="H1496" s="7" t="s">
        <v>1469</v>
      </c>
      <c r="I1496" s="7" t="s">
        <v>3087</v>
      </c>
      <c r="J1496" s="7" t="s">
        <v>122</v>
      </c>
      <c r="K1496" s="7" t="s">
        <v>22</v>
      </c>
      <c r="L1496" s="8">
        <v>60</v>
      </c>
      <c r="M1496" s="7" t="s">
        <v>77</v>
      </c>
      <c r="N1496" s="8">
        <v>166</v>
      </c>
      <c r="O1496" s="8">
        <v>1</v>
      </c>
      <c r="P1496" s="5">
        <v>6741.41</v>
      </c>
      <c r="Q1496" s="4">
        <v>45600</v>
      </c>
      <c r="R1496" s="9">
        <v>0.33783564814814815</v>
      </c>
      <c r="S1496" s="8">
        <v>16</v>
      </c>
      <c r="T1496" s="7" t="s">
        <v>4454</v>
      </c>
      <c r="U1496" s="7" t="s">
        <v>4455</v>
      </c>
      <c r="V14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97" spans="1:22" x14ac:dyDescent="0.35">
      <c r="A1497" s="7" t="s">
        <v>3287</v>
      </c>
      <c r="B1497" s="7" t="s">
        <v>498</v>
      </c>
      <c r="C1497" s="5">
        <v>446.1</v>
      </c>
      <c r="D1497" s="2">
        <v>0.73980324074364034</v>
      </c>
      <c r="E1497" s="4">
        <v>45188</v>
      </c>
      <c r="F1497" s="7" t="s">
        <v>17</v>
      </c>
      <c r="G1497" s="7" t="s">
        <v>59</v>
      </c>
      <c r="H1497" s="7" t="s">
        <v>1550</v>
      </c>
      <c r="I1497" s="7" t="s">
        <v>2027</v>
      </c>
      <c r="J1497" s="7" t="s">
        <v>1524</v>
      </c>
      <c r="K1497" s="7" t="s">
        <v>22</v>
      </c>
      <c r="L1497" s="8">
        <v>25</v>
      </c>
      <c r="M1497" s="7" t="s">
        <v>37</v>
      </c>
      <c r="N1497" s="8">
        <v>243</v>
      </c>
      <c r="O1497" s="8">
        <v>1</v>
      </c>
      <c r="P1497" s="5">
        <v>1008.44</v>
      </c>
      <c r="Q1497" s="4">
        <v>45600</v>
      </c>
      <c r="R1497" s="9">
        <v>0.33923611111111113</v>
      </c>
      <c r="S1497" s="8">
        <v>17</v>
      </c>
      <c r="T1497" s="7" t="s">
        <v>4456</v>
      </c>
      <c r="U1497" s="7" t="s">
        <v>4455</v>
      </c>
      <c r="V14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498" spans="1:22" x14ac:dyDescent="0.35">
      <c r="A1498" s="7" t="s">
        <v>3288</v>
      </c>
      <c r="B1498" s="7" t="s">
        <v>905</v>
      </c>
      <c r="C1498" s="5">
        <v>147.74</v>
      </c>
      <c r="D1498" s="2">
        <v>0.70284722222277196</v>
      </c>
      <c r="E1498" s="4">
        <v>45174</v>
      </c>
      <c r="F1498" s="7" t="s">
        <v>17</v>
      </c>
      <c r="G1498" s="7" t="s">
        <v>40</v>
      </c>
      <c r="H1498" s="7" t="s">
        <v>2613</v>
      </c>
      <c r="I1498" s="7" t="s">
        <v>958</v>
      </c>
      <c r="J1498" s="7" t="s">
        <v>639</v>
      </c>
      <c r="K1498" s="7" t="s">
        <v>69</v>
      </c>
      <c r="L1498" s="8">
        <v>23</v>
      </c>
      <c r="M1498" s="7" t="s">
        <v>37</v>
      </c>
      <c r="N1498" s="8">
        <v>15</v>
      </c>
      <c r="O1498" s="8">
        <v>1</v>
      </c>
      <c r="P1498" s="5">
        <v>1711.78</v>
      </c>
      <c r="Q1498" s="4">
        <v>45600</v>
      </c>
      <c r="R1498" s="9">
        <v>0.34187499999999998</v>
      </c>
      <c r="S1498" s="8">
        <v>16</v>
      </c>
      <c r="T1498" s="7" t="s">
        <v>4456</v>
      </c>
      <c r="U1498" s="7" t="s">
        <v>4455</v>
      </c>
      <c r="V14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499" spans="1:22" x14ac:dyDescent="0.35">
      <c r="A1499" s="7" t="s">
        <v>3289</v>
      </c>
      <c r="B1499" s="7" t="s">
        <v>505</v>
      </c>
      <c r="C1499" s="5">
        <v>1228.81</v>
      </c>
      <c r="D1499" s="2">
        <v>0.69208333333517658</v>
      </c>
      <c r="E1499" s="4">
        <v>44977</v>
      </c>
      <c r="F1499" s="7" t="s">
        <v>17</v>
      </c>
      <c r="G1499" s="7" t="s">
        <v>212</v>
      </c>
      <c r="H1499" s="7" t="s">
        <v>3203</v>
      </c>
      <c r="I1499" s="7" t="s">
        <v>2091</v>
      </c>
      <c r="J1499" s="7" t="s">
        <v>639</v>
      </c>
      <c r="K1499" s="7" t="s">
        <v>22</v>
      </c>
      <c r="L1499" s="8">
        <v>26</v>
      </c>
      <c r="M1499" s="7" t="s">
        <v>37</v>
      </c>
      <c r="N1499" s="8">
        <v>254</v>
      </c>
      <c r="O1499" s="8">
        <v>1</v>
      </c>
      <c r="P1499" s="5">
        <v>1821</v>
      </c>
      <c r="Q1499" s="4">
        <v>45600</v>
      </c>
      <c r="R1499" s="9">
        <v>0.33964120370370371</v>
      </c>
      <c r="S1499" s="8">
        <v>16</v>
      </c>
      <c r="T1499" s="7" t="s">
        <v>4456</v>
      </c>
      <c r="U1499" s="7" t="s">
        <v>4455</v>
      </c>
      <c r="V14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00" spans="1:22" x14ac:dyDescent="0.35">
      <c r="A1500" s="7" t="s">
        <v>3290</v>
      </c>
      <c r="B1500" s="7" t="s">
        <v>1440</v>
      </c>
      <c r="C1500" s="5">
        <v>46.23</v>
      </c>
      <c r="D1500" s="2">
        <v>0.73988425925927004</v>
      </c>
      <c r="E1500" s="4">
        <v>45075</v>
      </c>
      <c r="F1500" s="7" t="s">
        <v>17</v>
      </c>
      <c r="G1500" s="7" t="s">
        <v>558</v>
      </c>
      <c r="H1500" s="7" t="s">
        <v>1761</v>
      </c>
      <c r="I1500" s="7" t="s">
        <v>1629</v>
      </c>
      <c r="J1500" s="7" t="s">
        <v>21</v>
      </c>
      <c r="K1500" s="7" t="s">
        <v>36</v>
      </c>
      <c r="L1500" s="8">
        <v>77</v>
      </c>
      <c r="M1500" s="7" t="s">
        <v>70</v>
      </c>
      <c r="N1500" s="8">
        <v>282</v>
      </c>
      <c r="O1500" s="8">
        <v>1</v>
      </c>
      <c r="P1500" s="5">
        <v>5107.75</v>
      </c>
      <c r="Q1500" s="4">
        <v>45600</v>
      </c>
      <c r="R1500" s="9">
        <v>0.34011574074074075</v>
      </c>
      <c r="S1500" s="8">
        <v>17</v>
      </c>
      <c r="T1500" s="7" t="s">
        <v>4454</v>
      </c>
      <c r="U1500" s="7" t="s">
        <v>4455</v>
      </c>
      <c r="V15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01" spans="1:22" x14ac:dyDescent="0.35">
      <c r="A1501" s="7" t="s">
        <v>3291</v>
      </c>
      <c r="B1501" s="7" t="s">
        <v>1878</v>
      </c>
      <c r="C1501" s="5">
        <v>265.37</v>
      </c>
      <c r="D1501" s="2">
        <v>0.747418981482042</v>
      </c>
      <c r="E1501" s="4">
        <v>45072</v>
      </c>
      <c r="F1501" s="7" t="s">
        <v>17</v>
      </c>
      <c r="G1501" s="7" t="s">
        <v>453</v>
      </c>
      <c r="H1501" s="7" t="s">
        <v>1708</v>
      </c>
      <c r="I1501" s="7" t="s">
        <v>1318</v>
      </c>
      <c r="J1501" s="7" t="s">
        <v>759</v>
      </c>
      <c r="K1501" s="7" t="s">
        <v>69</v>
      </c>
      <c r="L1501" s="8">
        <v>33</v>
      </c>
      <c r="M1501" s="7" t="s">
        <v>77</v>
      </c>
      <c r="N1501" s="8">
        <v>77</v>
      </c>
      <c r="O1501" s="8">
        <v>1</v>
      </c>
      <c r="P1501" s="5">
        <v>5229.95</v>
      </c>
      <c r="Q1501" s="4">
        <v>45600</v>
      </c>
      <c r="R1501" s="9">
        <v>0.33981481481481479</v>
      </c>
      <c r="S1501" s="8">
        <v>17</v>
      </c>
      <c r="T1501" s="7" t="s">
        <v>4456</v>
      </c>
      <c r="U1501" s="7" t="s">
        <v>4455</v>
      </c>
      <c r="V15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02" spans="1:22" x14ac:dyDescent="0.35">
      <c r="A1502" s="7" t="s">
        <v>3292</v>
      </c>
      <c r="B1502" s="7" t="s">
        <v>2564</v>
      </c>
      <c r="C1502" s="5">
        <v>342.57</v>
      </c>
      <c r="D1502" s="2">
        <v>0.71527777778101154</v>
      </c>
      <c r="E1502" s="4">
        <v>44960</v>
      </c>
      <c r="F1502" s="7" t="s">
        <v>17</v>
      </c>
      <c r="G1502" s="7" t="s">
        <v>388</v>
      </c>
      <c r="H1502" s="7" t="s">
        <v>2682</v>
      </c>
      <c r="I1502" s="7" t="s">
        <v>1772</v>
      </c>
      <c r="J1502" s="7" t="s">
        <v>740</v>
      </c>
      <c r="K1502" s="7" t="s">
        <v>36</v>
      </c>
      <c r="L1502" s="8">
        <v>20</v>
      </c>
      <c r="M1502" s="7" t="s">
        <v>37</v>
      </c>
      <c r="N1502" s="8">
        <v>91</v>
      </c>
      <c r="O1502" s="8">
        <v>1</v>
      </c>
      <c r="P1502" s="5">
        <v>339.16</v>
      </c>
      <c r="Q1502" s="4">
        <v>45600</v>
      </c>
      <c r="R1502" s="9">
        <v>0.34017361111111111</v>
      </c>
      <c r="S1502" s="8">
        <v>17</v>
      </c>
      <c r="T1502" s="7" t="s">
        <v>4456</v>
      </c>
      <c r="U1502" s="7" t="s">
        <v>4455</v>
      </c>
      <c r="V15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03" spans="1:22" x14ac:dyDescent="0.35">
      <c r="A1503" s="7" t="s">
        <v>3293</v>
      </c>
      <c r="B1503" s="7" t="s">
        <v>884</v>
      </c>
      <c r="C1503" s="5">
        <v>417.26</v>
      </c>
      <c r="D1503" s="2">
        <v>0.70930555555241881</v>
      </c>
      <c r="E1503" s="4">
        <v>44984</v>
      </c>
      <c r="F1503" s="7" t="s">
        <v>46</v>
      </c>
      <c r="G1503" s="7" t="s">
        <v>203</v>
      </c>
      <c r="H1503" s="7" t="s">
        <v>936</v>
      </c>
      <c r="I1503" s="7" t="s">
        <v>3069</v>
      </c>
      <c r="J1503" s="7" t="s">
        <v>474</v>
      </c>
      <c r="K1503" s="7" t="s">
        <v>36</v>
      </c>
      <c r="L1503" s="8">
        <v>32</v>
      </c>
      <c r="M1503" s="7" t="s">
        <v>23</v>
      </c>
      <c r="N1503" s="8">
        <v>45</v>
      </c>
      <c r="O1503" s="8">
        <v>1</v>
      </c>
      <c r="P1503" s="5">
        <v>10442.48</v>
      </c>
      <c r="Q1503" s="4">
        <v>45600</v>
      </c>
      <c r="R1503" s="9">
        <v>0.34158564814814812</v>
      </c>
      <c r="S1503" s="8">
        <v>17</v>
      </c>
      <c r="T1503" s="7" t="s">
        <v>4456</v>
      </c>
      <c r="U1503" s="7" t="s">
        <v>4455</v>
      </c>
      <c r="V15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04" spans="1:22" x14ac:dyDescent="0.35">
      <c r="A1504" s="7" t="s">
        <v>3294</v>
      </c>
      <c r="B1504" s="7" t="s">
        <v>1401</v>
      </c>
      <c r="C1504" s="5">
        <v>33.630000000000003</v>
      </c>
      <c r="D1504" s="2">
        <v>0.70148148148291511</v>
      </c>
      <c r="E1504" s="4">
        <v>45233</v>
      </c>
      <c r="F1504" s="7" t="s">
        <v>17</v>
      </c>
      <c r="G1504" s="7" t="s">
        <v>125</v>
      </c>
      <c r="H1504" s="7" t="s">
        <v>658</v>
      </c>
      <c r="I1504" s="7" t="s">
        <v>1605</v>
      </c>
      <c r="J1504" s="7" t="s">
        <v>1209</v>
      </c>
      <c r="K1504" s="7" t="s">
        <v>36</v>
      </c>
      <c r="L1504" s="8">
        <v>63</v>
      </c>
      <c r="M1504" s="7" t="s">
        <v>70</v>
      </c>
      <c r="N1504" s="8">
        <v>76</v>
      </c>
      <c r="O1504" s="8">
        <v>1</v>
      </c>
      <c r="P1504" s="5">
        <v>4324.3999999999996</v>
      </c>
      <c r="Q1504" s="4">
        <v>45600</v>
      </c>
      <c r="R1504" s="9">
        <v>0.34087962962962964</v>
      </c>
      <c r="S1504" s="8">
        <v>16</v>
      </c>
      <c r="T1504" s="7" t="s">
        <v>4454</v>
      </c>
      <c r="U1504" s="7" t="s">
        <v>4455</v>
      </c>
      <c r="V15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05" spans="1:22" x14ac:dyDescent="0.35">
      <c r="A1505" s="7" t="s">
        <v>3295</v>
      </c>
      <c r="B1505" s="7" t="s">
        <v>1004</v>
      </c>
      <c r="C1505" s="5">
        <v>64.58</v>
      </c>
      <c r="D1505" s="2">
        <v>0.75451388888905058</v>
      </c>
      <c r="E1505" s="4">
        <v>45264</v>
      </c>
      <c r="F1505" s="7" t="s">
        <v>17</v>
      </c>
      <c r="G1505" s="7" t="s">
        <v>506</v>
      </c>
      <c r="H1505" s="7" t="s">
        <v>517</v>
      </c>
      <c r="I1505" s="7" t="s">
        <v>894</v>
      </c>
      <c r="J1505" s="7" t="s">
        <v>682</v>
      </c>
      <c r="K1505" s="7" t="s">
        <v>69</v>
      </c>
      <c r="L1505" s="8">
        <v>55</v>
      </c>
      <c r="M1505" s="7" t="s">
        <v>70</v>
      </c>
      <c r="N1505" s="8">
        <v>173</v>
      </c>
      <c r="O1505" s="8">
        <v>1</v>
      </c>
      <c r="P1505" s="5">
        <v>6292.29</v>
      </c>
      <c r="Q1505" s="4">
        <v>45600</v>
      </c>
      <c r="R1505" s="9">
        <v>0.34128472222222223</v>
      </c>
      <c r="S1505" s="8">
        <v>18</v>
      </c>
      <c r="T1505" s="7" t="s">
        <v>4454</v>
      </c>
      <c r="U1505" s="7" t="s">
        <v>4455</v>
      </c>
      <c r="V15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06" spans="1:22" x14ac:dyDescent="0.35">
      <c r="A1506" s="7" t="s">
        <v>3296</v>
      </c>
      <c r="B1506" s="7" t="s">
        <v>899</v>
      </c>
      <c r="C1506" s="5">
        <v>23.23</v>
      </c>
      <c r="D1506" s="2">
        <v>0.69096064814948477</v>
      </c>
      <c r="E1506" s="4">
        <v>45036</v>
      </c>
      <c r="F1506" s="7" t="s">
        <v>46</v>
      </c>
      <c r="G1506" s="7" t="s">
        <v>172</v>
      </c>
      <c r="H1506" s="7" t="s">
        <v>1453</v>
      </c>
      <c r="I1506" s="7" t="s">
        <v>2013</v>
      </c>
      <c r="J1506" s="7" t="s">
        <v>331</v>
      </c>
      <c r="K1506" s="7" t="s">
        <v>69</v>
      </c>
      <c r="L1506" s="8">
        <v>21</v>
      </c>
      <c r="M1506" s="7" t="s">
        <v>37</v>
      </c>
      <c r="N1506" s="8">
        <v>122</v>
      </c>
      <c r="O1506" s="8">
        <v>1</v>
      </c>
      <c r="P1506" s="5">
        <v>269.01</v>
      </c>
      <c r="Q1506" s="4">
        <v>45600</v>
      </c>
      <c r="R1506" s="9">
        <v>0.34020833333333333</v>
      </c>
      <c r="S1506" s="8">
        <v>16</v>
      </c>
      <c r="T1506" s="7" t="s">
        <v>4456</v>
      </c>
      <c r="U1506" s="7" t="s">
        <v>4455</v>
      </c>
      <c r="V15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07" spans="1:22" x14ac:dyDescent="0.35">
      <c r="A1507" s="7" t="s">
        <v>3297</v>
      </c>
      <c r="B1507" s="7" t="s">
        <v>892</v>
      </c>
      <c r="C1507" s="5">
        <v>160.52000000000001</v>
      </c>
      <c r="D1507" s="2">
        <v>0.677141203705105</v>
      </c>
      <c r="E1507" s="4">
        <v>45145</v>
      </c>
      <c r="F1507" s="7" t="s">
        <v>46</v>
      </c>
      <c r="G1507" s="7" t="s">
        <v>392</v>
      </c>
      <c r="H1507" s="7" t="s">
        <v>3298</v>
      </c>
      <c r="I1507" s="7" t="s">
        <v>575</v>
      </c>
      <c r="J1507" s="7" t="s">
        <v>639</v>
      </c>
      <c r="K1507" s="7" t="s">
        <v>22</v>
      </c>
      <c r="L1507" s="8">
        <v>78</v>
      </c>
      <c r="M1507" s="7" t="s">
        <v>70</v>
      </c>
      <c r="N1507" s="8">
        <v>112</v>
      </c>
      <c r="O1507" s="8">
        <v>1</v>
      </c>
      <c r="P1507" s="5">
        <v>5379.25</v>
      </c>
      <c r="Q1507" s="4">
        <v>45600</v>
      </c>
      <c r="R1507" s="9">
        <v>0.33887731481481481</v>
      </c>
      <c r="S1507" s="8">
        <v>16</v>
      </c>
      <c r="T1507" s="7" t="s">
        <v>4454</v>
      </c>
      <c r="U1507" s="7" t="s">
        <v>4455</v>
      </c>
      <c r="V15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08" spans="1:22" x14ac:dyDescent="0.35">
      <c r="A1508" s="7" t="s">
        <v>3299</v>
      </c>
      <c r="B1508" s="7" t="s">
        <v>399</v>
      </c>
      <c r="C1508" s="5">
        <v>278.88</v>
      </c>
      <c r="D1508" s="2">
        <v>0.70363425926188938</v>
      </c>
      <c r="E1508" s="4">
        <v>45198</v>
      </c>
      <c r="F1508" s="7" t="s">
        <v>17</v>
      </c>
      <c r="G1508" s="7" t="s">
        <v>291</v>
      </c>
      <c r="H1508" s="7" t="s">
        <v>1761</v>
      </c>
      <c r="I1508" s="7" t="s">
        <v>2353</v>
      </c>
      <c r="J1508" s="7" t="s">
        <v>353</v>
      </c>
      <c r="K1508" s="7" t="s">
        <v>69</v>
      </c>
      <c r="L1508" s="8">
        <v>64</v>
      </c>
      <c r="M1508" s="7" t="s">
        <v>23</v>
      </c>
      <c r="N1508" s="8">
        <v>179</v>
      </c>
      <c r="O1508" s="8">
        <v>2</v>
      </c>
      <c r="P1508" s="5">
        <v>1334.09</v>
      </c>
      <c r="Q1508" s="4">
        <v>45600</v>
      </c>
      <c r="R1508" s="9">
        <v>0.34009259259259261</v>
      </c>
      <c r="S1508" s="8">
        <v>16</v>
      </c>
      <c r="T1508" s="7" t="s">
        <v>4454</v>
      </c>
      <c r="U1508" s="7" t="s">
        <v>4458</v>
      </c>
      <c r="V15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09" spans="1:22" x14ac:dyDescent="0.35">
      <c r="A1509" s="7" t="s">
        <v>3300</v>
      </c>
      <c r="B1509" s="7" t="s">
        <v>310</v>
      </c>
      <c r="C1509" s="5">
        <v>285.49</v>
      </c>
      <c r="D1509" s="2">
        <v>0.77928240740584442</v>
      </c>
      <c r="E1509" s="4">
        <v>45149</v>
      </c>
      <c r="F1509" s="7" t="s">
        <v>46</v>
      </c>
      <c r="G1509" s="7" t="s">
        <v>249</v>
      </c>
      <c r="H1509" s="7" t="s">
        <v>2029</v>
      </c>
      <c r="I1509" s="7" t="s">
        <v>2268</v>
      </c>
      <c r="J1509" s="7" t="s">
        <v>358</v>
      </c>
      <c r="K1509" s="7" t="s">
        <v>69</v>
      </c>
      <c r="L1509" s="8">
        <v>53</v>
      </c>
      <c r="M1509" s="7" t="s">
        <v>23</v>
      </c>
      <c r="N1509" s="8">
        <v>109</v>
      </c>
      <c r="O1509" s="8">
        <v>1</v>
      </c>
      <c r="P1509" s="5">
        <v>6366.84</v>
      </c>
      <c r="Q1509" s="4">
        <v>45600</v>
      </c>
      <c r="R1509" s="9">
        <v>0.34182870370370372</v>
      </c>
      <c r="S1509" s="8">
        <v>18</v>
      </c>
      <c r="T1509" s="7" t="s">
        <v>4457</v>
      </c>
      <c r="U1509" s="7" t="s">
        <v>4455</v>
      </c>
      <c r="V15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10" spans="1:22" x14ac:dyDescent="0.35">
      <c r="A1510" s="7" t="s">
        <v>3301</v>
      </c>
      <c r="B1510" s="7" t="s">
        <v>3302</v>
      </c>
      <c r="C1510" s="5">
        <v>71.87</v>
      </c>
      <c r="D1510" s="2">
        <v>0.75210648147913162</v>
      </c>
      <c r="E1510" s="4">
        <v>44942</v>
      </c>
      <c r="F1510" s="7" t="s">
        <v>17</v>
      </c>
      <c r="G1510" s="7" t="s">
        <v>80</v>
      </c>
      <c r="H1510" s="7" t="s">
        <v>135</v>
      </c>
      <c r="I1510" s="7" t="s">
        <v>2630</v>
      </c>
      <c r="J1510" s="7" t="s">
        <v>100</v>
      </c>
      <c r="K1510" s="7" t="s">
        <v>22</v>
      </c>
      <c r="L1510" s="8">
        <v>22</v>
      </c>
      <c r="M1510" s="7" t="s">
        <v>37</v>
      </c>
      <c r="N1510" s="8">
        <v>258</v>
      </c>
      <c r="O1510" s="8">
        <v>1</v>
      </c>
      <c r="P1510" s="5">
        <v>1839.1</v>
      </c>
      <c r="Q1510" s="4">
        <v>45600</v>
      </c>
      <c r="R1510" s="9">
        <v>0.34174768518518517</v>
      </c>
      <c r="S1510" s="8">
        <v>18</v>
      </c>
      <c r="T1510" s="7" t="s">
        <v>4456</v>
      </c>
      <c r="U1510" s="7" t="s">
        <v>4455</v>
      </c>
      <c r="V15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11" spans="1:22" x14ac:dyDescent="0.35">
      <c r="A1511" s="7" t="s">
        <v>3303</v>
      </c>
      <c r="B1511" s="7" t="s">
        <v>1710</v>
      </c>
      <c r="C1511" s="5">
        <v>308.8</v>
      </c>
      <c r="D1511" s="2">
        <v>0.67281250000087311</v>
      </c>
      <c r="E1511" s="4">
        <v>45286</v>
      </c>
      <c r="F1511" s="7" t="s">
        <v>17</v>
      </c>
      <c r="G1511" s="7" t="s">
        <v>197</v>
      </c>
      <c r="H1511" s="7" t="s">
        <v>570</v>
      </c>
      <c r="I1511" s="7" t="s">
        <v>49</v>
      </c>
      <c r="J1511" s="7" t="s">
        <v>762</v>
      </c>
      <c r="K1511" s="7" t="s">
        <v>22</v>
      </c>
      <c r="L1511" s="8">
        <v>53</v>
      </c>
      <c r="M1511" s="7" t="s">
        <v>70</v>
      </c>
      <c r="N1511" s="8">
        <v>41</v>
      </c>
      <c r="O1511" s="8">
        <v>1</v>
      </c>
      <c r="P1511" s="5">
        <v>3966.54</v>
      </c>
      <c r="Q1511" s="4">
        <v>45600</v>
      </c>
      <c r="R1511" s="9">
        <v>0.3402662037037037</v>
      </c>
      <c r="S1511" s="8">
        <v>16</v>
      </c>
      <c r="T1511" s="7" t="s">
        <v>4457</v>
      </c>
      <c r="U1511" s="7" t="s">
        <v>4455</v>
      </c>
      <c r="V15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12" spans="1:22" x14ac:dyDescent="0.35">
      <c r="A1512" s="7" t="s">
        <v>3304</v>
      </c>
      <c r="B1512" s="7" t="s">
        <v>337</v>
      </c>
      <c r="C1512" s="5">
        <v>135.35</v>
      </c>
      <c r="D1512" s="2">
        <v>0.77975694444467081</v>
      </c>
      <c r="E1512" s="4">
        <v>45135</v>
      </c>
      <c r="F1512" s="7" t="s">
        <v>17</v>
      </c>
      <c r="G1512" s="7" t="s">
        <v>26</v>
      </c>
      <c r="H1512" s="7" t="s">
        <v>2611</v>
      </c>
      <c r="I1512" s="7" t="s">
        <v>1864</v>
      </c>
      <c r="J1512" s="7" t="s">
        <v>634</v>
      </c>
      <c r="K1512" s="7" t="s">
        <v>69</v>
      </c>
      <c r="L1512" s="8">
        <v>33</v>
      </c>
      <c r="M1512" s="7" t="s">
        <v>77</v>
      </c>
      <c r="N1512" s="8">
        <v>82</v>
      </c>
      <c r="O1512" s="8">
        <v>1</v>
      </c>
      <c r="P1512" s="5">
        <v>9983.36</v>
      </c>
      <c r="Q1512" s="4">
        <v>45600</v>
      </c>
      <c r="R1512" s="9">
        <v>0.33847222222222223</v>
      </c>
      <c r="S1512" s="8">
        <v>18</v>
      </c>
      <c r="T1512" s="7" t="s">
        <v>4456</v>
      </c>
      <c r="U1512" s="7" t="s">
        <v>4455</v>
      </c>
      <c r="V15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13" spans="1:22" x14ac:dyDescent="0.35">
      <c r="A1513" s="7" t="s">
        <v>3305</v>
      </c>
      <c r="B1513" s="7" t="s">
        <v>968</v>
      </c>
      <c r="C1513" s="5">
        <v>288.43</v>
      </c>
      <c r="D1513" s="2">
        <v>0.69297453703620704</v>
      </c>
      <c r="E1513" s="4">
        <v>45054</v>
      </c>
      <c r="F1513" s="7" t="s">
        <v>17</v>
      </c>
      <c r="G1513" s="7" t="s">
        <v>425</v>
      </c>
      <c r="H1513" s="7" t="s">
        <v>1050</v>
      </c>
      <c r="I1513" s="7" t="s">
        <v>765</v>
      </c>
      <c r="J1513" s="7" t="s">
        <v>326</v>
      </c>
      <c r="K1513" s="7" t="s">
        <v>69</v>
      </c>
      <c r="L1513" s="8">
        <v>66</v>
      </c>
      <c r="M1513" s="7" t="s">
        <v>70</v>
      </c>
      <c r="N1513" s="8">
        <v>72</v>
      </c>
      <c r="O1513" s="8">
        <v>1</v>
      </c>
      <c r="P1513" s="5">
        <v>4577.09</v>
      </c>
      <c r="Q1513" s="4">
        <v>45600</v>
      </c>
      <c r="R1513" s="9">
        <v>0.33958333333333335</v>
      </c>
      <c r="S1513" s="8">
        <v>16</v>
      </c>
      <c r="T1513" s="7" t="s">
        <v>4454</v>
      </c>
      <c r="U1513" s="7" t="s">
        <v>4455</v>
      </c>
      <c r="V15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14" spans="1:22" x14ac:dyDescent="0.35">
      <c r="A1514" s="7" t="s">
        <v>3306</v>
      </c>
      <c r="B1514" s="7" t="s">
        <v>989</v>
      </c>
      <c r="C1514" s="5">
        <v>147.46</v>
      </c>
      <c r="D1514" s="2">
        <v>0.70723379629635019</v>
      </c>
      <c r="E1514" s="4">
        <v>45211</v>
      </c>
      <c r="F1514" s="7" t="s">
        <v>46</v>
      </c>
      <c r="G1514" s="7" t="s">
        <v>86</v>
      </c>
      <c r="H1514" s="7" t="s">
        <v>19</v>
      </c>
      <c r="I1514" s="7" t="s">
        <v>2027</v>
      </c>
      <c r="J1514" s="7" t="s">
        <v>358</v>
      </c>
      <c r="K1514" s="7" t="s">
        <v>36</v>
      </c>
      <c r="L1514" s="8">
        <v>65</v>
      </c>
      <c r="M1514" s="7" t="s">
        <v>23</v>
      </c>
      <c r="N1514" s="8">
        <v>205</v>
      </c>
      <c r="O1514" s="8">
        <v>1</v>
      </c>
      <c r="P1514" s="5">
        <v>7458.03</v>
      </c>
      <c r="Q1514" s="4">
        <v>45600</v>
      </c>
      <c r="R1514" s="9">
        <v>0.34133101851851849</v>
      </c>
      <c r="S1514" s="8">
        <v>16</v>
      </c>
      <c r="T1514" s="7" t="s">
        <v>4454</v>
      </c>
      <c r="U1514" s="7" t="s">
        <v>4455</v>
      </c>
      <c r="V15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15" spans="1:22" x14ac:dyDescent="0.35">
      <c r="A1515" s="7" t="s">
        <v>3307</v>
      </c>
      <c r="B1515" s="7" t="s">
        <v>1982</v>
      </c>
      <c r="C1515" s="5">
        <v>214.15</v>
      </c>
      <c r="D1515" s="2">
        <v>0.71381944444146939</v>
      </c>
      <c r="E1515" s="4">
        <v>45229</v>
      </c>
      <c r="F1515" s="7" t="s">
        <v>17</v>
      </c>
      <c r="G1515" s="7" t="s">
        <v>73</v>
      </c>
      <c r="H1515" s="7" t="s">
        <v>902</v>
      </c>
      <c r="I1515" s="7" t="s">
        <v>2705</v>
      </c>
      <c r="J1515" s="7" t="s">
        <v>331</v>
      </c>
      <c r="K1515" s="7" t="s">
        <v>69</v>
      </c>
      <c r="L1515" s="8">
        <v>32</v>
      </c>
      <c r="M1515" s="7" t="s">
        <v>77</v>
      </c>
      <c r="N1515" s="8">
        <v>217</v>
      </c>
      <c r="O1515" s="8">
        <v>1</v>
      </c>
      <c r="P1515" s="5">
        <v>6397.29</v>
      </c>
      <c r="Q1515" s="4">
        <v>45600</v>
      </c>
      <c r="R1515" s="9">
        <v>0.34096064814814814</v>
      </c>
      <c r="S1515" s="8">
        <v>17</v>
      </c>
      <c r="T1515" s="7" t="s">
        <v>4456</v>
      </c>
      <c r="U1515" s="7" t="s">
        <v>4455</v>
      </c>
      <c r="V15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16" spans="1:22" x14ac:dyDescent="0.35">
      <c r="A1516" s="7" t="s">
        <v>3308</v>
      </c>
      <c r="B1516" s="7" t="s">
        <v>648</v>
      </c>
      <c r="C1516" s="5">
        <v>71.34</v>
      </c>
      <c r="D1516" s="2">
        <v>0.66666666666424135</v>
      </c>
      <c r="E1516" s="4">
        <v>45166</v>
      </c>
      <c r="F1516" s="7" t="s">
        <v>17</v>
      </c>
      <c r="G1516" s="7" t="s">
        <v>172</v>
      </c>
      <c r="H1516" s="7" t="s">
        <v>570</v>
      </c>
      <c r="I1516" s="7" t="s">
        <v>1595</v>
      </c>
      <c r="J1516" s="7" t="s">
        <v>1037</v>
      </c>
      <c r="K1516" s="7" t="s">
        <v>36</v>
      </c>
      <c r="L1516" s="8">
        <v>49</v>
      </c>
      <c r="M1516" s="7" t="s">
        <v>77</v>
      </c>
      <c r="N1516" s="8">
        <v>144</v>
      </c>
      <c r="O1516" s="8">
        <v>3</v>
      </c>
      <c r="P1516" s="5">
        <v>6345.03</v>
      </c>
      <c r="Q1516" s="4">
        <v>45600</v>
      </c>
      <c r="R1516" s="9">
        <v>0.34008101851851852</v>
      </c>
      <c r="S1516" s="8">
        <v>16</v>
      </c>
      <c r="T1516" s="7" t="s">
        <v>4457</v>
      </c>
      <c r="U1516" s="7" t="s">
        <v>4458</v>
      </c>
      <c r="V15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17" spans="1:22" x14ac:dyDescent="0.35">
      <c r="A1517" s="7" t="s">
        <v>3309</v>
      </c>
      <c r="B1517" s="7" t="s">
        <v>561</v>
      </c>
      <c r="C1517" s="5">
        <v>170.36</v>
      </c>
      <c r="D1517" s="2">
        <v>0.70589120370277669</v>
      </c>
      <c r="E1517" s="4">
        <v>45012</v>
      </c>
      <c r="F1517" s="7" t="s">
        <v>17</v>
      </c>
      <c r="G1517" s="7" t="s">
        <v>65</v>
      </c>
      <c r="H1517" s="7" t="s">
        <v>1861</v>
      </c>
      <c r="I1517" s="7" t="s">
        <v>153</v>
      </c>
      <c r="J1517" s="7" t="s">
        <v>50</v>
      </c>
      <c r="K1517" s="7" t="s">
        <v>22</v>
      </c>
      <c r="L1517" s="8">
        <v>30</v>
      </c>
      <c r="M1517" s="7" t="s">
        <v>23</v>
      </c>
      <c r="N1517" s="8">
        <v>118</v>
      </c>
      <c r="O1517" s="8">
        <v>1</v>
      </c>
      <c r="P1517" s="5">
        <v>6034.73</v>
      </c>
      <c r="Q1517" s="4">
        <v>45600</v>
      </c>
      <c r="R1517" s="9">
        <v>0.33986111111111111</v>
      </c>
      <c r="S1517" s="8">
        <v>16</v>
      </c>
      <c r="T1517" s="7" t="s">
        <v>4456</v>
      </c>
      <c r="U1517" s="7" t="s">
        <v>4455</v>
      </c>
      <c r="V15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18" spans="1:22" x14ac:dyDescent="0.35">
      <c r="A1518" s="7" t="s">
        <v>3310</v>
      </c>
      <c r="B1518" s="7" t="s">
        <v>1313</v>
      </c>
      <c r="C1518" s="5">
        <v>965.66</v>
      </c>
      <c r="D1518" s="2">
        <v>0.72379629629722331</v>
      </c>
      <c r="E1518" s="4">
        <v>45278</v>
      </c>
      <c r="F1518" s="7" t="s">
        <v>17</v>
      </c>
      <c r="G1518" s="7" t="s">
        <v>40</v>
      </c>
      <c r="H1518" s="7" t="s">
        <v>1369</v>
      </c>
      <c r="I1518" s="7" t="s">
        <v>316</v>
      </c>
      <c r="J1518" s="7" t="s">
        <v>35</v>
      </c>
      <c r="K1518" s="7" t="s">
        <v>22</v>
      </c>
      <c r="L1518" s="8">
        <v>53</v>
      </c>
      <c r="M1518" s="7" t="s">
        <v>77</v>
      </c>
      <c r="N1518" s="8">
        <v>32</v>
      </c>
      <c r="O1518" s="8">
        <v>1</v>
      </c>
      <c r="P1518" s="5">
        <v>765.81</v>
      </c>
      <c r="Q1518" s="4">
        <v>45600</v>
      </c>
      <c r="R1518" s="9">
        <v>0.33956018518518516</v>
      </c>
      <c r="S1518" s="8">
        <v>17</v>
      </c>
      <c r="T1518" s="7" t="s">
        <v>4457</v>
      </c>
      <c r="U1518" s="7" t="s">
        <v>4455</v>
      </c>
      <c r="V15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19" spans="1:22" x14ac:dyDescent="0.35">
      <c r="A1519" s="7" t="s">
        <v>3311</v>
      </c>
      <c r="B1519" s="7" t="s">
        <v>2376</v>
      </c>
      <c r="C1519" s="5">
        <v>736.53</v>
      </c>
      <c r="D1519" s="2">
        <v>0.71189814814715646</v>
      </c>
      <c r="E1519" s="4">
        <v>45056</v>
      </c>
      <c r="F1519" s="7" t="s">
        <v>17</v>
      </c>
      <c r="G1519" s="7" t="s">
        <v>243</v>
      </c>
      <c r="H1519" s="7" t="s">
        <v>351</v>
      </c>
      <c r="I1519" s="7" t="s">
        <v>758</v>
      </c>
      <c r="J1519" s="7" t="s">
        <v>149</v>
      </c>
      <c r="K1519" s="7" t="s">
        <v>22</v>
      </c>
      <c r="L1519" s="8">
        <v>55</v>
      </c>
      <c r="M1519" s="7" t="s">
        <v>77</v>
      </c>
      <c r="N1519" s="8">
        <v>120</v>
      </c>
      <c r="O1519" s="8">
        <v>1</v>
      </c>
      <c r="P1519" s="5">
        <v>9826.26</v>
      </c>
      <c r="Q1519" s="4">
        <v>45600</v>
      </c>
      <c r="R1519" s="9">
        <v>0.34002314814814816</v>
      </c>
      <c r="S1519" s="8">
        <v>17</v>
      </c>
      <c r="T1519" s="7" t="s">
        <v>4454</v>
      </c>
      <c r="U1519" s="7" t="s">
        <v>4455</v>
      </c>
      <c r="V15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20" spans="1:22" x14ac:dyDescent="0.35">
      <c r="A1520" s="7" t="s">
        <v>3312</v>
      </c>
      <c r="B1520" s="7" t="s">
        <v>318</v>
      </c>
      <c r="C1520" s="5">
        <v>213.42</v>
      </c>
      <c r="D1520" s="2">
        <v>0.72932870370277669</v>
      </c>
      <c r="E1520" s="4">
        <v>45134</v>
      </c>
      <c r="F1520" s="7" t="s">
        <v>17</v>
      </c>
      <c r="G1520" s="7" t="s">
        <v>125</v>
      </c>
      <c r="H1520" s="7" t="s">
        <v>546</v>
      </c>
      <c r="I1520" s="7" t="s">
        <v>205</v>
      </c>
      <c r="J1520" s="7" t="s">
        <v>29</v>
      </c>
      <c r="K1520" s="7" t="s">
        <v>22</v>
      </c>
      <c r="L1520" s="8">
        <v>45</v>
      </c>
      <c r="M1520" s="7" t="s">
        <v>77</v>
      </c>
      <c r="N1520" s="8">
        <v>17</v>
      </c>
      <c r="O1520" s="8">
        <v>1</v>
      </c>
      <c r="P1520" s="5">
        <v>3736.38</v>
      </c>
      <c r="Q1520" s="4">
        <v>45600</v>
      </c>
      <c r="R1520" s="9">
        <v>0.34127314814814813</v>
      </c>
      <c r="S1520" s="8">
        <v>17</v>
      </c>
      <c r="T1520" s="7" t="s">
        <v>4457</v>
      </c>
      <c r="U1520" s="7" t="s">
        <v>4455</v>
      </c>
      <c r="V15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21" spans="1:22" x14ac:dyDescent="0.35">
      <c r="A1521" s="7" t="s">
        <v>3313</v>
      </c>
      <c r="B1521" s="7" t="s">
        <v>1147</v>
      </c>
      <c r="C1521" s="5">
        <v>94.09</v>
      </c>
      <c r="D1521" s="2">
        <v>0.68899305555532919</v>
      </c>
      <c r="E1521" s="4">
        <v>45181</v>
      </c>
      <c r="F1521" s="7" t="s">
        <v>17</v>
      </c>
      <c r="G1521" s="7" t="s">
        <v>172</v>
      </c>
      <c r="H1521" s="7" t="s">
        <v>2413</v>
      </c>
      <c r="I1521" s="7" t="s">
        <v>1321</v>
      </c>
      <c r="J1521" s="7" t="s">
        <v>564</v>
      </c>
      <c r="K1521" s="7" t="s">
        <v>69</v>
      </c>
      <c r="L1521" s="8">
        <v>27</v>
      </c>
      <c r="M1521" s="7" t="s">
        <v>37</v>
      </c>
      <c r="N1521" s="8">
        <v>203</v>
      </c>
      <c r="O1521" s="8">
        <v>1</v>
      </c>
      <c r="P1521" s="5">
        <v>646.85</v>
      </c>
      <c r="Q1521" s="4">
        <v>45600</v>
      </c>
      <c r="R1521" s="9">
        <v>0.34061342592592592</v>
      </c>
      <c r="S1521" s="8">
        <v>16</v>
      </c>
      <c r="T1521" s="7" t="s">
        <v>4456</v>
      </c>
      <c r="U1521" s="7" t="s">
        <v>4455</v>
      </c>
      <c r="V15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22" spans="1:22" x14ac:dyDescent="0.35">
      <c r="A1522" s="7" t="s">
        <v>3314</v>
      </c>
      <c r="B1522" s="7" t="s">
        <v>2643</v>
      </c>
      <c r="C1522" s="5">
        <v>91.23</v>
      </c>
      <c r="D1522" s="2">
        <v>0.67631944444292458</v>
      </c>
      <c r="E1522" s="4">
        <v>45061</v>
      </c>
      <c r="F1522" s="7" t="s">
        <v>17</v>
      </c>
      <c r="G1522" s="7" t="s">
        <v>388</v>
      </c>
      <c r="H1522" s="7" t="s">
        <v>2032</v>
      </c>
      <c r="I1522" s="7" t="s">
        <v>815</v>
      </c>
      <c r="J1522" s="7" t="s">
        <v>362</v>
      </c>
      <c r="K1522" s="7" t="s">
        <v>22</v>
      </c>
      <c r="L1522" s="8">
        <v>72</v>
      </c>
      <c r="M1522" s="7" t="s">
        <v>70</v>
      </c>
      <c r="N1522" s="8">
        <v>86</v>
      </c>
      <c r="O1522" s="8">
        <v>1</v>
      </c>
      <c r="P1522" s="5">
        <v>6385.12</v>
      </c>
      <c r="Q1522" s="4">
        <v>45600</v>
      </c>
      <c r="R1522" s="9">
        <v>0.33922453703703703</v>
      </c>
      <c r="S1522" s="8">
        <v>16</v>
      </c>
      <c r="T1522" s="7" t="s">
        <v>4454</v>
      </c>
      <c r="U1522" s="7" t="s">
        <v>4455</v>
      </c>
      <c r="V15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23" spans="1:22" x14ac:dyDescent="0.35">
      <c r="A1523" s="7" t="s">
        <v>3315</v>
      </c>
      <c r="B1523" s="7" t="s">
        <v>1998</v>
      </c>
      <c r="C1523" s="5">
        <v>263.92</v>
      </c>
      <c r="D1523" s="2">
        <v>0.74784722222102573</v>
      </c>
      <c r="E1523" s="4">
        <v>45133</v>
      </c>
      <c r="F1523" s="7" t="s">
        <v>46</v>
      </c>
      <c r="G1523" s="7" t="s">
        <v>18</v>
      </c>
      <c r="H1523" s="7" t="s">
        <v>3316</v>
      </c>
      <c r="I1523" s="7" t="s">
        <v>815</v>
      </c>
      <c r="J1523" s="7" t="s">
        <v>226</v>
      </c>
      <c r="K1523" s="7" t="s">
        <v>69</v>
      </c>
      <c r="L1523" s="8">
        <v>57</v>
      </c>
      <c r="M1523" s="7" t="s">
        <v>70</v>
      </c>
      <c r="N1523" s="8">
        <v>233</v>
      </c>
      <c r="O1523" s="8">
        <v>1</v>
      </c>
      <c r="P1523" s="5">
        <v>4161.71</v>
      </c>
      <c r="Q1523" s="4">
        <v>45600</v>
      </c>
      <c r="R1523" s="9">
        <v>0.34077546296296296</v>
      </c>
      <c r="S1523" s="8">
        <v>17</v>
      </c>
      <c r="T1523" s="7" t="s">
        <v>4454</v>
      </c>
      <c r="U1523" s="7" t="s">
        <v>4455</v>
      </c>
      <c r="V15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24" spans="1:22" x14ac:dyDescent="0.35">
      <c r="A1524" s="7" t="s">
        <v>3317</v>
      </c>
      <c r="B1524" s="7" t="s">
        <v>771</v>
      </c>
      <c r="C1524" s="5">
        <v>77.5</v>
      </c>
      <c r="D1524" s="2">
        <v>0.697858796294895</v>
      </c>
      <c r="E1524" s="4">
        <v>45069</v>
      </c>
      <c r="F1524" s="7" t="s">
        <v>46</v>
      </c>
      <c r="G1524" s="7" t="s">
        <v>157</v>
      </c>
      <c r="H1524" s="7" t="s">
        <v>3318</v>
      </c>
      <c r="I1524" s="7" t="s">
        <v>335</v>
      </c>
      <c r="J1524" s="7" t="s">
        <v>885</v>
      </c>
      <c r="K1524" s="7" t="s">
        <v>36</v>
      </c>
      <c r="L1524" s="8">
        <v>51</v>
      </c>
      <c r="M1524" s="7" t="s">
        <v>23</v>
      </c>
      <c r="N1524" s="8">
        <v>201</v>
      </c>
      <c r="O1524" s="8">
        <v>1</v>
      </c>
      <c r="P1524" s="5">
        <v>11079.77</v>
      </c>
      <c r="Q1524" s="4">
        <v>45600</v>
      </c>
      <c r="R1524" s="9">
        <v>0.33906249999999999</v>
      </c>
      <c r="S1524" s="8">
        <v>16</v>
      </c>
      <c r="T1524" s="7" t="s">
        <v>4457</v>
      </c>
      <c r="U1524" s="7" t="s">
        <v>4455</v>
      </c>
      <c r="V15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25" spans="1:22" x14ac:dyDescent="0.35">
      <c r="A1525" s="7" t="s">
        <v>3319</v>
      </c>
      <c r="B1525" s="7" t="s">
        <v>2643</v>
      </c>
      <c r="C1525" s="5">
        <v>3.65</v>
      </c>
      <c r="D1525" s="2">
        <v>0.742083333330811</v>
      </c>
      <c r="E1525" s="4">
        <v>44970</v>
      </c>
      <c r="F1525" s="7" t="s">
        <v>17</v>
      </c>
      <c r="G1525" s="7" t="s">
        <v>172</v>
      </c>
      <c r="H1525" s="7" t="s">
        <v>734</v>
      </c>
      <c r="I1525" s="7" t="s">
        <v>180</v>
      </c>
      <c r="J1525" s="7" t="s">
        <v>634</v>
      </c>
      <c r="K1525" s="7" t="s">
        <v>36</v>
      </c>
      <c r="L1525" s="8">
        <v>69</v>
      </c>
      <c r="M1525" s="7" t="s">
        <v>23</v>
      </c>
      <c r="N1525" s="8">
        <v>146</v>
      </c>
      <c r="O1525" s="8">
        <v>1</v>
      </c>
      <c r="P1525" s="5">
        <v>10017.11</v>
      </c>
      <c r="Q1525" s="4">
        <v>45600</v>
      </c>
      <c r="R1525" s="9">
        <v>0.34098379629629627</v>
      </c>
      <c r="S1525" s="8">
        <v>17</v>
      </c>
      <c r="T1525" s="7" t="s">
        <v>4454</v>
      </c>
      <c r="U1525" s="7" t="s">
        <v>4455</v>
      </c>
      <c r="V15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26" spans="1:22" x14ac:dyDescent="0.35">
      <c r="A1526" s="7" t="s">
        <v>3320</v>
      </c>
      <c r="B1526" s="7" t="s">
        <v>2050</v>
      </c>
      <c r="C1526" s="5">
        <v>43.88</v>
      </c>
      <c r="D1526" s="2">
        <v>0.73862268518860219</v>
      </c>
      <c r="E1526" s="4">
        <v>45243</v>
      </c>
      <c r="F1526" s="7" t="s">
        <v>46</v>
      </c>
      <c r="G1526" s="7" t="s">
        <v>59</v>
      </c>
      <c r="H1526" s="7" t="s">
        <v>3321</v>
      </c>
      <c r="I1526" s="7" t="s">
        <v>293</v>
      </c>
      <c r="J1526" s="7" t="s">
        <v>858</v>
      </c>
      <c r="K1526" s="7" t="s">
        <v>36</v>
      </c>
      <c r="L1526" s="8">
        <v>26</v>
      </c>
      <c r="M1526" s="7" t="s">
        <v>37</v>
      </c>
      <c r="N1526" s="8">
        <v>251</v>
      </c>
      <c r="O1526" s="8">
        <v>1</v>
      </c>
      <c r="P1526" s="5">
        <v>1644.09</v>
      </c>
      <c r="Q1526" s="4">
        <v>45600</v>
      </c>
      <c r="R1526" s="9">
        <v>0.33913194444444444</v>
      </c>
      <c r="S1526" s="8">
        <v>17</v>
      </c>
      <c r="T1526" s="7" t="s">
        <v>4456</v>
      </c>
      <c r="U1526" s="7" t="s">
        <v>4455</v>
      </c>
      <c r="V15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27" spans="1:22" x14ac:dyDescent="0.35">
      <c r="A1527" s="7" t="s">
        <v>3322</v>
      </c>
      <c r="B1527" s="7" t="s">
        <v>467</v>
      </c>
      <c r="C1527" s="5">
        <v>591.98</v>
      </c>
      <c r="D1527" s="2">
        <v>0.68900462963210884</v>
      </c>
      <c r="E1527" s="4">
        <v>45044</v>
      </c>
      <c r="F1527" s="7" t="s">
        <v>17</v>
      </c>
      <c r="G1527" s="7" t="s">
        <v>506</v>
      </c>
      <c r="H1527" s="7" t="s">
        <v>1859</v>
      </c>
      <c r="I1527" s="7" t="s">
        <v>342</v>
      </c>
      <c r="J1527" s="7" t="s">
        <v>853</v>
      </c>
      <c r="K1527" s="7" t="s">
        <v>22</v>
      </c>
      <c r="L1527" s="8">
        <v>28</v>
      </c>
      <c r="M1527" s="7" t="s">
        <v>37</v>
      </c>
      <c r="N1527" s="8">
        <v>132</v>
      </c>
      <c r="O1527" s="8">
        <v>1</v>
      </c>
      <c r="P1527" s="5">
        <v>387.65</v>
      </c>
      <c r="Q1527" s="4">
        <v>45600</v>
      </c>
      <c r="R1527" s="9">
        <v>0.33870370370370373</v>
      </c>
      <c r="S1527" s="8">
        <v>16</v>
      </c>
      <c r="T1527" s="7" t="s">
        <v>4456</v>
      </c>
      <c r="U1527" s="7" t="s">
        <v>4455</v>
      </c>
      <c r="V15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28" spans="1:22" x14ac:dyDescent="0.35">
      <c r="A1528" s="7" t="s">
        <v>3323</v>
      </c>
      <c r="B1528" s="7" t="s">
        <v>1806</v>
      </c>
      <c r="C1528" s="5">
        <v>224.79</v>
      </c>
      <c r="D1528" s="2">
        <v>0.69067129629547708</v>
      </c>
      <c r="E1528" s="4">
        <v>45160</v>
      </c>
      <c r="F1528" s="7" t="s">
        <v>17</v>
      </c>
      <c r="G1528" s="7" t="s">
        <v>388</v>
      </c>
      <c r="H1528" s="7" t="s">
        <v>814</v>
      </c>
      <c r="I1528" s="7" t="s">
        <v>3324</v>
      </c>
      <c r="J1528" s="7" t="s">
        <v>370</v>
      </c>
      <c r="K1528" s="7" t="s">
        <v>36</v>
      </c>
      <c r="L1528" s="8">
        <v>18</v>
      </c>
      <c r="M1528" s="7" t="s">
        <v>37</v>
      </c>
      <c r="N1528" s="8">
        <v>129</v>
      </c>
      <c r="O1528" s="8">
        <v>1</v>
      </c>
      <c r="P1528" s="5">
        <v>528.38</v>
      </c>
      <c r="Q1528" s="4">
        <v>45600</v>
      </c>
      <c r="R1528" s="9">
        <v>0.34056712962962965</v>
      </c>
      <c r="S1528" s="8">
        <v>16</v>
      </c>
      <c r="T1528" s="7" t="s">
        <v>4456</v>
      </c>
      <c r="U1528" s="7" t="s">
        <v>4455</v>
      </c>
      <c r="V15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29" spans="1:22" x14ac:dyDescent="0.35">
      <c r="A1529" s="7" t="s">
        <v>3325</v>
      </c>
      <c r="B1529" s="7" t="s">
        <v>2464</v>
      </c>
      <c r="C1529" s="5">
        <v>64.3</v>
      </c>
      <c r="D1529" s="2">
        <v>0.73379629629926058</v>
      </c>
      <c r="E1529" s="4">
        <v>45173</v>
      </c>
      <c r="F1529" s="7" t="s">
        <v>17</v>
      </c>
      <c r="G1529" s="7" t="s">
        <v>108</v>
      </c>
      <c r="H1529" s="7" t="s">
        <v>1173</v>
      </c>
      <c r="I1529" s="7" t="s">
        <v>1477</v>
      </c>
      <c r="J1529" s="7" t="s">
        <v>21</v>
      </c>
      <c r="K1529" s="7" t="s">
        <v>22</v>
      </c>
      <c r="L1529" s="8">
        <v>55</v>
      </c>
      <c r="M1529" s="7" t="s">
        <v>70</v>
      </c>
      <c r="N1529" s="8">
        <v>67</v>
      </c>
      <c r="O1529" s="8">
        <v>1</v>
      </c>
      <c r="P1529" s="5">
        <v>7530.3</v>
      </c>
      <c r="Q1529" s="4">
        <v>45600</v>
      </c>
      <c r="R1529" s="9">
        <v>0.34164351851851854</v>
      </c>
      <c r="S1529" s="8">
        <v>17</v>
      </c>
      <c r="T1529" s="7" t="s">
        <v>4454</v>
      </c>
      <c r="U1529" s="7" t="s">
        <v>4455</v>
      </c>
      <c r="V15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30" spans="1:22" x14ac:dyDescent="0.35">
      <c r="A1530" s="7" t="s">
        <v>3326</v>
      </c>
      <c r="B1530" s="7" t="s">
        <v>91</v>
      </c>
      <c r="C1530" s="5">
        <v>111.79</v>
      </c>
      <c r="D1530" s="2">
        <v>0.73637731481721858</v>
      </c>
      <c r="E1530" s="4">
        <v>45286</v>
      </c>
      <c r="F1530" s="7" t="s">
        <v>17</v>
      </c>
      <c r="G1530" s="7" t="s">
        <v>392</v>
      </c>
      <c r="H1530" s="7" t="s">
        <v>131</v>
      </c>
      <c r="I1530" s="7" t="s">
        <v>787</v>
      </c>
      <c r="J1530" s="7" t="s">
        <v>682</v>
      </c>
      <c r="K1530" s="7" t="s">
        <v>36</v>
      </c>
      <c r="L1530" s="8">
        <v>62</v>
      </c>
      <c r="M1530" s="7" t="s">
        <v>23</v>
      </c>
      <c r="N1530" s="8">
        <v>49</v>
      </c>
      <c r="O1530" s="8">
        <v>1</v>
      </c>
      <c r="P1530" s="5">
        <v>10887.59</v>
      </c>
      <c r="Q1530" s="4">
        <v>45600</v>
      </c>
      <c r="R1530" s="9">
        <v>0.34136574074074072</v>
      </c>
      <c r="S1530" s="8">
        <v>17</v>
      </c>
      <c r="T1530" s="7" t="s">
        <v>4454</v>
      </c>
      <c r="U1530" s="7" t="s">
        <v>4455</v>
      </c>
      <c r="V15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31" spans="1:22" x14ac:dyDescent="0.35">
      <c r="A1531" s="7" t="s">
        <v>3327</v>
      </c>
      <c r="B1531" s="7" t="s">
        <v>3039</v>
      </c>
      <c r="C1531" s="5">
        <v>927.16</v>
      </c>
      <c r="D1531" s="2">
        <v>0.69999999999708962</v>
      </c>
      <c r="E1531" s="4">
        <v>45005</v>
      </c>
      <c r="F1531" s="7" t="s">
        <v>17</v>
      </c>
      <c r="G1531" s="7" t="s">
        <v>212</v>
      </c>
      <c r="H1531" s="7" t="s">
        <v>1058</v>
      </c>
      <c r="I1531" s="7" t="s">
        <v>1603</v>
      </c>
      <c r="J1531" s="7" t="s">
        <v>759</v>
      </c>
      <c r="K1531" s="7" t="s">
        <v>22</v>
      </c>
      <c r="L1531" s="8">
        <v>59</v>
      </c>
      <c r="M1531" s="7" t="s">
        <v>70</v>
      </c>
      <c r="N1531" s="8">
        <v>153</v>
      </c>
      <c r="O1531" s="8">
        <v>1</v>
      </c>
      <c r="P1531" s="5">
        <v>7104.61</v>
      </c>
      <c r="Q1531" s="4">
        <v>45600</v>
      </c>
      <c r="R1531" s="9">
        <v>0.34050925925925923</v>
      </c>
      <c r="S1531" s="8">
        <v>16</v>
      </c>
      <c r="T1531" s="7" t="s">
        <v>4454</v>
      </c>
      <c r="U1531" s="7" t="s">
        <v>4455</v>
      </c>
      <c r="V15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32" spans="1:22" x14ac:dyDescent="0.35">
      <c r="A1532" s="7" t="s">
        <v>3328</v>
      </c>
      <c r="B1532" s="7" t="s">
        <v>1561</v>
      </c>
      <c r="C1532" s="5">
        <v>613.70000000000005</v>
      </c>
      <c r="D1532" s="2">
        <v>0.731898148151231</v>
      </c>
      <c r="E1532" s="4">
        <v>44979</v>
      </c>
      <c r="F1532" s="7" t="s">
        <v>46</v>
      </c>
      <c r="G1532" s="7" t="s">
        <v>157</v>
      </c>
      <c r="H1532" s="7" t="s">
        <v>1522</v>
      </c>
      <c r="I1532" s="7" t="s">
        <v>2981</v>
      </c>
      <c r="J1532" s="7" t="s">
        <v>288</v>
      </c>
      <c r="K1532" s="7" t="s">
        <v>69</v>
      </c>
      <c r="L1532" s="8">
        <v>61</v>
      </c>
      <c r="M1532" s="7" t="s">
        <v>70</v>
      </c>
      <c r="N1532" s="8">
        <v>37</v>
      </c>
      <c r="O1532" s="8">
        <v>1</v>
      </c>
      <c r="P1532" s="5">
        <v>7307.11</v>
      </c>
      <c r="Q1532" s="4">
        <v>45600</v>
      </c>
      <c r="R1532" s="9">
        <v>0.34089120370370368</v>
      </c>
      <c r="S1532" s="8">
        <v>17</v>
      </c>
      <c r="T1532" s="7" t="s">
        <v>4454</v>
      </c>
      <c r="U1532" s="7" t="s">
        <v>4455</v>
      </c>
      <c r="V15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33" spans="1:22" x14ac:dyDescent="0.35">
      <c r="A1533" s="7" t="s">
        <v>3329</v>
      </c>
      <c r="B1533" s="7" t="s">
        <v>2097</v>
      </c>
      <c r="C1533" s="5">
        <v>26.07</v>
      </c>
      <c r="D1533" s="2">
        <v>0.70866898148233304</v>
      </c>
      <c r="E1533" s="4">
        <v>45001</v>
      </c>
      <c r="F1533" s="7" t="s">
        <v>17</v>
      </c>
      <c r="G1533" s="7" t="s">
        <v>197</v>
      </c>
      <c r="H1533" s="7" t="s">
        <v>2675</v>
      </c>
      <c r="I1533" s="7" t="s">
        <v>302</v>
      </c>
      <c r="J1533" s="7" t="s">
        <v>885</v>
      </c>
      <c r="K1533" s="7" t="s">
        <v>69</v>
      </c>
      <c r="L1533" s="8">
        <v>20</v>
      </c>
      <c r="M1533" s="7" t="s">
        <v>37</v>
      </c>
      <c r="N1533" s="8">
        <v>19</v>
      </c>
      <c r="O1533" s="8">
        <v>3</v>
      </c>
      <c r="P1533" s="5">
        <v>349.98</v>
      </c>
      <c r="Q1533" s="4">
        <v>45600</v>
      </c>
      <c r="R1533" s="9">
        <v>0.34046296296296297</v>
      </c>
      <c r="S1533" s="8">
        <v>17</v>
      </c>
      <c r="T1533" s="7" t="s">
        <v>4456</v>
      </c>
      <c r="U1533" s="7" t="s">
        <v>4458</v>
      </c>
      <c r="V15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34" spans="1:22" x14ac:dyDescent="0.35">
      <c r="A1534" s="7" t="s">
        <v>3330</v>
      </c>
      <c r="B1534" s="7" t="s">
        <v>1612</v>
      </c>
      <c r="C1534" s="5">
        <v>170.45</v>
      </c>
      <c r="D1534" s="2">
        <v>0.70612268518743804</v>
      </c>
      <c r="E1534" s="4">
        <v>44931</v>
      </c>
      <c r="F1534" s="7" t="s">
        <v>17</v>
      </c>
      <c r="G1534" s="7" t="s">
        <v>212</v>
      </c>
      <c r="H1534" s="7" t="s">
        <v>1859</v>
      </c>
      <c r="I1534" s="7" t="s">
        <v>1098</v>
      </c>
      <c r="J1534" s="7" t="s">
        <v>607</v>
      </c>
      <c r="K1534" s="7" t="s">
        <v>69</v>
      </c>
      <c r="L1534" s="8">
        <v>60</v>
      </c>
      <c r="M1534" s="7" t="s">
        <v>77</v>
      </c>
      <c r="N1534" s="8">
        <v>199</v>
      </c>
      <c r="O1534" s="8">
        <v>1</v>
      </c>
      <c r="P1534" s="5">
        <v>2284.41</v>
      </c>
      <c r="Q1534" s="4">
        <v>45600</v>
      </c>
      <c r="R1534" s="9">
        <v>0.33978009259259262</v>
      </c>
      <c r="S1534" s="8">
        <v>16</v>
      </c>
      <c r="T1534" s="7" t="s">
        <v>4454</v>
      </c>
      <c r="U1534" s="7" t="s">
        <v>4455</v>
      </c>
      <c r="V15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35" spans="1:22" x14ac:dyDescent="0.35">
      <c r="A1535" s="7" t="s">
        <v>3331</v>
      </c>
      <c r="B1535" s="7" t="s">
        <v>3332</v>
      </c>
      <c r="C1535" s="5">
        <v>344.27</v>
      </c>
      <c r="D1535" s="2">
        <v>0.72446759259037208</v>
      </c>
      <c r="E1535" s="4">
        <v>45188</v>
      </c>
      <c r="F1535" s="7" t="s">
        <v>17</v>
      </c>
      <c r="G1535" s="7" t="s">
        <v>237</v>
      </c>
      <c r="H1535" s="7" t="s">
        <v>1945</v>
      </c>
      <c r="I1535" s="7" t="s">
        <v>2314</v>
      </c>
      <c r="J1535" s="7" t="s">
        <v>1000</v>
      </c>
      <c r="K1535" s="7" t="s">
        <v>69</v>
      </c>
      <c r="L1535" s="8">
        <v>22</v>
      </c>
      <c r="M1535" s="7" t="s">
        <v>37</v>
      </c>
      <c r="N1535" s="8">
        <v>123</v>
      </c>
      <c r="O1535" s="8">
        <v>1</v>
      </c>
      <c r="P1535" s="5">
        <v>1918.36</v>
      </c>
      <c r="Q1535" s="4">
        <v>45600</v>
      </c>
      <c r="R1535" s="9">
        <v>0.34001157407407406</v>
      </c>
      <c r="S1535" s="8">
        <v>17</v>
      </c>
      <c r="T1535" s="7" t="s">
        <v>4456</v>
      </c>
      <c r="U1535" s="7" t="s">
        <v>4455</v>
      </c>
      <c r="V15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36" spans="1:22" x14ac:dyDescent="0.35">
      <c r="A1536" s="7" t="s">
        <v>3333</v>
      </c>
      <c r="B1536" s="7" t="s">
        <v>1569</v>
      </c>
      <c r="C1536" s="5">
        <v>872.72</v>
      </c>
      <c r="D1536" s="2">
        <v>0.69950231481197989</v>
      </c>
      <c r="E1536" s="4">
        <v>45040</v>
      </c>
      <c r="F1536" s="7" t="s">
        <v>17</v>
      </c>
      <c r="G1536" s="7" t="s">
        <v>453</v>
      </c>
      <c r="H1536" s="7" t="s">
        <v>1897</v>
      </c>
      <c r="I1536" s="7" t="s">
        <v>3334</v>
      </c>
      <c r="J1536" s="7" t="s">
        <v>450</v>
      </c>
      <c r="K1536" s="7" t="s">
        <v>36</v>
      </c>
      <c r="L1536" s="8">
        <v>22</v>
      </c>
      <c r="M1536" s="7" t="s">
        <v>37</v>
      </c>
      <c r="N1536" s="8">
        <v>288</v>
      </c>
      <c r="O1536" s="8">
        <v>1</v>
      </c>
      <c r="P1536" s="5">
        <v>503.01</v>
      </c>
      <c r="Q1536" s="4">
        <v>45600</v>
      </c>
      <c r="R1536" s="9">
        <v>0.34084490740740742</v>
      </c>
      <c r="S1536" s="8">
        <v>16</v>
      </c>
      <c r="T1536" s="7" t="s">
        <v>4456</v>
      </c>
      <c r="U1536" s="7" t="s">
        <v>4455</v>
      </c>
      <c r="V15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37" spans="1:22" x14ac:dyDescent="0.35">
      <c r="A1537" s="7" t="s">
        <v>3335</v>
      </c>
      <c r="B1537" s="7" t="s">
        <v>242</v>
      </c>
      <c r="C1537" s="5">
        <v>292.95</v>
      </c>
      <c r="D1537" s="2">
        <v>0.68276620370306773</v>
      </c>
      <c r="E1537" s="4">
        <v>44973</v>
      </c>
      <c r="F1537" s="7" t="s">
        <v>17</v>
      </c>
      <c r="G1537" s="7" t="s">
        <v>92</v>
      </c>
      <c r="H1537" s="7" t="s">
        <v>730</v>
      </c>
      <c r="I1537" s="7" t="s">
        <v>116</v>
      </c>
      <c r="J1537" s="7" t="s">
        <v>288</v>
      </c>
      <c r="K1537" s="7" t="s">
        <v>69</v>
      </c>
      <c r="L1537" s="8">
        <v>37</v>
      </c>
      <c r="M1537" s="7" t="s">
        <v>77</v>
      </c>
      <c r="N1537" s="8">
        <v>56</v>
      </c>
      <c r="O1537" s="8">
        <v>1</v>
      </c>
      <c r="P1537" s="5">
        <v>1216.9100000000001</v>
      </c>
      <c r="Q1537" s="4">
        <v>45600</v>
      </c>
      <c r="R1537" s="9">
        <v>0.34112268518518518</v>
      </c>
      <c r="S1537" s="8">
        <v>16</v>
      </c>
      <c r="T1537" s="7" t="s">
        <v>4457</v>
      </c>
      <c r="U1537" s="7" t="s">
        <v>4455</v>
      </c>
      <c r="V15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38" spans="1:22" x14ac:dyDescent="0.35">
      <c r="A1538" s="7" t="s">
        <v>3336</v>
      </c>
      <c r="B1538" s="7" t="s">
        <v>192</v>
      </c>
      <c r="C1538" s="5">
        <v>28.44</v>
      </c>
      <c r="D1538" s="2">
        <v>0.73863425925810589</v>
      </c>
      <c r="E1538" s="4">
        <v>45169</v>
      </c>
      <c r="F1538" s="7" t="s">
        <v>17</v>
      </c>
      <c r="G1538" s="7" t="s">
        <v>558</v>
      </c>
      <c r="H1538" s="7" t="s">
        <v>2592</v>
      </c>
      <c r="I1538" s="7" t="s">
        <v>1215</v>
      </c>
      <c r="J1538" s="7" t="s">
        <v>478</v>
      </c>
      <c r="K1538" s="7" t="s">
        <v>22</v>
      </c>
      <c r="L1538" s="8">
        <v>18</v>
      </c>
      <c r="M1538" s="7" t="s">
        <v>37</v>
      </c>
      <c r="N1538" s="8">
        <v>243</v>
      </c>
      <c r="O1538" s="8">
        <v>1</v>
      </c>
      <c r="P1538" s="5">
        <v>1071.04</v>
      </c>
      <c r="Q1538" s="4">
        <v>45600</v>
      </c>
      <c r="R1538" s="9">
        <v>0.33961805555555558</v>
      </c>
      <c r="S1538" s="8">
        <v>17</v>
      </c>
      <c r="T1538" s="7" t="s">
        <v>4456</v>
      </c>
      <c r="U1538" s="7" t="s">
        <v>4455</v>
      </c>
      <c r="V15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39" spans="1:22" x14ac:dyDescent="0.35">
      <c r="A1539" s="7" t="s">
        <v>3337</v>
      </c>
      <c r="B1539" s="7" t="s">
        <v>2229</v>
      </c>
      <c r="C1539" s="5">
        <v>209.02</v>
      </c>
      <c r="D1539" s="2">
        <v>0.71430555555707542</v>
      </c>
      <c r="E1539" s="4">
        <v>44988</v>
      </c>
      <c r="F1539" s="7" t="s">
        <v>17</v>
      </c>
      <c r="G1539" s="7" t="s">
        <v>506</v>
      </c>
      <c r="H1539" s="7" t="s">
        <v>1493</v>
      </c>
      <c r="I1539" s="7" t="s">
        <v>1470</v>
      </c>
      <c r="J1539" s="7" t="s">
        <v>181</v>
      </c>
      <c r="K1539" s="7" t="s">
        <v>22</v>
      </c>
      <c r="L1539" s="8">
        <v>21</v>
      </c>
      <c r="M1539" s="7" t="s">
        <v>37</v>
      </c>
      <c r="N1539" s="8">
        <v>74</v>
      </c>
      <c r="O1539" s="8">
        <v>1</v>
      </c>
      <c r="P1539" s="5">
        <v>187.9</v>
      </c>
      <c r="Q1539" s="4">
        <v>45600</v>
      </c>
      <c r="R1539" s="9">
        <v>0.34119212962962964</v>
      </c>
      <c r="S1539" s="8">
        <v>17</v>
      </c>
      <c r="T1539" s="7" t="s">
        <v>4456</v>
      </c>
      <c r="U1539" s="7" t="s">
        <v>4455</v>
      </c>
      <c r="V15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40" spans="1:22" x14ac:dyDescent="0.35">
      <c r="A1540" s="7" t="s">
        <v>3338</v>
      </c>
      <c r="B1540" s="7" t="s">
        <v>1020</v>
      </c>
      <c r="C1540" s="5">
        <v>20.05</v>
      </c>
      <c r="D1540" s="2">
        <v>0.73878472221986158</v>
      </c>
      <c r="E1540" s="4">
        <v>45259</v>
      </c>
      <c r="F1540" s="7" t="s">
        <v>17</v>
      </c>
      <c r="G1540" s="7" t="s">
        <v>265</v>
      </c>
      <c r="H1540" s="7" t="s">
        <v>1566</v>
      </c>
      <c r="I1540" s="7" t="s">
        <v>1104</v>
      </c>
      <c r="J1540" s="7" t="s">
        <v>762</v>
      </c>
      <c r="K1540" s="7" t="s">
        <v>22</v>
      </c>
      <c r="L1540" s="8">
        <v>72</v>
      </c>
      <c r="M1540" s="7" t="s">
        <v>70</v>
      </c>
      <c r="N1540" s="8">
        <v>171</v>
      </c>
      <c r="O1540" s="8">
        <v>1</v>
      </c>
      <c r="P1540" s="5">
        <v>7145.67</v>
      </c>
      <c r="Q1540" s="4">
        <v>45600</v>
      </c>
      <c r="R1540" s="9">
        <v>0.33888888888888891</v>
      </c>
      <c r="S1540" s="8">
        <v>17</v>
      </c>
      <c r="T1540" s="7" t="s">
        <v>4454</v>
      </c>
      <c r="U1540" s="7" t="s">
        <v>4455</v>
      </c>
      <c r="V15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41" spans="1:22" x14ac:dyDescent="0.35">
      <c r="A1541" s="7" t="s">
        <v>3339</v>
      </c>
      <c r="B1541" s="7" t="s">
        <v>3092</v>
      </c>
      <c r="C1541" s="5">
        <v>175.02</v>
      </c>
      <c r="D1541" s="2">
        <v>0.68325231481139781</v>
      </c>
      <c r="E1541" s="4">
        <v>45026</v>
      </c>
      <c r="F1541" s="7" t="s">
        <v>17</v>
      </c>
      <c r="G1541" s="7" t="s">
        <v>425</v>
      </c>
      <c r="H1541" s="7" t="s">
        <v>998</v>
      </c>
      <c r="I1541" s="7" t="s">
        <v>3340</v>
      </c>
      <c r="J1541" s="7" t="s">
        <v>186</v>
      </c>
      <c r="K1541" s="7" t="s">
        <v>36</v>
      </c>
      <c r="L1541" s="8">
        <v>28</v>
      </c>
      <c r="M1541" s="7" t="s">
        <v>37</v>
      </c>
      <c r="N1541" s="8">
        <v>71</v>
      </c>
      <c r="O1541" s="8">
        <v>1</v>
      </c>
      <c r="P1541" s="5">
        <v>1493.88</v>
      </c>
      <c r="Q1541" s="4">
        <v>45600</v>
      </c>
      <c r="R1541" s="9">
        <v>0.33982638888888889</v>
      </c>
      <c r="S1541" s="8">
        <v>16</v>
      </c>
      <c r="T1541" s="7" t="s">
        <v>4456</v>
      </c>
      <c r="U1541" s="7" t="s">
        <v>4455</v>
      </c>
      <c r="V15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42" spans="1:22" x14ac:dyDescent="0.35">
      <c r="A1542" s="7" t="s">
        <v>3341</v>
      </c>
      <c r="B1542" s="7" t="s">
        <v>1707</v>
      </c>
      <c r="C1542" s="5">
        <v>89.5</v>
      </c>
      <c r="D1542" s="2">
        <v>0.68201388888701331</v>
      </c>
      <c r="E1542" s="4">
        <v>45159</v>
      </c>
      <c r="F1542" s="7" t="s">
        <v>46</v>
      </c>
      <c r="G1542" s="7" t="s">
        <v>108</v>
      </c>
      <c r="H1542" s="7" t="s">
        <v>862</v>
      </c>
      <c r="I1542" s="7" t="s">
        <v>1819</v>
      </c>
      <c r="J1542" s="7" t="s">
        <v>68</v>
      </c>
      <c r="K1542" s="7" t="s">
        <v>69</v>
      </c>
      <c r="L1542" s="8">
        <v>41</v>
      </c>
      <c r="M1542" s="7" t="s">
        <v>77</v>
      </c>
      <c r="N1542" s="8">
        <v>134</v>
      </c>
      <c r="O1542" s="8">
        <v>1</v>
      </c>
      <c r="P1542" s="5">
        <v>8658.9500000000007</v>
      </c>
      <c r="Q1542" s="4">
        <v>45600</v>
      </c>
      <c r="R1542" s="9">
        <v>0.33959490740740739</v>
      </c>
      <c r="S1542" s="8">
        <v>16</v>
      </c>
      <c r="T1542" s="7" t="s">
        <v>4457</v>
      </c>
      <c r="U1542" s="7" t="s">
        <v>4455</v>
      </c>
      <c r="V15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43" spans="1:22" x14ac:dyDescent="0.35">
      <c r="A1543" s="7" t="s">
        <v>3342</v>
      </c>
      <c r="B1543" s="7" t="s">
        <v>2802</v>
      </c>
      <c r="C1543" s="5">
        <v>69.959999999999994</v>
      </c>
      <c r="D1543" s="2">
        <v>0.7381944444423425</v>
      </c>
      <c r="E1543" s="4">
        <v>45215</v>
      </c>
      <c r="F1543" s="7" t="s">
        <v>17</v>
      </c>
      <c r="G1543" s="7" t="s">
        <v>197</v>
      </c>
      <c r="H1543" s="7" t="s">
        <v>275</v>
      </c>
      <c r="I1543" s="7" t="s">
        <v>903</v>
      </c>
      <c r="J1543" s="7" t="s">
        <v>406</v>
      </c>
      <c r="K1543" s="7" t="s">
        <v>69</v>
      </c>
      <c r="L1543" s="8">
        <v>28</v>
      </c>
      <c r="M1543" s="7" t="s">
        <v>37</v>
      </c>
      <c r="N1543" s="8">
        <v>31</v>
      </c>
      <c r="O1543" s="8">
        <v>1</v>
      </c>
      <c r="P1543" s="5">
        <v>164.12</v>
      </c>
      <c r="Q1543" s="4">
        <v>45600</v>
      </c>
      <c r="R1543" s="9">
        <v>0.33903935185185186</v>
      </c>
      <c r="S1543" s="8">
        <v>17</v>
      </c>
      <c r="T1543" s="7" t="s">
        <v>4456</v>
      </c>
      <c r="U1543" s="7" t="s">
        <v>4455</v>
      </c>
      <c r="V15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44" spans="1:22" x14ac:dyDescent="0.35">
      <c r="A1544" s="7" t="s">
        <v>3343</v>
      </c>
      <c r="B1544" s="7" t="s">
        <v>196</v>
      </c>
      <c r="C1544" s="5">
        <v>146.51</v>
      </c>
      <c r="D1544" s="2">
        <v>0.71686342592875008</v>
      </c>
      <c r="E1544" s="4">
        <v>44951</v>
      </c>
      <c r="F1544" s="7" t="s">
        <v>17</v>
      </c>
      <c r="G1544" s="7" t="s">
        <v>86</v>
      </c>
      <c r="H1544" s="7" t="s">
        <v>3344</v>
      </c>
      <c r="I1544" s="7" t="s">
        <v>1477</v>
      </c>
      <c r="J1544" s="7" t="s">
        <v>348</v>
      </c>
      <c r="K1544" s="7" t="s">
        <v>22</v>
      </c>
      <c r="L1544" s="8">
        <v>53</v>
      </c>
      <c r="M1544" s="7" t="s">
        <v>77</v>
      </c>
      <c r="N1544" s="8">
        <v>68</v>
      </c>
      <c r="O1544" s="8">
        <v>1</v>
      </c>
      <c r="P1544" s="5">
        <v>7089.9</v>
      </c>
      <c r="Q1544" s="4">
        <v>45600</v>
      </c>
      <c r="R1544" s="9">
        <v>0.34072916666666669</v>
      </c>
      <c r="S1544" s="8">
        <v>17</v>
      </c>
      <c r="T1544" s="7" t="s">
        <v>4457</v>
      </c>
      <c r="U1544" s="7" t="s">
        <v>4455</v>
      </c>
      <c r="V15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45" spans="1:22" x14ac:dyDescent="0.35">
      <c r="A1545" s="7" t="s">
        <v>3345</v>
      </c>
      <c r="B1545" s="7" t="s">
        <v>1114</v>
      </c>
      <c r="C1545" s="5">
        <v>376.78</v>
      </c>
      <c r="D1545" s="2">
        <v>0.72585648148378823</v>
      </c>
      <c r="E1545" s="4">
        <v>45152</v>
      </c>
      <c r="F1545" s="7" t="s">
        <v>46</v>
      </c>
      <c r="G1545" s="7" t="s">
        <v>80</v>
      </c>
      <c r="H1545" s="7" t="s">
        <v>1362</v>
      </c>
      <c r="I1545" s="7" t="s">
        <v>168</v>
      </c>
      <c r="J1545" s="7" t="s">
        <v>885</v>
      </c>
      <c r="K1545" s="7" t="s">
        <v>36</v>
      </c>
      <c r="L1545" s="8">
        <v>21</v>
      </c>
      <c r="M1545" s="7" t="s">
        <v>37</v>
      </c>
      <c r="N1545" s="8">
        <v>88</v>
      </c>
      <c r="O1545" s="8">
        <v>1</v>
      </c>
      <c r="P1545" s="5">
        <v>841.65</v>
      </c>
      <c r="Q1545" s="4">
        <v>45600</v>
      </c>
      <c r="R1545" s="9">
        <v>0.33876157407407409</v>
      </c>
      <c r="S1545" s="8">
        <v>17</v>
      </c>
      <c r="T1545" s="7" t="s">
        <v>4456</v>
      </c>
      <c r="U1545" s="7" t="s">
        <v>4455</v>
      </c>
      <c r="V15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46" spans="1:22" x14ac:dyDescent="0.35">
      <c r="A1546" s="7" t="s">
        <v>3346</v>
      </c>
      <c r="B1546" s="7" t="s">
        <v>222</v>
      </c>
      <c r="C1546" s="5">
        <v>148.54</v>
      </c>
      <c r="D1546" s="2">
        <v>0.68421296296583023</v>
      </c>
      <c r="E1546" s="4">
        <v>45282</v>
      </c>
      <c r="F1546" s="7" t="s">
        <v>46</v>
      </c>
      <c r="G1546" s="7" t="s">
        <v>125</v>
      </c>
      <c r="H1546" s="7" t="s">
        <v>1392</v>
      </c>
      <c r="I1546" s="7" t="s">
        <v>3347</v>
      </c>
      <c r="J1546" s="7" t="s">
        <v>122</v>
      </c>
      <c r="K1546" s="7" t="s">
        <v>69</v>
      </c>
      <c r="L1546" s="8">
        <v>71</v>
      </c>
      <c r="M1546" s="7" t="s">
        <v>70</v>
      </c>
      <c r="N1546" s="8">
        <v>107</v>
      </c>
      <c r="O1546" s="8">
        <v>1</v>
      </c>
      <c r="P1546" s="5">
        <v>5677.05</v>
      </c>
      <c r="Q1546" s="4">
        <v>45600</v>
      </c>
      <c r="R1546" s="9">
        <v>0.34157407407407409</v>
      </c>
      <c r="S1546" s="8">
        <v>16</v>
      </c>
      <c r="T1546" s="7" t="s">
        <v>4454</v>
      </c>
      <c r="U1546" s="7" t="s">
        <v>4455</v>
      </c>
      <c r="V15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47" spans="1:22" x14ac:dyDescent="0.35">
      <c r="A1547" s="7" t="s">
        <v>3348</v>
      </c>
      <c r="B1547" s="7" t="s">
        <v>664</v>
      </c>
      <c r="C1547" s="5">
        <v>388.77</v>
      </c>
      <c r="D1547" s="2">
        <v>0.70634259259531973</v>
      </c>
      <c r="E1547" s="4">
        <v>45271</v>
      </c>
      <c r="F1547" s="7" t="s">
        <v>46</v>
      </c>
      <c r="G1547" s="7" t="s">
        <v>392</v>
      </c>
      <c r="H1547" s="7" t="s">
        <v>846</v>
      </c>
      <c r="I1547" s="7" t="s">
        <v>234</v>
      </c>
      <c r="J1547" s="7" t="s">
        <v>149</v>
      </c>
      <c r="K1547" s="7" t="s">
        <v>36</v>
      </c>
      <c r="L1547" s="8">
        <v>26</v>
      </c>
      <c r="M1547" s="7" t="s">
        <v>37</v>
      </c>
      <c r="N1547" s="8">
        <v>30</v>
      </c>
      <c r="O1547" s="8">
        <v>1</v>
      </c>
      <c r="P1547" s="5">
        <v>1658.49</v>
      </c>
      <c r="Q1547" s="4">
        <v>45600</v>
      </c>
      <c r="R1547" s="9">
        <v>0.34103009259259259</v>
      </c>
      <c r="S1547" s="8">
        <v>16</v>
      </c>
      <c r="T1547" s="7" t="s">
        <v>4456</v>
      </c>
      <c r="U1547" s="7" t="s">
        <v>4455</v>
      </c>
      <c r="V15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48" spans="1:22" x14ac:dyDescent="0.35">
      <c r="A1548" s="7" t="s">
        <v>3349</v>
      </c>
      <c r="B1548" s="7" t="s">
        <v>2078</v>
      </c>
      <c r="C1548" s="5">
        <v>100.38</v>
      </c>
      <c r="D1548" s="2">
        <v>0.74392361110949423</v>
      </c>
      <c r="E1548" s="4">
        <v>45257</v>
      </c>
      <c r="F1548" s="7" t="s">
        <v>17</v>
      </c>
      <c r="G1548" s="7" t="s">
        <v>59</v>
      </c>
      <c r="H1548" s="7" t="s">
        <v>351</v>
      </c>
      <c r="I1548" s="7" t="s">
        <v>3350</v>
      </c>
      <c r="J1548" s="7" t="s">
        <v>406</v>
      </c>
      <c r="K1548" s="7" t="s">
        <v>69</v>
      </c>
      <c r="L1548" s="8">
        <v>63</v>
      </c>
      <c r="M1548" s="7" t="s">
        <v>23</v>
      </c>
      <c r="N1548" s="8">
        <v>49</v>
      </c>
      <c r="O1548" s="8">
        <v>1</v>
      </c>
      <c r="P1548" s="5">
        <v>10171.68</v>
      </c>
      <c r="Q1548" s="4">
        <v>45600</v>
      </c>
      <c r="R1548" s="9">
        <v>0.33979166666666666</v>
      </c>
      <c r="S1548" s="8">
        <v>17</v>
      </c>
      <c r="T1548" s="7" t="s">
        <v>4454</v>
      </c>
      <c r="U1548" s="7" t="s">
        <v>4455</v>
      </c>
      <c r="V15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49" spans="1:22" x14ac:dyDescent="0.35">
      <c r="A1549" s="7" t="s">
        <v>3351</v>
      </c>
      <c r="B1549" s="7" t="s">
        <v>1631</v>
      </c>
      <c r="C1549" s="5">
        <v>137.22999999999999</v>
      </c>
      <c r="D1549" s="2">
        <v>0.70164351852145046</v>
      </c>
      <c r="E1549" s="4">
        <v>45023</v>
      </c>
      <c r="F1549" s="7" t="s">
        <v>17</v>
      </c>
      <c r="G1549" s="7" t="s">
        <v>558</v>
      </c>
      <c r="H1549" s="7" t="s">
        <v>1039</v>
      </c>
      <c r="I1549" s="7" t="s">
        <v>3352</v>
      </c>
      <c r="J1549" s="7" t="s">
        <v>820</v>
      </c>
      <c r="K1549" s="7" t="s">
        <v>69</v>
      </c>
      <c r="L1549" s="8">
        <v>64</v>
      </c>
      <c r="M1549" s="7" t="s">
        <v>23</v>
      </c>
      <c r="N1549" s="8">
        <v>63</v>
      </c>
      <c r="O1549" s="8">
        <v>1</v>
      </c>
      <c r="P1549" s="5">
        <v>13847.99</v>
      </c>
      <c r="Q1549" s="4">
        <v>45600</v>
      </c>
      <c r="R1549" s="9">
        <v>0.33936342592592594</v>
      </c>
      <c r="S1549" s="8">
        <v>16</v>
      </c>
      <c r="T1549" s="7" t="s">
        <v>4454</v>
      </c>
      <c r="U1549" s="7" t="s">
        <v>4455</v>
      </c>
      <c r="V15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50" spans="1:22" x14ac:dyDescent="0.35">
      <c r="A1550" s="7" t="s">
        <v>3353</v>
      </c>
      <c r="B1550" s="7" t="s">
        <v>3354</v>
      </c>
      <c r="C1550" s="5">
        <v>870.3</v>
      </c>
      <c r="D1550" s="2">
        <v>0.74767361111298669</v>
      </c>
      <c r="E1550" s="4">
        <v>45166</v>
      </c>
      <c r="F1550" s="7" t="s">
        <v>17</v>
      </c>
      <c r="G1550" s="7" t="s">
        <v>223</v>
      </c>
      <c r="H1550" s="7" t="s">
        <v>3355</v>
      </c>
      <c r="I1550" s="7" t="s">
        <v>552</v>
      </c>
      <c r="J1550" s="7" t="s">
        <v>362</v>
      </c>
      <c r="K1550" s="7" t="s">
        <v>22</v>
      </c>
      <c r="L1550" s="8">
        <v>51</v>
      </c>
      <c r="M1550" s="7" t="s">
        <v>70</v>
      </c>
      <c r="N1550" s="8">
        <v>229</v>
      </c>
      <c r="O1550" s="8">
        <v>1</v>
      </c>
      <c r="P1550" s="5">
        <v>3688.98</v>
      </c>
      <c r="Q1550" s="4">
        <v>45600</v>
      </c>
      <c r="R1550" s="9">
        <v>0.33951388888888889</v>
      </c>
      <c r="S1550" s="8">
        <v>17</v>
      </c>
      <c r="T1550" s="7" t="s">
        <v>4457</v>
      </c>
      <c r="U1550" s="7" t="s">
        <v>4455</v>
      </c>
      <c r="V15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51" spans="1:22" x14ac:dyDescent="0.35">
      <c r="A1551" s="7" t="s">
        <v>3356</v>
      </c>
      <c r="B1551" s="7" t="s">
        <v>611</v>
      </c>
      <c r="C1551" s="5">
        <v>458.94</v>
      </c>
      <c r="D1551" s="2">
        <v>0.75443287037342088</v>
      </c>
      <c r="E1551" s="4">
        <v>45125</v>
      </c>
      <c r="F1551" s="7" t="s">
        <v>17</v>
      </c>
      <c r="G1551" s="7" t="s">
        <v>73</v>
      </c>
      <c r="H1551" s="7" t="s">
        <v>2428</v>
      </c>
      <c r="I1551" s="7" t="s">
        <v>1689</v>
      </c>
      <c r="J1551" s="7" t="s">
        <v>592</v>
      </c>
      <c r="K1551" s="7" t="s">
        <v>69</v>
      </c>
      <c r="L1551" s="8">
        <v>52</v>
      </c>
      <c r="M1551" s="7" t="s">
        <v>77</v>
      </c>
      <c r="N1551" s="8">
        <v>180</v>
      </c>
      <c r="O1551" s="8">
        <v>1</v>
      </c>
      <c r="P1551" s="5">
        <v>5619.95</v>
      </c>
      <c r="Q1551" s="4">
        <v>45600</v>
      </c>
      <c r="R1551" s="9">
        <v>0.33929398148148149</v>
      </c>
      <c r="S1551" s="8">
        <v>18</v>
      </c>
      <c r="T1551" s="7" t="s">
        <v>4457</v>
      </c>
      <c r="U1551" s="7" t="s">
        <v>4455</v>
      </c>
      <c r="V15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52" spans="1:22" x14ac:dyDescent="0.35">
      <c r="A1552" s="7" t="s">
        <v>3357</v>
      </c>
      <c r="B1552" s="7" t="s">
        <v>1137</v>
      </c>
      <c r="C1552" s="5">
        <v>327.35000000000002</v>
      </c>
      <c r="D1552" s="2">
        <v>0.78400462962599704</v>
      </c>
      <c r="E1552" s="4">
        <v>45194</v>
      </c>
      <c r="F1552" s="7" t="s">
        <v>46</v>
      </c>
      <c r="G1552" s="7" t="s">
        <v>92</v>
      </c>
      <c r="H1552" s="7" t="s">
        <v>902</v>
      </c>
      <c r="I1552" s="7" t="s">
        <v>1962</v>
      </c>
      <c r="J1552" s="7" t="s">
        <v>128</v>
      </c>
      <c r="K1552" s="7" t="s">
        <v>69</v>
      </c>
      <c r="L1552" s="8">
        <v>20</v>
      </c>
      <c r="M1552" s="7" t="s">
        <v>37</v>
      </c>
      <c r="N1552" s="8">
        <v>175</v>
      </c>
      <c r="O1552" s="8">
        <v>1</v>
      </c>
      <c r="P1552" s="5">
        <v>342.08</v>
      </c>
      <c r="Q1552" s="4">
        <v>45600</v>
      </c>
      <c r="R1552" s="9">
        <v>0.34119212962962964</v>
      </c>
      <c r="S1552" s="8">
        <v>18</v>
      </c>
      <c r="T1552" s="7" t="s">
        <v>4456</v>
      </c>
      <c r="U1552" s="7" t="s">
        <v>4455</v>
      </c>
      <c r="V15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53" spans="1:22" x14ac:dyDescent="0.35">
      <c r="A1553" s="7" t="s">
        <v>3358</v>
      </c>
      <c r="B1553" s="7" t="s">
        <v>467</v>
      </c>
      <c r="C1553" s="5">
        <v>757.15</v>
      </c>
      <c r="D1553" s="2">
        <v>0.70356481481576338</v>
      </c>
      <c r="E1553" s="4">
        <v>44943</v>
      </c>
      <c r="F1553" s="7" t="s">
        <v>17</v>
      </c>
      <c r="G1553" s="7" t="s">
        <v>40</v>
      </c>
      <c r="H1553" s="7" t="s">
        <v>2079</v>
      </c>
      <c r="I1553" s="7" t="s">
        <v>42</v>
      </c>
      <c r="J1553" s="7" t="s">
        <v>674</v>
      </c>
      <c r="K1553" s="7" t="s">
        <v>36</v>
      </c>
      <c r="L1553" s="8">
        <v>53</v>
      </c>
      <c r="M1553" s="7" t="s">
        <v>77</v>
      </c>
      <c r="N1553" s="8">
        <v>38</v>
      </c>
      <c r="O1553" s="8">
        <v>1</v>
      </c>
      <c r="P1553" s="5">
        <v>4702.8599999999997</v>
      </c>
      <c r="Q1553" s="4">
        <v>45600</v>
      </c>
      <c r="R1553" s="9">
        <v>0.33895833333333331</v>
      </c>
      <c r="S1553" s="8">
        <v>16</v>
      </c>
      <c r="T1553" s="7" t="s">
        <v>4457</v>
      </c>
      <c r="U1553" s="7" t="s">
        <v>4455</v>
      </c>
      <c r="V15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54" spans="1:22" x14ac:dyDescent="0.35">
      <c r="A1554" s="7" t="s">
        <v>3359</v>
      </c>
      <c r="B1554" s="7" t="s">
        <v>1715</v>
      </c>
      <c r="C1554" s="5">
        <v>5.64</v>
      </c>
      <c r="D1554" s="2">
        <v>0.70659722221898846</v>
      </c>
      <c r="E1554" s="4">
        <v>44993</v>
      </c>
      <c r="F1554" s="7" t="s">
        <v>17</v>
      </c>
      <c r="G1554" s="7" t="s">
        <v>388</v>
      </c>
      <c r="H1554" s="7" t="s">
        <v>3360</v>
      </c>
      <c r="I1554" s="7" t="s">
        <v>261</v>
      </c>
      <c r="J1554" s="7" t="s">
        <v>331</v>
      </c>
      <c r="K1554" s="7" t="s">
        <v>36</v>
      </c>
      <c r="L1554" s="8">
        <v>59</v>
      </c>
      <c r="M1554" s="7" t="s">
        <v>23</v>
      </c>
      <c r="N1554" s="8">
        <v>47</v>
      </c>
      <c r="O1554" s="8">
        <v>1</v>
      </c>
      <c r="P1554" s="5">
        <v>12703.24</v>
      </c>
      <c r="Q1554" s="4">
        <v>45600</v>
      </c>
      <c r="R1554" s="9">
        <v>0.34108796296296295</v>
      </c>
      <c r="S1554" s="8">
        <v>16</v>
      </c>
      <c r="T1554" s="7" t="s">
        <v>4454</v>
      </c>
      <c r="U1554" s="7" t="s">
        <v>4455</v>
      </c>
      <c r="V15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55" spans="1:22" x14ac:dyDescent="0.35">
      <c r="A1555" s="7" t="s">
        <v>3361</v>
      </c>
      <c r="B1555" s="7" t="s">
        <v>1240</v>
      </c>
      <c r="C1555" s="5">
        <v>47.23</v>
      </c>
      <c r="D1555" s="2">
        <v>0.763148148151231</v>
      </c>
      <c r="E1555" s="4">
        <v>45141</v>
      </c>
      <c r="F1555" s="7" t="s">
        <v>46</v>
      </c>
      <c r="G1555" s="7" t="s">
        <v>92</v>
      </c>
      <c r="H1555" s="7" t="s">
        <v>1573</v>
      </c>
      <c r="I1555" s="7" t="s">
        <v>1595</v>
      </c>
      <c r="J1555" s="7" t="s">
        <v>639</v>
      </c>
      <c r="K1555" s="7" t="s">
        <v>36</v>
      </c>
      <c r="L1555" s="8">
        <v>73</v>
      </c>
      <c r="M1555" s="7" t="s">
        <v>70</v>
      </c>
      <c r="N1555" s="8">
        <v>160</v>
      </c>
      <c r="O1555" s="8">
        <v>1</v>
      </c>
      <c r="P1555" s="5">
        <v>6659.81</v>
      </c>
      <c r="Q1555" s="4">
        <v>45600</v>
      </c>
      <c r="R1555" s="9">
        <v>0.34105324074074073</v>
      </c>
      <c r="S1555" s="8">
        <v>18</v>
      </c>
      <c r="T1555" s="7" t="s">
        <v>4454</v>
      </c>
      <c r="U1555" s="7" t="s">
        <v>4455</v>
      </c>
      <c r="V15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56" spans="1:22" x14ac:dyDescent="0.35">
      <c r="A1556" s="7" t="s">
        <v>3362</v>
      </c>
      <c r="B1556" s="7" t="s">
        <v>2056</v>
      </c>
      <c r="C1556" s="5">
        <v>239.41</v>
      </c>
      <c r="D1556" s="2">
        <v>0.72483796296000946</v>
      </c>
      <c r="E1556" s="4">
        <v>45231</v>
      </c>
      <c r="F1556" s="7" t="s">
        <v>46</v>
      </c>
      <c r="G1556" s="7" t="s">
        <v>197</v>
      </c>
      <c r="H1556" s="7" t="s">
        <v>1261</v>
      </c>
      <c r="I1556" s="7" t="s">
        <v>361</v>
      </c>
      <c r="J1556" s="7" t="s">
        <v>331</v>
      </c>
      <c r="K1556" s="7" t="s">
        <v>36</v>
      </c>
      <c r="L1556" s="8">
        <v>42</v>
      </c>
      <c r="M1556" s="7" t="s">
        <v>23</v>
      </c>
      <c r="N1556" s="8">
        <v>248</v>
      </c>
      <c r="O1556" s="8">
        <v>1</v>
      </c>
      <c r="P1556" s="5">
        <v>7860.65</v>
      </c>
      <c r="Q1556" s="4">
        <v>45600</v>
      </c>
      <c r="R1556" s="9">
        <v>0.33841435185185187</v>
      </c>
      <c r="S1556" s="8">
        <v>17</v>
      </c>
      <c r="T1556" s="7" t="s">
        <v>4457</v>
      </c>
      <c r="U1556" s="7" t="s">
        <v>4455</v>
      </c>
      <c r="V15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57" spans="1:22" x14ac:dyDescent="0.35">
      <c r="A1557" s="7" t="s">
        <v>3363</v>
      </c>
      <c r="B1557" s="7" t="s">
        <v>1528</v>
      </c>
      <c r="C1557" s="5">
        <v>7.48</v>
      </c>
      <c r="D1557" s="2">
        <v>0.69884259259561077</v>
      </c>
      <c r="E1557" s="4">
        <v>45110</v>
      </c>
      <c r="F1557" s="7" t="s">
        <v>17</v>
      </c>
      <c r="G1557" s="7" t="s">
        <v>237</v>
      </c>
      <c r="H1557" s="7" t="s">
        <v>3100</v>
      </c>
      <c r="I1557" s="7" t="s">
        <v>3364</v>
      </c>
      <c r="J1557" s="7" t="s">
        <v>105</v>
      </c>
      <c r="K1557" s="7" t="s">
        <v>22</v>
      </c>
      <c r="L1557" s="8">
        <v>55</v>
      </c>
      <c r="M1557" s="7" t="s">
        <v>77</v>
      </c>
      <c r="N1557" s="8">
        <v>29</v>
      </c>
      <c r="O1557" s="8">
        <v>1</v>
      </c>
      <c r="P1557" s="5">
        <v>1275.2</v>
      </c>
      <c r="Q1557" s="4">
        <v>45600</v>
      </c>
      <c r="R1557" s="9">
        <v>0.34190972222222221</v>
      </c>
      <c r="S1557" s="8">
        <v>16</v>
      </c>
      <c r="T1557" s="7" t="s">
        <v>4454</v>
      </c>
      <c r="U1557" s="7" t="s">
        <v>4455</v>
      </c>
      <c r="V15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58" spans="1:22" x14ac:dyDescent="0.35">
      <c r="A1558" s="7" t="s">
        <v>3365</v>
      </c>
      <c r="B1558" s="7" t="s">
        <v>1030</v>
      </c>
      <c r="C1558" s="5">
        <v>170.97</v>
      </c>
      <c r="D1558" s="2">
        <v>0.71145833333139308</v>
      </c>
      <c r="E1558" s="4">
        <v>45047</v>
      </c>
      <c r="F1558" s="7" t="s">
        <v>17</v>
      </c>
      <c r="G1558" s="7" t="s">
        <v>80</v>
      </c>
      <c r="H1558" s="7" t="s">
        <v>3366</v>
      </c>
      <c r="I1558" s="7" t="s">
        <v>1657</v>
      </c>
      <c r="J1558" s="7" t="s">
        <v>252</v>
      </c>
      <c r="K1558" s="7" t="s">
        <v>69</v>
      </c>
      <c r="L1558" s="8">
        <v>26</v>
      </c>
      <c r="M1558" s="7" t="s">
        <v>37</v>
      </c>
      <c r="N1558" s="8">
        <v>292</v>
      </c>
      <c r="O1558" s="8">
        <v>1</v>
      </c>
      <c r="P1558" s="5">
        <v>1265.27</v>
      </c>
      <c r="Q1558" s="4">
        <v>45600</v>
      </c>
      <c r="R1558" s="9">
        <v>0.33878472222222222</v>
      </c>
      <c r="S1558" s="8">
        <v>17</v>
      </c>
      <c r="T1558" s="7" t="s">
        <v>4456</v>
      </c>
      <c r="U1558" s="7" t="s">
        <v>4455</v>
      </c>
      <c r="V15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59" spans="1:22" x14ac:dyDescent="0.35">
      <c r="A1559" s="7" t="s">
        <v>3367</v>
      </c>
      <c r="B1559" s="7" t="s">
        <v>2779</v>
      </c>
      <c r="C1559" s="5">
        <v>262.43</v>
      </c>
      <c r="D1559" s="2">
        <v>0.72701388888526708</v>
      </c>
      <c r="E1559" s="4">
        <v>45090</v>
      </c>
      <c r="F1559" s="7" t="s">
        <v>46</v>
      </c>
      <c r="G1559" s="7" t="s">
        <v>18</v>
      </c>
      <c r="H1559" s="7" t="s">
        <v>2666</v>
      </c>
      <c r="I1559" s="7" t="s">
        <v>3146</v>
      </c>
      <c r="J1559" s="7" t="s">
        <v>246</v>
      </c>
      <c r="K1559" s="7" t="s">
        <v>36</v>
      </c>
      <c r="L1559" s="8">
        <v>37</v>
      </c>
      <c r="M1559" s="7" t="s">
        <v>23</v>
      </c>
      <c r="N1559" s="8">
        <v>274</v>
      </c>
      <c r="O1559" s="8">
        <v>5</v>
      </c>
      <c r="P1559" s="5">
        <v>12841.01</v>
      </c>
      <c r="Q1559" s="4">
        <v>45600</v>
      </c>
      <c r="R1559" s="9">
        <v>0.33872685185185186</v>
      </c>
      <c r="S1559" s="8">
        <v>17</v>
      </c>
      <c r="T1559" s="7" t="s">
        <v>4457</v>
      </c>
      <c r="U1559" s="7" t="s">
        <v>4458</v>
      </c>
      <c r="V15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60" spans="1:22" x14ac:dyDescent="0.35">
      <c r="A1560" s="7" t="s">
        <v>3368</v>
      </c>
      <c r="B1560" s="7" t="s">
        <v>242</v>
      </c>
      <c r="C1560" s="5">
        <v>659.15</v>
      </c>
      <c r="D1560" s="2">
        <v>0.66832175925810589</v>
      </c>
      <c r="E1560" s="4">
        <v>44957</v>
      </c>
      <c r="F1560" s="7" t="s">
        <v>17</v>
      </c>
      <c r="G1560" s="7" t="s">
        <v>388</v>
      </c>
      <c r="H1560" s="7" t="s">
        <v>2687</v>
      </c>
      <c r="I1560" s="7" t="s">
        <v>2027</v>
      </c>
      <c r="J1560" s="7" t="s">
        <v>240</v>
      </c>
      <c r="K1560" s="7" t="s">
        <v>22</v>
      </c>
      <c r="L1560" s="8">
        <v>22</v>
      </c>
      <c r="M1560" s="7" t="s">
        <v>37</v>
      </c>
      <c r="N1560" s="8">
        <v>204</v>
      </c>
      <c r="O1560" s="8">
        <v>1</v>
      </c>
      <c r="P1560" s="5">
        <v>1241.5899999999999</v>
      </c>
      <c r="Q1560" s="4">
        <v>45600</v>
      </c>
      <c r="R1560" s="9">
        <v>0.33777777777777779</v>
      </c>
      <c r="S1560" s="8">
        <v>16</v>
      </c>
      <c r="T1560" s="7" t="s">
        <v>4456</v>
      </c>
      <c r="U1560" s="7" t="s">
        <v>4455</v>
      </c>
      <c r="V15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61" spans="1:22" x14ac:dyDescent="0.35">
      <c r="A1561" s="7" t="s">
        <v>3369</v>
      </c>
      <c r="B1561" s="7" t="s">
        <v>259</v>
      </c>
      <c r="C1561" s="5">
        <v>31.53</v>
      </c>
      <c r="D1561" s="2">
        <v>0.71891203703853535</v>
      </c>
      <c r="E1561" s="4">
        <v>45280</v>
      </c>
      <c r="F1561" s="7" t="s">
        <v>17</v>
      </c>
      <c r="G1561" s="7" t="s">
        <v>291</v>
      </c>
      <c r="H1561" s="7" t="s">
        <v>3370</v>
      </c>
      <c r="I1561" s="7" t="s">
        <v>3227</v>
      </c>
      <c r="J1561" s="7" t="s">
        <v>312</v>
      </c>
      <c r="K1561" s="7" t="s">
        <v>36</v>
      </c>
      <c r="L1561" s="8">
        <v>25</v>
      </c>
      <c r="M1561" s="7" t="s">
        <v>37</v>
      </c>
      <c r="N1561" s="8">
        <v>283</v>
      </c>
      <c r="O1561" s="8">
        <v>1</v>
      </c>
      <c r="P1561" s="5">
        <v>874.93</v>
      </c>
      <c r="Q1561" s="4">
        <v>45600</v>
      </c>
      <c r="R1561" s="9">
        <v>0.33788194444444447</v>
      </c>
      <c r="S1561" s="8">
        <v>17</v>
      </c>
      <c r="T1561" s="7" t="s">
        <v>4456</v>
      </c>
      <c r="U1561" s="7" t="s">
        <v>4455</v>
      </c>
      <c r="V15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62" spans="1:22" x14ac:dyDescent="0.35">
      <c r="A1562" s="7" t="s">
        <v>3371</v>
      </c>
      <c r="B1562" s="7" t="s">
        <v>1114</v>
      </c>
      <c r="C1562" s="5">
        <v>111.66</v>
      </c>
      <c r="D1562" s="2">
        <v>0.76287037037400296</v>
      </c>
      <c r="E1562" s="4">
        <v>45084</v>
      </c>
      <c r="F1562" s="7" t="s">
        <v>46</v>
      </c>
      <c r="G1562" s="7" t="s">
        <v>453</v>
      </c>
      <c r="H1562" s="7" t="s">
        <v>2142</v>
      </c>
      <c r="I1562" s="7" t="s">
        <v>638</v>
      </c>
      <c r="J1562" s="7" t="s">
        <v>1524</v>
      </c>
      <c r="K1562" s="7" t="s">
        <v>36</v>
      </c>
      <c r="L1562" s="8">
        <v>48</v>
      </c>
      <c r="M1562" s="7" t="s">
        <v>77</v>
      </c>
      <c r="N1562" s="8">
        <v>140</v>
      </c>
      <c r="O1562" s="8">
        <v>1</v>
      </c>
      <c r="P1562" s="5">
        <v>5716.72</v>
      </c>
      <c r="Q1562" s="4">
        <v>45600</v>
      </c>
      <c r="R1562" s="9">
        <v>0.33861111111111108</v>
      </c>
      <c r="S1562" s="8">
        <v>18</v>
      </c>
      <c r="T1562" s="7" t="s">
        <v>4457</v>
      </c>
      <c r="U1562" s="7" t="s">
        <v>4455</v>
      </c>
      <c r="V15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63" spans="1:22" x14ac:dyDescent="0.35">
      <c r="A1563" s="7" t="s">
        <v>3372</v>
      </c>
      <c r="B1563" s="7" t="s">
        <v>3241</v>
      </c>
      <c r="C1563" s="5">
        <v>250.01</v>
      </c>
      <c r="D1563" s="2">
        <v>0.68628472222189885</v>
      </c>
      <c r="E1563" s="4">
        <v>45236</v>
      </c>
      <c r="F1563" s="7" t="s">
        <v>17</v>
      </c>
      <c r="G1563" s="7" t="s">
        <v>291</v>
      </c>
      <c r="H1563" s="7" t="s">
        <v>1005</v>
      </c>
      <c r="I1563" s="7" t="s">
        <v>1868</v>
      </c>
      <c r="J1563" s="7" t="s">
        <v>100</v>
      </c>
      <c r="K1563" s="7" t="s">
        <v>22</v>
      </c>
      <c r="L1563" s="8">
        <v>62</v>
      </c>
      <c r="M1563" s="7" t="s">
        <v>70</v>
      </c>
      <c r="N1563" s="8">
        <v>88</v>
      </c>
      <c r="O1563" s="8">
        <v>1</v>
      </c>
      <c r="P1563" s="5">
        <v>1541.48</v>
      </c>
      <c r="Q1563" s="4">
        <v>45600</v>
      </c>
      <c r="R1563" s="9">
        <v>0.3417824074074074</v>
      </c>
      <c r="S1563" s="8">
        <v>16</v>
      </c>
      <c r="T1563" s="7" t="s">
        <v>4454</v>
      </c>
      <c r="U1563" s="7" t="s">
        <v>4455</v>
      </c>
      <c r="V15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64" spans="1:22" x14ac:dyDescent="0.35">
      <c r="A1564" s="7" t="s">
        <v>3373</v>
      </c>
      <c r="B1564" s="7" t="s">
        <v>3374</v>
      </c>
      <c r="C1564" s="5">
        <v>554.15</v>
      </c>
      <c r="D1564" s="2">
        <v>0.72056712963239988</v>
      </c>
      <c r="E1564" s="4">
        <v>45034</v>
      </c>
      <c r="F1564" s="7" t="s">
        <v>17</v>
      </c>
      <c r="G1564" s="7" t="s">
        <v>40</v>
      </c>
      <c r="H1564" s="7" t="s">
        <v>3375</v>
      </c>
      <c r="I1564" s="7" t="s">
        <v>1689</v>
      </c>
      <c r="J1564" s="7" t="s">
        <v>386</v>
      </c>
      <c r="K1564" s="7" t="s">
        <v>22</v>
      </c>
      <c r="L1564" s="8">
        <v>49</v>
      </c>
      <c r="M1564" s="7" t="s">
        <v>23</v>
      </c>
      <c r="N1564" s="8">
        <v>108</v>
      </c>
      <c r="O1564" s="8">
        <v>1</v>
      </c>
      <c r="P1564" s="5">
        <v>14817.22</v>
      </c>
      <c r="Q1564" s="4">
        <v>45600</v>
      </c>
      <c r="R1564" s="9">
        <v>0.34179398148148149</v>
      </c>
      <c r="S1564" s="8">
        <v>17</v>
      </c>
      <c r="T1564" s="7" t="s">
        <v>4457</v>
      </c>
      <c r="U1564" s="7" t="s">
        <v>4455</v>
      </c>
      <c r="V15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65" spans="1:22" x14ac:dyDescent="0.35">
      <c r="A1565" s="7" t="s">
        <v>3376</v>
      </c>
      <c r="B1565" s="7" t="s">
        <v>177</v>
      </c>
      <c r="C1565" s="5">
        <v>598.66</v>
      </c>
      <c r="D1565" s="2">
        <v>0.70259259259182727</v>
      </c>
      <c r="E1565" s="4">
        <v>44936</v>
      </c>
      <c r="F1565" s="7" t="s">
        <v>46</v>
      </c>
      <c r="G1565" s="7" t="s">
        <v>249</v>
      </c>
      <c r="H1565" s="7" t="s">
        <v>3071</v>
      </c>
      <c r="I1565" s="7" t="s">
        <v>2658</v>
      </c>
      <c r="J1565" s="7" t="s">
        <v>418</v>
      </c>
      <c r="K1565" s="7" t="s">
        <v>69</v>
      </c>
      <c r="L1565" s="8">
        <v>32</v>
      </c>
      <c r="M1565" s="7" t="s">
        <v>77</v>
      </c>
      <c r="N1565" s="8">
        <v>222</v>
      </c>
      <c r="O1565" s="8">
        <v>1</v>
      </c>
      <c r="P1565" s="5">
        <v>2587.11</v>
      </c>
      <c r="Q1565" s="4">
        <v>45600</v>
      </c>
      <c r="R1565" s="9">
        <v>0.34144675925925927</v>
      </c>
      <c r="S1565" s="8">
        <v>16</v>
      </c>
      <c r="T1565" s="7" t="s">
        <v>4456</v>
      </c>
      <c r="U1565" s="7" t="s">
        <v>4455</v>
      </c>
      <c r="V15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66" spans="1:22" x14ac:dyDescent="0.35">
      <c r="A1566" s="7" t="s">
        <v>3377</v>
      </c>
      <c r="B1566" s="7" t="s">
        <v>52</v>
      </c>
      <c r="C1566" s="5">
        <v>28.38</v>
      </c>
      <c r="D1566" s="2">
        <v>0.68351851851912215</v>
      </c>
      <c r="E1566" s="4">
        <v>45064</v>
      </c>
      <c r="F1566" s="7" t="s">
        <v>17</v>
      </c>
      <c r="G1566" s="7" t="s">
        <v>285</v>
      </c>
      <c r="H1566" s="7" t="s">
        <v>893</v>
      </c>
      <c r="I1566" s="7" t="s">
        <v>496</v>
      </c>
      <c r="J1566" s="7" t="s">
        <v>160</v>
      </c>
      <c r="K1566" s="7" t="s">
        <v>69</v>
      </c>
      <c r="L1566" s="8">
        <v>55</v>
      </c>
      <c r="M1566" s="7" t="s">
        <v>23</v>
      </c>
      <c r="N1566" s="8">
        <v>98</v>
      </c>
      <c r="O1566" s="8">
        <v>1</v>
      </c>
      <c r="P1566" s="5">
        <v>173.7</v>
      </c>
      <c r="Q1566" s="4">
        <v>45600</v>
      </c>
      <c r="R1566" s="9">
        <v>0.33953703703703703</v>
      </c>
      <c r="S1566" s="8">
        <v>16</v>
      </c>
      <c r="T1566" s="7" t="s">
        <v>4454</v>
      </c>
      <c r="U1566" s="7" t="s">
        <v>4455</v>
      </c>
      <c r="V15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67" spans="1:22" x14ac:dyDescent="0.35">
      <c r="A1567" s="7" t="s">
        <v>3378</v>
      </c>
      <c r="B1567" s="7" t="s">
        <v>1186</v>
      </c>
      <c r="C1567" s="5">
        <v>16.8</v>
      </c>
      <c r="D1567" s="2">
        <v>0.70958333333692281</v>
      </c>
      <c r="E1567" s="4">
        <v>45257</v>
      </c>
      <c r="F1567" s="7" t="s">
        <v>17</v>
      </c>
      <c r="G1567" s="7" t="s">
        <v>18</v>
      </c>
      <c r="H1567" s="7" t="s">
        <v>649</v>
      </c>
      <c r="I1567" s="7" t="s">
        <v>1208</v>
      </c>
      <c r="J1567" s="7" t="s">
        <v>1037</v>
      </c>
      <c r="K1567" s="7" t="s">
        <v>22</v>
      </c>
      <c r="L1567" s="8">
        <v>49</v>
      </c>
      <c r="M1567" s="7" t="s">
        <v>23</v>
      </c>
      <c r="N1567" s="8">
        <v>94</v>
      </c>
      <c r="O1567" s="8">
        <v>1</v>
      </c>
      <c r="P1567" s="5">
        <v>11847.07</v>
      </c>
      <c r="Q1567" s="4">
        <v>45600</v>
      </c>
      <c r="R1567" s="9">
        <v>0.34017361111111111</v>
      </c>
      <c r="S1567" s="8">
        <v>17</v>
      </c>
      <c r="T1567" s="7" t="s">
        <v>4457</v>
      </c>
      <c r="U1567" s="7" t="s">
        <v>4455</v>
      </c>
      <c r="V15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68" spans="1:22" x14ac:dyDescent="0.35">
      <c r="A1568" s="7" t="s">
        <v>3379</v>
      </c>
      <c r="B1568" s="7" t="s">
        <v>1172</v>
      </c>
      <c r="C1568" s="5">
        <v>896.79</v>
      </c>
      <c r="D1568" s="2">
        <v>0.69165509259619284</v>
      </c>
      <c r="E1568" s="4">
        <v>45236</v>
      </c>
      <c r="F1568" s="7" t="s">
        <v>17</v>
      </c>
      <c r="G1568" s="7" t="s">
        <v>323</v>
      </c>
      <c r="H1568" s="7" t="s">
        <v>877</v>
      </c>
      <c r="I1568" s="7" t="s">
        <v>646</v>
      </c>
      <c r="J1568" s="7" t="s">
        <v>343</v>
      </c>
      <c r="K1568" s="7" t="s">
        <v>36</v>
      </c>
      <c r="L1568" s="8">
        <v>33</v>
      </c>
      <c r="M1568" s="7" t="s">
        <v>23</v>
      </c>
      <c r="N1568" s="8">
        <v>168</v>
      </c>
      <c r="O1568" s="8">
        <v>1</v>
      </c>
      <c r="P1568" s="5">
        <v>11146.74</v>
      </c>
      <c r="Q1568" s="4">
        <v>45600</v>
      </c>
      <c r="R1568" s="9">
        <v>0.33802083333333333</v>
      </c>
      <c r="S1568" s="8">
        <v>16</v>
      </c>
      <c r="T1568" s="7" t="s">
        <v>4456</v>
      </c>
      <c r="U1568" s="7" t="s">
        <v>4455</v>
      </c>
      <c r="V15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69" spans="1:22" x14ac:dyDescent="0.35">
      <c r="A1569" s="7" t="s">
        <v>3380</v>
      </c>
      <c r="B1569" s="7" t="s">
        <v>156</v>
      </c>
      <c r="C1569" s="5">
        <v>159</v>
      </c>
      <c r="D1569" s="2">
        <v>0.75314814814919373</v>
      </c>
      <c r="E1569" s="4">
        <v>44991</v>
      </c>
      <c r="F1569" s="7" t="s">
        <v>17</v>
      </c>
      <c r="G1569" s="7" t="s">
        <v>146</v>
      </c>
      <c r="H1569" s="7" t="s">
        <v>2944</v>
      </c>
      <c r="I1569" s="7" t="s">
        <v>2434</v>
      </c>
      <c r="J1569" s="7" t="s">
        <v>128</v>
      </c>
      <c r="K1569" s="7" t="s">
        <v>22</v>
      </c>
      <c r="L1569" s="8">
        <v>49</v>
      </c>
      <c r="M1569" s="7" t="s">
        <v>77</v>
      </c>
      <c r="N1569" s="8">
        <v>38</v>
      </c>
      <c r="O1569" s="8">
        <v>1</v>
      </c>
      <c r="P1569" s="5">
        <v>369.79</v>
      </c>
      <c r="Q1569" s="4">
        <v>45600</v>
      </c>
      <c r="R1569" s="9">
        <v>0.33929398148148149</v>
      </c>
      <c r="S1569" s="8">
        <v>18</v>
      </c>
      <c r="T1569" s="7" t="s">
        <v>4457</v>
      </c>
      <c r="U1569" s="7" t="s">
        <v>4455</v>
      </c>
      <c r="V15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70" spans="1:22" x14ac:dyDescent="0.35">
      <c r="A1570" s="7" t="s">
        <v>3381</v>
      </c>
      <c r="B1570" s="7" t="s">
        <v>629</v>
      </c>
      <c r="C1570" s="5">
        <v>56.31</v>
      </c>
      <c r="D1570" s="2">
        <v>0.74601851851912215</v>
      </c>
      <c r="E1570" s="4">
        <v>45196</v>
      </c>
      <c r="F1570" s="7" t="s">
        <v>46</v>
      </c>
      <c r="G1570" s="7" t="s">
        <v>26</v>
      </c>
      <c r="H1570" s="7" t="s">
        <v>233</v>
      </c>
      <c r="I1570" s="7" t="s">
        <v>503</v>
      </c>
      <c r="J1570" s="7" t="s">
        <v>564</v>
      </c>
      <c r="K1570" s="7" t="s">
        <v>36</v>
      </c>
      <c r="L1570" s="8">
        <v>75</v>
      </c>
      <c r="M1570" s="7" t="s">
        <v>70</v>
      </c>
      <c r="N1570" s="8">
        <v>195</v>
      </c>
      <c r="O1570" s="8">
        <v>1</v>
      </c>
      <c r="P1570" s="5">
        <v>6396.08</v>
      </c>
      <c r="Q1570" s="4">
        <v>45600</v>
      </c>
      <c r="R1570" s="9">
        <v>0.33902777777777776</v>
      </c>
      <c r="S1570" s="8">
        <v>17</v>
      </c>
      <c r="T1570" s="7" t="s">
        <v>4454</v>
      </c>
      <c r="U1570" s="7" t="s">
        <v>4455</v>
      </c>
      <c r="V15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71" spans="1:22" x14ac:dyDescent="0.35">
      <c r="A1571" s="7" t="s">
        <v>3382</v>
      </c>
      <c r="B1571" s="7" t="s">
        <v>2690</v>
      </c>
      <c r="C1571" s="5">
        <v>203.99</v>
      </c>
      <c r="D1571" s="2">
        <v>0.69068287037225673</v>
      </c>
      <c r="E1571" s="4">
        <v>44946</v>
      </c>
      <c r="F1571" s="7" t="s">
        <v>17</v>
      </c>
      <c r="G1571" s="7" t="s">
        <v>243</v>
      </c>
      <c r="H1571" s="7" t="s">
        <v>900</v>
      </c>
      <c r="I1571" s="7" t="s">
        <v>88</v>
      </c>
      <c r="J1571" s="7" t="s">
        <v>89</v>
      </c>
      <c r="K1571" s="7" t="s">
        <v>36</v>
      </c>
      <c r="L1571" s="8">
        <v>52</v>
      </c>
      <c r="M1571" s="7" t="s">
        <v>70</v>
      </c>
      <c r="N1571" s="8">
        <v>215</v>
      </c>
      <c r="O1571" s="8">
        <v>1</v>
      </c>
      <c r="P1571" s="5">
        <v>4840.3100000000004</v>
      </c>
      <c r="Q1571" s="4">
        <v>45600</v>
      </c>
      <c r="R1571" s="9">
        <v>0.3401851851851852</v>
      </c>
      <c r="S1571" s="8">
        <v>16</v>
      </c>
      <c r="T1571" s="7" t="s">
        <v>4457</v>
      </c>
      <c r="U1571" s="7" t="s">
        <v>4455</v>
      </c>
      <c r="V15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72" spans="1:22" x14ac:dyDescent="0.35">
      <c r="A1572" s="7" t="s">
        <v>3383</v>
      </c>
      <c r="B1572" s="7" t="s">
        <v>1381</v>
      </c>
      <c r="C1572" s="5">
        <v>50.99</v>
      </c>
      <c r="D1572" s="2">
        <v>0.697997685187147</v>
      </c>
      <c r="E1572" s="4">
        <v>45230</v>
      </c>
      <c r="F1572" s="7" t="s">
        <v>17</v>
      </c>
      <c r="G1572" s="7" t="s">
        <v>73</v>
      </c>
      <c r="H1572" s="7" t="s">
        <v>1103</v>
      </c>
      <c r="I1572" s="7" t="s">
        <v>828</v>
      </c>
      <c r="J1572" s="7" t="s">
        <v>362</v>
      </c>
      <c r="K1572" s="7" t="s">
        <v>69</v>
      </c>
      <c r="L1572" s="8">
        <v>29</v>
      </c>
      <c r="M1572" s="7" t="s">
        <v>23</v>
      </c>
      <c r="N1572" s="8">
        <v>76</v>
      </c>
      <c r="O1572" s="8">
        <v>1</v>
      </c>
      <c r="P1572" s="5">
        <v>1334.6</v>
      </c>
      <c r="Q1572" s="4">
        <v>45600</v>
      </c>
      <c r="R1572" s="9">
        <v>0.34027777777777779</v>
      </c>
      <c r="S1572" s="8">
        <v>16</v>
      </c>
      <c r="T1572" s="7" t="s">
        <v>4456</v>
      </c>
      <c r="U1572" s="7" t="s">
        <v>4455</v>
      </c>
      <c r="V15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73" spans="1:22" x14ac:dyDescent="0.35">
      <c r="A1573" s="7" t="s">
        <v>3384</v>
      </c>
      <c r="B1573" s="7" t="s">
        <v>767</v>
      </c>
      <c r="C1573" s="5">
        <v>101.28</v>
      </c>
      <c r="D1573" s="2">
        <v>0.76326388888992369</v>
      </c>
      <c r="E1573" s="4">
        <v>45161</v>
      </c>
      <c r="F1573" s="7" t="s">
        <v>46</v>
      </c>
      <c r="G1573" s="7" t="s">
        <v>265</v>
      </c>
      <c r="H1573" s="7" t="s">
        <v>3385</v>
      </c>
      <c r="I1573" s="7" t="s">
        <v>3386</v>
      </c>
      <c r="J1573" s="7" t="s">
        <v>282</v>
      </c>
      <c r="K1573" s="7" t="s">
        <v>36</v>
      </c>
      <c r="L1573" s="8">
        <v>32</v>
      </c>
      <c r="M1573" s="7" t="s">
        <v>77</v>
      </c>
      <c r="N1573" s="8">
        <v>75</v>
      </c>
      <c r="O1573" s="8">
        <v>1</v>
      </c>
      <c r="P1573" s="5">
        <v>2774.35</v>
      </c>
      <c r="Q1573" s="4">
        <v>45600</v>
      </c>
      <c r="R1573" s="9">
        <v>0.33800925925925923</v>
      </c>
      <c r="S1573" s="8">
        <v>18</v>
      </c>
      <c r="T1573" s="7" t="s">
        <v>4456</v>
      </c>
      <c r="U1573" s="7" t="s">
        <v>4455</v>
      </c>
      <c r="V15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74" spans="1:22" x14ac:dyDescent="0.35">
      <c r="A1574" s="7" t="s">
        <v>3387</v>
      </c>
      <c r="B1574" s="7" t="s">
        <v>345</v>
      </c>
      <c r="C1574" s="5">
        <v>299.92</v>
      </c>
      <c r="D1574" s="2">
        <v>0.77871527777460869</v>
      </c>
      <c r="E1574" s="4">
        <v>45208</v>
      </c>
      <c r="F1574" s="7" t="s">
        <v>17</v>
      </c>
      <c r="G1574" s="7" t="s">
        <v>114</v>
      </c>
      <c r="H1574" s="7" t="s">
        <v>256</v>
      </c>
      <c r="I1574" s="7" t="s">
        <v>1246</v>
      </c>
      <c r="J1574" s="7" t="s">
        <v>83</v>
      </c>
      <c r="K1574" s="7" t="s">
        <v>22</v>
      </c>
      <c r="L1574" s="8">
        <v>27</v>
      </c>
      <c r="M1574" s="7" t="s">
        <v>37</v>
      </c>
      <c r="N1574" s="8">
        <v>122</v>
      </c>
      <c r="O1574" s="8">
        <v>1</v>
      </c>
      <c r="P1574" s="5">
        <v>1368</v>
      </c>
      <c r="Q1574" s="4">
        <v>45600</v>
      </c>
      <c r="R1574" s="9">
        <v>0.33957175925925925</v>
      </c>
      <c r="S1574" s="8">
        <v>18</v>
      </c>
      <c r="T1574" s="7" t="s">
        <v>4456</v>
      </c>
      <c r="U1574" s="7" t="s">
        <v>4455</v>
      </c>
      <c r="V15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75" spans="1:22" x14ac:dyDescent="0.35">
      <c r="A1575" s="7" t="s">
        <v>3388</v>
      </c>
      <c r="B1575" s="7" t="s">
        <v>2078</v>
      </c>
      <c r="C1575" s="5">
        <v>77.540000000000006</v>
      </c>
      <c r="D1575" s="2">
        <v>0.71721064814482816</v>
      </c>
      <c r="E1575" s="4">
        <v>44958</v>
      </c>
      <c r="F1575" s="7" t="s">
        <v>17</v>
      </c>
      <c r="G1575" s="7" t="s">
        <v>425</v>
      </c>
      <c r="H1575" s="7" t="s">
        <v>1834</v>
      </c>
      <c r="I1575" s="7" t="s">
        <v>2411</v>
      </c>
      <c r="J1575" s="7" t="s">
        <v>312</v>
      </c>
      <c r="K1575" s="7" t="s">
        <v>36</v>
      </c>
      <c r="L1575" s="8">
        <v>67</v>
      </c>
      <c r="M1575" s="7" t="s">
        <v>70</v>
      </c>
      <c r="N1575" s="8">
        <v>73</v>
      </c>
      <c r="O1575" s="8">
        <v>1</v>
      </c>
      <c r="P1575" s="5">
        <v>4536.38</v>
      </c>
      <c r="Q1575" s="4">
        <v>45600</v>
      </c>
      <c r="R1575" s="9">
        <v>0.34053240740740742</v>
      </c>
      <c r="S1575" s="8">
        <v>17</v>
      </c>
      <c r="T1575" s="7" t="s">
        <v>4454</v>
      </c>
      <c r="U1575" s="7" t="s">
        <v>4455</v>
      </c>
      <c r="V15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76" spans="1:22" x14ac:dyDescent="0.35">
      <c r="A1576" s="7" t="s">
        <v>3389</v>
      </c>
      <c r="B1576" s="7" t="s">
        <v>1998</v>
      </c>
      <c r="C1576" s="5">
        <v>18.350000000000001</v>
      </c>
      <c r="D1576" s="2">
        <v>0.69512731481518131</v>
      </c>
      <c r="E1576" s="4">
        <v>45187</v>
      </c>
      <c r="F1576" s="7" t="s">
        <v>17</v>
      </c>
      <c r="G1576" s="7" t="s">
        <v>80</v>
      </c>
      <c r="H1576" s="7" t="s">
        <v>260</v>
      </c>
      <c r="I1576" s="7" t="s">
        <v>1427</v>
      </c>
      <c r="J1576" s="7" t="s">
        <v>76</v>
      </c>
      <c r="K1576" s="7" t="s">
        <v>69</v>
      </c>
      <c r="L1576" s="8">
        <v>21</v>
      </c>
      <c r="M1576" s="7" t="s">
        <v>37</v>
      </c>
      <c r="N1576" s="8">
        <v>78</v>
      </c>
      <c r="O1576" s="8">
        <v>1</v>
      </c>
      <c r="P1576" s="5">
        <v>1293.3900000000001</v>
      </c>
      <c r="Q1576" s="4">
        <v>45600</v>
      </c>
      <c r="R1576" s="9">
        <v>0.34034722222222225</v>
      </c>
      <c r="S1576" s="8">
        <v>16</v>
      </c>
      <c r="T1576" s="7" t="s">
        <v>4456</v>
      </c>
      <c r="U1576" s="7" t="s">
        <v>4455</v>
      </c>
      <c r="V15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77" spans="1:22" x14ac:dyDescent="0.35">
      <c r="A1577" s="7" t="s">
        <v>3390</v>
      </c>
      <c r="B1577" s="7" t="s">
        <v>2833</v>
      </c>
      <c r="C1577" s="5">
        <v>732.53</v>
      </c>
      <c r="D1577" s="2">
        <v>0.70416666667006211</v>
      </c>
      <c r="E1577" s="4">
        <v>45068</v>
      </c>
      <c r="F1577" s="7" t="s">
        <v>46</v>
      </c>
      <c r="G1577" s="7" t="s">
        <v>223</v>
      </c>
      <c r="H1577" s="7" t="s">
        <v>1788</v>
      </c>
      <c r="I1577" s="7" t="s">
        <v>1462</v>
      </c>
      <c r="J1577" s="7" t="s">
        <v>386</v>
      </c>
      <c r="K1577" s="7" t="s">
        <v>22</v>
      </c>
      <c r="L1577" s="8">
        <v>26</v>
      </c>
      <c r="M1577" s="7" t="s">
        <v>37</v>
      </c>
      <c r="N1577" s="8">
        <v>116</v>
      </c>
      <c r="O1577" s="8">
        <v>1</v>
      </c>
      <c r="P1577" s="5">
        <v>441.54</v>
      </c>
      <c r="Q1577" s="4">
        <v>45600</v>
      </c>
      <c r="R1577" s="9">
        <v>0.34182870370370372</v>
      </c>
      <c r="S1577" s="8">
        <v>16</v>
      </c>
      <c r="T1577" s="7" t="s">
        <v>4456</v>
      </c>
      <c r="U1577" s="7" t="s">
        <v>4455</v>
      </c>
      <c r="V15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78" spans="1:22" x14ac:dyDescent="0.35">
      <c r="A1578" s="7" t="s">
        <v>3391</v>
      </c>
      <c r="B1578" s="7" t="s">
        <v>3207</v>
      </c>
      <c r="C1578" s="5">
        <v>65.11</v>
      </c>
      <c r="D1578" s="2">
        <v>0.69987268518161727</v>
      </c>
      <c r="E1578" s="4">
        <v>45176</v>
      </c>
      <c r="F1578" s="7" t="s">
        <v>17</v>
      </c>
      <c r="G1578" s="7" t="s">
        <v>80</v>
      </c>
      <c r="H1578" s="7" t="s">
        <v>3392</v>
      </c>
      <c r="I1578" s="7" t="s">
        <v>799</v>
      </c>
      <c r="J1578" s="7" t="s">
        <v>607</v>
      </c>
      <c r="K1578" s="7" t="s">
        <v>22</v>
      </c>
      <c r="L1578" s="8">
        <v>34</v>
      </c>
      <c r="M1578" s="7" t="s">
        <v>77</v>
      </c>
      <c r="N1578" s="8">
        <v>150</v>
      </c>
      <c r="O1578" s="8">
        <v>1</v>
      </c>
      <c r="P1578" s="5">
        <v>8485.14</v>
      </c>
      <c r="Q1578" s="4">
        <v>45600</v>
      </c>
      <c r="R1578" s="9">
        <v>0.33952546296296299</v>
      </c>
      <c r="S1578" s="8">
        <v>16</v>
      </c>
      <c r="T1578" s="7" t="s">
        <v>4456</v>
      </c>
      <c r="U1578" s="7" t="s">
        <v>4455</v>
      </c>
      <c r="V15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79" spans="1:22" x14ac:dyDescent="0.35">
      <c r="A1579" s="7" t="s">
        <v>3393</v>
      </c>
      <c r="B1579" s="7" t="s">
        <v>1186</v>
      </c>
      <c r="C1579" s="5">
        <v>67.069999999999993</v>
      </c>
      <c r="D1579" s="2">
        <v>0.68380787037312984</v>
      </c>
      <c r="E1579" s="4">
        <v>45082</v>
      </c>
      <c r="F1579" s="7" t="s">
        <v>46</v>
      </c>
      <c r="G1579" s="7" t="s">
        <v>140</v>
      </c>
      <c r="H1579" s="7" t="s">
        <v>233</v>
      </c>
      <c r="I1579" s="7" t="s">
        <v>1676</v>
      </c>
      <c r="J1579" s="7" t="s">
        <v>122</v>
      </c>
      <c r="K1579" s="7" t="s">
        <v>22</v>
      </c>
      <c r="L1579" s="8">
        <v>24</v>
      </c>
      <c r="M1579" s="7" t="s">
        <v>37</v>
      </c>
      <c r="N1579" s="8">
        <v>56</v>
      </c>
      <c r="O1579" s="8">
        <v>1</v>
      </c>
      <c r="P1579" s="5">
        <v>999.62</v>
      </c>
      <c r="Q1579" s="4">
        <v>45600</v>
      </c>
      <c r="R1579" s="9">
        <v>0.34065972222222224</v>
      </c>
      <c r="S1579" s="8">
        <v>16</v>
      </c>
      <c r="T1579" s="7" t="s">
        <v>4456</v>
      </c>
      <c r="U1579" s="7" t="s">
        <v>4455</v>
      </c>
      <c r="V15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80" spans="1:22" x14ac:dyDescent="0.35">
      <c r="A1580" s="7" t="s">
        <v>3394</v>
      </c>
      <c r="B1580" s="7" t="s">
        <v>403</v>
      </c>
      <c r="C1580" s="5">
        <v>137.47999999999999</v>
      </c>
      <c r="D1580" s="2">
        <v>0.73232638889021473</v>
      </c>
      <c r="E1580" s="4">
        <v>45257</v>
      </c>
      <c r="F1580" s="7" t="s">
        <v>17</v>
      </c>
      <c r="G1580" s="7" t="s">
        <v>59</v>
      </c>
      <c r="H1580" s="7" t="s">
        <v>430</v>
      </c>
      <c r="I1580" s="7" t="s">
        <v>2175</v>
      </c>
      <c r="J1580" s="7" t="s">
        <v>707</v>
      </c>
      <c r="K1580" s="7" t="s">
        <v>69</v>
      </c>
      <c r="L1580" s="8">
        <v>55</v>
      </c>
      <c r="M1580" s="7" t="s">
        <v>23</v>
      </c>
      <c r="N1580" s="8">
        <v>47</v>
      </c>
      <c r="O1580" s="8">
        <v>1</v>
      </c>
      <c r="P1580" s="5">
        <v>14273.42</v>
      </c>
      <c r="Q1580" s="4">
        <v>45600</v>
      </c>
      <c r="R1580" s="9">
        <v>0.3394212962962963</v>
      </c>
      <c r="S1580" s="8">
        <v>17</v>
      </c>
      <c r="T1580" s="7" t="s">
        <v>4454</v>
      </c>
      <c r="U1580" s="7" t="s">
        <v>4455</v>
      </c>
      <c r="V15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81" spans="1:22" x14ac:dyDescent="0.35">
      <c r="A1581" s="7" t="s">
        <v>3395</v>
      </c>
      <c r="B1581" s="7" t="s">
        <v>3218</v>
      </c>
      <c r="C1581" s="5">
        <v>398.36</v>
      </c>
      <c r="D1581" s="2">
        <v>0.70277777777664596</v>
      </c>
      <c r="E1581" s="4">
        <v>45104</v>
      </c>
      <c r="F1581" s="7" t="s">
        <v>17</v>
      </c>
      <c r="G1581" s="7" t="s">
        <v>125</v>
      </c>
      <c r="H1581" s="7" t="s">
        <v>856</v>
      </c>
      <c r="I1581" s="7" t="s">
        <v>3396</v>
      </c>
      <c r="J1581" s="7" t="s">
        <v>598</v>
      </c>
      <c r="K1581" s="7" t="s">
        <v>22</v>
      </c>
      <c r="L1581" s="8">
        <v>22</v>
      </c>
      <c r="M1581" s="7" t="s">
        <v>37</v>
      </c>
      <c r="N1581" s="8">
        <v>56</v>
      </c>
      <c r="O1581" s="8">
        <v>1</v>
      </c>
      <c r="P1581" s="5">
        <v>1863.7</v>
      </c>
      <c r="Q1581" s="4">
        <v>45600</v>
      </c>
      <c r="R1581" s="9">
        <v>0.33967592592592594</v>
      </c>
      <c r="S1581" s="8">
        <v>16</v>
      </c>
      <c r="T1581" s="7" t="s">
        <v>4456</v>
      </c>
      <c r="U1581" s="7" t="s">
        <v>4455</v>
      </c>
      <c r="V15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82" spans="1:22" x14ac:dyDescent="0.35">
      <c r="A1582" s="7" t="s">
        <v>3397</v>
      </c>
      <c r="B1582" s="7" t="s">
        <v>2907</v>
      </c>
      <c r="C1582" s="5">
        <v>469.46</v>
      </c>
      <c r="D1582" s="2">
        <v>0.76731481481692754</v>
      </c>
      <c r="E1582" s="4">
        <v>45238</v>
      </c>
      <c r="F1582" s="7" t="s">
        <v>17</v>
      </c>
      <c r="G1582" s="7" t="s">
        <v>203</v>
      </c>
      <c r="H1582" s="7" t="s">
        <v>642</v>
      </c>
      <c r="I1582" s="7" t="s">
        <v>2465</v>
      </c>
      <c r="J1582" s="7" t="s">
        <v>1524</v>
      </c>
      <c r="K1582" s="7" t="s">
        <v>22</v>
      </c>
      <c r="L1582" s="8">
        <v>20</v>
      </c>
      <c r="M1582" s="7" t="s">
        <v>37</v>
      </c>
      <c r="N1582" s="8">
        <v>149</v>
      </c>
      <c r="O1582" s="8">
        <v>1</v>
      </c>
      <c r="P1582" s="5">
        <v>8640.56</v>
      </c>
      <c r="Q1582" s="4">
        <v>45600</v>
      </c>
      <c r="R1582" s="9">
        <v>0.34025462962962966</v>
      </c>
      <c r="S1582" s="8">
        <v>18</v>
      </c>
      <c r="T1582" s="7" t="s">
        <v>4456</v>
      </c>
      <c r="U1582" s="7" t="s">
        <v>4455</v>
      </c>
      <c r="V15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83" spans="1:22" x14ac:dyDescent="0.35">
      <c r="A1583" s="7" t="s">
        <v>3398</v>
      </c>
      <c r="B1583" s="7" t="s">
        <v>130</v>
      </c>
      <c r="C1583" s="5">
        <v>37.58</v>
      </c>
      <c r="D1583" s="2">
        <v>0.76570601851562969</v>
      </c>
      <c r="E1583" s="4">
        <v>45033</v>
      </c>
      <c r="F1583" s="7" t="s">
        <v>17</v>
      </c>
      <c r="G1583" s="7" t="s">
        <v>65</v>
      </c>
      <c r="H1583" s="7" t="s">
        <v>3399</v>
      </c>
      <c r="I1583" s="7" t="s">
        <v>1898</v>
      </c>
      <c r="J1583" s="7" t="s">
        <v>267</v>
      </c>
      <c r="K1583" s="7" t="s">
        <v>22</v>
      </c>
      <c r="L1583" s="8">
        <v>57</v>
      </c>
      <c r="M1583" s="7" t="s">
        <v>23</v>
      </c>
      <c r="N1583" s="8">
        <v>182</v>
      </c>
      <c r="O1583" s="8">
        <v>1</v>
      </c>
      <c r="P1583" s="5">
        <v>259.44</v>
      </c>
      <c r="Q1583" s="4">
        <v>45600</v>
      </c>
      <c r="R1583" s="9">
        <v>0.34182870370370372</v>
      </c>
      <c r="S1583" s="8">
        <v>18</v>
      </c>
      <c r="T1583" s="7" t="s">
        <v>4454</v>
      </c>
      <c r="U1583" s="7" t="s">
        <v>4455</v>
      </c>
      <c r="V15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84" spans="1:22" x14ac:dyDescent="0.35">
      <c r="A1584" s="7" t="s">
        <v>3400</v>
      </c>
      <c r="B1584" s="7" t="s">
        <v>2005</v>
      </c>
      <c r="C1584" s="5">
        <v>160.24</v>
      </c>
      <c r="D1584" s="2">
        <v>0.71297453704028158</v>
      </c>
      <c r="E1584" s="4">
        <v>45146</v>
      </c>
      <c r="F1584" s="7" t="s">
        <v>17</v>
      </c>
      <c r="G1584" s="7" t="s">
        <v>453</v>
      </c>
      <c r="H1584" s="7" t="s">
        <v>1881</v>
      </c>
      <c r="I1584" s="7" t="s">
        <v>1112</v>
      </c>
      <c r="J1584" s="7" t="s">
        <v>62</v>
      </c>
      <c r="K1584" s="7" t="s">
        <v>22</v>
      </c>
      <c r="L1584" s="8">
        <v>31</v>
      </c>
      <c r="M1584" s="7" t="s">
        <v>77</v>
      </c>
      <c r="N1584" s="8">
        <v>15</v>
      </c>
      <c r="O1584" s="8">
        <v>1</v>
      </c>
      <c r="P1584" s="5">
        <v>5526.97</v>
      </c>
      <c r="Q1584" s="4">
        <v>45600</v>
      </c>
      <c r="R1584" s="9">
        <v>0.33966435185185184</v>
      </c>
      <c r="S1584" s="8">
        <v>17</v>
      </c>
      <c r="T1584" s="7" t="s">
        <v>4456</v>
      </c>
      <c r="U1584" s="7" t="s">
        <v>4455</v>
      </c>
      <c r="V15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85" spans="1:22" x14ac:dyDescent="0.35">
      <c r="A1585" s="7" t="s">
        <v>3401</v>
      </c>
      <c r="B1585" s="7" t="s">
        <v>3402</v>
      </c>
      <c r="C1585" s="5">
        <v>315.39</v>
      </c>
      <c r="D1585" s="2">
        <v>0.703159722223063</v>
      </c>
      <c r="E1585" s="4">
        <v>45072</v>
      </c>
      <c r="F1585" s="7" t="s">
        <v>46</v>
      </c>
      <c r="G1585" s="7" t="s">
        <v>203</v>
      </c>
      <c r="H1585" s="7" t="s">
        <v>1928</v>
      </c>
      <c r="I1585" s="7" t="s">
        <v>251</v>
      </c>
      <c r="J1585" s="7" t="s">
        <v>181</v>
      </c>
      <c r="K1585" s="7" t="s">
        <v>69</v>
      </c>
      <c r="L1585" s="8">
        <v>23</v>
      </c>
      <c r="M1585" s="7" t="s">
        <v>37</v>
      </c>
      <c r="N1585" s="8">
        <v>93</v>
      </c>
      <c r="O1585" s="8">
        <v>1</v>
      </c>
      <c r="P1585" s="5">
        <v>929.6</v>
      </c>
      <c r="Q1585" s="4">
        <v>45600</v>
      </c>
      <c r="R1585" s="9">
        <v>0.33898148148148149</v>
      </c>
      <c r="S1585" s="8">
        <v>16</v>
      </c>
      <c r="T1585" s="7" t="s">
        <v>4456</v>
      </c>
      <c r="U1585" s="7" t="s">
        <v>4455</v>
      </c>
      <c r="V15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86" spans="1:22" x14ac:dyDescent="0.35">
      <c r="A1586" s="7" t="s">
        <v>3403</v>
      </c>
      <c r="B1586" s="7" t="s">
        <v>585</v>
      </c>
      <c r="C1586" s="5">
        <v>434.17</v>
      </c>
      <c r="D1586" s="2">
        <v>0.69454861111444188</v>
      </c>
      <c r="E1586" s="4">
        <v>44931</v>
      </c>
      <c r="F1586" s="7" t="s">
        <v>17</v>
      </c>
      <c r="G1586" s="7" t="s">
        <v>47</v>
      </c>
      <c r="H1586" s="7" t="s">
        <v>2969</v>
      </c>
      <c r="I1586" s="7" t="s">
        <v>911</v>
      </c>
      <c r="J1586" s="7" t="s">
        <v>752</v>
      </c>
      <c r="K1586" s="7" t="s">
        <v>22</v>
      </c>
      <c r="L1586" s="8">
        <v>21</v>
      </c>
      <c r="M1586" s="7" t="s">
        <v>37</v>
      </c>
      <c r="N1586" s="8">
        <v>148</v>
      </c>
      <c r="O1586" s="8">
        <v>5</v>
      </c>
      <c r="P1586" s="5">
        <v>5335.44</v>
      </c>
      <c r="Q1586" s="4">
        <v>45600</v>
      </c>
      <c r="R1586" s="9">
        <v>0.34016203703703701</v>
      </c>
      <c r="S1586" s="8">
        <v>16</v>
      </c>
      <c r="T1586" s="7" t="s">
        <v>4456</v>
      </c>
      <c r="U1586" s="7" t="s">
        <v>4458</v>
      </c>
      <c r="V15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87" spans="1:22" x14ac:dyDescent="0.35">
      <c r="A1587" s="7" t="s">
        <v>3404</v>
      </c>
      <c r="B1587" s="7" t="s">
        <v>2500</v>
      </c>
      <c r="C1587" s="5">
        <v>165.91</v>
      </c>
      <c r="D1587" s="2">
        <v>0.73629629629431292</v>
      </c>
      <c r="E1587" s="4">
        <v>45000</v>
      </c>
      <c r="F1587" s="7" t="s">
        <v>17</v>
      </c>
      <c r="G1587" s="7" t="s">
        <v>392</v>
      </c>
      <c r="H1587" s="7" t="s">
        <v>443</v>
      </c>
      <c r="I1587" s="7" t="s">
        <v>320</v>
      </c>
      <c r="J1587" s="7" t="s">
        <v>820</v>
      </c>
      <c r="K1587" s="7" t="s">
        <v>22</v>
      </c>
      <c r="L1587" s="8">
        <v>26</v>
      </c>
      <c r="M1587" s="7" t="s">
        <v>37</v>
      </c>
      <c r="N1587" s="8">
        <v>84</v>
      </c>
      <c r="O1587" s="8">
        <v>1</v>
      </c>
      <c r="P1587" s="5">
        <v>587.12</v>
      </c>
      <c r="Q1587" s="4">
        <v>45600</v>
      </c>
      <c r="R1587" s="9">
        <v>0.33983796296296298</v>
      </c>
      <c r="S1587" s="8">
        <v>17</v>
      </c>
      <c r="T1587" s="7" t="s">
        <v>4456</v>
      </c>
      <c r="U1587" s="7" t="s">
        <v>4455</v>
      </c>
      <c r="V15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88" spans="1:22" x14ac:dyDescent="0.35">
      <c r="A1588" s="7" t="s">
        <v>3405</v>
      </c>
      <c r="B1588" s="7" t="s">
        <v>162</v>
      </c>
      <c r="C1588" s="5">
        <v>211.36</v>
      </c>
      <c r="D1588" s="2">
        <v>0.71435185184964212</v>
      </c>
      <c r="E1588" s="4">
        <v>45183</v>
      </c>
      <c r="F1588" s="7" t="s">
        <v>17</v>
      </c>
      <c r="G1588" s="7" t="s">
        <v>212</v>
      </c>
      <c r="H1588" s="7" t="s">
        <v>135</v>
      </c>
      <c r="I1588" s="7" t="s">
        <v>3406</v>
      </c>
      <c r="J1588" s="7" t="s">
        <v>68</v>
      </c>
      <c r="K1588" s="7" t="s">
        <v>69</v>
      </c>
      <c r="L1588" s="8">
        <v>47</v>
      </c>
      <c r="M1588" s="7" t="s">
        <v>77</v>
      </c>
      <c r="N1588" s="8">
        <v>194</v>
      </c>
      <c r="O1588" s="8">
        <v>1</v>
      </c>
      <c r="P1588" s="5">
        <v>4760.34</v>
      </c>
      <c r="Q1588" s="4">
        <v>45600</v>
      </c>
      <c r="R1588" s="9">
        <v>0.34125</v>
      </c>
      <c r="S1588" s="8">
        <v>17</v>
      </c>
      <c r="T1588" s="7" t="s">
        <v>4457</v>
      </c>
      <c r="U1588" s="7" t="s">
        <v>4455</v>
      </c>
      <c r="V15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89" spans="1:22" x14ac:dyDescent="0.35">
      <c r="A1589" s="7" t="s">
        <v>3407</v>
      </c>
      <c r="B1589" s="7" t="s">
        <v>438</v>
      </c>
      <c r="C1589" s="5">
        <v>241.45</v>
      </c>
      <c r="D1589" s="2">
        <v>0.66843749999679858</v>
      </c>
      <c r="E1589" s="4">
        <v>45131</v>
      </c>
      <c r="F1589" s="7" t="s">
        <v>17</v>
      </c>
      <c r="G1589" s="7" t="s">
        <v>595</v>
      </c>
      <c r="H1589" s="7" t="s">
        <v>365</v>
      </c>
      <c r="I1589" s="7" t="s">
        <v>153</v>
      </c>
      <c r="J1589" s="7" t="s">
        <v>607</v>
      </c>
      <c r="K1589" s="7" t="s">
        <v>36</v>
      </c>
      <c r="L1589" s="8">
        <v>26</v>
      </c>
      <c r="M1589" s="7" t="s">
        <v>37</v>
      </c>
      <c r="N1589" s="8">
        <v>158</v>
      </c>
      <c r="O1589" s="8">
        <v>1</v>
      </c>
      <c r="P1589" s="5">
        <v>1594.04</v>
      </c>
      <c r="Q1589" s="4">
        <v>45600</v>
      </c>
      <c r="R1589" s="9">
        <v>0.33937499999999998</v>
      </c>
      <c r="S1589" s="8">
        <v>16</v>
      </c>
      <c r="T1589" s="7" t="s">
        <v>4456</v>
      </c>
      <c r="U1589" s="7" t="s">
        <v>4455</v>
      </c>
      <c r="V15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90" spans="1:22" x14ac:dyDescent="0.35">
      <c r="A1590" s="7" t="s">
        <v>3408</v>
      </c>
      <c r="B1590" s="7" t="s">
        <v>822</v>
      </c>
      <c r="C1590" s="5">
        <v>23.24</v>
      </c>
      <c r="D1590" s="2">
        <v>0.69561342592351139</v>
      </c>
      <c r="E1590" s="4">
        <v>45029</v>
      </c>
      <c r="F1590" s="7" t="s">
        <v>17</v>
      </c>
      <c r="G1590" s="7" t="s">
        <v>65</v>
      </c>
      <c r="H1590" s="7" t="s">
        <v>830</v>
      </c>
      <c r="I1590" s="7" t="s">
        <v>2353</v>
      </c>
      <c r="J1590" s="7" t="s">
        <v>56</v>
      </c>
      <c r="K1590" s="7" t="s">
        <v>69</v>
      </c>
      <c r="L1590" s="8">
        <v>68</v>
      </c>
      <c r="M1590" s="7" t="s">
        <v>23</v>
      </c>
      <c r="N1590" s="8">
        <v>129</v>
      </c>
      <c r="O1590" s="8">
        <v>1</v>
      </c>
      <c r="P1590" s="5">
        <v>13777.79</v>
      </c>
      <c r="Q1590" s="4">
        <v>45600</v>
      </c>
      <c r="R1590" s="9">
        <v>0.34091435185185187</v>
      </c>
      <c r="S1590" s="8">
        <v>16</v>
      </c>
      <c r="T1590" s="7" t="s">
        <v>4454</v>
      </c>
      <c r="U1590" s="7" t="s">
        <v>4455</v>
      </c>
      <c r="V15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91" spans="1:22" x14ac:dyDescent="0.35">
      <c r="A1591" s="7" t="s">
        <v>3409</v>
      </c>
      <c r="B1591" s="7" t="s">
        <v>777</v>
      </c>
      <c r="C1591" s="5">
        <v>70.88</v>
      </c>
      <c r="D1591" s="2">
        <v>0.679618055553874</v>
      </c>
      <c r="E1591" s="4">
        <v>45264</v>
      </c>
      <c r="F1591" s="7" t="s">
        <v>46</v>
      </c>
      <c r="G1591" s="7" t="s">
        <v>296</v>
      </c>
      <c r="H1591" s="7" t="s">
        <v>943</v>
      </c>
      <c r="I1591" s="7" t="s">
        <v>1396</v>
      </c>
      <c r="J1591" s="7" t="s">
        <v>343</v>
      </c>
      <c r="K1591" s="7" t="s">
        <v>69</v>
      </c>
      <c r="L1591" s="8">
        <v>74</v>
      </c>
      <c r="M1591" s="7" t="s">
        <v>70</v>
      </c>
      <c r="N1591" s="8">
        <v>176</v>
      </c>
      <c r="O1591" s="8">
        <v>1</v>
      </c>
      <c r="P1591" s="5">
        <v>1794.65</v>
      </c>
      <c r="Q1591" s="4">
        <v>45600</v>
      </c>
      <c r="R1591" s="9">
        <v>0.33780092592592592</v>
      </c>
      <c r="S1591" s="8">
        <v>16</v>
      </c>
      <c r="T1591" s="7" t="s">
        <v>4454</v>
      </c>
      <c r="U1591" s="7" t="s">
        <v>4455</v>
      </c>
      <c r="V15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92" spans="1:22" x14ac:dyDescent="0.35">
      <c r="A1592" s="7" t="s">
        <v>3410</v>
      </c>
      <c r="B1592" s="7" t="s">
        <v>3354</v>
      </c>
      <c r="C1592" s="5">
        <v>1143.67</v>
      </c>
      <c r="D1592" s="2">
        <v>0.679722222223063</v>
      </c>
      <c r="E1592" s="4">
        <v>45229</v>
      </c>
      <c r="F1592" s="7" t="s">
        <v>17</v>
      </c>
      <c r="G1592" s="7" t="s">
        <v>47</v>
      </c>
      <c r="H1592" s="7" t="s">
        <v>1089</v>
      </c>
      <c r="I1592" s="7" t="s">
        <v>2389</v>
      </c>
      <c r="J1592" s="7" t="s">
        <v>122</v>
      </c>
      <c r="K1592" s="7" t="s">
        <v>36</v>
      </c>
      <c r="L1592" s="8">
        <v>66</v>
      </c>
      <c r="M1592" s="7" t="s">
        <v>70</v>
      </c>
      <c r="N1592" s="8">
        <v>111</v>
      </c>
      <c r="O1592" s="8">
        <v>1</v>
      </c>
      <c r="P1592" s="5">
        <v>7677.76</v>
      </c>
      <c r="Q1592" s="4">
        <v>45600</v>
      </c>
      <c r="R1592" s="9">
        <v>0.34075231481481483</v>
      </c>
      <c r="S1592" s="8">
        <v>16</v>
      </c>
      <c r="T1592" s="7" t="s">
        <v>4454</v>
      </c>
      <c r="U1592" s="7" t="s">
        <v>4455</v>
      </c>
      <c r="V15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93" spans="1:22" x14ac:dyDescent="0.35">
      <c r="A1593" s="7" t="s">
        <v>3411</v>
      </c>
      <c r="B1593" s="7" t="s">
        <v>2802</v>
      </c>
      <c r="C1593" s="5">
        <v>314.52</v>
      </c>
      <c r="D1593" s="2">
        <v>0.72341435185080627</v>
      </c>
      <c r="E1593" s="4">
        <v>45005</v>
      </c>
      <c r="F1593" s="7" t="s">
        <v>17</v>
      </c>
      <c r="G1593" s="7" t="s">
        <v>92</v>
      </c>
      <c r="H1593" s="7" t="s">
        <v>3128</v>
      </c>
      <c r="I1593" s="7" t="s">
        <v>1119</v>
      </c>
      <c r="J1593" s="7" t="s">
        <v>100</v>
      </c>
      <c r="K1593" s="7" t="s">
        <v>22</v>
      </c>
      <c r="L1593" s="8">
        <v>80</v>
      </c>
      <c r="M1593" s="7" t="s">
        <v>70</v>
      </c>
      <c r="N1593" s="8">
        <v>229</v>
      </c>
      <c r="O1593" s="8">
        <v>1</v>
      </c>
      <c r="P1593" s="5">
        <v>7071.32</v>
      </c>
      <c r="Q1593" s="4">
        <v>45600</v>
      </c>
      <c r="R1593" s="9">
        <v>0.33800925925925923</v>
      </c>
      <c r="S1593" s="8">
        <v>17</v>
      </c>
      <c r="T1593" s="7" t="s">
        <v>4454</v>
      </c>
      <c r="U1593" s="7" t="s">
        <v>4455</v>
      </c>
      <c r="V15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94" spans="1:22" x14ac:dyDescent="0.35">
      <c r="A1594" s="7" t="s">
        <v>3412</v>
      </c>
      <c r="B1594" s="7" t="s">
        <v>621</v>
      </c>
      <c r="C1594" s="5">
        <v>181.81</v>
      </c>
      <c r="D1594" s="2">
        <v>0.67359953703999054</v>
      </c>
      <c r="E1594" s="4">
        <v>45075</v>
      </c>
      <c r="F1594" s="7" t="s">
        <v>46</v>
      </c>
      <c r="G1594" s="7" t="s">
        <v>119</v>
      </c>
      <c r="H1594" s="7" t="s">
        <v>2562</v>
      </c>
      <c r="I1594" s="7" t="s">
        <v>3022</v>
      </c>
      <c r="J1594" s="7" t="s">
        <v>607</v>
      </c>
      <c r="K1594" s="7" t="s">
        <v>36</v>
      </c>
      <c r="L1594" s="8">
        <v>78</v>
      </c>
      <c r="M1594" s="7" t="s">
        <v>70</v>
      </c>
      <c r="N1594" s="8">
        <v>122</v>
      </c>
      <c r="O1594" s="8">
        <v>1</v>
      </c>
      <c r="P1594" s="5">
        <v>7525.73</v>
      </c>
      <c r="Q1594" s="4">
        <v>45600</v>
      </c>
      <c r="R1594" s="9">
        <v>0.33962962962962961</v>
      </c>
      <c r="S1594" s="8">
        <v>16</v>
      </c>
      <c r="T1594" s="7" t="s">
        <v>4454</v>
      </c>
      <c r="U1594" s="7" t="s">
        <v>4455</v>
      </c>
      <c r="V15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95" spans="1:22" x14ac:dyDescent="0.35">
      <c r="A1595" s="7" t="s">
        <v>3413</v>
      </c>
      <c r="B1595" s="7" t="s">
        <v>1826</v>
      </c>
      <c r="C1595" s="5">
        <v>854.64</v>
      </c>
      <c r="D1595" s="2">
        <v>0.78973379629314877</v>
      </c>
      <c r="E1595" s="4">
        <v>45237</v>
      </c>
      <c r="F1595" s="7" t="s">
        <v>17</v>
      </c>
      <c r="G1595" s="7" t="s">
        <v>157</v>
      </c>
      <c r="H1595" s="7" t="s">
        <v>1386</v>
      </c>
      <c r="I1595" s="7" t="s">
        <v>531</v>
      </c>
      <c r="J1595" s="7" t="s">
        <v>858</v>
      </c>
      <c r="K1595" s="7" t="s">
        <v>69</v>
      </c>
      <c r="L1595" s="8">
        <v>56</v>
      </c>
      <c r="M1595" s="7" t="s">
        <v>70</v>
      </c>
      <c r="N1595" s="8">
        <v>118</v>
      </c>
      <c r="O1595" s="8">
        <v>1</v>
      </c>
      <c r="P1595" s="5">
        <v>2989.25</v>
      </c>
      <c r="Q1595" s="4">
        <v>45600</v>
      </c>
      <c r="R1595" s="9">
        <v>0.33951388888888889</v>
      </c>
      <c r="S1595" s="8">
        <v>18</v>
      </c>
      <c r="T1595" s="7" t="s">
        <v>4454</v>
      </c>
      <c r="U1595" s="7" t="s">
        <v>4455</v>
      </c>
      <c r="V15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96" spans="1:22" x14ac:dyDescent="0.35">
      <c r="A1596" s="7" t="s">
        <v>3414</v>
      </c>
      <c r="B1596" s="7" t="s">
        <v>2133</v>
      </c>
      <c r="C1596" s="5">
        <v>261.19</v>
      </c>
      <c r="D1596" s="2">
        <v>0.71692129629809642</v>
      </c>
      <c r="E1596" s="4">
        <v>44938</v>
      </c>
      <c r="F1596" s="7" t="s">
        <v>17</v>
      </c>
      <c r="G1596" s="7" t="s">
        <v>53</v>
      </c>
      <c r="H1596" s="7" t="s">
        <v>2359</v>
      </c>
      <c r="I1596" s="7" t="s">
        <v>2477</v>
      </c>
      <c r="J1596" s="7" t="s">
        <v>303</v>
      </c>
      <c r="K1596" s="7" t="s">
        <v>22</v>
      </c>
      <c r="L1596" s="8">
        <v>64</v>
      </c>
      <c r="M1596" s="7" t="s">
        <v>70</v>
      </c>
      <c r="N1596" s="8">
        <v>52</v>
      </c>
      <c r="O1596" s="8">
        <v>1</v>
      </c>
      <c r="P1596" s="5">
        <v>7620.6</v>
      </c>
      <c r="Q1596" s="4">
        <v>45600</v>
      </c>
      <c r="R1596" s="9">
        <v>0.34013888888888888</v>
      </c>
      <c r="S1596" s="8">
        <v>17</v>
      </c>
      <c r="T1596" s="7" t="s">
        <v>4454</v>
      </c>
      <c r="U1596" s="7" t="s">
        <v>4455</v>
      </c>
      <c r="V15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97" spans="1:22" x14ac:dyDescent="0.35">
      <c r="A1597" s="7" t="s">
        <v>3415</v>
      </c>
      <c r="B1597" s="7" t="s">
        <v>3196</v>
      </c>
      <c r="C1597" s="5">
        <v>220.68</v>
      </c>
      <c r="D1597" s="2">
        <v>0.76626157407736173</v>
      </c>
      <c r="E1597" s="4">
        <v>45208</v>
      </c>
      <c r="F1597" s="7" t="s">
        <v>46</v>
      </c>
      <c r="G1597" s="7" t="s">
        <v>40</v>
      </c>
      <c r="H1597" s="7" t="s">
        <v>324</v>
      </c>
      <c r="I1597" s="7" t="s">
        <v>3087</v>
      </c>
      <c r="J1597" s="7" t="s">
        <v>1345</v>
      </c>
      <c r="K1597" s="7" t="s">
        <v>36</v>
      </c>
      <c r="L1597" s="8">
        <v>71</v>
      </c>
      <c r="M1597" s="7" t="s">
        <v>70</v>
      </c>
      <c r="N1597" s="8">
        <v>217</v>
      </c>
      <c r="O1597" s="8">
        <v>1</v>
      </c>
      <c r="P1597" s="5">
        <v>5549.2</v>
      </c>
      <c r="Q1597" s="4">
        <v>45600</v>
      </c>
      <c r="R1597" s="9">
        <v>0.33825231481481483</v>
      </c>
      <c r="S1597" s="8">
        <v>18</v>
      </c>
      <c r="T1597" s="7" t="s">
        <v>4454</v>
      </c>
      <c r="U1597" s="7" t="s">
        <v>4455</v>
      </c>
      <c r="V15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598" spans="1:22" x14ac:dyDescent="0.35">
      <c r="A1598" s="7" t="s">
        <v>3416</v>
      </c>
      <c r="B1598" s="7" t="s">
        <v>45</v>
      </c>
      <c r="C1598" s="5">
        <v>11.86</v>
      </c>
      <c r="D1598" s="2">
        <v>0.69694444444758119</v>
      </c>
      <c r="E1598" s="4">
        <v>45174</v>
      </c>
      <c r="F1598" s="7" t="s">
        <v>17</v>
      </c>
      <c r="G1598" s="7" t="s">
        <v>285</v>
      </c>
      <c r="H1598" s="7" t="s">
        <v>1721</v>
      </c>
      <c r="I1598" s="7" t="s">
        <v>1674</v>
      </c>
      <c r="J1598" s="7" t="s">
        <v>56</v>
      </c>
      <c r="K1598" s="7" t="s">
        <v>69</v>
      </c>
      <c r="L1598" s="8">
        <v>31</v>
      </c>
      <c r="M1598" s="7" t="s">
        <v>77</v>
      </c>
      <c r="N1598" s="8">
        <v>129</v>
      </c>
      <c r="O1598" s="8">
        <v>1</v>
      </c>
      <c r="P1598" s="5">
        <v>6782.61</v>
      </c>
      <c r="Q1598" s="4">
        <v>45600</v>
      </c>
      <c r="R1598" s="9">
        <v>0.33949074074074076</v>
      </c>
      <c r="S1598" s="8">
        <v>16</v>
      </c>
      <c r="T1598" s="7" t="s">
        <v>4456</v>
      </c>
      <c r="U1598" s="7" t="s">
        <v>4455</v>
      </c>
      <c r="V15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599" spans="1:22" x14ac:dyDescent="0.35">
      <c r="A1599" s="7" t="s">
        <v>3417</v>
      </c>
      <c r="B1599" s="7" t="s">
        <v>2781</v>
      </c>
      <c r="C1599" s="5">
        <v>122.65</v>
      </c>
      <c r="D1599" s="2">
        <v>0.68538194444408873</v>
      </c>
      <c r="E1599" s="4">
        <v>45155</v>
      </c>
      <c r="F1599" s="7" t="s">
        <v>17</v>
      </c>
      <c r="G1599" s="7" t="s">
        <v>125</v>
      </c>
      <c r="H1599" s="7" t="s">
        <v>2550</v>
      </c>
      <c r="I1599" s="7" t="s">
        <v>3418</v>
      </c>
      <c r="J1599" s="7" t="s">
        <v>137</v>
      </c>
      <c r="K1599" s="7" t="s">
        <v>36</v>
      </c>
      <c r="L1599" s="8">
        <v>28</v>
      </c>
      <c r="M1599" s="7" t="s">
        <v>37</v>
      </c>
      <c r="N1599" s="8">
        <v>41</v>
      </c>
      <c r="O1599" s="8">
        <v>1</v>
      </c>
      <c r="P1599" s="5">
        <v>1968.51</v>
      </c>
      <c r="Q1599" s="4">
        <v>45600</v>
      </c>
      <c r="R1599" s="9">
        <v>0.33815972222222224</v>
      </c>
      <c r="S1599" s="8">
        <v>16</v>
      </c>
      <c r="T1599" s="7" t="s">
        <v>4456</v>
      </c>
      <c r="U1599" s="7" t="s">
        <v>4455</v>
      </c>
      <c r="V15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00" spans="1:22" x14ac:dyDescent="0.35">
      <c r="A1600" s="7" t="s">
        <v>3419</v>
      </c>
      <c r="B1600" s="7" t="s">
        <v>139</v>
      </c>
      <c r="C1600" s="5">
        <v>395.16</v>
      </c>
      <c r="D1600" s="2">
        <v>0.67644675925839692</v>
      </c>
      <c r="E1600" s="4">
        <v>45131</v>
      </c>
      <c r="F1600" s="7" t="s">
        <v>17</v>
      </c>
      <c r="G1600" s="7" t="s">
        <v>178</v>
      </c>
      <c r="H1600" s="7" t="s">
        <v>2068</v>
      </c>
      <c r="I1600" s="7" t="s">
        <v>481</v>
      </c>
      <c r="J1600" s="7" t="s">
        <v>128</v>
      </c>
      <c r="K1600" s="7" t="s">
        <v>36</v>
      </c>
      <c r="L1600" s="8">
        <v>56</v>
      </c>
      <c r="M1600" s="7" t="s">
        <v>70</v>
      </c>
      <c r="N1600" s="8">
        <v>17</v>
      </c>
      <c r="O1600" s="8">
        <v>1</v>
      </c>
      <c r="P1600" s="5">
        <v>5340.73</v>
      </c>
      <c r="Q1600" s="4">
        <v>45600</v>
      </c>
      <c r="R1600" s="9">
        <v>0.34114583333333331</v>
      </c>
      <c r="S1600" s="8">
        <v>16</v>
      </c>
      <c r="T1600" s="7" t="s">
        <v>4454</v>
      </c>
      <c r="U1600" s="7" t="s">
        <v>4455</v>
      </c>
      <c r="V16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01" spans="1:22" x14ac:dyDescent="0.35">
      <c r="A1601" s="7" t="s">
        <v>3420</v>
      </c>
      <c r="B1601" s="7" t="s">
        <v>1385</v>
      </c>
      <c r="C1601" s="5">
        <v>704.69</v>
      </c>
      <c r="D1601" s="2">
        <v>0.72417824074364034</v>
      </c>
      <c r="E1601" s="4">
        <v>45125</v>
      </c>
      <c r="F1601" s="7" t="s">
        <v>17</v>
      </c>
      <c r="G1601" s="7" t="s">
        <v>146</v>
      </c>
      <c r="H1601" s="7" t="s">
        <v>1479</v>
      </c>
      <c r="I1601" s="7" t="s">
        <v>1098</v>
      </c>
      <c r="J1601" s="7" t="s">
        <v>548</v>
      </c>
      <c r="K1601" s="7" t="s">
        <v>36</v>
      </c>
      <c r="L1601" s="8">
        <v>51</v>
      </c>
      <c r="M1601" s="7" t="s">
        <v>70</v>
      </c>
      <c r="N1601" s="8">
        <v>150</v>
      </c>
      <c r="O1601" s="8">
        <v>1</v>
      </c>
      <c r="P1601" s="5">
        <v>3267.84</v>
      </c>
      <c r="Q1601" s="4">
        <v>45600</v>
      </c>
      <c r="R1601" s="9">
        <v>0.34086805555555555</v>
      </c>
      <c r="S1601" s="8">
        <v>17</v>
      </c>
      <c r="T1601" s="7" t="s">
        <v>4457</v>
      </c>
      <c r="U1601" s="7" t="s">
        <v>4455</v>
      </c>
      <c r="V16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02" spans="1:22" x14ac:dyDescent="0.35">
      <c r="A1602" s="7" t="s">
        <v>3421</v>
      </c>
      <c r="B1602" s="7" t="s">
        <v>720</v>
      </c>
      <c r="C1602" s="5">
        <v>369.89</v>
      </c>
      <c r="D1602" s="2">
        <v>0.69763888888701331</v>
      </c>
      <c r="E1602" s="4">
        <v>45217</v>
      </c>
      <c r="F1602" s="7" t="s">
        <v>17</v>
      </c>
      <c r="G1602" s="7" t="s">
        <v>237</v>
      </c>
      <c r="H1602" s="7" t="s">
        <v>216</v>
      </c>
      <c r="I1602" s="7" t="s">
        <v>330</v>
      </c>
      <c r="J1602" s="7" t="s">
        <v>160</v>
      </c>
      <c r="K1602" s="7" t="s">
        <v>22</v>
      </c>
      <c r="L1602" s="8">
        <v>69</v>
      </c>
      <c r="M1602" s="7" t="s">
        <v>70</v>
      </c>
      <c r="N1602" s="8">
        <v>69</v>
      </c>
      <c r="O1602" s="8">
        <v>1</v>
      </c>
      <c r="P1602" s="5">
        <v>6941.47</v>
      </c>
      <c r="Q1602" s="4">
        <v>45600</v>
      </c>
      <c r="R1602" s="9">
        <v>0.34128472222222223</v>
      </c>
      <c r="S1602" s="8">
        <v>16</v>
      </c>
      <c r="T1602" s="7" t="s">
        <v>4454</v>
      </c>
      <c r="U1602" s="7" t="s">
        <v>4455</v>
      </c>
      <c r="V16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03" spans="1:22" x14ac:dyDescent="0.35">
      <c r="A1603" s="7" t="s">
        <v>3422</v>
      </c>
      <c r="B1603" s="7" t="s">
        <v>151</v>
      </c>
      <c r="C1603" s="5">
        <v>10.92</v>
      </c>
      <c r="D1603" s="2">
        <v>0.74217592592322035</v>
      </c>
      <c r="E1603" s="4">
        <v>45219</v>
      </c>
      <c r="F1603" s="7" t="s">
        <v>17</v>
      </c>
      <c r="G1603" s="7" t="s">
        <v>392</v>
      </c>
      <c r="H1603" s="7" t="s">
        <v>1152</v>
      </c>
      <c r="I1603" s="7" t="s">
        <v>2477</v>
      </c>
      <c r="J1603" s="7" t="s">
        <v>277</v>
      </c>
      <c r="K1603" s="7" t="s">
        <v>22</v>
      </c>
      <c r="L1603" s="8">
        <v>67</v>
      </c>
      <c r="M1603" s="7" t="s">
        <v>70</v>
      </c>
      <c r="N1603" s="8">
        <v>268</v>
      </c>
      <c r="O1603" s="8">
        <v>1</v>
      </c>
      <c r="P1603" s="5">
        <v>7567.2</v>
      </c>
      <c r="Q1603" s="4">
        <v>45600</v>
      </c>
      <c r="R1603" s="9">
        <v>0.33921296296296294</v>
      </c>
      <c r="S1603" s="8">
        <v>17</v>
      </c>
      <c r="T1603" s="7" t="s">
        <v>4454</v>
      </c>
      <c r="U1603" s="7" t="s">
        <v>4455</v>
      </c>
      <c r="V16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04" spans="1:22" x14ac:dyDescent="0.35">
      <c r="A1604" s="7" t="s">
        <v>3423</v>
      </c>
      <c r="B1604" s="7" t="s">
        <v>1984</v>
      </c>
      <c r="C1604" s="5">
        <v>199.14</v>
      </c>
      <c r="D1604" s="2">
        <v>0.73089120370423188</v>
      </c>
      <c r="E1604" s="4">
        <v>45140</v>
      </c>
      <c r="F1604" s="7" t="s">
        <v>17</v>
      </c>
      <c r="G1604" s="7" t="s">
        <v>59</v>
      </c>
      <c r="H1604" s="7" t="s">
        <v>400</v>
      </c>
      <c r="I1604" s="7" t="s">
        <v>199</v>
      </c>
      <c r="J1604" s="7" t="s">
        <v>262</v>
      </c>
      <c r="K1604" s="7" t="s">
        <v>69</v>
      </c>
      <c r="L1604" s="8">
        <v>31</v>
      </c>
      <c r="M1604" s="7" t="s">
        <v>77</v>
      </c>
      <c r="N1604" s="8">
        <v>36</v>
      </c>
      <c r="O1604" s="8">
        <v>1</v>
      </c>
      <c r="P1604" s="5">
        <v>7001.25</v>
      </c>
      <c r="Q1604" s="4">
        <v>45600</v>
      </c>
      <c r="R1604" s="9">
        <v>0.34087962962962964</v>
      </c>
      <c r="S1604" s="8">
        <v>17</v>
      </c>
      <c r="T1604" s="7" t="s">
        <v>4456</v>
      </c>
      <c r="U1604" s="7" t="s">
        <v>4455</v>
      </c>
      <c r="V16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05" spans="1:22" x14ac:dyDescent="0.35">
      <c r="A1605" s="7" t="s">
        <v>3424</v>
      </c>
      <c r="B1605" s="7" t="s">
        <v>232</v>
      </c>
      <c r="C1605" s="5">
        <v>109.43</v>
      </c>
      <c r="D1605" s="2">
        <v>0.75515046296641231</v>
      </c>
      <c r="E1605" s="4">
        <v>44937</v>
      </c>
      <c r="F1605" s="7" t="s">
        <v>17</v>
      </c>
      <c r="G1605" s="7" t="s">
        <v>114</v>
      </c>
      <c r="H1605" s="7" t="s">
        <v>1522</v>
      </c>
      <c r="I1605" s="7" t="s">
        <v>671</v>
      </c>
      <c r="J1605" s="7" t="s">
        <v>56</v>
      </c>
      <c r="K1605" s="7" t="s">
        <v>22</v>
      </c>
      <c r="L1605" s="8">
        <v>70</v>
      </c>
      <c r="M1605" s="7" t="s">
        <v>70</v>
      </c>
      <c r="N1605" s="8">
        <v>140</v>
      </c>
      <c r="O1605" s="8">
        <v>1</v>
      </c>
      <c r="P1605" s="5">
        <v>1983.65</v>
      </c>
      <c r="Q1605" s="4">
        <v>45600</v>
      </c>
      <c r="R1605" s="9">
        <v>0.34015046296296297</v>
      </c>
      <c r="S1605" s="8">
        <v>18</v>
      </c>
      <c r="T1605" s="7" t="s">
        <v>4454</v>
      </c>
      <c r="U1605" s="7" t="s">
        <v>4455</v>
      </c>
      <c r="V16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06" spans="1:22" x14ac:dyDescent="0.35">
      <c r="A1606" s="7" t="s">
        <v>3425</v>
      </c>
      <c r="B1606" s="7" t="s">
        <v>817</v>
      </c>
      <c r="C1606" s="5">
        <v>304.14999999999998</v>
      </c>
      <c r="D1606" s="2">
        <v>0.67331018518598285</v>
      </c>
      <c r="E1606" s="4">
        <v>45258</v>
      </c>
      <c r="F1606" s="7" t="s">
        <v>17</v>
      </c>
      <c r="G1606" s="7" t="s">
        <v>47</v>
      </c>
      <c r="H1606" s="7" t="s">
        <v>3426</v>
      </c>
      <c r="I1606" s="7" t="s">
        <v>1637</v>
      </c>
      <c r="J1606" s="7" t="s">
        <v>752</v>
      </c>
      <c r="K1606" s="7" t="s">
        <v>69</v>
      </c>
      <c r="L1606" s="8">
        <v>20</v>
      </c>
      <c r="M1606" s="7" t="s">
        <v>37</v>
      </c>
      <c r="N1606" s="8">
        <v>40</v>
      </c>
      <c r="O1606" s="8">
        <v>1</v>
      </c>
      <c r="P1606" s="5">
        <v>686.91</v>
      </c>
      <c r="Q1606" s="4">
        <v>45600</v>
      </c>
      <c r="R1606" s="9">
        <v>0.34047453703703706</v>
      </c>
      <c r="S1606" s="8">
        <v>16</v>
      </c>
      <c r="T1606" s="7" t="s">
        <v>4456</v>
      </c>
      <c r="U1606" s="7" t="s">
        <v>4455</v>
      </c>
      <c r="V16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07" spans="1:22" x14ac:dyDescent="0.35">
      <c r="A1607" s="7" t="s">
        <v>3427</v>
      </c>
      <c r="B1607" s="7" t="s">
        <v>729</v>
      </c>
      <c r="C1607" s="5">
        <v>620.54</v>
      </c>
      <c r="D1607" s="2">
        <v>0.68525462962861639</v>
      </c>
      <c r="E1607" s="4">
        <v>45012</v>
      </c>
      <c r="F1607" s="7" t="s">
        <v>46</v>
      </c>
      <c r="G1607" s="7" t="s">
        <v>296</v>
      </c>
      <c r="H1607" s="7" t="s">
        <v>522</v>
      </c>
      <c r="I1607" s="7" t="s">
        <v>735</v>
      </c>
      <c r="J1607" s="7" t="s">
        <v>35</v>
      </c>
      <c r="K1607" s="7" t="s">
        <v>69</v>
      </c>
      <c r="L1607" s="8">
        <v>28</v>
      </c>
      <c r="M1607" s="7" t="s">
        <v>37</v>
      </c>
      <c r="N1607" s="8">
        <v>98</v>
      </c>
      <c r="O1607" s="8">
        <v>1</v>
      </c>
      <c r="P1607" s="5">
        <v>213.36</v>
      </c>
      <c r="Q1607" s="4">
        <v>45600</v>
      </c>
      <c r="R1607" s="9">
        <v>0.33849537037037036</v>
      </c>
      <c r="S1607" s="8">
        <v>16</v>
      </c>
      <c r="T1607" s="7" t="s">
        <v>4456</v>
      </c>
      <c r="U1607" s="7" t="s">
        <v>4455</v>
      </c>
      <c r="V16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08" spans="1:22" x14ac:dyDescent="0.35">
      <c r="A1608" s="7" t="s">
        <v>3428</v>
      </c>
      <c r="B1608" s="7" t="s">
        <v>118</v>
      </c>
      <c r="C1608" s="5">
        <v>757.79</v>
      </c>
      <c r="D1608" s="2">
        <v>0.687604166669189</v>
      </c>
      <c r="E1608" s="4">
        <v>44928</v>
      </c>
      <c r="F1608" s="7" t="s">
        <v>17</v>
      </c>
      <c r="G1608" s="7" t="s">
        <v>249</v>
      </c>
      <c r="H1608" s="7" t="s">
        <v>98</v>
      </c>
      <c r="I1608" s="7" t="s">
        <v>2167</v>
      </c>
      <c r="J1608" s="7" t="s">
        <v>639</v>
      </c>
      <c r="K1608" s="7" t="s">
        <v>36</v>
      </c>
      <c r="L1608" s="8">
        <v>22</v>
      </c>
      <c r="M1608" s="7" t="s">
        <v>37</v>
      </c>
      <c r="N1608" s="8">
        <v>117</v>
      </c>
      <c r="O1608" s="8">
        <v>1</v>
      </c>
      <c r="P1608" s="5">
        <v>1443.02</v>
      </c>
      <c r="Q1608" s="4">
        <v>45600</v>
      </c>
      <c r="R1608" s="9">
        <v>0.3392013888888889</v>
      </c>
      <c r="S1608" s="8">
        <v>16</v>
      </c>
      <c r="T1608" s="7" t="s">
        <v>4456</v>
      </c>
      <c r="U1608" s="7" t="s">
        <v>4455</v>
      </c>
      <c r="V16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09" spans="1:22" x14ac:dyDescent="0.35">
      <c r="A1609" s="7" t="s">
        <v>3429</v>
      </c>
      <c r="B1609" s="7" t="s">
        <v>3006</v>
      </c>
      <c r="C1609" s="5">
        <v>122.81</v>
      </c>
      <c r="D1609" s="2">
        <v>0.67521990741079208</v>
      </c>
      <c r="E1609" s="4">
        <v>45223</v>
      </c>
      <c r="F1609" s="7" t="s">
        <v>17</v>
      </c>
      <c r="G1609" s="7" t="s">
        <v>223</v>
      </c>
      <c r="H1609" s="7" t="s">
        <v>990</v>
      </c>
      <c r="I1609" s="7" t="s">
        <v>2641</v>
      </c>
      <c r="J1609" s="7" t="s">
        <v>752</v>
      </c>
      <c r="K1609" s="7" t="s">
        <v>69</v>
      </c>
      <c r="L1609" s="8">
        <v>52</v>
      </c>
      <c r="M1609" s="7" t="s">
        <v>23</v>
      </c>
      <c r="N1609" s="8">
        <v>12</v>
      </c>
      <c r="O1609" s="8">
        <v>1</v>
      </c>
      <c r="P1609" s="5">
        <v>8450.84</v>
      </c>
      <c r="Q1609" s="4">
        <v>45600</v>
      </c>
      <c r="R1609" s="9">
        <v>0.34001157407407406</v>
      </c>
      <c r="S1609" s="8">
        <v>16</v>
      </c>
      <c r="T1609" s="7" t="s">
        <v>4457</v>
      </c>
      <c r="U1609" s="7" t="s">
        <v>4455</v>
      </c>
      <c r="V16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10" spans="1:22" x14ac:dyDescent="0.35">
      <c r="A1610" s="7" t="s">
        <v>3430</v>
      </c>
      <c r="B1610" s="7" t="s">
        <v>1016</v>
      </c>
      <c r="C1610" s="5">
        <v>96.25</v>
      </c>
      <c r="D1610" s="2">
        <v>0.66783564814977581</v>
      </c>
      <c r="E1610" s="4">
        <v>45134</v>
      </c>
      <c r="F1610" s="7" t="s">
        <v>17</v>
      </c>
      <c r="G1610" s="7" t="s">
        <v>26</v>
      </c>
      <c r="H1610" s="7" t="s">
        <v>1939</v>
      </c>
      <c r="I1610" s="7" t="s">
        <v>929</v>
      </c>
      <c r="J1610" s="7" t="s">
        <v>143</v>
      </c>
      <c r="K1610" s="7" t="s">
        <v>36</v>
      </c>
      <c r="L1610" s="8">
        <v>61</v>
      </c>
      <c r="M1610" s="7" t="s">
        <v>70</v>
      </c>
      <c r="N1610" s="8">
        <v>171</v>
      </c>
      <c r="O1610" s="8">
        <v>1</v>
      </c>
      <c r="P1610" s="5">
        <v>7996.7</v>
      </c>
      <c r="Q1610" s="4">
        <v>45600</v>
      </c>
      <c r="R1610" s="9">
        <v>0.33791666666666664</v>
      </c>
      <c r="S1610" s="8">
        <v>16</v>
      </c>
      <c r="T1610" s="7" t="s">
        <v>4454</v>
      </c>
      <c r="U1610" s="7" t="s">
        <v>4455</v>
      </c>
      <c r="V16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11" spans="1:22" x14ac:dyDescent="0.35">
      <c r="A1611" s="7" t="s">
        <v>3431</v>
      </c>
      <c r="B1611" s="7" t="s">
        <v>785</v>
      </c>
      <c r="C1611" s="5">
        <v>1431.33</v>
      </c>
      <c r="D1611" s="2">
        <v>0.74364583333226619</v>
      </c>
      <c r="E1611" s="4">
        <v>44943</v>
      </c>
      <c r="F1611" s="7" t="s">
        <v>17</v>
      </c>
      <c r="G1611" s="7" t="s">
        <v>249</v>
      </c>
      <c r="H1611" s="7" t="s">
        <v>586</v>
      </c>
      <c r="I1611" s="7" t="s">
        <v>991</v>
      </c>
      <c r="J1611" s="7" t="s">
        <v>326</v>
      </c>
      <c r="K1611" s="7" t="s">
        <v>22</v>
      </c>
      <c r="L1611" s="8">
        <v>30</v>
      </c>
      <c r="M1611" s="7" t="s">
        <v>23</v>
      </c>
      <c r="N1611" s="8">
        <v>49</v>
      </c>
      <c r="O1611" s="8">
        <v>1</v>
      </c>
      <c r="P1611" s="5">
        <v>5567.98</v>
      </c>
      <c r="Q1611" s="4">
        <v>45600</v>
      </c>
      <c r="R1611" s="9">
        <v>0.33979166666666666</v>
      </c>
      <c r="S1611" s="8">
        <v>17</v>
      </c>
      <c r="T1611" s="7" t="s">
        <v>4456</v>
      </c>
      <c r="U1611" s="7" t="s">
        <v>4455</v>
      </c>
      <c r="V16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12" spans="1:22" x14ac:dyDescent="0.35">
      <c r="A1612" s="7" t="s">
        <v>3432</v>
      </c>
      <c r="B1612" s="7" t="s">
        <v>2000</v>
      </c>
      <c r="C1612" s="5">
        <v>142.55000000000001</v>
      </c>
      <c r="D1612" s="2">
        <v>0.69844907407241408</v>
      </c>
      <c r="E1612" s="4">
        <v>45062</v>
      </c>
      <c r="F1612" s="7" t="s">
        <v>17</v>
      </c>
      <c r="G1612" s="7" t="s">
        <v>291</v>
      </c>
      <c r="H1612" s="7" t="s">
        <v>818</v>
      </c>
      <c r="I1612" s="7" t="s">
        <v>1109</v>
      </c>
      <c r="J1612" s="7" t="s">
        <v>358</v>
      </c>
      <c r="K1612" s="7" t="s">
        <v>36</v>
      </c>
      <c r="L1612" s="8">
        <v>67</v>
      </c>
      <c r="M1612" s="7" t="s">
        <v>23</v>
      </c>
      <c r="N1612" s="8">
        <v>97</v>
      </c>
      <c r="O1612" s="8">
        <v>1</v>
      </c>
      <c r="P1612" s="5">
        <v>1262.68</v>
      </c>
      <c r="Q1612" s="4">
        <v>45600</v>
      </c>
      <c r="R1612" s="9">
        <v>0.33849537037037036</v>
      </c>
      <c r="S1612" s="8">
        <v>16</v>
      </c>
      <c r="T1612" s="7" t="s">
        <v>4454</v>
      </c>
      <c r="U1612" s="7" t="s">
        <v>4455</v>
      </c>
      <c r="V16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13" spans="1:22" x14ac:dyDescent="0.35">
      <c r="A1613" s="7" t="s">
        <v>3433</v>
      </c>
      <c r="B1613" s="7" t="s">
        <v>3060</v>
      </c>
      <c r="C1613" s="5">
        <v>35.94</v>
      </c>
      <c r="D1613" s="2">
        <v>0.68254629629518604</v>
      </c>
      <c r="E1613" s="4">
        <v>45054</v>
      </c>
      <c r="F1613" s="7" t="s">
        <v>46</v>
      </c>
      <c r="G1613" s="7" t="s">
        <v>558</v>
      </c>
      <c r="H1613" s="7" t="s">
        <v>41</v>
      </c>
      <c r="I1613" s="7" t="s">
        <v>496</v>
      </c>
      <c r="J1613" s="7" t="s">
        <v>1345</v>
      </c>
      <c r="K1613" s="7" t="s">
        <v>69</v>
      </c>
      <c r="L1613" s="8">
        <v>23</v>
      </c>
      <c r="M1613" s="7" t="s">
        <v>37</v>
      </c>
      <c r="N1613" s="8">
        <v>141</v>
      </c>
      <c r="O1613" s="8">
        <v>1</v>
      </c>
      <c r="P1613" s="5">
        <v>1697.28</v>
      </c>
      <c r="Q1613" s="4">
        <v>45600</v>
      </c>
      <c r="R1613" s="9">
        <v>0.33986111111111111</v>
      </c>
      <c r="S1613" s="8">
        <v>16</v>
      </c>
      <c r="T1613" s="7" t="s">
        <v>4456</v>
      </c>
      <c r="U1613" s="7" t="s">
        <v>4455</v>
      </c>
      <c r="V16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14" spans="1:22" x14ac:dyDescent="0.35">
      <c r="A1614" s="7" t="s">
        <v>3434</v>
      </c>
      <c r="B1614" s="7" t="s">
        <v>2149</v>
      </c>
      <c r="C1614" s="5">
        <v>24.86</v>
      </c>
      <c r="D1614" s="2">
        <v>0.70388888888555812</v>
      </c>
      <c r="E1614" s="4">
        <v>44970</v>
      </c>
      <c r="F1614" s="7" t="s">
        <v>17</v>
      </c>
      <c r="G1614" s="7" t="s">
        <v>392</v>
      </c>
      <c r="H1614" s="7" t="s">
        <v>3255</v>
      </c>
      <c r="I1614" s="7" t="s">
        <v>2658</v>
      </c>
      <c r="J1614" s="7" t="s">
        <v>83</v>
      </c>
      <c r="K1614" s="7" t="s">
        <v>69</v>
      </c>
      <c r="L1614" s="8">
        <v>58</v>
      </c>
      <c r="M1614" s="7" t="s">
        <v>77</v>
      </c>
      <c r="N1614" s="8">
        <v>292</v>
      </c>
      <c r="O1614" s="8">
        <v>1</v>
      </c>
      <c r="P1614" s="5">
        <v>2591.65</v>
      </c>
      <c r="Q1614" s="4">
        <v>45600</v>
      </c>
      <c r="R1614" s="9">
        <v>0.34171296296296294</v>
      </c>
      <c r="S1614" s="8">
        <v>16</v>
      </c>
      <c r="T1614" s="7" t="s">
        <v>4454</v>
      </c>
      <c r="U1614" s="7" t="s">
        <v>4455</v>
      </c>
      <c r="V16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15" spans="1:22" x14ac:dyDescent="0.35">
      <c r="A1615" s="7" t="s">
        <v>3435</v>
      </c>
      <c r="B1615" s="7" t="s">
        <v>1333</v>
      </c>
      <c r="C1615" s="5">
        <v>103.08</v>
      </c>
      <c r="D1615" s="2">
        <v>0.67317129629373085</v>
      </c>
      <c r="E1615" s="4">
        <v>45244</v>
      </c>
      <c r="F1615" s="7" t="s">
        <v>17</v>
      </c>
      <c r="G1615" s="7" t="s">
        <v>212</v>
      </c>
      <c r="H1615" s="7" t="s">
        <v>614</v>
      </c>
      <c r="I1615" s="7" t="s">
        <v>1370</v>
      </c>
      <c r="J1615" s="7" t="s">
        <v>35</v>
      </c>
      <c r="K1615" s="7" t="s">
        <v>36</v>
      </c>
      <c r="L1615" s="8">
        <v>60</v>
      </c>
      <c r="M1615" s="7" t="s">
        <v>23</v>
      </c>
      <c r="N1615" s="8">
        <v>109</v>
      </c>
      <c r="O1615" s="8">
        <v>1</v>
      </c>
      <c r="P1615" s="5">
        <v>12002.16</v>
      </c>
      <c r="Q1615" s="4">
        <v>45600</v>
      </c>
      <c r="R1615" s="9">
        <v>0.3404861111111111</v>
      </c>
      <c r="S1615" s="8">
        <v>16</v>
      </c>
      <c r="T1615" s="7" t="s">
        <v>4454</v>
      </c>
      <c r="U1615" s="7" t="s">
        <v>4455</v>
      </c>
      <c r="V16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16" spans="1:22" x14ac:dyDescent="0.35">
      <c r="A1616" s="7" t="s">
        <v>3436</v>
      </c>
      <c r="B1616" s="7" t="s">
        <v>25</v>
      </c>
      <c r="C1616" s="5">
        <v>116.27</v>
      </c>
      <c r="D1616" s="2">
        <v>0.75307870370306773</v>
      </c>
      <c r="E1616" s="4">
        <v>45258</v>
      </c>
      <c r="F1616" s="7" t="s">
        <v>17</v>
      </c>
      <c r="G1616" s="7" t="s">
        <v>595</v>
      </c>
      <c r="H1616" s="7" t="s">
        <v>1241</v>
      </c>
      <c r="I1616" s="7" t="s">
        <v>1215</v>
      </c>
      <c r="J1616" s="7" t="s">
        <v>1349</v>
      </c>
      <c r="K1616" s="7" t="s">
        <v>36</v>
      </c>
      <c r="L1616" s="8">
        <v>57</v>
      </c>
      <c r="M1616" s="7" t="s">
        <v>77</v>
      </c>
      <c r="N1616" s="8">
        <v>94</v>
      </c>
      <c r="O1616" s="8">
        <v>1</v>
      </c>
      <c r="P1616" s="5">
        <v>8726.92</v>
      </c>
      <c r="Q1616" s="4">
        <v>45600</v>
      </c>
      <c r="R1616" s="9">
        <v>0.34153935185185186</v>
      </c>
      <c r="S1616" s="8">
        <v>18</v>
      </c>
      <c r="T1616" s="7" t="s">
        <v>4454</v>
      </c>
      <c r="U1616" s="7" t="s">
        <v>4455</v>
      </c>
      <c r="V16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17" spans="1:22" x14ac:dyDescent="0.35">
      <c r="A1617" s="7" t="s">
        <v>3437</v>
      </c>
      <c r="B1617" s="7" t="s">
        <v>1814</v>
      </c>
      <c r="C1617" s="5">
        <v>363.84</v>
      </c>
      <c r="D1617" s="2">
        <v>0.73726851851824904</v>
      </c>
      <c r="E1617" s="4">
        <v>45218</v>
      </c>
      <c r="F1617" s="7" t="s">
        <v>17</v>
      </c>
      <c r="G1617" s="7" t="s">
        <v>125</v>
      </c>
      <c r="H1617" s="7" t="s">
        <v>2399</v>
      </c>
      <c r="I1617" s="7" t="s">
        <v>597</v>
      </c>
      <c r="J1617" s="7" t="s">
        <v>122</v>
      </c>
      <c r="K1617" s="7" t="s">
        <v>36</v>
      </c>
      <c r="L1617" s="8">
        <v>73</v>
      </c>
      <c r="M1617" s="7" t="s">
        <v>70</v>
      </c>
      <c r="N1617" s="8">
        <v>118</v>
      </c>
      <c r="O1617" s="8">
        <v>3</v>
      </c>
      <c r="P1617" s="5">
        <v>5415.64</v>
      </c>
      <c r="Q1617" s="4">
        <v>45600</v>
      </c>
      <c r="R1617" s="9">
        <v>0.34001157407407406</v>
      </c>
      <c r="S1617" s="8">
        <v>17</v>
      </c>
      <c r="T1617" s="7" t="s">
        <v>4454</v>
      </c>
      <c r="U1617" s="7" t="s">
        <v>4458</v>
      </c>
      <c r="V16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18" spans="1:22" x14ac:dyDescent="0.35">
      <c r="A1618" s="7" t="s">
        <v>3438</v>
      </c>
      <c r="B1618" s="7" t="s">
        <v>660</v>
      </c>
      <c r="C1618" s="5">
        <v>34.74</v>
      </c>
      <c r="D1618" s="2">
        <v>0.669224537035916</v>
      </c>
      <c r="E1618" s="4">
        <v>45044</v>
      </c>
      <c r="F1618" s="7" t="s">
        <v>46</v>
      </c>
      <c r="G1618" s="7" t="s">
        <v>595</v>
      </c>
      <c r="H1618" s="7" t="s">
        <v>152</v>
      </c>
      <c r="I1618" s="7" t="s">
        <v>744</v>
      </c>
      <c r="J1618" s="7" t="s">
        <v>326</v>
      </c>
      <c r="K1618" s="7" t="s">
        <v>36</v>
      </c>
      <c r="L1618" s="8">
        <v>59</v>
      </c>
      <c r="M1618" s="7" t="s">
        <v>70</v>
      </c>
      <c r="N1618" s="8">
        <v>72</v>
      </c>
      <c r="O1618" s="8">
        <v>1</v>
      </c>
      <c r="P1618" s="5">
        <v>3736.57</v>
      </c>
      <c r="Q1618" s="4">
        <v>45600</v>
      </c>
      <c r="R1618" s="9">
        <v>0.34182870370370372</v>
      </c>
      <c r="S1618" s="8">
        <v>16</v>
      </c>
      <c r="T1618" s="7" t="s">
        <v>4454</v>
      </c>
      <c r="U1618" s="7" t="s">
        <v>4455</v>
      </c>
      <c r="V16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19" spans="1:22" x14ac:dyDescent="0.35">
      <c r="A1619" s="7" t="s">
        <v>3439</v>
      </c>
      <c r="B1619" s="7" t="s">
        <v>756</v>
      </c>
      <c r="C1619" s="5">
        <v>64.010000000000005</v>
      </c>
      <c r="D1619" s="2">
        <v>0.75989583333284827</v>
      </c>
      <c r="E1619" s="4">
        <v>45229</v>
      </c>
      <c r="F1619" s="7" t="s">
        <v>46</v>
      </c>
      <c r="G1619" s="7" t="s">
        <v>243</v>
      </c>
      <c r="H1619" s="7" t="s">
        <v>27</v>
      </c>
      <c r="I1619" s="7" t="s">
        <v>1195</v>
      </c>
      <c r="J1619" s="7" t="s">
        <v>885</v>
      </c>
      <c r="K1619" s="7" t="s">
        <v>69</v>
      </c>
      <c r="L1619" s="8">
        <v>19</v>
      </c>
      <c r="M1619" s="7" t="s">
        <v>37</v>
      </c>
      <c r="N1619" s="8">
        <v>240</v>
      </c>
      <c r="O1619" s="8">
        <v>1</v>
      </c>
      <c r="P1619" s="5">
        <v>1225.69</v>
      </c>
      <c r="Q1619" s="4">
        <v>45600</v>
      </c>
      <c r="R1619" s="9">
        <v>0.33918981481481481</v>
      </c>
      <c r="S1619" s="8">
        <v>18</v>
      </c>
      <c r="T1619" s="7" t="s">
        <v>4456</v>
      </c>
      <c r="U1619" s="7" t="s">
        <v>4455</v>
      </c>
      <c r="V16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20" spans="1:22" x14ac:dyDescent="0.35">
      <c r="A1620" s="7" t="s">
        <v>3440</v>
      </c>
      <c r="B1620" s="7" t="s">
        <v>1644</v>
      </c>
      <c r="C1620" s="5">
        <v>108.75</v>
      </c>
      <c r="D1620" s="2">
        <v>0.6731481481474475</v>
      </c>
      <c r="E1620" s="4">
        <v>45216</v>
      </c>
      <c r="F1620" s="7" t="s">
        <v>17</v>
      </c>
      <c r="G1620" s="7" t="s">
        <v>26</v>
      </c>
      <c r="H1620" s="7" t="s">
        <v>2114</v>
      </c>
      <c r="I1620" s="7" t="s">
        <v>915</v>
      </c>
      <c r="J1620" s="7" t="s">
        <v>348</v>
      </c>
      <c r="K1620" s="7" t="s">
        <v>22</v>
      </c>
      <c r="L1620" s="8">
        <v>50</v>
      </c>
      <c r="M1620" s="7" t="s">
        <v>23</v>
      </c>
      <c r="N1620" s="8">
        <v>23</v>
      </c>
      <c r="O1620" s="8">
        <v>4</v>
      </c>
      <c r="P1620" s="5">
        <v>14829.85</v>
      </c>
      <c r="Q1620" s="4">
        <v>45600</v>
      </c>
      <c r="R1620" s="9">
        <v>0.3404861111111111</v>
      </c>
      <c r="S1620" s="8">
        <v>16</v>
      </c>
      <c r="T1620" s="7" t="s">
        <v>4457</v>
      </c>
      <c r="U1620" s="7" t="s">
        <v>4458</v>
      </c>
      <c r="V16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21" spans="1:22" x14ac:dyDescent="0.35">
      <c r="A1621" s="7" t="s">
        <v>3441</v>
      </c>
      <c r="B1621" s="7" t="s">
        <v>3241</v>
      </c>
      <c r="C1621" s="5">
        <v>50.9</v>
      </c>
      <c r="D1621" s="2">
        <v>0.67678240740497131</v>
      </c>
      <c r="E1621" s="4">
        <v>45040</v>
      </c>
      <c r="F1621" s="7" t="s">
        <v>46</v>
      </c>
      <c r="G1621" s="7" t="s">
        <v>392</v>
      </c>
      <c r="H1621" s="7" t="s">
        <v>1558</v>
      </c>
      <c r="I1621" s="7" t="s">
        <v>369</v>
      </c>
      <c r="J1621" s="7" t="s">
        <v>548</v>
      </c>
      <c r="K1621" s="7" t="s">
        <v>36</v>
      </c>
      <c r="L1621" s="8">
        <v>28</v>
      </c>
      <c r="M1621" s="7" t="s">
        <v>37</v>
      </c>
      <c r="N1621" s="8">
        <v>150</v>
      </c>
      <c r="O1621" s="8">
        <v>1</v>
      </c>
      <c r="P1621" s="5">
        <v>1277.7</v>
      </c>
      <c r="Q1621" s="4">
        <v>45600</v>
      </c>
      <c r="R1621" s="9">
        <v>0.33791666666666664</v>
      </c>
      <c r="S1621" s="8">
        <v>16</v>
      </c>
      <c r="T1621" s="7" t="s">
        <v>4456</v>
      </c>
      <c r="U1621" s="7" t="s">
        <v>4455</v>
      </c>
      <c r="V16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22" spans="1:22" x14ac:dyDescent="0.35">
      <c r="A1622" s="7" t="s">
        <v>3442</v>
      </c>
      <c r="B1622" s="7" t="s">
        <v>113</v>
      </c>
      <c r="C1622" s="5">
        <v>206.84</v>
      </c>
      <c r="D1622" s="2">
        <v>0.78318287037109258</v>
      </c>
      <c r="E1622" s="4">
        <v>45182</v>
      </c>
      <c r="F1622" s="7" t="s">
        <v>17</v>
      </c>
      <c r="G1622" s="7" t="s">
        <v>243</v>
      </c>
      <c r="H1622" s="7" t="s">
        <v>865</v>
      </c>
      <c r="I1622" s="7" t="s">
        <v>591</v>
      </c>
      <c r="J1622" s="7" t="s">
        <v>752</v>
      </c>
      <c r="K1622" s="7" t="s">
        <v>69</v>
      </c>
      <c r="L1622" s="8">
        <v>20</v>
      </c>
      <c r="M1622" s="7" t="s">
        <v>37</v>
      </c>
      <c r="N1622" s="8">
        <v>154</v>
      </c>
      <c r="O1622" s="8">
        <v>1</v>
      </c>
      <c r="P1622" s="5">
        <v>454.66</v>
      </c>
      <c r="Q1622" s="4">
        <v>45600</v>
      </c>
      <c r="R1622" s="9">
        <v>0.34085648148148145</v>
      </c>
      <c r="S1622" s="8">
        <v>18</v>
      </c>
      <c r="T1622" s="7" t="s">
        <v>4456</v>
      </c>
      <c r="U1622" s="7" t="s">
        <v>4455</v>
      </c>
      <c r="V16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23" spans="1:22" x14ac:dyDescent="0.35">
      <c r="A1623" s="7" t="s">
        <v>3443</v>
      </c>
      <c r="B1623" s="7" t="s">
        <v>1343</v>
      </c>
      <c r="C1623" s="5">
        <v>37.4</v>
      </c>
      <c r="D1623" s="2">
        <v>0.74648148148116888</v>
      </c>
      <c r="E1623" s="4">
        <v>45139</v>
      </c>
      <c r="F1623" s="7" t="s">
        <v>17</v>
      </c>
      <c r="G1623" s="7" t="s">
        <v>40</v>
      </c>
      <c r="H1623" s="7" t="s">
        <v>1154</v>
      </c>
      <c r="I1623" s="7" t="s">
        <v>606</v>
      </c>
      <c r="J1623" s="7" t="s">
        <v>445</v>
      </c>
      <c r="K1623" s="7" t="s">
        <v>22</v>
      </c>
      <c r="L1623" s="8">
        <v>20</v>
      </c>
      <c r="M1623" s="7" t="s">
        <v>37</v>
      </c>
      <c r="N1623" s="8">
        <v>84</v>
      </c>
      <c r="O1623" s="8">
        <v>1</v>
      </c>
      <c r="P1623" s="5">
        <v>1519.51</v>
      </c>
      <c r="Q1623" s="4">
        <v>45600</v>
      </c>
      <c r="R1623" s="9">
        <v>0.34175925925925926</v>
      </c>
      <c r="S1623" s="8">
        <v>17</v>
      </c>
      <c r="T1623" s="7" t="s">
        <v>4456</v>
      </c>
      <c r="U1623" s="7" t="s">
        <v>4455</v>
      </c>
      <c r="V16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24" spans="1:22" x14ac:dyDescent="0.35">
      <c r="A1624" s="7" t="s">
        <v>3444</v>
      </c>
      <c r="B1624" s="7" t="s">
        <v>701</v>
      </c>
      <c r="C1624" s="5">
        <v>154.21</v>
      </c>
      <c r="D1624" s="2">
        <v>0.66766203703446081</v>
      </c>
      <c r="E1624" s="4">
        <v>44928</v>
      </c>
      <c r="F1624" s="7" t="s">
        <v>17</v>
      </c>
      <c r="G1624" s="7" t="s">
        <v>172</v>
      </c>
      <c r="H1624" s="7" t="s">
        <v>1558</v>
      </c>
      <c r="I1624" s="7" t="s">
        <v>1589</v>
      </c>
      <c r="J1624" s="7" t="s">
        <v>160</v>
      </c>
      <c r="K1624" s="7" t="s">
        <v>36</v>
      </c>
      <c r="L1624" s="8">
        <v>46</v>
      </c>
      <c r="M1624" s="7" t="s">
        <v>77</v>
      </c>
      <c r="N1624" s="8">
        <v>75</v>
      </c>
      <c r="O1624" s="8">
        <v>1</v>
      </c>
      <c r="P1624" s="5">
        <v>8045.77</v>
      </c>
      <c r="Q1624" s="4">
        <v>45600</v>
      </c>
      <c r="R1624" s="9">
        <v>0.34065972222222224</v>
      </c>
      <c r="S1624" s="8">
        <v>16</v>
      </c>
      <c r="T1624" s="7" t="s">
        <v>4457</v>
      </c>
      <c r="U1624" s="7" t="s">
        <v>4455</v>
      </c>
      <c r="V16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25" spans="1:22" x14ac:dyDescent="0.35">
      <c r="A1625" s="7" t="s">
        <v>3445</v>
      </c>
      <c r="B1625" s="7" t="s">
        <v>905</v>
      </c>
      <c r="C1625" s="5">
        <v>199.37</v>
      </c>
      <c r="D1625" s="2">
        <v>0.73565972222422715</v>
      </c>
      <c r="E1625" s="4">
        <v>45106</v>
      </c>
      <c r="F1625" s="7" t="s">
        <v>17</v>
      </c>
      <c r="G1625" s="7" t="s">
        <v>265</v>
      </c>
      <c r="H1625" s="7" t="s">
        <v>692</v>
      </c>
      <c r="I1625" s="7" t="s">
        <v>844</v>
      </c>
      <c r="J1625" s="7" t="s">
        <v>160</v>
      </c>
      <c r="K1625" s="7" t="s">
        <v>36</v>
      </c>
      <c r="L1625" s="8">
        <v>24</v>
      </c>
      <c r="M1625" s="7" t="s">
        <v>37</v>
      </c>
      <c r="N1625" s="8">
        <v>79</v>
      </c>
      <c r="O1625" s="8">
        <v>1</v>
      </c>
      <c r="P1625" s="5">
        <v>1331.3</v>
      </c>
      <c r="Q1625" s="4">
        <v>45600</v>
      </c>
      <c r="R1625" s="9">
        <v>0.33939814814814817</v>
      </c>
      <c r="S1625" s="8">
        <v>17</v>
      </c>
      <c r="T1625" s="7" t="s">
        <v>4456</v>
      </c>
      <c r="U1625" s="7" t="s">
        <v>4455</v>
      </c>
      <c r="V16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26" spans="1:22" x14ac:dyDescent="0.35">
      <c r="A1626" s="7" t="s">
        <v>3446</v>
      </c>
      <c r="B1626" s="7" t="s">
        <v>2229</v>
      </c>
      <c r="C1626" s="5">
        <v>410.49</v>
      </c>
      <c r="D1626" s="2">
        <v>0.69949074074247619</v>
      </c>
      <c r="E1626" s="4">
        <v>45132</v>
      </c>
      <c r="F1626" s="7" t="s">
        <v>46</v>
      </c>
      <c r="G1626" s="7" t="s">
        <v>47</v>
      </c>
      <c r="H1626" s="7" t="s">
        <v>1358</v>
      </c>
      <c r="I1626" s="7" t="s">
        <v>1348</v>
      </c>
      <c r="J1626" s="7" t="s">
        <v>358</v>
      </c>
      <c r="K1626" s="7" t="s">
        <v>69</v>
      </c>
      <c r="L1626" s="8">
        <v>25</v>
      </c>
      <c r="M1626" s="7" t="s">
        <v>37</v>
      </c>
      <c r="N1626" s="8">
        <v>134</v>
      </c>
      <c r="O1626" s="8">
        <v>1</v>
      </c>
      <c r="P1626" s="5">
        <v>1843.57</v>
      </c>
      <c r="Q1626" s="4">
        <v>45600</v>
      </c>
      <c r="R1626" s="9">
        <v>0.3407175925925926</v>
      </c>
      <c r="S1626" s="8">
        <v>16</v>
      </c>
      <c r="T1626" s="7" t="s">
        <v>4456</v>
      </c>
      <c r="U1626" s="7" t="s">
        <v>4455</v>
      </c>
      <c r="V16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27" spans="1:22" x14ac:dyDescent="0.35">
      <c r="A1627" s="7" t="s">
        <v>3447</v>
      </c>
      <c r="B1627" s="7" t="s">
        <v>434</v>
      </c>
      <c r="C1627" s="5">
        <v>1360.01</v>
      </c>
      <c r="D1627" s="2">
        <v>0.70234953703766223</v>
      </c>
      <c r="E1627" s="4">
        <v>45194</v>
      </c>
      <c r="F1627" s="7" t="s">
        <v>46</v>
      </c>
      <c r="G1627" s="7" t="s">
        <v>425</v>
      </c>
      <c r="H1627" s="7" t="s">
        <v>877</v>
      </c>
      <c r="I1627" s="7" t="s">
        <v>1898</v>
      </c>
      <c r="J1627" s="7" t="s">
        <v>1287</v>
      </c>
      <c r="K1627" s="7" t="s">
        <v>69</v>
      </c>
      <c r="L1627" s="8">
        <v>67</v>
      </c>
      <c r="M1627" s="7" t="s">
        <v>70</v>
      </c>
      <c r="N1627" s="8">
        <v>218</v>
      </c>
      <c r="O1627" s="8">
        <v>1</v>
      </c>
      <c r="P1627" s="5">
        <v>6601.5</v>
      </c>
      <c r="Q1627" s="4">
        <v>45600</v>
      </c>
      <c r="R1627" s="9">
        <v>0.34164351851851854</v>
      </c>
      <c r="S1627" s="8">
        <v>16</v>
      </c>
      <c r="T1627" s="7" t="s">
        <v>4454</v>
      </c>
      <c r="U1627" s="7" t="s">
        <v>4455</v>
      </c>
      <c r="V16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28" spans="1:22" x14ac:dyDescent="0.35">
      <c r="A1628" s="7" t="s">
        <v>3448</v>
      </c>
      <c r="B1628" s="7" t="s">
        <v>729</v>
      </c>
      <c r="C1628" s="5">
        <v>18.23</v>
      </c>
      <c r="D1628" s="2">
        <v>0.73012731481139781</v>
      </c>
      <c r="E1628" s="4">
        <v>45007</v>
      </c>
      <c r="F1628" s="7" t="s">
        <v>17</v>
      </c>
      <c r="G1628" s="7" t="s">
        <v>80</v>
      </c>
      <c r="H1628" s="7" t="s">
        <v>41</v>
      </c>
      <c r="I1628" s="7" t="s">
        <v>870</v>
      </c>
      <c r="J1628" s="7" t="s">
        <v>331</v>
      </c>
      <c r="K1628" s="7" t="s">
        <v>22</v>
      </c>
      <c r="L1628" s="8">
        <v>56</v>
      </c>
      <c r="M1628" s="7" t="s">
        <v>77</v>
      </c>
      <c r="N1628" s="8">
        <v>28</v>
      </c>
      <c r="O1628" s="8">
        <v>1</v>
      </c>
      <c r="P1628" s="5">
        <v>8422.2000000000007</v>
      </c>
      <c r="Q1628" s="4">
        <v>45600</v>
      </c>
      <c r="R1628" s="9">
        <v>0.34120370370370373</v>
      </c>
      <c r="S1628" s="8">
        <v>17</v>
      </c>
      <c r="T1628" s="7" t="s">
        <v>4454</v>
      </c>
      <c r="U1628" s="7" t="s">
        <v>4455</v>
      </c>
      <c r="V16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29" spans="1:22" x14ac:dyDescent="0.35">
      <c r="A1629" s="7" t="s">
        <v>3449</v>
      </c>
      <c r="B1629" s="7" t="s">
        <v>1272</v>
      </c>
      <c r="C1629" s="5">
        <v>398.7</v>
      </c>
      <c r="D1629" s="2">
        <v>0.66818287037312984</v>
      </c>
      <c r="E1629" s="4">
        <v>45166</v>
      </c>
      <c r="F1629" s="7" t="s">
        <v>17</v>
      </c>
      <c r="G1629" s="7" t="s">
        <v>86</v>
      </c>
      <c r="H1629" s="7" t="s">
        <v>649</v>
      </c>
      <c r="I1629" s="7" t="s">
        <v>739</v>
      </c>
      <c r="J1629" s="7" t="s">
        <v>598</v>
      </c>
      <c r="K1629" s="7" t="s">
        <v>22</v>
      </c>
      <c r="L1629" s="8">
        <v>47</v>
      </c>
      <c r="M1629" s="7" t="s">
        <v>23</v>
      </c>
      <c r="N1629" s="8">
        <v>276</v>
      </c>
      <c r="O1629" s="8">
        <v>1</v>
      </c>
      <c r="P1629" s="5">
        <v>7987.74</v>
      </c>
      <c r="Q1629" s="4">
        <v>45600</v>
      </c>
      <c r="R1629" s="9">
        <v>0.33962962962962961</v>
      </c>
      <c r="S1629" s="8">
        <v>16</v>
      </c>
      <c r="T1629" s="7" t="s">
        <v>4457</v>
      </c>
      <c r="U1629" s="7" t="s">
        <v>4455</v>
      </c>
      <c r="V16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30" spans="1:22" x14ac:dyDescent="0.35">
      <c r="A1630" s="7" t="s">
        <v>3450</v>
      </c>
      <c r="B1630" s="7" t="s">
        <v>2297</v>
      </c>
      <c r="C1630" s="5">
        <v>122.14</v>
      </c>
      <c r="D1630" s="2">
        <v>0.68087962963181781</v>
      </c>
      <c r="E1630" s="4">
        <v>44977</v>
      </c>
      <c r="F1630" s="7" t="s">
        <v>17</v>
      </c>
      <c r="G1630" s="7" t="s">
        <v>296</v>
      </c>
      <c r="H1630" s="7" t="s">
        <v>3203</v>
      </c>
      <c r="I1630" s="7" t="s">
        <v>2120</v>
      </c>
      <c r="J1630" s="7" t="s">
        <v>358</v>
      </c>
      <c r="K1630" s="7" t="s">
        <v>36</v>
      </c>
      <c r="L1630" s="8">
        <v>22</v>
      </c>
      <c r="M1630" s="7" t="s">
        <v>37</v>
      </c>
      <c r="N1630" s="8">
        <v>155</v>
      </c>
      <c r="O1630" s="8">
        <v>1</v>
      </c>
      <c r="P1630" s="5">
        <v>327.68</v>
      </c>
      <c r="Q1630" s="4">
        <v>45600</v>
      </c>
      <c r="R1630" s="9">
        <v>0.33893518518518517</v>
      </c>
      <c r="S1630" s="8">
        <v>16</v>
      </c>
      <c r="T1630" s="7" t="s">
        <v>4456</v>
      </c>
      <c r="U1630" s="7" t="s">
        <v>4455</v>
      </c>
      <c r="V16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31" spans="1:22" x14ac:dyDescent="0.35">
      <c r="A1631" s="7" t="s">
        <v>3451</v>
      </c>
      <c r="B1631" s="7" t="s">
        <v>2930</v>
      </c>
      <c r="C1631" s="5">
        <v>378.2</v>
      </c>
      <c r="D1631" s="2">
        <v>0.71712962962919846</v>
      </c>
      <c r="E1631" s="4">
        <v>44935</v>
      </c>
      <c r="F1631" s="7" t="s">
        <v>17</v>
      </c>
      <c r="G1631" s="7" t="s">
        <v>32</v>
      </c>
      <c r="H1631" s="7" t="s">
        <v>1279</v>
      </c>
      <c r="I1631" s="7" t="s">
        <v>3452</v>
      </c>
      <c r="J1631" s="7" t="s">
        <v>181</v>
      </c>
      <c r="K1631" s="7" t="s">
        <v>69</v>
      </c>
      <c r="L1631" s="8">
        <v>40</v>
      </c>
      <c r="M1631" s="7" t="s">
        <v>77</v>
      </c>
      <c r="N1631" s="8">
        <v>167</v>
      </c>
      <c r="O1631" s="8">
        <v>1</v>
      </c>
      <c r="P1631" s="5">
        <v>7372.81</v>
      </c>
      <c r="Q1631" s="4">
        <v>45600</v>
      </c>
      <c r="R1631" s="9">
        <v>0.34099537037037037</v>
      </c>
      <c r="S1631" s="8">
        <v>17</v>
      </c>
      <c r="T1631" s="7" t="s">
        <v>4457</v>
      </c>
      <c r="U1631" s="7" t="s">
        <v>4455</v>
      </c>
      <c r="V16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32" spans="1:22" x14ac:dyDescent="0.35">
      <c r="A1632" s="7" t="s">
        <v>3453</v>
      </c>
      <c r="B1632" s="7" t="s">
        <v>974</v>
      </c>
      <c r="C1632" s="5">
        <v>124.74</v>
      </c>
      <c r="D1632" s="2">
        <v>0.68981481481750961</v>
      </c>
      <c r="E1632" s="4">
        <v>45257</v>
      </c>
      <c r="F1632" s="7" t="s">
        <v>17</v>
      </c>
      <c r="G1632" s="7" t="s">
        <v>140</v>
      </c>
      <c r="H1632" s="7" t="s">
        <v>3454</v>
      </c>
      <c r="I1632" s="7" t="s">
        <v>1576</v>
      </c>
      <c r="J1632" s="7" t="s">
        <v>858</v>
      </c>
      <c r="K1632" s="7" t="s">
        <v>22</v>
      </c>
      <c r="L1632" s="8">
        <v>49</v>
      </c>
      <c r="M1632" s="7" t="s">
        <v>77</v>
      </c>
      <c r="N1632" s="8">
        <v>33</v>
      </c>
      <c r="O1632" s="8">
        <v>1</v>
      </c>
      <c r="P1632" s="5">
        <v>2987.97</v>
      </c>
      <c r="Q1632" s="4">
        <v>45600</v>
      </c>
      <c r="R1632" s="9">
        <v>0.33908564814814812</v>
      </c>
      <c r="S1632" s="8">
        <v>16</v>
      </c>
      <c r="T1632" s="7" t="s">
        <v>4457</v>
      </c>
      <c r="U1632" s="7" t="s">
        <v>4455</v>
      </c>
      <c r="V16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33" spans="1:22" x14ac:dyDescent="0.35">
      <c r="A1633" s="7" t="s">
        <v>3455</v>
      </c>
      <c r="B1633" s="7" t="s">
        <v>722</v>
      </c>
      <c r="C1633" s="5">
        <v>17.100000000000001</v>
      </c>
      <c r="D1633" s="2">
        <v>0.70562500000232831</v>
      </c>
      <c r="E1633" s="4">
        <v>45285</v>
      </c>
      <c r="F1633" s="7" t="s">
        <v>17</v>
      </c>
      <c r="G1633" s="7" t="s">
        <v>86</v>
      </c>
      <c r="H1633" s="7" t="s">
        <v>2284</v>
      </c>
      <c r="I1633" s="7" t="s">
        <v>3456</v>
      </c>
      <c r="J1633" s="7" t="s">
        <v>62</v>
      </c>
      <c r="K1633" s="7" t="s">
        <v>22</v>
      </c>
      <c r="L1633" s="8">
        <v>53</v>
      </c>
      <c r="M1633" s="7" t="s">
        <v>70</v>
      </c>
      <c r="N1633" s="8">
        <v>101</v>
      </c>
      <c r="O1633" s="8">
        <v>1</v>
      </c>
      <c r="P1633" s="5">
        <v>1619.54</v>
      </c>
      <c r="Q1633" s="4">
        <v>45600</v>
      </c>
      <c r="R1633" s="9">
        <v>0.34103009259259259</v>
      </c>
      <c r="S1633" s="8">
        <v>16</v>
      </c>
      <c r="T1633" s="7" t="s">
        <v>4457</v>
      </c>
      <c r="U1633" s="7" t="s">
        <v>4455</v>
      </c>
      <c r="V16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34" spans="1:22" x14ac:dyDescent="0.35">
      <c r="A1634" s="7" t="s">
        <v>3457</v>
      </c>
      <c r="B1634" s="7" t="s">
        <v>3215</v>
      </c>
      <c r="C1634" s="5">
        <v>287.05</v>
      </c>
      <c r="D1634" s="2">
        <v>0.66725694444176042</v>
      </c>
      <c r="E1634" s="4">
        <v>45030</v>
      </c>
      <c r="F1634" s="7" t="s">
        <v>17</v>
      </c>
      <c r="G1634" s="7" t="s">
        <v>178</v>
      </c>
      <c r="H1634" s="7" t="s">
        <v>2397</v>
      </c>
      <c r="I1634" s="7" t="s">
        <v>3084</v>
      </c>
      <c r="J1634" s="7" t="s">
        <v>707</v>
      </c>
      <c r="K1634" s="7" t="s">
        <v>22</v>
      </c>
      <c r="L1634" s="8">
        <v>22</v>
      </c>
      <c r="M1634" s="7" t="s">
        <v>37</v>
      </c>
      <c r="N1634" s="8">
        <v>212</v>
      </c>
      <c r="O1634" s="8">
        <v>1</v>
      </c>
      <c r="P1634" s="5">
        <v>1204.6500000000001</v>
      </c>
      <c r="Q1634" s="4">
        <v>45600</v>
      </c>
      <c r="R1634" s="9">
        <v>0.34096064814814814</v>
      </c>
      <c r="S1634" s="8">
        <v>16</v>
      </c>
      <c r="T1634" s="7" t="s">
        <v>4456</v>
      </c>
      <c r="U1634" s="7" t="s">
        <v>4455</v>
      </c>
      <c r="V16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35" spans="1:22" x14ac:dyDescent="0.35">
      <c r="A1635" s="7" t="s">
        <v>3458</v>
      </c>
      <c r="B1635" s="7" t="s">
        <v>1512</v>
      </c>
      <c r="C1635" s="5">
        <v>874.72</v>
      </c>
      <c r="D1635" s="2">
        <v>0.68156250000174623</v>
      </c>
      <c r="E1635" s="4">
        <v>44988</v>
      </c>
      <c r="F1635" s="7" t="s">
        <v>17</v>
      </c>
      <c r="G1635" s="7" t="s">
        <v>212</v>
      </c>
      <c r="H1635" s="7" t="s">
        <v>1258</v>
      </c>
      <c r="I1635" s="7" t="s">
        <v>1215</v>
      </c>
      <c r="J1635" s="7" t="s">
        <v>674</v>
      </c>
      <c r="K1635" s="7" t="s">
        <v>36</v>
      </c>
      <c r="L1635" s="8">
        <v>28</v>
      </c>
      <c r="M1635" s="7" t="s">
        <v>77</v>
      </c>
      <c r="N1635" s="8">
        <v>173</v>
      </c>
      <c r="O1635" s="8">
        <v>1</v>
      </c>
      <c r="P1635" s="5">
        <v>4630.58</v>
      </c>
      <c r="Q1635" s="4">
        <v>45600</v>
      </c>
      <c r="R1635" s="9">
        <v>0.33908564814814812</v>
      </c>
      <c r="S1635" s="8">
        <v>16</v>
      </c>
      <c r="T1635" s="7" t="s">
        <v>4456</v>
      </c>
      <c r="U1635" s="7" t="s">
        <v>4455</v>
      </c>
      <c r="V16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36" spans="1:22" x14ac:dyDescent="0.35">
      <c r="A1636" s="7" t="s">
        <v>3459</v>
      </c>
      <c r="B1636" s="7" t="s">
        <v>585</v>
      </c>
      <c r="C1636" s="5">
        <v>1762.28</v>
      </c>
      <c r="D1636" s="2">
        <v>0.6705324074064265</v>
      </c>
      <c r="E1636" s="4">
        <v>45205</v>
      </c>
      <c r="F1636" s="7" t="s">
        <v>17</v>
      </c>
      <c r="G1636" s="7" t="s">
        <v>92</v>
      </c>
      <c r="H1636" s="7" t="s">
        <v>1429</v>
      </c>
      <c r="I1636" s="7" t="s">
        <v>1232</v>
      </c>
      <c r="J1636" s="7" t="s">
        <v>386</v>
      </c>
      <c r="K1636" s="7" t="s">
        <v>22</v>
      </c>
      <c r="L1636" s="8">
        <v>24</v>
      </c>
      <c r="M1636" s="7" t="s">
        <v>37</v>
      </c>
      <c r="N1636" s="8">
        <v>150</v>
      </c>
      <c r="O1636" s="8">
        <v>1</v>
      </c>
      <c r="P1636" s="5">
        <v>1380.34</v>
      </c>
      <c r="Q1636" s="4">
        <v>45600</v>
      </c>
      <c r="R1636" s="9">
        <v>0.34076388888888887</v>
      </c>
      <c r="S1636" s="8">
        <v>16</v>
      </c>
      <c r="T1636" s="7" t="s">
        <v>4456</v>
      </c>
      <c r="U1636" s="7" t="s">
        <v>4455</v>
      </c>
      <c r="V16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37" spans="1:22" x14ac:dyDescent="0.35">
      <c r="A1637" s="7" t="s">
        <v>3460</v>
      </c>
      <c r="B1637" s="7" t="s">
        <v>1796</v>
      </c>
      <c r="C1637" s="5">
        <v>40.119999999999997</v>
      </c>
      <c r="D1637" s="2">
        <v>0.71054398148407927</v>
      </c>
      <c r="E1637" s="4">
        <v>45035</v>
      </c>
      <c r="F1637" s="7" t="s">
        <v>46</v>
      </c>
      <c r="G1637" s="7" t="s">
        <v>323</v>
      </c>
      <c r="H1637" s="7" t="s">
        <v>928</v>
      </c>
      <c r="I1637" s="7" t="s">
        <v>563</v>
      </c>
      <c r="J1637" s="7" t="s">
        <v>1810</v>
      </c>
      <c r="K1637" s="7" t="s">
        <v>22</v>
      </c>
      <c r="L1637" s="8">
        <v>36</v>
      </c>
      <c r="M1637" s="7" t="s">
        <v>23</v>
      </c>
      <c r="N1637" s="8">
        <v>269</v>
      </c>
      <c r="O1637" s="8">
        <v>1</v>
      </c>
      <c r="P1637" s="5">
        <v>14304.38</v>
      </c>
      <c r="Q1637" s="4">
        <v>45600</v>
      </c>
      <c r="R1637" s="9">
        <v>0.34074074074074073</v>
      </c>
      <c r="S1637" s="8">
        <v>17</v>
      </c>
      <c r="T1637" s="7" t="s">
        <v>4457</v>
      </c>
      <c r="U1637" s="7" t="s">
        <v>4455</v>
      </c>
      <c r="V16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38" spans="1:22" x14ac:dyDescent="0.35">
      <c r="A1638" s="7" t="s">
        <v>3461</v>
      </c>
      <c r="B1638" s="7" t="s">
        <v>1023</v>
      </c>
      <c r="C1638" s="5">
        <v>125</v>
      </c>
      <c r="D1638" s="2">
        <v>0.68049768518540077</v>
      </c>
      <c r="E1638" s="4">
        <v>45082</v>
      </c>
      <c r="F1638" s="7" t="s">
        <v>46</v>
      </c>
      <c r="G1638" s="7" t="s">
        <v>65</v>
      </c>
      <c r="H1638" s="7" t="s">
        <v>1844</v>
      </c>
      <c r="I1638" s="7" t="s">
        <v>1112</v>
      </c>
      <c r="J1638" s="7" t="s">
        <v>246</v>
      </c>
      <c r="K1638" s="7" t="s">
        <v>36</v>
      </c>
      <c r="L1638" s="8">
        <v>49</v>
      </c>
      <c r="M1638" s="7" t="s">
        <v>77</v>
      </c>
      <c r="N1638" s="8">
        <v>177</v>
      </c>
      <c r="O1638" s="8">
        <v>1</v>
      </c>
      <c r="P1638" s="5">
        <v>3215.76</v>
      </c>
      <c r="Q1638" s="4">
        <v>45600</v>
      </c>
      <c r="R1638" s="9">
        <v>0.34138888888888891</v>
      </c>
      <c r="S1638" s="8">
        <v>16</v>
      </c>
      <c r="T1638" s="7" t="s">
        <v>4457</v>
      </c>
      <c r="U1638" s="7" t="s">
        <v>4455</v>
      </c>
      <c r="V16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39" spans="1:22" x14ac:dyDescent="0.35">
      <c r="A1639" s="7" t="s">
        <v>3462</v>
      </c>
      <c r="B1639" s="7" t="s">
        <v>167</v>
      </c>
      <c r="C1639" s="5">
        <v>348.44</v>
      </c>
      <c r="D1639" s="2">
        <v>0.74900462962978054</v>
      </c>
      <c r="E1639" s="4">
        <v>45236</v>
      </c>
      <c r="F1639" s="7" t="s">
        <v>17</v>
      </c>
      <c r="G1639" s="7" t="s">
        <v>197</v>
      </c>
      <c r="H1639" s="7" t="s">
        <v>1201</v>
      </c>
      <c r="I1639" s="7" t="s">
        <v>1377</v>
      </c>
      <c r="J1639" s="7" t="s">
        <v>639</v>
      </c>
      <c r="K1639" s="7" t="s">
        <v>36</v>
      </c>
      <c r="L1639" s="8">
        <v>24</v>
      </c>
      <c r="M1639" s="7" t="s">
        <v>37</v>
      </c>
      <c r="N1639" s="8">
        <v>147</v>
      </c>
      <c r="O1639" s="8">
        <v>1</v>
      </c>
      <c r="P1639" s="5">
        <v>1022.94</v>
      </c>
      <c r="Q1639" s="4">
        <v>45600</v>
      </c>
      <c r="R1639" s="9">
        <v>0.34021990740740743</v>
      </c>
      <c r="S1639" s="8">
        <v>17</v>
      </c>
      <c r="T1639" s="7" t="s">
        <v>4456</v>
      </c>
      <c r="U1639" s="7" t="s">
        <v>4455</v>
      </c>
      <c r="V16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40" spans="1:22" x14ac:dyDescent="0.35">
      <c r="A1640" s="7" t="s">
        <v>3463</v>
      </c>
      <c r="B1640" s="7" t="s">
        <v>657</v>
      </c>
      <c r="C1640" s="5">
        <v>128.4</v>
      </c>
      <c r="D1640" s="2">
        <v>0.72045138888643123</v>
      </c>
      <c r="E1640" s="4">
        <v>45005</v>
      </c>
      <c r="F1640" s="7" t="s">
        <v>17</v>
      </c>
      <c r="G1640" s="7" t="s">
        <v>255</v>
      </c>
      <c r="H1640" s="7" t="s">
        <v>1529</v>
      </c>
      <c r="I1640" s="7" t="s">
        <v>2609</v>
      </c>
      <c r="J1640" s="7" t="s">
        <v>149</v>
      </c>
      <c r="K1640" s="7" t="s">
        <v>22</v>
      </c>
      <c r="L1640" s="8">
        <v>69</v>
      </c>
      <c r="M1640" s="7" t="s">
        <v>70</v>
      </c>
      <c r="N1640" s="8">
        <v>31</v>
      </c>
      <c r="O1640" s="8">
        <v>1</v>
      </c>
      <c r="P1640" s="5">
        <v>2610.64</v>
      </c>
      <c r="Q1640" s="4">
        <v>45600</v>
      </c>
      <c r="R1640" s="9">
        <v>0.3414814814814815</v>
      </c>
      <c r="S1640" s="8">
        <v>17</v>
      </c>
      <c r="T1640" s="7" t="s">
        <v>4454</v>
      </c>
      <c r="U1640" s="7" t="s">
        <v>4455</v>
      </c>
      <c r="V16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41" spans="1:22" x14ac:dyDescent="0.35">
      <c r="A1641" s="7" t="s">
        <v>3464</v>
      </c>
      <c r="B1641" s="7" t="s">
        <v>3465</v>
      </c>
      <c r="C1641" s="5">
        <v>320.93</v>
      </c>
      <c r="D1641" s="2">
        <v>0.67054398148320615</v>
      </c>
      <c r="E1641" s="4">
        <v>45099</v>
      </c>
      <c r="F1641" s="7" t="s">
        <v>17</v>
      </c>
      <c r="G1641" s="7" t="s">
        <v>47</v>
      </c>
      <c r="H1641" s="7" t="s">
        <v>147</v>
      </c>
      <c r="I1641" s="7" t="s">
        <v>2510</v>
      </c>
      <c r="J1641" s="7" t="s">
        <v>607</v>
      </c>
      <c r="K1641" s="7" t="s">
        <v>36</v>
      </c>
      <c r="L1641" s="8">
        <v>55</v>
      </c>
      <c r="M1641" s="7" t="s">
        <v>77</v>
      </c>
      <c r="N1641" s="8">
        <v>178</v>
      </c>
      <c r="O1641" s="8">
        <v>1</v>
      </c>
      <c r="P1641" s="5">
        <v>9451.66</v>
      </c>
      <c r="Q1641" s="4">
        <v>45600</v>
      </c>
      <c r="R1641" s="9">
        <v>0.34059027777777778</v>
      </c>
      <c r="S1641" s="8">
        <v>16</v>
      </c>
      <c r="T1641" s="7" t="s">
        <v>4454</v>
      </c>
      <c r="U1641" s="7" t="s">
        <v>4455</v>
      </c>
      <c r="V16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42" spans="1:22" x14ac:dyDescent="0.35">
      <c r="A1642" s="7" t="s">
        <v>3466</v>
      </c>
      <c r="B1642" s="7" t="s">
        <v>1327</v>
      </c>
      <c r="C1642" s="5">
        <v>1.41</v>
      </c>
      <c r="D1642" s="2">
        <v>0.71010416666831588</v>
      </c>
      <c r="E1642" s="4">
        <v>45084</v>
      </c>
      <c r="F1642" s="7" t="s">
        <v>17</v>
      </c>
      <c r="G1642" s="7" t="s">
        <v>285</v>
      </c>
      <c r="H1642" s="7" t="s">
        <v>2566</v>
      </c>
      <c r="I1642" s="7" t="s">
        <v>841</v>
      </c>
      <c r="J1642" s="7" t="s">
        <v>820</v>
      </c>
      <c r="K1642" s="7" t="s">
        <v>22</v>
      </c>
      <c r="L1642" s="8">
        <v>53</v>
      </c>
      <c r="M1642" s="7" t="s">
        <v>70</v>
      </c>
      <c r="N1642" s="8">
        <v>278</v>
      </c>
      <c r="O1642" s="8">
        <v>1</v>
      </c>
      <c r="P1642" s="5">
        <v>1244.17</v>
      </c>
      <c r="Q1642" s="4">
        <v>45600</v>
      </c>
      <c r="R1642" s="9">
        <v>0.34171296296296294</v>
      </c>
      <c r="S1642" s="8">
        <v>17</v>
      </c>
      <c r="T1642" s="7" t="s">
        <v>4457</v>
      </c>
      <c r="U1642" s="7" t="s">
        <v>4455</v>
      </c>
      <c r="V16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43" spans="1:22" x14ac:dyDescent="0.35">
      <c r="A1643" s="7" t="s">
        <v>3467</v>
      </c>
      <c r="B1643" s="7" t="s">
        <v>242</v>
      </c>
      <c r="C1643" s="5">
        <v>50.52</v>
      </c>
      <c r="D1643" s="2">
        <v>0.66901620370481396</v>
      </c>
      <c r="E1643" s="4">
        <v>45022</v>
      </c>
      <c r="F1643" s="7" t="s">
        <v>17</v>
      </c>
      <c r="G1643" s="7" t="s">
        <v>140</v>
      </c>
      <c r="H1643" s="7" t="s">
        <v>2902</v>
      </c>
      <c r="I1643" s="7" t="s">
        <v>643</v>
      </c>
      <c r="J1643" s="7" t="s">
        <v>149</v>
      </c>
      <c r="K1643" s="7" t="s">
        <v>69</v>
      </c>
      <c r="L1643" s="8">
        <v>54</v>
      </c>
      <c r="M1643" s="7" t="s">
        <v>23</v>
      </c>
      <c r="N1643" s="8">
        <v>293</v>
      </c>
      <c r="O1643" s="8">
        <v>1</v>
      </c>
      <c r="P1643" s="5">
        <v>12815.24</v>
      </c>
      <c r="Q1643" s="4">
        <v>45600</v>
      </c>
      <c r="R1643" s="9">
        <v>0.33817129629629628</v>
      </c>
      <c r="S1643" s="8">
        <v>16</v>
      </c>
      <c r="T1643" s="7" t="s">
        <v>4457</v>
      </c>
      <c r="U1643" s="7" t="s">
        <v>4455</v>
      </c>
      <c r="V16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44" spans="1:22" x14ac:dyDescent="0.35">
      <c r="A1644" s="7" t="s">
        <v>3468</v>
      </c>
      <c r="B1644" s="7" t="s">
        <v>196</v>
      </c>
      <c r="C1644" s="5">
        <v>383.95</v>
      </c>
      <c r="D1644" s="2">
        <v>0.74809027777519077</v>
      </c>
      <c r="E1644" s="4">
        <v>45189</v>
      </c>
      <c r="F1644" s="7" t="s">
        <v>46</v>
      </c>
      <c r="G1644" s="7" t="s">
        <v>18</v>
      </c>
      <c r="H1644" s="7" t="s">
        <v>1314</v>
      </c>
      <c r="I1644" s="7" t="s">
        <v>2367</v>
      </c>
      <c r="J1644" s="7" t="s">
        <v>1524</v>
      </c>
      <c r="K1644" s="7" t="s">
        <v>36</v>
      </c>
      <c r="L1644" s="8">
        <v>31</v>
      </c>
      <c r="M1644" s="7" t="s">
        <v>77</v>
      </c>
      <c r="N1644" s="8">
        <v>143</v>
      </c>
      <c r="O1644" s="8">
        <v>1</v>
      </c>
      <c r="P1644" s="5">
        <v>9933.56</v>
      </c>
      <c r="Q1644" s="4">
        <v>45600</v>
      </c>
      <c r="R1644" s="9">
        <v>0.33883101851851855</v>
      </c>
      <c r="S1644" s="8">
        <v>17</v>
      </c>
      <c r="T1644" s="7" t="s">
        <v>4456</v>
      </c>
      <c r="U1644" s="7" t="s">
        <v>4455</v>
      </c>
      <c r="V16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45" spans="1:22" x14ac:dyDescent="0.35">
      <c r="A1645" s="7" t="s">
        <v>3469</v>
      </c>
      <c r="B1645" s="7" t="s">
        <v>537</v>
      </c>
      <c r="C1645" s="5">
        <v>12.94</v>
      </c>
      <c r="D1645" s="2">
        <v>0.71436342592642177</v>
      </c>
      <c r="E1645" s="4">
        <v>45166</v>
      </c>
      <c r="F1645" s="7" t="s">
        <v>17</v>
      </c>
      <c r="G1645" s="7" t="s">
        <v>558</v>
      </c>
      <c r="H1645" s="7" t="s">
        <v>1358</v>
      </c>
      <c r="I1645" s="7" t="s">
        <v>3470</v>
      </c>
      <c r="J1645" s="7" t="s">
        <v>634</v>
      </c>
      <c r="K1645" s="7" t="s">
        <v>69</v>
      </c>
      <c r="L1645" s="8">
        <v>23</v>
      </c>
      <c r="M1645" s="7" t="s">
        <v>37</v>
      </c>
      <c r="N1645" s="8">
        <v>158</v>
      </c>
      <c r="O1645" s="8">
        <v>1</v>
      </c>
      <c r="P1645" s="5">
        <v>921.23</v>
      </c>
      <c r="Q1645" s="4">
        <v>45600</v>
      </c>
      <c r="R1645" s="9">
        <v>0.34064814814814814</v>
      </c>
      <c r="S1645" s="8">
        <v>17</v>
      </c>
      <c r="T1645" s="7" t="s">
        <v>4456</v>
      </c>
      <c r="U1645" s="7" t="s">
        <v>4455</v>
      </c>
      <c r="V16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46" spans="1:22" x14ac:dyDescent="0.35">
      <c r="A1646" s="7" t="s">
        <v>3471</v>
      </c>
      <c r="B1646" s="7" t="s">
        <v>463</v>
      </c>
      <c r="C1646" s="5">
        <v>329.75</v>
      </c>
      <c r="D1646" s="2">
        <v>0.73047453703475185</v>
      </c>
      <c r="E1646" s="4">
        <v>45285</v>
      </c>
      <c r="F1646" s="7" t="s">
        <v>17</v>
      </c>
      <c r="G1646" s="7" t="s">
        <v>285</v>
      </c>
      <c r="H1646" s="7" t="s">
        <v>670</v>
      </c>
      <c r="I1646" s="7" t="s">
        <v>1917</v>
      </c>
      <c r="J1646" s="7" t="s">
        <v>331</v>
      </c>
      <c r="K1646" s="7" t="s">
        <v>36</v>
      </c>
      <c r="L1646" s="8">
        <v>56</v>
      </c>
      <c r="M1646" s="7" t="s">
        <v>70</v>
      </c>
      <c r="N1646" s="8">
        <v>211</v>
      </c>
      <c r="O1646" s="8">
        <v>1</v>
      </c>
      <c r="P1646" s="5">
        <v>6009.43</v>
      </c>
      <c r="Q1646" s="4">
        <v>45600</v>
      </c>
      <c r="R1646" s="9">
        <v>0.34024305555555556</v>
      </c>
      <c r="S1646" s="8">
        <v>17</v>
      </c>
      <c r="T1646" s="7" t="s">
        <v>4454</v>
      </c>
      <c r="U1646" s="7" t="s">
        <v>4455</v>
      </c>
      <c r="V16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47" spans="1:22" x14ac:dyDescent="0.35">
      <c r="A1647" s="7" t="s">
        <v>3472</v>
      </c>
      <c r="B1647" s="7" t="s">
        <v>1854</v>
      </c>
      <c r="C1647" s="5">
        <v>981.76</v>
      </c>
      <c r="D1647" s="2">
        <v>0.68329861111124046</v>
      </c>
      <c r="E1647" s="4">
        <v>45194</v>
      </c>
      <c r="F1647" s="7" t="s">
        <v>17</v>
      </c>
      <c r="G1647" s="7" t="s">
        <v>178</v>
      </c>
      <c r="H1647" s="7" t="s">
        <v>3106</v>
      </c>
      <c r="I1647" s="7" t="s">
        <v>2425</v>
      </c>
      <c r="J1647" s="7" t="s">
        <v>143</v>
      </c>
      <c r="K1647" s="7" t="s">
        <v>36</v>
      </c>
      <c r="L1647" s="8">
        <v>45</v>
      </c>
      <c r="M1647" s="7" t="s">
        <v>23</v>
      </c>
      <c r="N1647" s="8">
        <v>234</v>
      </c>
      <c r="O1647" s="8">
        <v>1</v>
      </c>
      <c r="P1647" s="5">
        <v>602.36</v>
      </c>
      <c r="Q1647" s="4">
        <v>45600</v>
      </c>
      <c r="R1647" s="9">
        <v>0.33802083333333333</v>
      </c>
      <c r="S1647" s="8">
        <v>16</v>
      </c>
      <c r="T1647" s="7" t="s">
        <v>4457</v>
      </c>
      <c r="U1647" s="7" t="s">
        <v>4455</v>
      </c>
      <c r="V16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48" spans="1:22" x14ac:dyDescent="0.35">
      <c r="A1648" s="7" t="s">
        <v>3473</v>
      </c>
      <c r="B1648" s="7" t="s">
        <v>447</v>
      </c>
      <c r="C1648" s="5">
        <v>40.79</v>
      </c>
      <c r="D1648" s="2">
        <v>0.69454861111444188</v>
      </c>
      <c r="E1648" s="4">
        <v>45247</v>
      </c>
      <c r="F1648" s="7" t="s">
        <v>17</v>
      </c>
      <c r="G1648" s="7" t="s">
        <v>178</v>
      </c>
      <c r="H1648" s="7" t="s">
        <v>2008</v>
      </c>
      <c r="I1648" s="7" t="s">
        <v>793</v>
      </c>
      <c r="J1648" s="7" t="s">
        <v>885</v>
      </c>
      <c r="K1648" s="7" t="s">
        <v>22</v>
      </c>
      <c r="L1648" s="8">
        <v>18</v>
      </c>
      <c r="M1648" s="7" t="s">
        <v>37</v>
      </c>
      <c r="N1648" s="8">
        <v>80</v>
      </c>
      <c r="O1648" s="8">
        <v>1</v>
      </c>
      <c r="P1648" s="5">
        <v>1769.33</v>
      </c>
      <c r="Q1648" s="4">
        <v>45600</v>
      </c>
      <c r="R1648" s="9">
        <v>0.34130787037037036</v>
      </c>
      <c r="S1648" s="8">
        <v>16</v>
      </c>
      <c r="T1648" s="7" t="s">
        <v>4456</v>
      </c>
      <c r="U1648" s="7" t="s">
        <v>4455</v>
      </c>
      <c r="V16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49" spans="1:22" x14ac:dyDescent="0.35">
      <c r="A1649" s="7" t="s">
        <v>3474</v>
      </c>
      <c r="B1649" s="7" t="s">
        <v>935</v>
      </c>
      <c r="C1649" s="5">
        <v>99.25</v>
      </c>
      <c r="D1649" s="2">
        <v>0.70414351851650281</v>
      </c>
      <c r="E1649" s="4">
        <v>45103</v>
      </c>
      <c r="F1649" s="7" t="s">
        <v>46</v>
      </c>
      <c r="G1649" s="7" t="s">
        <v>425</v>
      </c>
      <c r="H1649" s="7" t="s">
        <v>2232</v>
      </c>
      <c r="I1649" s="7" t="s">
        <v>1768</v>
      </c>
      <c r="J1649" s="7" t="s">
        <v>122</v>
      </c>
      <c r="K1649" s="7" t="s">
        <v>36</v>
      </c>
      <c r="L1649" s="8">
        <v>63</v>
      </c>
      <c r="M1649" s="7" t="s">
        <v>70</v>
      </c>
      <c r="N1649" s="8">
        <v>93</v>
      </c>
      <c r="O1649" s="8">
        <v>1</v>
      </c>
      <c r="P1649" s="5">
        <v>2570.34</v>
      </c>
      <c r="Q1649" s="4">
        <v>45600</v>
      </c>
      <c r="R1649" s="9">
        <v>0.33857638888888891</v>
      </c>
      <c r="S1649" s="8">
        <v>16</v>
      </c>
      <c r="T1649" s="7" t="s">
        <v>4454</v>
      </c>
      <c r="U1649" s="7" t="s">
        <v>4455</v>
      </c>
      <c r="V16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50" spans="1:22" x14ac:dyDescent="0.35">
      <c r="A1650" s="7" t="s">
        <v>3475</v>
      </c>
      <c r="B1650" s="7" t="s">
        <v>2512</v>
      </c>
      <c r="C1650" s="5">
        <v>150.6</v>
      </c>
      <c r="D1650" s="2">
        <v>0.73846064815006685</v>
      </c>
      <c r="E1650" s="4">
        <v>45033</v>
      </c>
      <c r="F1650" s="7" t="s">
        <v>17</v>
      </c>
      <c r="G1650" s="7" t="s">
        <v>172</v>
      </c>
      <c r="H1650" s="7" t="s">
        <v>630</v>
      </c>
      <c r="I1650" s="7" t="s">
        <v>342</v>
      </c>
      <c r="J1650" s="7" t="s">
        <v>1014</v>
      </c>
      <c r="K1650" s="7" t="s">
        <v>22</v>
      </c>
      <c r="L1650" s="8">
        <v>69</v>
      </c>
      <c r="M1650" s="7" t="s">
        <v>70</v>
      </c>
      <c r="N1650" s="8">
        <v>59</v>
      </c>
      <c r="O1650" s="8">
        <v>1</v>
      </c>
      <c r="P1650" s="5">
        <v>3240.14</v>
      </c>
      <c r="Q1650" s="4">
        <v>45600</v>
      </c>
      <c r="R1650" s="9">
        <v>0.33854166666666669</v>
      </c>
      <c r="S1650" s="8">
        <v>17</v>
      </c>
      <c r="T1650" s="7" t="s">
        <v>4454</v>
      </c>
      <c r="U1650" s="7" t="s">
        <v>4455</v>
      </c>
      <c r="V16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51" spans="1:22" x14ac:dyDescent="0.35">
      <c r="A1651" s="7" t="s">
        <v>3476</v>
      </c>
      <c r="B1651" s="7" t="s">
        <v>355</v>
      </c>
      <c r="C1651" s="5">
        <v>29.5</v>
      </c>
      <c r="D1651" s="2">
        <v>0.76818287037167465</v>
      </c>
      <c r="E1651" s="4">
        <v>45127</v>
      </c>
      <c r="F1651" s="7" t="s">
        <v>17</v>
      </c>
      <c r="G1651" s="7" t="s">
        <v>237</v>
      </c>
      <c r="H1651" s="7" t="s">
        <v>1479</v>
      </c>
      <c r="I1651" s="7" t="s">
        <v>1864</v>
      </c>
      <c r="J1651" s="7" t="s">
        <v>181</v>
      </c>
      <c r="K1651" s="7" t="s">
        <v>36</v>
      </c>
      <c r="L1651" s="8">
        <v>73</v>
      </c>
      <c r="M1651" s="7" t="s">
        <v>70</v>
      </c>
      <c r="N1651" s="8">
        <v>129</v>
      </c>
      <c r="O1651" s="8">
        <v>1</v>
      </c>
      <c r="P1651" s="5">
        <v>1229.32</v>
      </c>
      <c r="Q1651" s="4">
        <v>45600</v>
      </c>
      <c r="R1651" s="9">
        <v>0.33993055555555557</v>
      </c>
      <c r="S1651" s="8">
        <v>18</v>
      </c>
      <c r="T1651" s="7" t="s">
        <v>4454</v>
      </c>
      <c r="U1651" s="7" t="s">
        <v>4455</v>
      </c>
      <c r="V16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52" spans="1:22" x14ac:dyDescent="0.35">
      <c r="A1652" s="7" t="s">
        <v>3477</v>
      </c>
      <c r="B1652" s="7" t="s">
        <v>337</v>
      </c>
      <c r="C1652" s="5">
        <v>54.34</v>
      </c>
      <c r="D1652" s="2">
        <v>0.75246527777926531</v>
      </c>
      <c r="E1652" s="4">
        <v>45285</v>
      </c>
      <c r="F1652" s="7" t="s">
        <v>17</v>
      </c>
      <c r="G1652" s="7" t="s">
        <v>86</v>
      </c>
      <c r="H1652" s="7" t="s">
        <v>877</v>
      </c>
      <c r="I1652" s="7" t="s">
        <v>2974</v>
      </c>
      <c r="J1652" s="7" t="s">
        <v>76</v>
      </c>
      <c r="K1652" s="7" t="s">
        <v>22</v>
      </c>
      <c r="L1652" s="8">
        <v>65</v>
      </c>
      <c r="M1652" s="7" t="s">
        <v>23</v>
      </c>
      <c r="N1652" s="8">
        <v>46</v>
      </c>
      <c r="O1652" s="8">
        <v>1</v>
      </c>
      <c r="P1652" s="5">
        <v>8019.89</v>
      </c>
      <c r="Q1652" s="4">
        <v>45600</v>
      </c>
      <c r="R1652" s="9">
        <v>0.34151620370370372</v>
      </c>
      <c r="S1652" s="8">
        <v>18</v>
      </c>
      <c r="T1652" s="7" t="s">
        <v>4454</v>
      </c>
      <c r="U1652" s="7" t="s">
        <v>4455</v>
      </c>
      <c r="V16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53" spans="1:22" x14ac:dyDescent="0.35">
      <c r="A1653" s="7" t="s">
        <v>3478</v>
      </c>
      <c r="B1653" s="7" t="s">
        <v>687</v>
      </c>
      <c r="C1653" s="5">
        <v>18.25</v>
      </c>
      <c r="D1653" s="2">
        <v>0.695381944446126</v>
      </c>
      <c r="E1653" s="4">
        <v>45154</v>
      </c>
      <c r="F1653" s="7" t="s">
        <v>17</v>
      </c>
      <c r="G1653" s="7" t="s">
        <v>291</v>
      </c>
      <c r="H1653" s="7" t="s">
        <v>2958</v>
      </c>
      <c r="I1653" s="7" t="s">
        <v>2367</v>
      </c>
      <c r="J1653" s="7" t="s">
        <v>592</v>
      </c>
      <c r="K1653" s="7" t="s">
        <v>22</v>
      </c>
      <c r="L1653" s="8">
        <v>53</v>
      </c>
      <c r="M1653" s="7" t="s">
        <v>23</v>
      </c>
      <c r="N1653" s="8">
        <v>18</v>
      </c>
      <c r="O1653" s="8">
        <v>1</v>
      </c>
      <c r="P1653" s="5">
        <v>14328.29</v>
      </c>
      <c r="Q1653" s="4">
        <v>45600</v>
      </c>
      <c r="R1653" s="9">
        <v>0.33938657407407408</v>
      </c>
      <c r="S1653" s="8">
        <v>16</v>
      </c>
      <c r="T1653" s="7" t="s">
        <v>4457</v>
      </c>
      <c r="U1653" s="7" t="s">
        <v>4455</v>
      </c>
      <c r="V16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54" spans="1:22" x14ac:dyDescent="0.35">
      <c r="A1654" s="7" t="s">
        <v>3479</v>
      </c>
      <c r="B1654" s="7" t="s">
        <v>2019</v>
      </c>
      <c r="C1654" s="5">
        <v>633.87</v>
      </c>
      <c r="D1654" s="2">
        <v>0.67099537036847323</v>
      </c>
      <c r="E1654" s="4">
        <v>45268</v>
      </c>
      <c r="F1654" s="7" t="s">
        <v>17</v>
      </c>
      <c r="G1654" s="7" t="s">
        <v>291</v>
      </c>
      <c r="H1654" s="7" t="s">
        <v>3480</v>
      </c>
      <c r="I1654" s="7" t="s">
        <v>2484</v>
      </c>
      <c r="J1654" s="7" t="s">
        <v>652</v>
      </c>
      <c r="K1654" s="7" t="s">
        <v>36</v>
      </c>
      <c r="L1654" s="8">
        <v>27</v>
      </c>
      <c r="M1654" s="7" t="s">
        <v>37</v>
      </c>
      <c r="N1654" s="8">
        <v>175</v>
      </c>
      <c r="O1654" s="8">
        <v>1</v>
      </c>
      <c r="P1654" s="5">
        <v>330.16</v>
      </c>
      <c r="Q1654" s="4">
        <v>45600</v>
      </c>
      <c r="R1654" s="9">
        <v>0.34025462962962966</v>
      </c>
      <c r="S1654" s="8">
        <v>16</v>
      </c>
      <c r="T1654" s="7" t="s">
        <v>4456</v>
      </c>
      <c r="U1654" s="7" t="s">
        <v>4455</v>
      </c>
      <c r="V16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55" spans="1:22" x14ac:dyDescent="0.35">
      <c r="A1655" s="7" t="s">
        <v>3481</v>
      </c>
      <c r="B1655" s="7" t="s">
        <v>1659</v>
      </c>
      <c r="C1655" s="5">
        <v>81.150000000000006</v>
      </c>
      <c r="D1655" s="2">
        <v>0.68624999999883585</v>
      </c>
      <c r="E1655" s="4">
        <v>44974</v>
      </c>
      <c r="F1655" s="7" t="s">
        <v>17</v>
      </c>
      <c r="G1655" s="7" t="s">
        <v>172</v>
      </c>
      <c r="H1655" s="7" t="s">
        <v>324</v>
      </c>
      <c r="I1655" s="7" t="s">
        <v>401</v>
      </c>
      <c r="J1655" s="7" t="s">
        <v>128</v>
      </c>
      <c r="K1655" s="7" t="s">
        <v>22</v>
      </c>
      <c r="L1655" s="8">
        <v>19</v>
      </c>
      <c r="M1655" s="7" t="s">
        <v>37</v>
      </c>
      <c r="N1655" s="8">
        <v>114</v>
      </c>
      <c r="O1655" s="8">
        <v>1</v>
      </c>
      <c r="P1655" s="5">
        <v>1595.26</v>
      </c>
      <c r="Q1655" s="4">
        <v>45600</v>
      </c>
      <c r="R1655" s="9">
        <v>0.33966435185185184</v>
      </c>
      <c r="S1655" s="8">
        <v>16</v>
      </c>
      <c r="T1655" s="7" t="s">
        <v>4456</v>
      </c>
      <c r="U1655" s="7" t="s">
        <v>4455</v>
      </c>
      <c r="V16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56" spans="1:22" x14ac:dyDescent="0.35">
      <c r="A1656" s="7" t="s">
        <v>3482</v>
      </c>
      <c r="B1656" s="7" t="s">
        <v>2311</v>
      </c>
      <c r="C1656" s="5">
        <v>83.95</v>
      </c>
      <c r="D1656" s="2">
        <v>0.67806712962919846</v>
      </c>
      <c r="E1656" s="4">
        <v>45091</v>
      </c>
      <c r="F1656" s="7" t="s">
        <v>17</v>
      </c>
      <c r="G1656" s="7" t="s">
        <v>203</v>
      </c>
      <c r="H1656" s="7" t="s">
        <v>2126</v>
      </c>
      <c r="I1656" s="7" t="s">
        <v>251</v>
      </c>
      <c r="J1656" s="7" t="s">
        <v>21</v>
      </c>
      <c r="K1656" s="7" t="s">
        <v>36</v>
      </c>
      <c r="L1656" s="8">
        <v>75</v>
      </c>
      <c r="M1656" s="7" t="s">
        <v>70</v>
      </c>
      <c r="N1656" s="8">
        <v>170</v>
      </c>
      <c r="O1656" s="8">
        <v>1</v>
      </c>
      <c r="P1656" s="5">
        <v>7413.18</v>
      </c>
      <c r="Q1656" s="4">
        <v>45600</v>
      </c>
      <c r="R1656" s="9">
        <v>0.33792824074074074</v>
      </c>
      <c r="S1656" s="8">
        <v>16</v>
      </c>
      <c r="T1656" s="7" t="s">
        <v>4454</v>
      </c>
      <c r="U1656" s="7" t="s">
        <v>4455</v>
      </c>
      <c r="V16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57" spans="1:22" x14ac:dyDescent="0.35">
      <c r="A1657" s="7" t="s">
        <v>3483</v>
      </c>
      <c r="B1657" s="7" t="s">
        <v>1452</v>
      </c>
      <c r="C1657" s="5">
        <v>410.4</v>
      </c>
      <c r="D1657" s="2">
        <v>0.66678240741021</v>
      </c>
      <c r="E1657" s="4">
        <v>45065</v>
      </c>
      <c r="F1657" s="7" t="s">
        <v>46</v>
      </c>
      <c r="G1657" s="7" t="s">
        <v>301</v>
      </c>
      <c r="H1657" s="7" t="s">
        <v>1031</v>
      </c>
      <c r="I1657" s="7" t="s">
        <v>3007</v>
      </c>
      <c r="J1657" s="7" t="s">
        <v>1037</v>
      </c>
      <c r="K1657" s="7" t="s">
        <v>22</v>
      </c>
      <c r="L1657" s="8">
        <v>61</v>
      </c>
      <c r="M1657" s="7" t="s">
        <v>70</v>
      </c>
      <c r="N1657" s="8">
        <v>78</v>
      </c>
      <c r="O1657" s="8">
        <v>1</v>
      </c>
      <c r="P1657" s="5">
        <v>2563.91</v>
      </c>
      <c r="Q1657" s="4">
        <v>45600</v>
      </c>
      <c r="R1657" s="9">
        <v>0.33997685185185184</v>
      </c>
      <c r="S1657" s="8">
        <v>16</v>
      </c>
      <c r="T1657" s="7" t="s">
        <v>4454</v>
      </c>
      <c r="U1657" s="7" t="s">
        <v>4455</v>
      </c>
      <c r="V16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58" spans="1:22" x14ac:dyDescent="0.35">
      <c r="A1658" s="7" t="s">
        <v>3484</v>
      </c>
      <c r="B1658" s="7" t="s">
        <v>2366</v>
      </c>
      <c r="C1658" s="5">
        <v>172.68</v>
      </c>
      <c r="D1658" s="2">
        <v>0.67200231481547235</v>
      </c>
      <c r="E1658" s="4">
        <v>44977</v>
      </c>
      <c r="F1658" s="7" t="s">
        <v>17</v>
      </c>
      <c r="G1658" s="7" t="s">
        <v>197</v>
      </c>
      <c r="H1658" s="7" t="s">
        <v>743</v>
      </c>
      <c r="I1658" s="7" t="s">
        <v>2725</v>
      </c>
      <c r="J1658" s="7" t="s">
        <v>1000</v>
      </c>
      <c r="K1658" s="7" t="s">
        <v>22</v>
      </c>
      <c r="L1658" s="8">
        <v>33</v>
      </c>
      <c r="M1658" s="7" t="s">
        <v>23</v>
      </c>
      <c r="N1658" s="8">
        <v>17</v>
      </c>
      <c r="O1658" s="8">
        <v>1</v>
      </c>
      <c r="P1658" s="5">
        <v>10724.95</v>
      </c>
      <c r="Q1658" s="4">
        <v>45600</v>
      </c>
      <c r="R1658" s="9">
        <v>0.33876157407407409</v>
      </c>
      <c r="S1658" s="8">
        <v>16</v>
      </c>
      <c r="T1658" s="7" t="s">
        <v>4456</v>
      </c>
      <c r="U1658" s="7" t="s">
        <v>4455</v>
      </c>
      <c r="V16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59" spans="1:22" x14ac:dyDescent="0.35">
      <c r="A1659" s="7" t="s">
        <v>3485</v>
      </c>
      <c r="B1659" s="7" t="s">
        <v>569</v>
      </c>
      <c r="C1659" s="5">
        <v>139.88</v>
      </c>
      <c r="D1659" s="2">
        <v>0.67043981481401715</v>
      </c>
      <c r="E1659" s="4">
        <v>44949</v>
      </c>
      <c r="F1659" s="7" t="s">
        <v>17</v>
      </c>
      <c r="G1659" s="7" t="s">
        <v>521</v>
      </c>
      <c r="H1659" s="7" t="s">
        <v>1824</v>
      </c>
      <c r="I1659" s="7" t="s">
        <v>3486</v>
      </c>
      <c r="J1659" s="7" t="s">
        <v>1209</v>
      </c>
      <c r="K1659" s="7" t="s">
        <v>22</v>
      </c>
      <c r="L1659" s="8">
        <v>34</v>
      </c>
      <c r="M1659" s="7" t="s">
        <v>77</v>
      </c>
      <c r="N1659" s="8">
        <v>162</v>
      </c>
      <c r="O1659" s="8">
        <v>1</v>
      </c>
      <c r="P1659" s="5">
        <v>2969.71</v>
      </c>
      <c r="Q1659" s="4">
        <v>45600</v>
      </c>
      <c r="R1659" s="9">
        <v>0.33848379629629627</v>
      </c>
      <c r="S1659" s="8">
        <v>16</v>
      </c>
      <c r="T1659" s="7" t="s">
        <v>4456</v>
      </c>
      <c r="U1659" s="7" t="s">
        <v>4455</v>
      </c>
      <c r="V16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60" spans="1:22" x14ac:dyDescent="0.35">
      <c r="A1660" s="7" t="s">
        <v>3487</v>
      </c>
      <c r="B1660" s="7" t="s">
        <v>1081</v>
      </c>
      <c r="C1660" s="5">
        <v>165.55</v>
      </c>
      <c r="D1660" s="2">
        <v>0.76503472222248092</v>
      </c>
      <c r="E1660" s="4">
        <v>45201</v>
      </c>
      <c r="F1660" s="7" t="s">
        <v>17</v>
      </c>
      <c r="G1660" s="7" t="s">
        <v>323</v>
      </c>
      <c r="H1660" s="7" t="s">
        <v>3011</v>
      </c>
      <c r="I1660" s="7" t="s">
        <v>142</v>
      </c>
      <c r="J1660" s="7" t="s">
        <v>885</v>
      </c>
      <c r="K1660" s="7" t="s">
        <v>69</v>
      </c>
      <c r="L1660" s="8">
        <v>28</v>
      </c>
      <c r="M1660" s="7" t="s">
        <v>37</v>
      </c>
      <c r="N1660" s="8">
        <v>115</v>
      </c>
      <c r="O1660" s="8">
        <v>1</v>
      </c>
      <c r="P1660" s="5">
        <v>761.78</v>
      </c>
      <c r="Q1660" s="4">
        <v>45600</v>
      </c>
      <c r="R1660" s="9">
        <v>0.33952546296296299</v>
      </c>
      <c r="S1660" s="8">
        <v>18</v>
      </c>
      <c r="T1660" s="7" t="s">
        <v>4456</v>
      </c>
      <c r="U1660" s="7" t="s">
        <v>4455</v>
      </c>
      <c r="V16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61" spans="1:22" x14ac:dyDescent="0.35">
      <c r="A1661" s="7" t="s">
        <v>3488</v>
      </c>
      <c r="B1661" s="7" t="s">
        <v>322</v>
      </c>
      <c r="C1661" s="5">
        <v>53.79</v>
      </c>
      <c r="D1661" s="2">
        <v>0.66787037037283881</v>
      </c>
      <c r="E1661" s="4">
        <v>45265</v>
      </c>
      <c r="F1661" s="7" t="s">
        <v>46</v>
      </c>
      <c r="G1661" s="7" t="s">
        <v>243</v>
      </c>
      <c r="H1661" s="7" t="s">
        <v>81</v>
      </c>
      <c r="I1661" s="7" t="s">
        <v>465</v>
      </c>
      <c r="J1661" s="7" t="s">
        <v>831</v>
      </c>
      <c r="K1661" s="7" t="s">
        <v>22</v>
      </c>
      <c r="L1661" s="8">
        <v>54</v>
      </c>
      <c r="M1661" s="7" t="s">
        <v>77</v>
      </c>
      <c r="N1661" s="8">
        <v>137</v>
      </c>
      <c r="O1661" s="8">
        <v>3</v>
      </c>
      <c r="P1661" s="5">
        <v>6229.36</v>
      </c>
      <c r="Q1661" s="4">
        <v>45600</v>
      </c>
      <c r="R1661" s="9">
        <v>0.3387384259259259</v>
      </c>
      <c r="S1661" s="8">
        <v>16</v>
      </c>
      <c r="T1661" s="7" t="s">
        <v>4457</v>
      </c>
      <c r="U1661" s="7" t="s">
        <v>4458</v>
      </c>
      <c r="V16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62" spans="1:22" x14ac:dyDescent="0.35">
      <c r="A1662" s="7" t="s">
        <v>3489</v>
      </c>
      <c r="B1662" s="7" t="s">
        <v>91</v>
      </c>
      <c r="C1662" s="5">
        <v>285.69</v>
      </c>
      <c r="D1662" s="2">
        <v>0.76090277777984738</v>
      </c>
      <c r="E1662" s="4">
        <v>45266</v>
      </c>
      <c r="F1662" s="7" t="s">
        <v>17</v>
      </c>
      <c r="G1662" s="7" t="s">
        <v>172</v>
      </c>
      <c r="H1662" s="7" t="s">
        <v>3490</v>
      </c>
      <c r="I1662" s="7" t="s">
        <v>3084</v>
      </c>
      <c r="J1662" s="7" t="s">
        <v>331</v>
      </c>
      <c r="K1662" s="7" t="s">
        <v>22</v>
      </c>
      <c r="L1662" s="8">
        <v>63</v>
      </c>
      <c r="M1662" s="7" t="s">
        <v>70</v>
      </c>
      <c r="N1662" s="8">
        <v>35</v>
      </c>
      <c r="O1662" s="8">
        <v>1</v>
      </c>
      <c r="P1662" s="5">
        <v>2552.54</v>
      </c>
      <c r="Q1662" s="4">
        <v>45600</v>
      </c>
      <c r="R1662" s="9">
        <v>0.33887731481481481</v>
      </c>
      <c r="S1662" s="8">
        <v>18</v>
      </c>
      <c r="T1662" s="7" t="s">
        <v>4454</v>
      </c>
      <c r="U1662" s="7" t="s">
        <v>4455</v>
      </c>
      <c r="V16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63" spans="1:22" x14ac:dyDescent="0.35">
      <c r="A1663" s="7" t="s">
        <v>3491</v>
      </c>
      <c r="B1663" s="7" t="s">
        <v>1405</v>
      </c>
      <c r="C1663" s="5">
        <v>532.4</v>
      </c>
      <c r="D1663" s="2">
        <v>0.69928240740409819</v>
      </c>
      <c r="E1663" s="4">
        <v>45162</v>
      </c>
      <c r="F1663" s="7" t="s">
        <v>17</v>
      </c>
      <c r="G1663" s="7" t="s">
        <v>392</v>
      </c>
      <c r="H1663" s="7" t="s">
        <v>1800</v>
      </c>
      <c r="I1663" s="7" t="s">
        <v>747</v>
      </c>
      <c r="J1663" s="7" t="s">
        <v>1562</v>
      </c>
      <c r="K1663" s="7" t="s">
        <v>22</v>
      </c>
      <c r="L1663" s="8">
        <v>22</v>
      </c>
      <c r="M1663" s="7" t="s">
        <v>37</v>
      </c>
      <c r="N1663" s="8">
        <v>149</v>
      </c>
      <c r="O1663" s="8">
        <v>1</v>
      </c>
      <c r="P1663" s="5">
        <v>1033.73</v>
      </c>
      <c r="Q1663" s="4">
        <v>45600</v>
      </c>
      <c r="R1663" s="9">
        <v>0.34012731481481484</v>
      </c>
      <c r="S1663" s="8">
        <v>16</v>
      </c>
      <c r="T1663" s="7" t="s">
        <v>4456</v>
      </c>
      <c r="U1663" s="7" t="s">
        <v>4455</v>
      </c>
      <c r="V16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64" spans="1:22" x14ac:dyDescent="0.35">
      <c r="A1664" s="7" t="s">
        <v>3492</v>
      </c>
      <c r="B1664" s="7" t="s">
        <v>3493</v>
      </c>
      <c r="C1664" s="5">
        <v>293.85000000000002</v>
      </c>
      <c r="D1664" s="2">
        <v>0.68273148148000473</v>
      </c>
      <c r="E1664" s="4">
        <v>45148</v>
      </c>
      <c r="F1664" s="7" t="s">
        <v>17</v>
      </c>
      <c r="G1664" s="7" t="s">
        <v>249</v>
      </c>
      <c r="H1664" s="7" t="s">
        <v>932</v>
      </c>
      <c r="I1664" s="7" t="s">
        <v>3494</v>
      </c>
      <c r="J1664" s="7" t="s">
        <v>1349</v>
      </c>
      <c r="K1664" s="7" t="s">
        <v>36</v>
      </c>
      <c r="L1664" s="8">
        <v>25</v>
      </c>
      <c r="M1664" s="7" t="s">
        <v>37</v>
      </c>
      <c r="N1664" s="8">
        <v>144</v>
      </c>
      <c r="O1664" s="8">
        <v>1</v>
      </c>
      <c r="P1664" s="5">
        <v>1919.97</v>
      </c>
      <c r="Q1664" s="4">
        <v>45600</v>
      </c>
      <c r="R1664" s="9">
        <v>0.33994212962962961</v>
      </c>
      <c r="S1664" s="8">
        <v>16</v>
      </c>
      <c r="T1664" s="7" t="s">
        <v>4456</v>
      </c>
      <c r="U1664" s="7" t="s">
        <v>4455</v>
      </c>
      <c r="V16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65" spans="1:22" x14ac:dyDescent="0.35">
      <c r="A1665" s="7" t="s">
        <v>3495</v>
      </c>
      <c r="B1665" s="7" t="s">
        <v>1343</v>
      </c>
      <c r="C1665" s="5">
        <v>27.94</v>
      </c>
      <c r="D1665" s="2">
        <v>0.78099537036905531</v>
      </c>
      <c r="E1665" s="4">
        <v>45233</v>
      </c>
      <c r="F1665" s="7" t="s">
        <v>17</v>
      </c>
      <c r="G1665" s="7" t="s">
        <v>47</v>
      </c>
      <c r="H1665" s="7" t="s">
        <v>2144</v>
      </c>
      <c r="I1665" s="7" t="s">
        <v>1581</v>
      </c>
      <c r="J1665" s="7" t="s">
        <v>482</v>
      </c>
      <c r="K1665" s="7" t="s">
        <v>69</v>
      </c>
      <c r="L1665" s="8">
        <v>79</v>
      </c>
      <c r="M1665" s="7" t="s">
        <v>70</v>
      </c>
      <c r="N1665" s="8">
        <v>120</v>
      </c>
      <c r="O1665" s="8">
        <v>1</v>
      </c>
      <c r="P1665" s="5">
        <v>1893.44</v>
      </c>
      <c r="Q1665" s="4">
        <v>45600</v>
      </c>
      <c r="R1665" s="9">
        <v>0.33923611111111113</v>
      </c>
      <c r="S1665" s="8">
        <v>18</v>
      </c>
      <c r="T1665" s="7" t="s">
        <v>4454</v>
      </c>
      <c r="U1665" s="7" t="s">
        <v>4455</v>
      </c>
      <c r="V16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66" spans="1:22" x14ac:dyDescent="0.35">
      <c r="A1666" s="7" t="s">
        <v>3496</v>
      </c>
      <c r="B1666" s="7" t="s">
        <v>986</v>
      </c>
      <c r="C1666" s="5">
        <v>270.36</v>
      </c>
      <c r="D1666" s="2">
        <v>0.70637731481838273</v>
      </c>
      <c r="E1666" s="4">
        <v>44988</v>
      </c>
      <c r="F1666" s="7" t="s">
        <v>17</v>
      </c>
      <c r="G1666" s="7" t="s">
        <v>53</v>
      </c>
      <c r="H1666" s="7" t="s">
        <v>596</v>
      </c>
      <c r="I1666" s="7" t="s">
        <v>1163</v>
      </c>
      <c r="J1666" s="7" t="s">
        <v>252</v>
      </c>
      <c r="K1666" s="7" t="s">
        <v>22</v>
      </c>
      <c r="L1666" s="8">
        <v>25</v>
      </c>
      <c r="M1666" s="7" t="s">
        <v>37</v>
      </c>
      <c r="N1666" s="8">
        <v>37</v>
      </c>
      <c r="O1666" s="8">
        <v>1</v>
      </c>
      <c r="P1666" s="5">
        <v>1783.04</v>
      </c>
      <c r="Q1666" s="4">
        <v>45600</v>
      </c>
      <c r="R1666" s="9">
        <v>0.33878472222222222</v>
      </c>
      <c r="S1666" s="8">
        <v>16</v>
      </c>
      <c r="T1666" s="7" t="s">
        <v>4456</v>
      </c>
      <c r="U1666" s="7" t="s">
        <v>4455</v>
      </c>
      <c r="V16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67" spans="1:22" x14ac:dyDescent="0.35">
      <c r="A1667" s="7" t="s">
        <v>3497</v>
      </c>
      <c r="B1667" s="7" t="s">
        <v>162</v>
      </c>
      <c r="C1667" s="5">
        <v>112.66</v>
      </c>
      <c r="D1667" s="2">
        <v>0.68675925926072523</v>
      </c>
      <c r="E1667" s="4">
        <v>45187</v>
      </c>
      <c r="F1667" s="7" t="s">
        <v>17</v>
      </c>
      <c r="G1667" s="7" t="s">
        <v>243</v>
      </c>
      <c r="H1667" s="7" t="s">
        <v>1362</v>
      </c>
      <c r="I1667" s="7" t="s">
        <v>121</v>
      </c>
      <c r="J1667" s="7" t="s">
        <v>474</v>
      </c>
      <c r="K1667" s="7" t="s">
        <v>36</v>
      </c>
      <c r="L1667" s="8">
        <v>29</v>
      </c>
      <c r="M1667" s="7" t="s">
        <v>77</v>
      </c>
      <c r="N1667" s="8">
        <v>176</v>
      </c>
      <c r="O1667" s="8">
        <v>3</v>
      </c>
      <c r="P1667" s="5">
        <v>852.98</v>
      </c>
      <c r="Q1667" s="4">
        <v>45600</v>
      </c>
      <c r="R1667" s="9">
        <v>0.33886574074074072</v>
      </c>
      <c r="S1667" s="8">
        <v>16</v>
      </c>
      <c r="T1667" s="7" t="s">
        <v>4456</v>
      </c>
      <c r="U1667" s="7" t="s">
        <v>4458</v>
      </c>
      <c r="V16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68" spans="1:22" x14ac:dyDescent="0.35">
      <c r="A1668" s="7" t="s">
        <v>3498</v>
      </c>
      <c r="B1668" s="7" t="s">
        <v>279</v>
      </c>
      <c r="C1668" s="5">
        <v>506.03</v>
      </c>
      <c r="D1668" s="2">
        <v>0.67648148148145992</v>
      </c>
      <c r="E1668" s="4">
        <v>45119</v>
      </c>
      <c r="F1668" s="7" t="s">
        <v>17</v>
      </c>
      <c r="G1668" s="7" t="s">
        <v>73</v>
      </c>
      <c r="H1668" s="7" t="s">
        <v>1952</v>
      </c>
      <c r="I1668" s="7" t="s">
        <v>1960</v>
      </c>
      <c r="J1668" s="7" t="s">
        <v>740</v>
      </c>
      <c r="K1668" s="7" t="s">
        <v>69</v>
      </c>
      <c r="L1668" s="8">
        <v>21</v>
      </c>
      <c r="M1668" s="7" t="s">
        <v>37</v>
      </c>
      <c r="N1668" s="8">
        <v>21</v>
      </c>
      <c r="O1668" s="8">
        <v>1</v>
      </c>
      <c r="P1668" s="5">
        <v>1123.8900000000001</v>
      </c>
      <c r="Q1668" s="4">
        <v>45600</v>
      </c>
      <c r="R1668" s="9">
        <v>0.33988425925925925</v>
      </c>
      <c r="S1668" s="8">
        <v>16</v>
      </c>
      <c r="T1668" s="7" t="s">
        <v>4456</v>
      </c>
      <c r="U1668" s="7" t="s">
        <v>4455</v>
      </c>
      <c r="V16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69" spans="1:22" x14ac:dyDescent="0.35">
      <c r="A1669" s="7" t="s">
        <v>3499</v>
      </c>
      <c r="B1669" s="7" t="s">
        <v>1147</v>
      </c>
      <c r="C1669" s="5">
        <v>206.95</v>
      </c>
      <c r="D1669" s="2">
        <v>0.68017361110833008</v>
      </c>
      <c r="E1669" s="4">
        <v>45141</v>
      </c>
      <c r="F1669" s="7" t="s">
        <v>17</v>
      </c>
      <c r="G1669" s="7" t="s">
        <v>59</v>
      </c>
      <c r="H1669" s="7" t="s">
        <v>1466</v>
      </c>
      <c r="I1669" s="7" t="s">
        <v>2381</v>
      </c>
      <c r="J1669" s="7" t="s">
        <v>820</v>
      </c>
      <c r="K1669" s="7" t="s">
        <v>69</v>
      </c>
      <c r="L1669" s="8">
        <v>22</v>
      </c>
      <c r="M1669" s="7" t="s">
        <v>37</v>
      </c>
      <c r="N1669" s="8">
        <v>31</v>
      </c>
      <c r="O1669" s="8">
        <v>1</v>
      </c>
      <c r="P1669" s="5">
        <v>1817.65</v>
      </c>
      <c r="Q1669" s="4">
        <v>45600</v>
      </c>
      <c r="R1669" s="9">
        <v>0.33861111111111108</v>
      </c>
      <c r="S1669" s="8">
        <v>16</v>
      </c>
      <c r="T1669" s="7" t="s">
        <v>4456</v>
      </c>
      <c r="U1669" s="7" t="s">
        <v>4455</v>
      </c>
      <c r="V16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70" spans="1:22" x14ac:dyDescent="0.35">
      <c r="A1670" s="7" t="s">
        <v>3500</v>
      </c>
      <c r="B1670" s="7" t="s">
        <v>2601</v>
      </c>
      <c r="C1670" s="5">
        <v>350.96</v>
      </c>
      <c r="D1670" s="2">
        <v>0.68527777777489973</v>
      </c>
      <c r="E1670" s="4">
        <v>45085</v>
      </c>
      <c r="F1670" s="7" t="s">
        <v>17</v>
      </c>
      <c r="G1670" s="7" t="s">
        <v>255</v>
      </c>
      <c r="H1670" s="7" t="s">
        <v>3501</v>
      </c>
      <c r="I1670" s="7" t="s">
        <v>2620</v>
      </c>
      <c r="J1670" s="7" t="s">
        <v>246</v>
      </c>
      <c r="K1670" s="7" t="s">
        <v>22</v>
      </c>
      <c r="L1670" s="8">
        <v>63</v>
      </c>
      <c r="M1670" s="7" t="s">
        <v>70</v>
      </c>
      <c r="N1670" s="8">
        <v>167</v>
      </c>
      <c r="O1670" s="8">
        <v>1</v>
      </c>
      <c r="P1670" s="5">
        <v>5463.94</v>
      </c>
      <c r="Q1670" s="4">
        <v>45600</v>
      </c>
      <c r="R1670" s="9">
        <v>0.33892361111111113</v>
      </c>
      <c r="S1670" s="8">
        <v>16</v>
      </c>
      <c r="T1670" s="7" t="s">
        <v>4454</v>
      </c>
      <c r="U1670" s="7" t="s">
        <v>4455</v>
      </c>
      <c r="V16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71" spans="1:22" x14ac:dyDescent="0.35">
      <c r="A1671" s="7" t="s">
        <v>3502</v>
      </c>
      <c r="B1671" s="7" t="s">
        <v>2532</v>
      </c>
      <c r="C1671" s="5">
        <v>261.63</v>
      </c>
      <c r="D1671" s="2">
        <v>0.76924768518802011</v>
      </c>
      <c r="E1671" s="4">
        <v>45075</v>
      </c>
      <c r="F1671" s="7" t="s">
        <v>17</v>
      </c>
      <c r="G1671" s="7" t="s">
        <v>265</v>
      </c>
      <c r="H1671" s="7" t="s">
        <v>485</v>
      </c>
      <c r="I1671" s="7" t="s">
        <v>542</v>
      </c>
      <c r="J1671" s="7" t="s">
        <v>762</v>
      </c>
      <c r="K1671" s="7" t="s">
        <v>69</v>
      </c>
      <c r="L1671" s="8">
        <v>20</v>
      </c>
      <c r="M1671" s="7" t="s">
        <v>37</v>
      </c>
      <c r="N1671" s="8">
        <v>150</v>
      </c>
      <c r="O1671" s="8">
        <v>1</v>
      </c>
      <c r="P1671" s="5">
        <v>477.03</v>
      </c>
      <c r="Q1671" s="4">
        <v>45600</v>
      </c>
      <c r="R1671" s="9">
        <v>0.3399652777777778</v>
      </c>
      <c r="S1671" s="8">
        <v>18</v>
      </c>
      <c r="T1671" s="7" t="s">
        <v>4456</v>
      </c>
      <c r="U1671" s="7" t="s">
        <v>4455</v>
      </c>
      <c r="V16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72" spans="1:22" x14ac:dyDescent="0.35">
      <c r="A1672" s="7" t="s">
        <v>3503</v>
      </c>
      <c r="B1672" s="7" t="s">
        <v>2019</v>
      </c>
      <c r="C1672" s="5">
        <v>46.12</v>
      </c>
      <c r="D1672" s="2">
        <v>0.72784722222422715</v>
      </c>
      <c r="E1672" s="4">
        <v>45082</v>
      </c>
      <c r="F1672" s="7" t="s">
        <v>17</v>
      </c>
      <c r="G1672" s="7" t="s">
        <v>558</v>
      </c>
      <c r="H1672" s="7" t="s">
        <v>2437</v>
      </c>
      <c r="I1672" s="7" t="s">
        <v>185</v>
      </c>
      <c r="J1672" s="7" t="s">
        <v>769</v>
      </c>
      <c r="K1672" s="7" t="s">
        <v>69</v>
      </c>
      <c r="L1672" s="8">
        <v>59</v>
      </c>
      <c r="M1672" s="7" t="s">
        <v>23</v>
      </c>
      <c r="N1672" s="8">
        <v>30</v>
      </c>
      <c r="O1672" s="8">
        <v>1</v>
      </c>
      <c r="P1672" s="5">
        <v>8874.01</v>
      </c>
      <c r="Q1672" s="4">
        <v>45600</v>
      </c>
      <c r="R1672" s="9">
        <v>0.33925925925925926</v>
      </c>
      <c r="S1672" s="8">
        <v>17</v>
      </c>
      <c r="T1672" s="7" t="s">
        <v>4454</v>
      </c>
      <c r="U1672" s="7" t="s">
        <v>4455</v>
      </c>
      <c r="V16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73" spans="1:22" x14ac:dyDescent="0.35">
      <c r="A1673" s="7" t="s">
        <v>3504</v>
      </c>
      <c r="B1673" s="7" t="s">
        <v>3105</v>
      </c>
      <c r="C1673" s="5">
        <v>27.25</v>
      </c>
      <c r="D1673" s="2">
        <v>0.66864583333517658</v>
      </c>
      <c r="E1673" s="4">
        <v>45005</v>
      </c>
      <c r="F1673" s="7" t="s">
        <v>46</v>
      </c>
      <c r="G1673" s="7" t="s">
        <v>291</v>
      </c>
      <c r="H1673" s="7" t="s">
        <v>2806</v>
      </c>
      <c r="I1673" s="7" t="s">
        <v>1414</v>
      </c>
      <c r="J1673" s="7" t="s">
        <v>984</v>
      </c>
      <c r="K1673" s="7" t="s">
        <v>69</v>
      </c>
      <c r="L1673" s="8">
        <v>63</v>
      </c>
      <c r="M1673" s="7" t="s">
        <v>70</v>
      </c>
      <c r="N1673" s="8">
        <v>92</v>
      </c>
      <c r="O1673" s="8">
        <v>1</v>
      </c>
      <c r="P1673" s="5">
        <v>5365.2</v>
      </c>
      <c r="Q1673" s="4">
        <v>45600</v>
      </c>
      <c r="R1673" s="9">
        <v>0.33990740740740738</v>
      </c>
      <c r="S1673" s="8">
        <v>16</v>
      </c>
      <c r="T1673" s="7" t="s">
        <v>4454</v>
      </c>
      <c r="U1673" s="7" t="s">
        <v>4455</v>
      </c>
      <c r="V16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74" spans="1:22" x14ac:dyDescent="0.35">
      <c r="A1674" s="7" t="s">
        <v>3505</v>
      </c>
      <c r="B1674" s="7" t="s">
        <v>3092</v>
      </c>
      <c r="C1674" s="5">
        <v>1353.93</v>
      </c>
      <c r="D1674" s="2">
        <v>0.73068287037312984</v>
      </c>
      <c r="E1674" s="4">
        <v>45245</v>
      </c>
      <c r="F1674" s="7" t="s">
        <v>17</v>
      </c>
      <c r="G1674" s="7" t="s">
        <v>506</v>
      </c>
      <c r="H1674" s="7" t="s">
        <v>2086</v>
      </c>
      <c r="I1674" s="7" t="s">
        <v>2555</v>
      </c>
      <c r="J1674" s="7" t="s">
        <v>89</v>
      </c>
      <c r="K1674" s="7" t="s">
        <v>69</v>
      </c>
      <c r="L1674" s="8">
        <v>26</v>
      </c>
      <c r="M1674" s="7" t="s">
        <v>77</v>
      </c>
      <c r="N1674" s="8">
        <v>171</v>
      </c>
      <c r="O1674" s="8">
        <v>1</v>
      </c>
      <c r="P1674" s="5">
        <v>7858.41</v>
      </c>
      <c r="Q1674" s="4">
        <v>45600</v>
      </c>
      <c r="R1674" s="9">
        <v>0.33946759259259257</v>
      </c>
      <c r="S1674" s="8">
        <v>17</v>
      </c>
      <c r="T1674" s="7" t="s">
        <v>4456</v>
      </c>
      <c r="U1674" s="7" t="s">
        <v>4455</v>
      </c>
      <c r="V16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75" spans="1:22" x14ac:dyDescent="0.35">
      <c r="A1675" s="7" t="s">
        <v>3506</v>
      </c>
      <c r="B1675" s="7" t="s">
        <v>139</v>
      </c>
      <c r="C1675" s="5">
        <v>331.66</v>
      </c>
      <c r="D1675" s="2">
        <v>0.74512731481809169</v>
      </c>
      <c r="E1675" s="4">
        <v>45180</v>
      </c>
      <c r="F1675" s="7" t="s">
        <v>17</v>
      </c>
      <c r="G1675" s="7" t="s">
        <v>146</v>
      </c>
      <c r="H1675" s="7" t="s">
        <v>2147</v>
      </c>
      <c r="I1675" s="7" t="s">
        <v>320</v>
      </c>
      <c r="J1675" s="7" t="s">
        <v>143</v>
      </c>
      <c r="K1675" s="7" t="s">
        <v>22</v>
      </c>
      <c r="L1675" s="8">
        <v>76</v>
      </c>
      <c r="M1675" s="7" t="s">
        <v>70</v>
      </c>
      <c r="N1675" s="8">
        <v>145</v>
      </c>
      <c r="O1675" s="8">
        <v>1</v>
      </c>
      <c r="P1675" s="5">
        <v>7216.3</v>
      </c>
      <c r="Q1675" s="4">
        <v>45600</v>
      </c>
      <c r="R1675" s="9">
        <v>0.33915509259259258</v>
      </c>
      <c r="S1675" s="8">
        <v>17</v>
      </c>
      <c r="T1675" s="7" t="s">
        <v>4454</v>
      </c>
      <c r="U1675" s="7" t="s">
        <v>4455</v>
      </c>
      <c r="V16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76" spans="1:22" x14ac:dyDescent="0.35">
      <c r="A1676" s="7" t="s">
        <v>3507</v>
      </c>
      <c r="B1676" s="7" t="s">
        <v>134</v>
      </c>
      <c r="C1676" s="5">
        <v>667.95</v>
      </c>
      <c r="D1676" s="2">
        <v>0.74406250000174623</v>
      </c>
      <c r="E1676" s="4">
        <v>45134</v>
      </c>
      <c r="F1676" s="7" t="s">
        <v>46</v>
      </c>
      <c r="G1676" s="7" t="s">
        <v>53</v>
      </c>
      <c r="H1676" s="7" t="s">
        <v>220</v>
      </c>
      <c r="I1676" s="7" t="s">
        <v>1884</v>
      </c>
      <c r="J1676" s="7" t="s">
        <v>1562</v>
      </c>
      <c r="K1676" s="7" t="s">
        <v>22</v>
      </c>
      <c r="L1676" s="8">
        <v>62</v>
      </c>
      <c r="M1676" s="7" t="s">
        <v>23</v>
      </c>
      <c r="N1676" s="8">
        <v>253</v>
      </c>
      <c r="O1676" s="8">
        <v>1</v>
      </c>
      <c r="P1676" s="5">
        <v>13558.56</v>
      </c>
      <c r="Q1676" s="4">
        <v>45600</v>
      </c>
      <c r="R1676" s="9">
        <v>0.33910879629629631</v>
      </c>
      <c r="S1676" s="8">
        <v>17</v>
      </c>
      <c r="T1676" s="7" t="s">
        <v>4454</v>
      </c>
      <c r="U1676" s="7" t="s">
        <v>4455</v>
      </c>
      <c r="V16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77" spans="1:22" x14ac:dyDescent="0.35">
      <c r="A1677" s="7" t="s">
        <v>3508</v>
      </c>
      <c r="B1677" s="7" t="s">
        <v>3039</v>
      </c>
      <c r="C1677" s="5">
        <v>49.84</v>
      </c>
      <c r="D1677" s="2">
        <v>0.67025462962919846</v>
      </c>
      <c r="E1677" s="4">
        <v>45212</v>
      </c>
      <c r="F1677" s="7" t="s">
        <v>17</v>
      </c>
      <c r="G1677" s="7" t="s">
        <v>265</v>
      </c>
      <c r="H1677" s="7" t="s">
        <v>2770</v>
      </c>
      <c r="I1677" s="7" t="s">
        <v>3509</v>
      </c>
      <c r="J1677" s="7" t="s">
        <v>312</v>
      </c>
      <c r="K1677" s="7" t="s">
        <v>22</v>
      </c>
      <c r="L1677" s="8">
        <v>49</v>
      </c>
      <c r="M1677" s="7" t="s">
        <v>23</v>
      </c>
      <c r="N1677" s="8">
        <v>146</v>
      </c>
      <c r="O1677" s="8">
        <v>1</v>
      </c>
      <c r="P1677" s="5">
        <v>7872.04</v>
      </c>
      <c r="Q1677" s="4">
        <v>45600</v>
      </c>
      <c r="R1677" s="9">
        <v>0.33837962962962964</v>
      </c>
      <c r="S1677" s="8">
        <v>16</v>
      </c>
      <c r="T1677" s="7" t="s">
        <v>4457</v>
      </c>
      <c r="U1677" s="7" t="s">
        <v>4455</v>
      </c>
      <c r="V16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78" spans="1:22" x14ac:dyDescent="0.35">
      <c r="A1678" s="7" t="s">
        <v>3510</v>
      </c>
      <c r="B1678" s="7" t="s">
        <v>2251</v>
      </c>
      <c r="C1678" s="5">
        <v>556.04</v>
      </c>
      <c r="D1678" s="2">
        <v>0.69571759259270038</v>
      </c>
      <c r="E1678" s="4">
        <v>45117</v>
      </c>
      <c r="F1678" s="7" t="s">
        <v>17</v>
      </c>
      <c r="G1678" s="7" t="s">
        <v>114</v>
      </c>
      <c r="H1678" s="7" t="s">
        <v>3511</v>
      </c>
      <c r="I1678" s="7" t="s">
        <v>2181</v>
      </c>
      <c r="J1678" s="7" t="s">
        <v>154</v>
      </c>
      <c r="K1678" s="7" t="s">
        <v>22</v>
      </c>
      <c r="L1678" s="8">
        <v>72</v>
      </c>
      <c r="M1678" s="7" t="s">
        <v>70</v>
      </c>
      <c r="N1678" s="8">
        <v>27</v>
      </c>
      <c r="O1678" s="8">
        <v>1</v>
      </c>
      <c r="P1678" s="5">
        <v>5200.04</v>
      </c>
      <c r="Q1678" s="4">
        <v>45600</v>
      </c>
      <c r="R1678" s="9">
        <v>0.33863425925925927</v>
      </c>
      <c r="S1678" s="8">
        <v>16</v>
      </c>
      <c r="T1678" s="7" t="s">
        <v>4454</v>
      </c>
      <c r="U1678" s="7" t="s">
        <v>4455</v>
      </c>
      <c r="V16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79" spans="1:22" x14ac:dyDescent="0.35">
      <c r="A1679" s="7" t="s">
        <v>3512</v>
      </c>
      <c r="B1679" s="7" t="s">
        <v>1111</v>
      </c>
      <c r="C1679" s="5">
        <v>88.06</v>
      </c>
      <c r="D1679" s="2">
        <v>0.74520833333372138</v>
      </c>
      <c r="E1679" s="4">
        <v>45226</v>
      </c>
      <c r="F1679" s="7" t="s">
        <v>46</v>
      </c>
      <c r="G1679" s="7" t="s">
        <v>40</v>
      </c>
      <c r="H1679" s="7" t="s">
        <v>2312</v>
      </c>
      <c r="I1679" s="7" t="s">
        <v>860</v>
      </c>
      <c r="J1679" s="7" t="s">
        <v>1810</v>
      </c>
      <c r="K1679" s="7" t="s">
        <v>36</v>
      </c>
      <c r="L1679" s="8">
        <v>18</v>
      </c>
      <c r="M1679" s="7" t="s">
        <v>37</v>
      </c>
      <c r="N1679" s="8">
        <v>288</v>
      </c>
      <c r="O1679" s="8">
        <v>1</v>
      </c>
      <c r="P1679" s="5">
        <v>1779.85</v>
      </c>
      <c r="Q1679" s="4">
        <v>45600</v>
      </c>
      <c r="R1679" s="9">
        <v>0.33961805555555558</v>
      </c>
      <c r="S1679" s="8">
        <v>17</v>
      </c>
      <c r="T1679" s="7" t="s">
        <v>4456</v>
      </c>
      <c r="U1679" s="7" t="s">
        <v>4455</v>
      </c>
      <c r="V16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80" spans="1:22" x14ac:dyDescent="0.35">
      <c r="A1680" s="7" t="s">
        <v>3513</v>
      </c>
      <c r="B1680" s="7" t="s">
        <v>1368</v>
      </c>
      <c r="C1680" s="5">
        <v>745.95</v>
      </c>
      <c r="D1680" s="2">
        <v>0.69355324074422242</v>
      </c>
      <c r="E1680" s="4">
        <v>45275</v>
      </c>
      <c r="F1680" s="7" t="s">
        <v>17</v>
      </c>
      <c r="G1680" s="7" t="s">
        <v>92</v>
      </c>
      <c r="H1680" s="7" t="s">
        <v>1987</v>
      </c>
      <c r="I1680" s="7" t="s">
        <v>1850</v>
      </c>
      <c r="J1680" s="7" t="s">
        <v>165</v>
      </c>
      <c r="K1680" s="7" t="s">
        <v>22</v>
      </c>
      <c r="L1680" s="8">
        <v>58</v>
      </c>
      <c r="M1680" s="7" t="s">
        <v>23</v>
      </c>
      <c r="N1680" s="8">
        <v>127</v>
      </c>
      <c r="O1680" s="8">
        <v>1</v>
      </c>
      <c r="P1680" s="5">
        <v>13264.14</v>
      </c>
      <c r="Q1680" s="4">
        <v>45600</v>
      </c>
      <c r="R1680" s="9">
        <v>0.34108796296296295</v>
      </c>
      <c r="S1680" s="8">
        <v>16</v>
      </c>
      <c r="T1680" s="7" t="s">
        <v>4454</v>
      </c>
      <c r="U1680" s="7" t="s">
        <v>4455</v>
      </c>
      <c r="V16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81" spans="1:22" x14ac:dyDescent="0.35">
      <c r="A1681" s="7" t="s">
        <v>3514</v>
      </c>
      <c r="B1681" s="7" t="s">
        <v>767</v>
      </c>
      <c r="C1681" s="5">
        <v>67.25</v>
      </c>
      <c r="D1681" s="2">
        <v>0.69357638889050577</v>
      </c>
      <c r="E1681" s="4">
        <v>45110</v>
      </c>
      <c r="F1681" s="7" t="s">
        <v>17</v>
      </c>
      <c r="G1681" s="7" t="s">
        <v>172</v>
      </c>
      <c r="H1681" s="7" t="s">
        <v>692</v>
      </c>
      <c r="I1681" s="7" t="s">
        <v>2553</v>
      </c>
      <c r="J1681" s="7" t="s">
        <v>759</v>
      </c>
      <c r="K1681" s="7" t="s">
        <v>36</v>
      </c>
      <c r="L1681" s="8">
        <v>19</v>
      </c>
      <c r="M1681" s="7" t="s">
        <v>37</v>
      </c>
      <c r="N1681" s="8">
        <v>157</v>
      </c>
      <c r="O1681" s="8">
        <v>1</v>
      </c>
      <c r="P1681" s="5">
        <v>467.4</v>
      </c>
      <c r="Q1681" s="4">
        <v>45600</v>
      </c>
      <c r="R1681" s="9">
        <v>0.34140046296296295</v>
      </c>
      <c r="S1681" s="8">
        <v>16</v>
      </c>
      <c r="T1681" s="7" t="s">
        <v>4456</v>
      </c>
      <c r="U1681" s="7" t="s">
        <v>4455</v>
      </c>
      <c r="V16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82" spans="1:22" x14ac:dyDescent="0.35">
      <c r="A1682" s="7" t="s">
        <v>3515</v>
      </c>
      <c r="B1682" s="7" t="s">
        <v>749</v>
      </c>
      <c r="C1682" s="5">
        <v>93.63</v>
      </c>
      <c r="D1682" s="2">
        <v>0.75811342592351139</v>
      </c>
      <c r="E1682" s="4">
        <v>45159</v>
      </c>
      <c r="F1682" s="7" t="s">
        <v>17</v>
      </c>
      <c r="G1682" s="7" t="s">
        <v>203</v>
      </c>
      <c r="H1682" s="7" t="s">
        <v>1958</v>
      </c>
      <c r="I1682" s="7" t="s">
        <v>1571</v>
      </c>
      <c r="J1682" s="7" t="s">
        <v>1287</v>
      </c>
      <c r="K1682" s="7" t="s">
        <v>22</v>
      </c>
      <c r="L1682" s="8">
        <v>29</v>
      </c>
      <c r="M1682" s="7" t="s">
        <v>77</v>
      </c>
      <c r="N1682" s="8">
        <v>141</v>
      </c>
      <c r="O1682" s="8">
        <v>1</v>
      </c>
      <c r="P1682" s="5">
        <v>9873.6200000000008</v>
      </c>
      <c r="Q1682" s="4">
        <v>45600</v>
      </c>
      <c r="R1682" s="9">
        <v>0.34024305555555556</v>
      </c>
      <c r="S1682" s="8">
        <v>18</v>
      </c>
      <c r="T1682" s="7" t="s">
        <v>4456</v>
      </c>
      <c r="U1682" s="7" t="s">
        <v>4455</v>
      </c>
      <c r="V16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83" spans="1:22" x14ac:dyDescent="0.35">
      <c r="A1683" s="7" t="s">
        <v>3516</v>
      </c>
      <c r="B1683" s="7" t="s">
        <v>2488</v>
      </c>
      <c r="C1683" s="5">
        <v>74.11</v>
      </c>
      <c r="D1683" s="2">
        <v>0.6706018518525525</v>
      </c>
      <c r="E1683" s="4">
        <v>45125</v>
      </c>
      <c r="F1683" s="7" t="s">
        <v>17</v>
      </c>
      <c r="G1683" s="7" t="s">
        <v>223</v>
      </c>
      <c r="H1683" s="7" t="s">
        <v>2123</v>
      </c>
      <c r="I1683" s="7" t="s">
        <v>2868</v>
      </c>
      <c r="J1683" s="7" t="s">
        <v>1349</v>
      </c>
      <c r="K1683" s="7" t="s">
        <v>69</v>
      </c>
      <c r="L1683" s="8">
        <v>22</v>
      </c>
      <c r="M1683" s="7" t="s">
        <v>37</v>
      </c>
      <c r="N1683" s="8">
        <v>49</v>
      </c>
      <c r="O1683" s="8">
        <v>1</v>
      </c>
      <c r="P1683" s="5">
        <v>1257.9000000000001</v>
      </c>
      <c r="Q1683" s="4">
        <v>45600</v>
      </c>
      <c r="R1683" s="9">
        <v>0.33960648148148148</v>
      </c>
      <c r="S1683" s="8">
        <v>16</v>
      </c>
      <c r="T1683" s="7" t="s">
        <v>4456</v>
      </c>
      <c r="U1683" s="7" t="s">
        <v>4455</v>
      </c>
      <c r="V16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84" spans="1:22" x14ac:dyDescent="0.35">
      <c r="A1684" s="7" t="s">
        <v>3517</v>
      </c>
      <c r="B1684" s="7" t="s">
        <v>31</v>
      </c>
      <c r="C1684" s="5">
        <v>41.13</v>
      </c>
      <c r="D1684" s="2">
        <v>0.74531250000291038</v>
      </c>
      <c r="E1684" s="4">
        <v>45012</v>
      </c>
      <c r="F1684" s="7" t="s">
        <v>46</v>
      </c>
      <c r="G1684" s="7" t="s">
        <v>243</v>
      </c>
      <c r="H1684" s="7" t="s">
        <v>559</v>
      </c>
      <c r="I1684" s="7" t="s">
        <v>1219</v>
      </c>
      <c r="J1684" s="7" t="s">
        <v>95</v>
      </c>
      <c r="K1684" s="7" t="s">
        <v>69</v>
      </c>
      <c r="L1684" s="8">
        <v>77</v>
      </c>
      <c r="M1684" s="7" t="s">
        <v>70</v>
      </c>
      <c r="N1684" s="8">
        <v>58</v>
      </c>
      <c r="O1684" s="8">
        <v>1</v>
      </c>
      <c r="P1684" s="5">
        <v>6067.54</v>
      </c>
      <c r="Q1684" s="4">
        <v>45600</v>
      </c>
      <c r="R1684" s="9">
        <v>0.34031250000000002</v>
      </c>
      <c r="S1684" s="8">
        <v>17</v>
      </c>
      <c r="T1684" s="7" t="s">
        <v>4454</v>
      </c>
      <c r="U1684" s="7" t="s">
        <v>4455</v>
      </c>
      <c r="V16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85" spans="1:22" x14ac:dyDescent="0.35">
      <c r="A1685" s="7" t="s">
        <v>3518</v>
      </c>
      <c r="B1685" s="7" t="s">
        <v>2507</v>
      </c>
      <c r="C1685" s="5">
        <v>192.02</v>
      </c>
      <c r="D1685" s="2">
        <v>0.67474537037196569</v>
      </c>
      <c r="E1685" s="4">
        <v>45279</v>
      </c>
      <c r="F1685" s="7" t="s">
        <v>46</v>
      </c>
      <c r="G1685" s="7" t="s">
        <v>65</v>
      </c>
      <c r="H1685" s="7" t="s">
        <v>692</v>
      </c>
      <c r="I1685" s="7" t="s">
        <v>1427</v>
      </c>
      <c r="J1685" s="7" t="s">
        <v>105</v>
      </c>
      <c r="K1685" s="7" t="s">
        <v>36</v>
      </c>
      <c r="L1685" s="8">
        <v>79</v>
      </c>
      <c r="M1685" s="7" t="s">
        <v>70</v>
      </c>
      <c r="N1685" s="8">
        <v>154</v>
      </c>
      <c r="O1685" s="8">
        <v>1</v>
      </c>
      <c r="P1685" s="5">
        <v>5169.07</v>
      </c>
      <c r="Q1685" s="4">
        <v>45600</v>
      </c>
      <c r="R1685" s="9">
        <v>0.33960648148148148</v>
      </c>
      <c r="S1685" s="8">
        <v>16</v>
      </c>
      <c r="T1685" s="7" t="s">
        <v>4454</v>
      </c>
      <c r="U1685" s="7" t="s">
        <v>4455</v>
      </c>
      <c r="V16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86" spans="1:22" x14ac:dyDescent="0.35">
      <c r="A1686" s="7" t="s">
        <v>3519</v>
      </c>
      <c r="B1686" s="7" t="s">
        <v>1206</v>
      </c>
      <c r="C1686" s="5">
        <v>291.27</v>
      </c>
      <c r="D1686" s="2">
        <v>0.74923611111444188</v>
      </c>
      <c r="E1686" s="4">
        <v>45096</v>
      </c>
      <c r="F1686" s="7" t="s">
        <v>17</v>
      </c>
      <c r="G1686" s="7" t="s">
        <v>73</v>
      </c>
      <c r="H1686" s="7" t="s">
        <v>1809</v>
      </c>
      <c r="I1686" s="7" t="s">
        <v>773</v>
      </c>
      <c r="J1686" s="7" t="s">
        <v>348</v>
      </c>
      <c r="K1686" s="7" t="s">
        <v>69</v>
      </c>
      <c r="L1686" s="8">
        <v>77</v>
      </c>
      <c r="M1686" s="7" t="s">
        <v>70</v>
      </c>
      <c r="N1686" s="8">
        <v>121</v>
      </c>
      <c r="O1686" s="8">
        <v>1</v>
      </c>
      <c r="P1686" s="5">
        <v>6878.86</v>
      </c>
      <c r="Q1686" s="4">
        <v>45600</v>
      </c>
      <c r="R1686" s="9">
        <v>0.34046296296296297</v>
      </c>
      <c r="S1686" s="8">
        <v>17</v>
      </c>
      <c r="T1686" s="7" t="s">
        <v>4454</v>
      </c>
      <c r="U1686" s="7" t="s">
        <v>4455</v>
      </c>
      <c r="V16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87" spans="1:22" x14ac:dyDescent="0.35">
      <c r="A1687" s="7" t="s">
        <v>3520</v>
      </c>
      <c r="B1687" s="7" t="s">
        <v>2309</v>
      </c>
      <c r="C1687" s="5">
        <v>296.45999999999998</v>
      </c>
      <c r="D1687" s="2">
        <v>0.67498842592613073</v>
      </c>
      <c r="E1687" s="4">
        <v>45239</v>
      </c>
      <c r="F1687" s="7" t="s">
        <v>17</v>
      </c>
      <c r="G1687" s="7" t="s">
        <v>323</v>
      </c>
      <c r="H1687" s="7" t="s">
        <v>1441</v>
      </c>
      <c r="I1687" s="7" t="s">
        <v>1683</v>
      </c>
      <c r="J1687" s="7" t="s">
        <v>246</v>
      </c>
      <c r="K1687" s="7" t="s">
        <v>69</v>
      </c>
      <c r="L1687" s="8">
        <v>23</v>
      </c>
      <c r="M1687" s="7" t="s">
        <v>37</v>
      </c>
      <c r="N1687" s="8">
        <v>136</v>
      </c>
      <c r="O1687" s="8">
        <v>1</v>
      </c>
      <c r="P1687" s="5">
        <v>558.99</v>
      </c>
      <c r="Q1687" s="4">
        <v>45600</v>
      </c>
      <c r="R1687" s="9">
        <v>0.33910879629629631</v>
      </c>
      <c r="S1687" s="8">
        <v>16</v>
      </c>
      <c r="T1687" s="7" t="s">
        <v>4456</v>
      </c>
      <c r="U1687" s="7" t="s">
        <v>4455</v>
      </c>
      <c r="V16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88" spans="1:22" x14ac:dyDescent="0.35">
      <c r="A1688" s="7" t="s">
        <v>3521</v>
      </c>
      <c r="B1688" s="7" t="s">
        <v>1878</v>
      </c>
      <c r="C1688" s="5">
        <v>341.84</v>
      </c>
      <c r="D1688" s="2">
        <v>0.67375000000174623</v>
      </c>
      <c r="E1688" s="4">
        <v>45100</v>
      </c>
      <c r="F1688" s="7" t="s">
        <v>46</v>
      </c>
      <c r="G1688" s="7" t="s">
        <v>506</v>
      </c>
      <c r="H1688" s="7" t="s">
        <v>2123</v>
      </c>
      <c r="I1688" s="7" t="s">
        <v>1742</v>
      </c>
      <c r="J1688" s="7" t="s">
        <v>607</v>
      </c>
      <c r="K1688" s="7" t="s">
        <v>69</v>
      </c>
      <c r="L1688" s="8">
        <v>27</v>
      </c>
      <c r="M1688" s="7" t="s">
        <v>37</v>
      </c>
      <c r="N1688" s="8">
        <v>89</v>
      </c>
      <c r="O1688" s="8">
        <v>1</v>
      </c>
      <c r="P1688" s="5">
        <v>1400.04</v>
      </c>
      <c r="Q1688" s="4">
        <v>45600</v>
      </c>
      <c r="R1688" s="9">
        <v>0.33868055555555554</v>
      </c>
      <c r="S1688" s="8">
        <v>16</v>
      </c>
      <c r="T1688" s="7" t="s">
        <v>4456</v>
      </c>
      <c r="U1688" s="7" t="s">
        <v>4455</v>
      </c>
      <c r="V16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89" spans="1:22" x14ac:dyDescent="0.35">
      <c r="A1689" s="7" t="s">
        <v>3522</v>
      </c>
      <c r="B1689" s="7" t="s">
        <v>848</v>
      </c>
      <c r="C1689" s="5">
        <v>98.41</v>
      </c>
      <c r="D1689" s="2">
        <v>0.71506944444263354</v>
      </c>
      <c r="E1689" s="4">
        <v>45089</v>
      </c>
      <c r="F1689" s="7" t="s">
        <v>17</v>
      </c>
      <c r="G1689" s="7" t="s">
        <v>285</v>
      </c>
      <c r="H1689" s="7" t="s">
        <v>41</v>
      </c>
      <c r="I1689" s="7" t="s">
        <v>3007</v>
      </c>
      <c r="J1689" s="7" t="s">
        <v>29</v>
      </c>
      <c r="K1689" s="7" t="s">
        <v>36</v>
      </c>
      <c r="L1689" s="8">
        <v>27</v>
      </c>
      <c r="M1689" s="7" t="s">
        <v>37</v>
      </c>
      <c r="N1689" s="8">
        <v>48</v>
      </c>
      <c r="O1689" s="8">
        <v>1</v>
      </c>
      <c r="P1689" s="5">
        <v>912.71</v>
      </c>
      <c r="Q1689" s="4">
        <v>45600</v>
      </c>
      <c r="R1689" s="9">
        <v>0.33940972222222221</v>
      </c>
      <c r="S1689" s="8">
        <v>17</v>
      </c>
      <c r="T1689" s="7" t="s">
        <v>4456</v>
      </c>
      <c r="U1689" s="7" t="s">
        <v>4455</v>
      </c>
      <c r="V16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90" spans="1:22" x14ac:dyDescent="0.35">
      <c r="A1690" s="7" t="s">
        <v>3523</v>
      </c>
      <c r="B1690" s="7" t="s">
        <v>1955</v>
      </c>
      <c r="C1690" s="5">
        <v>109.28</v>
      </c>
      <c r="D1690" s="2">
        <v>0.68069444444699911</v>
      </c>
      <c r="E1690" s="4">
        <v>45086</v>
      </c>
      <c r="F1690" s="7" t="s">
        <v>17</v>
      </c>
      <c r="G1690" s="7" t="s">
        <v>18</v>
      </c>
      <c r="H1690" s="7" t="s">
        <v>3399</v>
      </c>
      <c r="I1690" s="7" t="s">
        <v>2484</v>
      </c>
      <c r="J1690" s="7" t="s">
        <v>984</v>
      </c>
      <c r="K1690" s="7" t="s">
        <v>36</v>
      </c>
      <c r="L1690" s="8">
        <v>36</v>
      </c>
      <c r="M1690" s="7" t="s">
        <v>77</v>
      </c>
      <c r="N1690" s="8">
        <v>112</v>
      </c>
      <c r="O1690" s="8">
        <v>4</v>
      </c>
      <c r="P1690" s="5">
        <v>6338.35</v>
      </c>
      <c r="Q1690" s="4">
        <v>45600</v>
      </c>
      <c r="R1690" s="9">
        <v>0.3384375</v>
      </c>
      <c r="S1690" s="8">
        <v>16</v>
      </c>
      <c r="T1690" s="7" t="s">
        <v>4457</v>
      </c>
      <c r="U1690" s="7" t="s">
        <v>4458</v>
      </c>
      <c r="V16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91" spans="1:22" x14ac:dyDescent="0.35">
      <c r="A1691" s="7" t="s">
        <v>3524</v>
      </c>
      <c r="B1691" s="7" t="s">
        <v>188</v>
      </c>
      <c r="C1691" s="5">
        <v>27.51</v>
      </c>
      <c r="D1691" s="2">
        <v>0.76114583333401242</v>
      </c>
      <c r="E1691" s="4">
        <v>45189</v>
      </c>
      <c r="F1691" s="7" t="s">
        <v>46</v>
      </c>
      <c r="G1691" s="7" t="s">
        <v>125</v>
      </c>
      <c r="H1691" s="7" t="s">
        <v>220</v>
      </c>
      <c r="I1691" s="7" t="s">
        <v>1291</v>
      </c>
      <c r="J1691" s="7" t="s">
        <v>100</v>
      </c>
      <c r="K1691" s="7" t="s">
        <v>36</v>
      </c>
      <c r="L1691" s="8">
        <v>40</v>
      </c>
      <c r="M1691" s="7" t="s">
        <v>23</v>
      </c>
      <c r="N1691" s="8">
        <v>103</v>
      </c>
      <c r="O1691" s="8">
        <v>1</v>
      </c>
      <c r="P1691" s="5">
        <v>13645.63</v>
      </c>
      <c r="Q1691" s="4">
        <v>45600</v>
      </c>
      <c r="R1691" s="9">
        <v>0.33781250000000002</v>
      </c>
      <c r="S1691" s="8">
        <v>18</v>
      </c>
      <c r="T1691" s="7" t="s">
        <v>4457</v>
      </c>
      <c r="U1691" s="7" t="s">
        <v>4455</v>
      </c>
      <c r="V16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92" spans="1:22" x14ac:dyDescent="0.35">
      <c r="A1692" s="7" t="s">
        <v>3525</v>
      </c>
      <c r="B1692" s="7" t="s">
        <v>698</v>
      </c>
      <c r="C1692" s="5">
        <v>12.18</v>
      </c>
      <c r="D1692" s="2">
        <v>0.7851736111115315</v>
      </c>
      <c r="E1692" s="4">
        <v>45036</v>
      </c>
      <c r="F1692" s="7" t="s">
        <v>17</v>
      </c>
      <c r="G1692" s="7" t="s">
        <v>203</v>
      </c>
      <c r="H1692" s="7" t="s">
        <v>3094</v>
      </c>
      <c r="I1692" s="7" t="s">
        <v>3526</v>
      </c>
      <c r="J1692" s="7" t="s">
        <v>769</v>
      </c>
      <c r="K1692" s="7" t="s">
        <v>69</v>
      </c>
      <c r="L1692" s="8">
        <v>76</v>
      </c>
      <c r="M1692" s="7" t="s">
        <v>70</v>
      </c>
      <c r="N1692" s="8">
        <v>77</v>
      </c>
      <c r="O1692" s="8">
        <v>1</v>
      </c>
      <c r="P1692" s="5">
        <v>4909.24</v>
      </c>
      <c r="Q1692" s="4">
        <v>45600</v>
      </c>
      <c r="R1692" s="9">
        <v>0.33862268518518518</v>
      </c>
      <c r="S1692" s="8">
        <v>18</v>
      </c>
      <c r="T1692" s="7" t="s">
        <v>4454</v>
      </c>
      <c r="U1692" s="7" t="s">
        <v>4455</v>
      </c>
      <c r="V16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93" spans="1:22" x14ac:dyDescent="0.35">
      <c r="A1693" s="7" t="s">
        <v>3527</v>
      </c>
      <c r="B1693" s="7" t="s">
        <v>545</v>
      </c>
      <c r="C1693" s="5">
        <v>207.71</v>
      </c>
      <c r="D1693" s="2">
        <v>0.74230324073869269</v>
      </c>
      <c r="E1693" s="4">
        <v>45246</v>
      </c>
      <c r="F1693" s="7" t="s">
        <v>46</v>
      </c>
      <c r="G1693" s="7" t="s">
        <v>291</v>
      </c>
      <c r="H1693" s="7" t="s">
        <v>2355</v>
      </c>
      <c r="I1693" s="7" t="s">
        <v>591</v>
      </c>
      <c r="J1693" s="7" t="s">
        <v>386</v>
      </c>
      <c r="K1693" s="7" t="s">
        <v>36</v>
      </c>
      <c r="L1693" s="8">
        <v>25</v>
      </c>
      <c r="M1693" s="7" t="s">
        <v>37</v>
      </c>
      <c r="N1693" s="8">
        <v>63</v>
      </c>
      <c r="O1693" s="8">
        <v>1</v>
      </c>
      <c r="P1693" s="5">
        <v>570.1</v>
      </c>
      <c r="Q1693" s="4">
        <v>45600</v>
      </c>
      <c r="R1693" s="9">
        <v>0.34091435185185187</v>
      </c>
      <c r="S1693" s="8">
        <v>17</v>
      </c>
      <c r="T1693" s="7" t="s">
        <v>4456</v>
      </c>
      <c r="U1693" s="7" t="s">
        <v>4455</v>
      </c>
      <c r="V16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94" spans="1:22" x14ac:dyDescent="0.35">
      <c r="A1694" s="7" t="s">
        <v>3528</v>
      </c>
      <c r="B1694" s="7" t="s">
        <v>1293</v>
      </c>
      <c r="C1694" s="5">
        <v>25.77</v>
      </c>
      <c r="D1694" s="2">
        <v>0.71899305555416504</v>
      </c>
      <c r="E1694" s="4">
        <v>45124</v>
      </c>
      <c r="F1694" s="7" t="s">
        <v>46</v>
      </c>
      <c r="G1694" s="7" t="s">
        <v>18</v>
      </c>
      <c r="H1694" s="7" t="s">
        <v>3529</v>
      </c>
      <c r="I1694" s="7" t="s">
        <v>2494</v>
      </c>
      <c r="J1694" s="7" t="s">
        <v>303</v>
      </c>
      <c r="K1694" s="7" t="s">
        <v>36</v>
      </c>
      <c r="L1694" s="8">
        <v>45</v>
      </c>
      <c r="M1694" s="7" t="s">
        <v>23</v>
      </c>
      <c r="N1694" s="8">
        <v>277</v>
      </c>
      <c r="O1694" s="8">
        <v>1</v>
      </c>
      <c r="P1694" s="5">
        <v>11749.77</v>
      </c>
      <c r="Q1694" s="4">
        <v>45600</v>
      </c>
      <c r="R1694" s="9">
        <v>0.34065972222222224</v>
      </c>
      <c r="S1694" s="8">
        <v>17</v>
      </c>
      <c r="T1694" s="7" t="s">
        <v>4457</v>
      </c>
      <c r="U1694" s="7" t="s">
        <v>4455</v>
      </c>
      <c r="V16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95" spans="1:22" x14ac:dyDescent="0.35">
      <c r="A1695" s="7" t="s">
        <v>3530</v>
      </c>
      <c r="B1695" s="7" t="s">
        <v>1074</v>
      </c>
      <c r="C1695" s="5">
        <v>127.57</v>
      </c>
      <c r="D1695" s="2">
        <v>0.7201967592627625</v>
      </c>
      <c r="E1695" s="4">
        <v>44984</v>
      </c>
      <c r="F1695" s="7" t="s">
        <v>17</v>
      </c>
      <c r="G1695" s="7" t="s">
        <v>80</v>
      </c>
      <c r="H1695" s="7" t="s">
        <v>1389</v>
      </c>
      <c r="I1695" s="7" t="s">
        <v>1139</v>
      </c>
      <c r="J1695" s="7" t="s">
        <v>474</v>
      </c>
      <c r="K1695" s="7" t="s">
        <v>22</v>
      </c>
      <c r="L1695" s="8">
        <v>52</v>
      </c>
      <c r="M1695" s="7" t="s">
        <v>70</v>
      </c>
      <c r="N1695" s="8">
        <v>75</v>
      </c>
      <c r="O1695" s="8">
        <v>1</v>
      </c>
      <c r="P1695" s="5">
        <v>6118.2</v>
      </c>
      <c r="Q1695" s="4">
        <v>45600</v>
      </c>
      <c r="R1695" s="9">
        <v>0.34079861111111109</v>
      </c>
      <c r="S1695" s="8">
        <v>17</v>
      </c>
      <c r="T1695" s="7" t="s">
        <v>4457</v>
      </c>
      <c r="U1695" s="7" t="s">
        <v>4455</v>
      </c>
      <c r="V16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96" spans="1:22" x14ac:dyDescent="0.35">
      <c r="A1696" s="7" t="s">
        <v>3531</v>
      </c>
      <c r="B1696" s="7" t="s">
        <v>52</v>
      </c>
      <c r="C1696" s="5">
        <v>392.05</v>
      </c>
      <c r="D1696" s="2">
        <v>0.68890046296291985</v>
      </c>
      <c r="E1696" s="4">
        <v>45096</v>
      </c>
      <c r="F1696" s="7" t="s">
        <v>17</v>
      </c>
      <c r="G1696" s="7" t="s">
        <v>114</v>
      </c>
      <c r="H1696" s="7" t="s">
        <v>1017</v>
      </c>
      <c r="I1696" s="7" t="s">
        <v>82</v>
      </c>
      <c r="J1696" s="7" t="s">
        <v>514</v>
      </c>
      <c r="K1696" s="7" t="s">
        <v>22</v>
      </c>
      <c r="L1696" s="8">
        <v>60</v>
      </c>
      <c r="M1696" s="7" t="s">
        <v>77</v>
      </c>
      <c r="N1696" s="8">
        <v>172</v>
      </c>
      <c r="O1696" s="8">
        <v>1</v>
      </c>
      <c r="P1696" s="5">
        <v>4383.6899999999996</v>
      </c>
      <c r="Q1696" s="4">
        <v>45600</v>
      </c>
      <c r="R1696" s="9">
        <v>0.33778935185185183</v>
      </c>
      <c r="S1696" s="8">
        <v>16</v>
      </c>
      <c r="T1696" s="7" t="s">
        <v>4454</v>
      </c>
      <c r="U1696" s="7" t="s">
        <v>4455</v>
      </c>
      <c r="V16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97" spans="1:22" x14ac:dyDescent="0.35">
      <c r="A1697" s="7" t="s">
        <v>3532</v>
      </c>
      <c r="B1697" s="7" t="s">
        <v>974</v>
      </c>
      <c r="C1697" s="5">
        <v>521.01</v>
      </c>
      <c r="D1697" s="2">
        <v>0.74649305555794854</v>
      </c>
      <c r="E1697" s="4">
        <v>45212</v>
      </c>
      <c r="F1697" s="7" t="s">
        <v>46</v>
      </c>
      <c r="G1697" s="7" t="s">
        <v>59</v>
      </c>
      <c r="H1697" s="7" t="s">
        <v>87</v>
      </c>
      <c r="I1697" s="7" t="s">
        <v>436</v>
      </c>
      <c r="J1697" s="7" t="s">
        <v>576</v>
      </c>
      <c r="K1697" s="7" t="s">
        <v>69</v>
      </c>
      <c r="L1697" s="8">
        <v>41</v>
      </c>
      <c r="M1697" s="7" t="s">
        <v>77</v>
      </c>
      <c r="N1697" s="8">
        <v>73</v>
      </c>
      <c r="O1697" s="8">
        <v>1</v>
      </c>
      <c r="P1697" s="5">
        <v>4004.55</v>
      </c>
      <c r="Q1697" s="4">
        <v>45600</v>
      </c>
      <c r="R1697" s="9">
        <v>0.33827546296296296</v>
      </c>
      <c r="S1697" s="8">
        <v>17</v>
      </c>
      <c r="T1697" s="7" t="s">
        <v>4457</v>
      </c>
      <c r="U1697" s="7" t="s">
        <v>4455</v>
      </c>
      <c r="V16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698" spans="1:22" x14ac:dyDescent="0.35">
      <c r="A1698" s="7" t="s">
        <v>3533</v>
      </c>
      <c r="B1698" s="7" t="s">
        <v>667</v>
      </c>
      <c r="C1698" s="5">
        <v>849.76</v>
      </c>
      <c r="D1698" s="2">
        <v>0.68645833332993789</v>
      </c>
      <c r="E1698" s="4">
        <v>45154</v>
      </c>
      <c r="F1698" s="7" t="s">
        <v>17</v>
      </c>
      <c r="G1698" s="7" t="s">
        <v>59</v>
      </c>
      <c r="H1698" s="7" t="s">
        <v>74</v>
      </c>
      <c r="I1698" s="7" t="s">
        <v>1165</v>
      </c>
      <c r="J1698" s="7" t="s">
        <v>282</v>
      </c>
      <c r="K1698" s="7" t="s">
        <v>22</v>
      </c>
      <c r="L1698" s="8">
        <v>25</v>
      </c>
      <c r="M1698" s="7" t="s">
        <v>37</v>
      </c>
      <c r="N1698" s="8">
        <v>269</v>
      </c>
      <c r="O1698" s="8">
        <v>1</v>
      </c>
      <c r="P1698" s="5">
        <v>373.88</v>
      </c>
      <c r="Q1698" s="4">
        <v>45600</v>
      </c>
      <c r="R1698" s="9">
        <v>0.33877314814814813</v>
      </c>
      <c r="S1698" s="8">
        <v>16</v>
      </c>
      <c r="T1698" s="7" t="s">
        <v>4456</v>
      </c>
      <c r="U1698" s="7" t="s">
        <v>4455</v>
      </c>
      <c r="V16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699" spans="1:22" x14ac:dyDescent="0.35">
      <c r="A1699" s="7" t="s">
        <v>3534</v>
      </c>
      <c r="B1699" s="7" t="s">
        <v>1193</v>
      </c>
      <c r="C1699" s="5">
        <v>172.5</v>
      </c>
      <c r="D1699" s="2">
        <v>0.68274305555678438</v>
      </c>
      <c r="E1699" s="4">
        <v>45244</v>
      </c>
      <c r="F1699" s="7" t="s">
        <v>17</v>
      </c>
      <c r="G1699" s="7" t="s">
        <v>125</v>
      </c>
      <c r="H1699" s="7" t="s">
        <v>637</v>
      </c>
      <c r="I1699" s="7" t="s">
        <v>627</v>
      </c>
      <c r="J1699" s="7" t="s">
        <v>149</v>
      </c>
      <c r="K1699" s="7" t="s">
        <v>36</v>
      </c>
      <c r="L1699" s="8">
        <v>68</v>
      </c>
      <c r="M1699" s="7" t="s">
        <v>23</v>
      </c>
      <c r="N1699" s="8">
        <v>31</v>
      </c>
      <c r="O1699" s="8">
        <v>1</v>
      </c>
      <c r="P1699" s="5">
        <v>6851.16</v>
      </c>
      <c r="Q1699" s="4">
        <v>45600</v>
      </c>
      <c r="R1699" s="9">
        <v>0.34113425925925928</v>
      </c>
      <c r="S1699" s="8">
        <v>16</v>
      </c>
      <c r="T1699" s="7" t="s">
        <v>4454</v>
      </c>
      <c r="U1699" s="7" t="s">
        <v>4455</v>
      </c>
      <c r="V16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00" spans="1:22" x14ac:dyDescent="0.35">
      <c r="A1700" s="7" t="s">
        <v>3535</v>
      </c>
      <c r="B1700" s="7" t="s">
        <v>1794</v>
      </c>
      <c r="C1700" s="5">
        <v>265.44</v>
      </c>
      <c r="D1700" s="2">
        <v>0.695347222223063</v>
      </c>
      <c r="E1700" s="4">
        <v>44943</v>
      </c>
      <c r="F1700" s="7" t="s">
        <v>17</v>
      </c>
      <c r="G1700" s="7" t="s">
        <v>237</v>
      </c>
      <c r="H1700" s="7" t="s">
        <v>3536</v>
      </c>
      <c r="I1700" s="7" t="s">
        <v>2236</v>
      </c>
      <c r="J1700" s="7" t="s">
        <v>277</v>
      </c>
      <c r="K1700" s="7" t="s">
        <v>22</v>
      </c>
      <c r="L1700" s="8">
        <v>30</v>
      </c>
      <c r="M1700" s="7" t="s">
        <v>77</v>
      </c>
      <c r="N1700" s="8">
        <v>169</v>
      </c>
      <c r="O1700" s="8">
        <v>1</v>
      </c>
      <c r="P1700" s="5">
        <v>9700.77</v>
      </c>
      <c r="Q1700" s="4">
        <v>45600</v>
      </c>
      <c r="R1700" s="9">
        <v>0.34002314814814816</v>
      </c>
      <c r="S1700" s="8">
        <v>16</v>
      </c>
      <c r="T1700" s="7" t="s">
        <v>4456</v>
      </c>
      <c r="U1700" s="7" t="s">
        <v>4455</v>
      </c>
      <c r="V17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01" spans="1:22" x14ac:dyDescent="0.35">
      <c r="A1701" s="7" t="s">
        <v>3537</v>
      </c>
      <c r="B1701" s="7" t="s">
        <v>2162</v>
      </c>
      <c r="C1701" s="5">
        <v>152.34</v>
      </c>
      <c r="D1701" s="2">
        <v>0.71550925925839692</v>
      </c>
      <c r="E1701" s="4">
        <v>45211</v>
      </c>
      <c r="F1701" s="7" t="s">
        <v>17</v>
      </c>
      <c r="G1701" s="7" t="s">
        <v>296</v>
      </c>
      <c r="H1701" s="7" t="s">
        <v>373</v>
      </c>
      <c r="I1701" s="7" t="s">
        <v>3538</v>
      </c>
      <c r="J1701" s="7" t="s">
        <v>252</v>
      </c>
      <c r="K1701" s="7" t="s">
        <v>69</v>
      </c>
      <c r="L1701" s="8">
        <v>55</v>
      </c>
      <c r="M1701" s="7" t="s">
        <v>23</v>
      </c>
      <c r="N1701" s="8">
        <v>115</v>
      </c>
      <c r="O1701" s="8">
        <v>1</v>
      </c>
      <c r="P1701" s="5">
        <v>6853.51</v>
      </c>
      <c r="Q1701" s="4">
        <v>45600</v>
      </c>
      <c r="R1701" s="9">
        <v>0.33901620370370372</v>
      </c>
      <c r="S1701" s="8">
        <v>17</v>
      </c>
      <c r="T1701" s="7" t="s">
        <v>4454</v>
      </c>
      <c r="U1701" s="7" t="s">
        <v>4455</v>
      </c>
      <c r="V17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02" spans="1:22" x14ac:dyDescent="0.35">
      <c r="A1702" s="7" t="s">
        <v>3539</v>
      </c>
      <c r="B1702" s="7" t="s">
        <v>2162</v>
      </c>
      <c r="C1702" s="5">
        <v>21.13</v>
      </c>
      <c r="D1702" s="2">
        <v>0.674560185187147</v>
      </c>
      <c r="E1702" s="4">
        <v>45041</v>
      </c>
      <c r="F1702" s="7" t="s">
        <v>17</v>
      </c>
      <c r="G1702" s="7" t="s">
        <v>323</v>
      </c>
      <c r="H1702" s="7" t="s">
        <v>1558</v>
      </c>
      <c r="I1702" s="7" t="s">
        <v>1850</v>
      </c>
      <c r="J1702" s="7" t="s">
        <v>277</v>
      </c>
      <c r="K1702" s="7" t="s">
        <v>69</v>
      </c>
      <c r="L1702" s="8">
        <v>28</v>
      </c>
      <c r="M1702" s="7" t="s">
        <v>37</v>
      </c>
      <c r="N1702" s="8">
        <v>153</v>
      </c>
      <c r="O1702" s="8">
        <v>1</v>
      </c>
      <c r="P1702" s="5">
        <v>948.7</v>
      </c>
      <c r="Q1702" s="4">
        <v>45600</v>
      </c>
      <c r="R1702" s="9">
        <v>0.34047453703703706</v>
      </c>
      <c r="S1702" s="8">
        <v>16</v>
      </c>
      <c r="T1702" s="7" t="s">
        <v>4456</v>
      </c>
      <c r="U1702" s="7" t="s">
        <v>4455</v>
      </c>
      <c r="V17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03" spans="1:22" x14ac:dyDescent="0.35">
      <c r="A1703" s="7" t="s">
        <v>3540</v>
      </c>
      <c r="B1703" s="7" t="s">
        <v>45</v>
      </c>
      <c r="C1703" s="5">
        <v>111.55</v>
      </c>
      <c r="D1703" s="2">
        <v>0.68555555555212777</v>
      </c>
      <c r="E1703" s="4">
        <v>45288</v>
      </c>
      <c r="F1703" s="7" t="s">
        <v>17</v>
      </c>
      <c r="G1703" s="7" t="s">
        <v>114</v>
      </c>
      <c r="H1703" s="7" t="s">
        <v>1716</v>
      </c>
      <c r="I1703" s="7" t="s">
        <v>3541</v>
      </c>
      <c r="J1703" s="7" t="s">
        <v>137</v>
      </c>
      <c r="K1703" s="7" t="s">
        <v>22</v>
      </c>
      <c r="L1703" s="8">
        <v>46</v>
      </c>
      <c r="M1703" s="7" t="s">
        <v>23</v>
      </c>
      <c r="N1703" s="8">
        <v>101</v>
      </c>
      <c r="O1703" s="8">
        <v>1</v>
      </c>
      <c r="P1703" s="5">
        <v>12221.17</v>
      </c>
      <c r="Q1703" s="4">
        <v>45600</v>
      </c>
      <c r="R1703" s="9">
        <v>0.33899305555555553</v>
      </c>
      <c r="S1703" s="8">
        <v>16</v>
      </c>
      <c r="T1703" s="7" t="s">
        <v>4457</v>
      </c>
      <c r="U1703" s="7" t="s">
        <v>4455</v>
      </c>
      <c r="V17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04" spans="1:22" x14ac:dyDescent="0.35">
      <c r="A1704" s="7" t="s">
        <v>3542</v>
      </c>
      <c r="B1704" s="7" t="s">
        <v>3332</v>
      </c>
      <c r="C1704" s="5">
        <v>321.82</v>
      </c>
      <c r="D1704" s="2">
        <v>0.68119212963210884</v>
      </c>
      <c r="E1704" s="4">
        <v>45121</v>
      </c>
      <c r="F1704" s="7" t="s">
        <v>46</v>
      </c>
      <c r="G1704" s="7" t="s">
        <v>40</v>
      </c>
      <c r="H1704" s="7" t="s">
        <v>534</v>
      </c>
      <c r="I1704" s="7" t="s">
        <v>1225</v>
      </c>
      <c r="J1704" s="7" t="s">
        <v>474</v>
      </c>
      <c r="K1704" s="7" t="s">
        <v>69</v>
      </c>
      <c r="L1704" s="8">
        <v>32</v>
      </c>
      <c r="M1704" s="7" t="s">
        <v>77</v>
      </c>
      <c r="N1704" s="8">
        <v>43</v>
      </c>
      <c r="O1704" s="8">
        <v>1</v>
      </c>
      <c r="P1704" s="5">
        <v>6500.5</v>
      </c>
      <c r="Q1704" s="4">
        <v>45600</v>
      </c>
      <c r="R1704" s="9">
        <v>0.33914351851851854</v>
      </c>
      <c r="S1704" s="8">
        <v>16</v>
      </c>
      <c r="T1704" s="7" t="s">
        <v>4456</v>
      </c>
      <c r="U1704" s="7" t="s">
        <v>4455</v>
      </c>
      <c r="V17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05" spans="1:22" x14ac:dyDescent="0.35">
      <c r="A1705" s="7" t="s">
        <v>3543</v>
      </c>
      <c r="B1705" s="7" t="s">
        <v>1858</v>
      </c>
      <c r="C1705" s="5">
        <v>1294.81</v>
      </c>
      <c r="D1705" s="2">
        <v>0.70356481481576338</v>
      </c>
      <c r="E1705" s="4">
        <v>45271</v>
      </c>
      <c r="F1705" s="7" t="s">
        <v>46</v>
      </c>
      <c r="G1705" s="7" t="s">
        <v>453</v>
      </c>
      <c r="H1705" s="7" t="s">
        <v>582</v>
      </c>
      <c r="I1705" s="7" t="s">
        <v>1309</v>
      </c>
      <c r="J1705" s="7" t="s">
        <v>607</v>
      </c>
      <c r="K1705" s="7" t="s">
        <v>69</v>
      </c>
      <c r="L1705" s="8">
        <v>45</v>
      </c>
      <c r="M1705" s="7" t="s">
        <v>77</v>
      </c>
      <c r="N1705" s="8">
        <v>279</v>
      </c>
      <c r="O1705" s="8">
        <v>1</v>
      </c>
      <c r="P1705" s="5">
        <v>9927.75</v>
      </c>
      <c r="Q1705" s="4">
        <v>45600</v>
      </c>
      <c r="R1705" s="9">
        <v>0.3414814814814815</v>
      </c>
      <c r="S1705" s="8">
        <v>16</v>
      </c>
      <c r="T1705" s="7" t="s">
        <v>4457</v>
      </c>
      <c r="U1705" s="7" t="s">
        <v>4455</v>
      </c>
      <c r="V17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06" spans="1:22" x14ac:dyDescent="0.35">
      <c r="A1706" s="7" t="s">
        <v>3544</v>
      </c>
      <c r="B1706" s="7" t="s">
        <v>3465</v>
      </c>
      <c r="C1706" s="5">
        <v>148.77000000000001</v>
      </c>
      <c r="D1706" s="2">
        <v>0.76456018518365454</v>
      </c>
      <c r="E1706" s="4">
        <v>45015</v>
      </c>
      <c r="F1706" s="7" t="s">
        <v>17</v>
      </c>
      <c r="G1706" s="7" t="s">
        <v>223</v>
      </c>
      <c r="H1706" s="7" t="s">
        <v>2958</v>
      </c>
      <c r="I1706" s="7" t="s">
        <v>1968</v>
      </c>
      <c r="J1706" s="7" t="s">
        <v>160</v>
      </c>
      <c r="K1706" s="7" t="s">
        <v>69</v>
      </c>
      <c r="L1706" s="8">
        <v>67</v>
      </c>
      <c r="M1706" s="7" t="s">
        <v>70</v>
      </c>
      <c r="N1706" s="8">
        <v>175</v>
      </c>
      <c r="O1706" s="8">
        <v>1</v>
      </c>
      <c r="P1706" s="5">
        <v>2138.42</v>
      </c>
      <c r="Q1706" s="4">
        <v>45600</v>
      </c>
      <c r="R1706" s="9">
        <v>0.34156249999999999</v>
      </c>
      <c r="S1706" s="8">
        <v>18</v>
      </c>
      <c r="T1706" s="7" t="s">
        <v>4454</v>
      </c>
      <c r="U1706" s="7" t="s">
        <v>4455</v>
      </c>
      <c r="V17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07" spans="1:22" x14ac:dyDescent="0.35">
      <c r="A1707" s="7" t="s">
        <v>3545</v>
      </c>
      <c r="B1707" s="7" t="s">
        <v>1644</v>
      </c>
      <c r="C1707" s="5">
        <v>14.08</v>
      </c>
      <c r="D1707" s="2">
        <v>0.76280092592787696</v>
      </c>
      <c r="E1707" s="4">
        <v>44963</v>
      </c>
      <c r="F1707" s="7" t="s">
        <v>17</v>
      </c>
      <c r="G1707" s="7" t="s">
        <v>323</v>
      </c>
      <c r="H1707" s="7" t="s">
        <v>3546</v>
      </c>
      <c r="I1707" s="7" t="s">
        <v>571</v>
      </c>
      <c r="J1707" s="7" t="s">
        <v>128</v>
      </c>
      <c r="K1707" s="7" t="s">
        <v>69</v>
      </c>
      <c r="L1707" s="8">
        <v>57</v>
      </c>
      <c r="M1707" s="7" t="s">
        <v>70</v>
      </c>
      <c r="N1707" s="8">
        <v>154</v>
      </c>
      <c r="O1707" s="8">
        <v>1</v>
      </c>
      <c r="P1707" s="5">
        <v>3908.65</v>
      </c>
      <c r="Q1707" s="4">
        <v>45600</v>
      </c>
      <c r="R1707" s="9">
        <v>0.3392013888888889</v>
      </c>
      <c r="S1707" s="8">
        <v>18</v>
      </c>
      <c r="T1707" s="7" t="s">
        <v>4454</v>
      </c>
      <c r="U1707" s="7" t="s">
        <v>4455</v>
      </c>
      <c r="V17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08" spans="1:22" x14ac:dyDescent="0.35">
      <c r="A1708" s="7" t="s">
        <v>3547</v>
      </c>
      <c r="B1708" s="7" t="s">
        <v>3548</v>
      </c>
      <c r="C1708" s="5">
        <v>1283.97</v>
      </c>
      <c r="D1708" s="2">
        <v>0.73060185185022419</v>
      </c>
      <c r="E1708" s="4">
        <v>45147</v>
      </c>
      <c r="F1708" s="7" t="s">
        <v>17</v>
      </c>
      <c r="G1708" s="7" t="s">
        <v>521</v>
      </c>
      <c r="H1708" s="7" t="s">
        <v>3255</v>
      </c>
      <c r="I1708" s="7" t="s">
        <v>3004</v>
      </c>
      <c r="J1708" s="7" t="s">
        <v>95</v>
      </c>
      <c r="K1708" s="7" t="s">
        <v>22</v>
      </c>
      <c r="L1708" s="8">
        <v>42</v>
      </c>
      <c r="M1708" s="7" t="s">
        <v>23</v>
      </c>
      <c r="N1708" s="8">
        <v>121</v>
      </c>
      <c r="O1708" s="8">
        <v>1</v>
      </c>
      <c r="P1708" s="5">
        <v>11041.9</v>
      </c>
      <c r="Q1708" s="4">
        <v>45600</v>
      </c>
      <c r="R1708" s="9">
        <v>0.33879629629629632</v>
      </c>
      <c r="S1708" s="8">
        <v>17</v>
      </c>
      <c r="T1708" s="7" t="s">
        <v>4457</v>
      </c>
      <c r="U1708" s="7" t="s">
        <v>4455</v>
      </c>
      <c r="V17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09" spans="1:22" x14ac:dyDescent="0.35">
      <c r="A1709" s="7" t="s">
        <v>3549</v>
      </c>
      <c r="B1709" s="7" t="s">
        <v>1066</v>
      </c>
      <c r="C1709" s="5">
        <v>566.33000000000004</v>
      </c>
      <c r="D1709" s="2">
        <v>0.69435185185284354</v>
      </c>
      <c r="E1709" s="4">
        <v>45145</v>
      </c>
      <c r="F1709" s="7" t="s">
        <v>46</v>
      </c>
      <c r="G1709" s="7" t="s">
        <v>249</v>
      </c>
      <c r="H1709" s="7" t="s">
        <v>1466</v>
      </c>
      <c r="I1709" s="7" t="s">
        <v>1232</v>
      </c>
      <c r="J1709" s="7" t="s">
        <v>149</v>
      </c>
      <c r="K1709" s="7" t="s">
        <v>22</v>
      </c>
      <c r="L1709" s="8">
        <v>24</v>
      </c>
      <c r="M1709" s="7" t="s">
        <v>37</v>
      </c>
      <c r="N1709" s="8">
        <v>66</v>
      </c>
      <c r="O1709" s="8">
        <v>1</v>
      </c>
      <c r="P1709" s="5">
        <v>379.82</v>
      </c>
      <c r="Q1709" s="4">
        <v>45600</v>
      </c>
      <c r="R1709" s="9">
        <v>0.33840277777777777</v>
      </c>
      <c r="S1709" s="8">
        <v>16</v>
      </c>
      <c r="T1709" s="7" t="s">
        <v>4456</v>
      </c>
      <c r="U1709" s="7" t="s">
        <v>4455</v>
      </c>
      <c r="V17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10" spans="1:22" x14ac:dyDescent="0.35">
      <c r="A1710" s="7" t="s">
        <v>3550</v>
      </c>
      <c r="B1710" s="7" t="s">
        <v>2366</v>
      </c>
      <c r="C1710" s="5">
        <v>206.51</v>
      </c>
      <c r="D1710" s="2">
        <v>0.71491898148087785</v>
      </c>
      <c r="E1710" s="4">
        <v>45278</v>
      </c>
      <c r="F1710" s="7" t="s">
        <v>17</v>
      </c>
      <c r="G1710" s="7" t="s">
        <v>65</v>
      </c>
      <c r="H1710" s="7" t="s">
        <v>1734</v>
      </c>
      <c r="I1710" s="7" t="s">
        <v>571</v>
      </c>
      <c r="J1710" s="7" t="s">
        <v>246</v>
      </c>
      <c r="K1710" s="7" t="s">
        <v>22</v>
      </c>
      <c r="L1710" s="8">
        <v>51</v>
      </c>
      <c r="M1710" s="7" t="s">
        <v>70</v>
      </c>
      <c r="N1710" s="8">
        <v>275</v>
      </c>
      <c r="O1710" s="8">
        <v>1</v>
      </c>
      <c r="P1710" s="5">
        <v>3921.74</v>
      </c>
      <c r="Q1710" s="4">
        <v>45600</v>
      </c>
      <c r="R1710" s="9">
        <v>0.3384490740740741</v>
      </c>
      <c r="S1710" s="8">
        <v>17</v>
      </c>
      <c r="T1710" s="7" t="s">
        <v>4457</v>
      </c>
      <c r="U1710" s="7" t="s">
        <v>4455</v>
      </c>
      <c r="V17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11" spans="1:22" x14ac:dyDescent="0.35">
      <c r="A1711" s="7" t="s">
        <v>3551</v>
      </c>
      <c r="B1711" s="7" t="s">
        <v>997</v>
      </c>
      <c r="C1711" s="5">
        <v>180.94</v>
      </c>
      <c r="D1711" s="2">
        <v>0.695347222223063</v>
      </c>
      <c r="E1711" s="4">
        <v>45131</v>
      </c>
      <c r="F1711" s="7" t="s">
        <v>17</v>
      </c>
      <c r="G1711" s="7" t="s">
        <v>40</v>
      </c>
      <c r="H1711" s="7" t="s">
        <v>730</v>
      </c>
      <c r="I1711" s="7" t="s">
        <v>3552</v>
      </c>
      <c r="J1711" s="7" t="s">
        <v>165</v>
      </c>
      <c r="K1711" s="7" t="s">
        <v>69</v>
      </c>
      <c r="L1711" s="8">
        <v>75</v>
      </c>
      <c r="M1711" s="7" t="s">
        <v>70</v>
      </c>
      <c r="N1711" s="8">
        <v>57</v>
      </c>
      <c r="O1711" s="8">
        <v>1</v>
      </c>
      <c r="P1711" s="5">
        <v>7659.99</v>
      </c>
      <c r="Q1711" s="4">
        <v>45600</v>
      </c>
      <c r="R1711" s="9">
        <v>0.34067129629629628</v>
      </c>
      <c r="S1711" s="8">
        <v>16</v>
      </c>
      <c r="T1711" s="7" t="s">
        <v>4454</v>
      </c>
      <c r="U1711" s="7" t="s">
        <v>4455</v>
      </c>
      <c r="V17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12" spans="1:22" x14ac:dyDescent="0.35">
      <c r="A1712" s="7" t="s">
        <v>3553</v>
      </c>
      <c r="B1712" s="7" t="s">
        <v>3554</v>
      </c>
      <c r="C1712" s="5">
        <v>77.900000000000006</v>
      </c>
      <c r="D1712" s="2">
        <v>0.73750000000291038</v>
      </c>
      <c r="E1712" s="4">
        <v>45285</v>
      </c>
      <c r="F1712" s="7" t="s">
        <v>17</v>
      </c>
      <c r="G1712" s="7" t="s">
        <v>453</v>
      </c>
      <c r="H1712" s="7" t="s">
        <v>435</v>
      </c>
      <c r="I1712" s="7" t="s">
        <v>2291</v>
      </c>
      <c r="J1712" s="7" t="s">
        <v>358</v>
      </c>
      <c r="K1712" s="7" t="s">
        <v>69</v>
      </c>
      <c r="L1712" s="8">
        <v>21</v>
      </c>
      <c r="M1712" s="7" t="s">
        <v>37</v>
      </c>
      <c r="N1712" s="8">
        <v>128</v>
      </c>
      <c r="O1712" s="8">
        <v>1</v>
      </c>
      <c r="P1712" s="5">
        <v>664.72</v>
      </c>
      <c r="Q1712" s="4">
        <v>45600</v>
      </c>
      <c r="R1712" s="9">
        <v>0.33936342592592594</v>
      </c>
      <c r="S1712" s="8">
        <v>17</v>
      </c>
      <c r="T1712" s="7" t="s">
        <v>4456</v>
      </c>
      <c r="U1712" s="7" t="s">
        <v>4455</v>
      </c>
      <c r="V17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13" spans="1:22" x14ac:dyDescent="0.35">
      <c r="A1713" s="7" t="s">
        <v>3555</v>
      </c>
      <c r="B1713" s="7" t="s">
        <v>3556</v>
      </c>
      <c r="C1713" s="5">
        <v>318.92</v>
      </c>
      <c r="D1713" s="2">
        <v>0.78787037036818219</v>
      </c>
      <c r="E1713" s="4">
        <v>45065</v>
      </c>
      <c r="F1713" s="7" t="s">
        <v>46</v>
      </c>
      <c r="G1713" s="7" t="s">
        <v>453</v>
      </c>
      <c r="H1713" s="7" t="s">
        <v>1548</v>
      </c>
      <c r="I1713" s="7" t="s">
        <v>1202</v>
      </c>
      <c r="J1713" s="7" t="s">
        <v>980</v>
      </c>
      <c r="K1713" s="7" t="s">
        <v>69</v>
      </c>
      <c r="L1713" s="8">
        <v>21</v>
      </c>
      <c r="M1713" s="7" t="s">
        <v>37</v>
      </c>
      <c r="N1713" s="8">
        <v>60</v>
      </c>
      <c r="O1713" s="8">
        <v>1</v>
      </c>
      <c r="P1713" s="5">
        <v>1167.25</v>
      </c>
      <c r="Q1713" s="4">
        <v>45600</v>
      </c>
      <c r="R1713" s="9">
        <v>0.33961805555555558</v>
      </c>
      <c r="S1713" s="8">
        <v>18</v>
      </c>
      <c r="T1713" s="7" t="s">
        <v>4456</v>
      </c>
      <c r="U1713" s="7" t="s">
        <v>4455</v>
      </c>
      <c r="V17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14" spans="1:22" x14ac:dyDescent="0.35">
      <c r="A1714" s="7" t="s">
        <v>3557</v>
      </c>
      <c r="B1714" s="7" t="s">
        <v>183</v>
      </c>
      <c r="C1714" s="5">
        <v>583.29999999999995</v>
      </c>
      <c r="D1714" s="2">
        <v>0.68802083333139308</v>
      </c>
      <c r="E1714" s="4">
        <v>44960</v>
      </c>
      <c r="F1714" s="7" t="s">
        <v>46</v>
      </c>
      <c r="G1714" s="7" t="s">
        <v>80</v>
      </c>
      <c r="H1714" s="7" t="s">
        <v>685</v>
      </c>
      <c r="I1714" s="7" t="s">
        <v>1921</v>
      </c>
      <c r="J1714" s="7" t="s">
        <v>209</v>
      </c>
      <c r="K1714" s="7" t="s">
        <v>36</v>
      </c>
      <c r="L1714" s="8">
        <v>59</v>
      </c>
      <c r="M1714" s="7" t="s">
        <v>77</v>
      </c>
      <c r="N1714" s="8">
        <v>142</v>
      </c>
      <c r="O1714" s="8">
        <v>1</v>
      </c>
      <c r="P1714" s="5">
        <v>5896.01</v>
      </c>
      <c r="Q1714" s="4">
        <v>45600</v>
      </c>
      <c r="R1714" s="9">
        <v>0.3411689814814815</v>
      </c>
      <c r="S1714" s="8">
        <v>16</v>
      </c>
      <c r="T1714" s="7" t="s">
        <v>4454</v>
      </c>
      <c r="U1714" s="7" t="s">
        <v>4455</v>
      </c>
      <c r="V17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15" spans="1:22" x14ac:dyDescent="0.35">
      <c r="A1715" s="7" t="s">
        <v>3558</v>
      </c>
      <c r="B1715" s="7" t="s">
        <v>617</v>
      </c>
      <c r="C1715" s="5">
        <v>100.68</v>
      </c>
      <c r="D1715" s="2">
        <v>0.69755787037138361</v>
      </c>
      <c r="E1715" s="4">
        <v>44938</v>
      </c>
      <c r="F1715" s="7" t="s">
        <v>17</v>
      </c>
      <c r="G1715" s="7" t="s">
        <v>92</v>
      </c>
      <c r="H1715" s="7" t="s">
        <v>1115</v>
      </c>
      <c r="I1715" s="7" t="s">
        <v>405</v>
      </c>
      <c r="J1715" s="7" t="s">
        <v>154</v>
      </c>
      <c r="K1715" s="7" t="s">
        <v>36</v>
      </c>
      <c r="L1715" s="8">
        <v>63</v>
      </c>
      <c r="M1715" s="7" t="s">
        <v>70</v>
      </c>
      <c r="N1715" s="8">
        <v>139</v>
      </c>
      <c r="O1715" s="8">
        <v>1</v>
      </c>
      <c r="P1715" s="5">
        <v>1123.75</v>
      </c>
      <c r="Q1715" s="4">
        <v>45600</v>
      </c>
      <c r="R1715" s="9">
        <v>0.3417824074074074</v>
      </c>
      <c r="S1715" s="8">
        <v>16</v>
      </c>
      <c r="T1715" s="7" t="s">
        <v>4454</v>
      </c>
      <c r="U1715" s="7" t="s">
        <v>4455</v>
      </c>
      <c r="V17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16" spans="1:22" x14ac:dyDescent="0.35">
      <c r="A1716" s="7" t="s">
        <v>3559</v>
      </c>
      <c r="B1716" s="7" t="s">
        <v>876</v>
      </c>
      <c r="C1716" s="5">
        <v>589.64</v>
      </c>
      <c r="D1716" s="2">
        <v>0.67057870370626915</v>
      </c>
      <c r="E1716" s="4">
        <v>45190</v>
      </c>
      <c r="F1716" s="7" t="s">
        <v>17</v>
      </c>
      <c r="G1716" s="7" t="s">
        <v>249</v>
      </c>
      <c r="H1716" s="7" t="s">
        <v>1187</v>
      </c>
      <c r="I1716" s="7" t="s">
        <v>1657</v>
      </c>
      <c r="J1716" s="7" t="s">
        <v>1345</v>
      </c>
      <c r="K1716" s="7" t="s">
        <v>36</v>
      </c>
      <c r="L1716" s="8">
        <v>62</v>
      </c>
      <c r="M1716" s="7" t="s">
        <v>70</v>
      </c>
      <c r="N1716" s="8">
        <v>210</v>
      </c>
      <c r="O1716" s="8">
        <v>1</v>
      </c>
      <c r="P1716" s="5">
        <v>2039.4</v>
      </c>
      <c r="Q1716" s="4">
        <v>45600</v>
      </c>
      <c r="R1716" s="9">
        <v>0.34158564814814812</v>
      </c>
      <c r="S1716" s="8">
        <v>16</v>
      </c>
      <c r="T1716" s="7" t="s">
        <v>4454</v>
      </c>
      <c r="U1716" s="7" t="s">
        <v>4455</v>
      </c>
      <c r="V17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17" spans="1:22" x14ac:dyDescent="0.35">
      <c r="A1717" s="7" t="s">
        <v>3560</v>
      </c>
      <c r="B1717" s="7" t="s">
        <v>3561</v>
      </c>
      <c r="C1717" s="5">
        <v>225.93</v>
      </c>
      <c r="D1717" s="2">
        <v>0.74846064814482816</v>
      </c>
      <c r="E1717" s="4">
        <v>44998</v>
      </c>
      <c r="F1717" s="7" t="s">
        <v>46</v>
      </c>
      <c r="G1717" s="7" t="s">
        <v>296</v>
      </c>
      <c r="H1717" s="7" t="s">
        <v>152</v>
      </c>
      <c r="I1717" s="7" t="s">
        <v>1370</v>
      </c>
      <c r="J1717" s="7" t="s">
        <v>348</v>
      </c>
      <c r="K1717" s="7" t="s">
        <v>69</v>
      </c>
      <c r="L1717" s="8">
        <v>25</v>
      </c>
      <c r="M1717" s="7" t="s">
        <v>37</v>
      </c>
      <c r="N1717" s="8">
        <v>199</v>
      </c>
      <c r="O1717" s="8">
        <v>1</v>
      </c>
      <c r="P1717" s="5">
        <v>1864.27</v>
      </c>
      <c r="Q1717" s="4">
        <v>45600</v>
      </c>
      <c r="R1717" s="9">
        <v>0.33934027777777775</v>
      </c>
      <c r="S1717" s="8">
        <v>17</v>
      </c>
      <c r="T1717" s="7" t="s">
        <v>4456</v>
      </c>
      <c r="U1717" s="7" t="s">
        <v>4455</v>
      </c>
      <c r="V17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18" spans="1:22" x14ac:dyDescent="0.35">
      <c r="A1718" s="7" t="s">
        <v>3562</v>
      </c>
      <c r="B1718" s="7" t="s">
        <v>3493</v>
      </c>
      <c r="C1718" s="5">
        <v>651.54999999999995</v>
      </c>
      <c r="D1718" s="2">
        <v>0.73233796295971842</v>
      </c>
      <c r="E1718" s="4">
        <v>44995</v>
      </c>
      <c r="F1718" s="7" t="s">
        <v>17</v>
      </c>
      <c r="G1718" s="7" t="s">
        <v>425</v>
      </c>
      <c r="H1718" s="7" t="s">
        <v>2566</v>
      </c>
      <c r="I1718" s="7" t="s">
        <v>3538</v>
      </c>
      <c r="J1718" s="7" t="s">
        <v>169</v>
      </c>
      <c r="K1718" s="7" t="s">
        <v>36</v>
      </c>
      <c r="L1718" s="8">
        <v>72</v>
      </c>
      <c r="M1718" s="7" t="s">
        <v>70</v>
      </c>
      <c r="N1718" s="8">
        <v>82</v>
      </c>
      <c r="O1718" s="8">
        <v>1</v>
      </c>
      <c r="P1718" s="5">
        <v>2325.7800000000002</v>
      </c>
      <c r="Q1718" s="4">
        <v>45600</v>
      </c>
      <c r="R1718" s="9">
        <v>0.34012731481481484</v>
      </c>
      <c r="S1718" s="8">
        <v>17</v>
      </c>
      <c r="T1718" s="7" t="s">
        <v>4454</v>
      </c>
      <c r="U1718" s="7" t="s">
        <v>4455</v>
      </c>
      <c r="V17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19" spans="1:22" x14ac:dyDescent="0.35">
      <c r="A1719" s="7" t="s">
        <v>3563</v>
      </c>
      <c r="B1719" s="7" t="s">
        <v>554</v>
      </c>
      <c r="C1719" s="5">
        <v>80.97</v>
      </c>
      <c r="D1719" s="2">
        <v>0.72775462963181781</v>
      </c>
      <c r="E1719" s="4">
        <v>44935</v>
      </c>
      <c r="F1719" s="7" t="s">
        <v>17</v>
      </c>
      <c r="G1719" s="7" t="s">
        <v>59</v>
      </c>
      <c r="H1719" s="7" t="s">
        <v>2916</v>
      </c>
      <c r="I1719" s="7" t="s">
        <v>1119</v>
      </c>
      <c r="J1719" s="7" t="s">
        <v>607</v>
      </c>
      <c r="K1719" s="7" t="s">
        <v>36</v>
      </c>
      <c r="L1719" s="8">
        <v>38</v>
      </c>
      <c r="M1719" s="7" t="s">
        <v>23</v>
      </c>
      <c r="N1719" s="8">
        <v>157</v>
      </c>
      <c r="O1719" s="8">
        <v>1</v>
      </c>
      <c r="P1719" s="5">
        <v>5926.31</v>
      </c>
      <c r="Q1719" s="4">
        <v>45600</v>
      </c>
      <c r="R1719" s="9">
        <v>0.3396527777777778</v>
      </c>
      <c r="S1719" s="8">
        <v>17</v>
      </c>
      <c r="T1719" s="7" t="s">
        <v>4457</v>
      </c>
      <c r="U1719" s="7" t="s">
        <v>4455</v>
      </c>
      <c r="V17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20" spans="1:22" x14ac:dyDescent="0.35">
      <c r="A1720" s="7" t="s">
        <v>3564</v>
      </c>
      <c r="B1720" s="7" t="s">
        <v>1085</v>
      </c>
      <c r="C1720" s="5">
        <v>191.89</v>
      </c>
      <c r="D1720" s="2">
        <v>0.69240740740497131</v>
      </c>
      <c r="E1720" s="4">
        <v>45104</v>
      </c>
      <c r="F1720" s="7" t="s">
        <v>17</v>
      </c>
      <c r="G1720" s="7" t="s">
        <v>237</v>
      </c>
      <c r="H1720" s="7" t="s">
        <v>1365</v>
      </c>
      <c r="I1720" s="7" t="s">
        <v>2553</v>
      </c>
      <c r="J1720" s="7" t="s">
        <v>576</v>
      </c>
      <c r="K1720" s="7" t="s">
        <v>69</v>
      </c>
      <c r="L1720" s="8">
        <v>25</v>
      </c>
      <c r="M1720" s="7" t="s">
        <v>37</v>
      </c>
      <c r="N1720" s="8">
        <v>14</v>
      </c>
      <c r="O1720" s="8">
        <v>1</v>
      </c>
      <c r="P1720" s="5">
        <v>399.57</v>
      </c>
      <c r="Q1720" s="4">
        <v>45600</v>
      </c>
      <c r="R1720" s="9">
        <v>0.34021990740740743</v>
      </c>
      <c r="S1720" s="8">
        <v>16</v>
      </c>
      <c r="T1720" s="7" t="s">
        <v>4456</v>
      </c>
      <c r="U1720" s="7" t="s">
        <v>4455</v>
      </c>
      <c r="V17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21" spans="1:22" x14ac:dyDescent="0.35">
      <c r="A1721" s="7" t="s">
        <v>3565</v>
      </c>
      <c r="B1721" s="7" t="s">
        <v>1507</v>
      </c>
      <c r="C1721" s="5">
        <v>304.75</v>
      </c>
      <c r="D1721" s="2">
        <v>0.67218750000029104</v>
      </c>
      <c r="E1721" s="4">
        <v>44984</v>
      </c>
      <c r="F1721" s="7" t="s">
        <v>46</v>
      </c>
      <c r="G1721" s="7" t="s">
        <v>119</v>
      </c>
      <c r="H1721" s="7" t="s">
        <v>2282</v>
      </c>
      <c r="I1721" s="7" t="s">
        <v>42</v>
      </c>
      <c r="J1721" s="7" t="s">
        <v>1287</v>
      </c>
      <c r="K1721" s="7" t="s">
        <v>69</v>
      </c>
      <c r="L1721" s="8">
        <v>78</v>
      </c>
      <c r="M1721" s="7" t="s">
        <v>70</v>
      </c>
      <c r="N1721" s="8">
        <v>125</v>
      </c>
      <c r="O1721" s="8">
        <v>1</v>
      </c>
      <c r="P1721" s="5">
        <v>1916.34</v>
      </c>
      <c r="Q1721" s="4">
        <v>45600</v>
      </c>
      <c r="R1721" s="9">
        <v>0.3382060185185185</v>
      </c>
      <c r="S1721" s="8">
        <v>16</v>
      </c>
      <c r="T1721" s="7" t="s">
        <v>4454</v>
      </c>
      <c r="U1721" s="7" t="s">
        <v>4455</v>
      </c>
      <c r="V17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22" spans="1:22" x14ac:dyDescent="0.35">
      <c r="A1722" s="7" t="s">
        <v>3566</v>
      </c>
      <c r="B1722" s="7" t="s">
        <v>3556</v>
      </c>
      <c r="C1722" s="5">
        <v>201.53</v>
      </c>
      <c r="D1722" s="2">
        <v>0.68869212963181781</v>
      </c>
      <c r="E1722" s="4">
        <v>45236</v>
      </c>
      <c r="F1722" s="7" t="s">
        <v>17</v>
      </c>
      <c r="G1722" s="7" t="s">
        <v>255</v>
      </c>
      <c r="H1722" s="7" t="s">
        <v>476</v>
      </c>
      <c r="I1722" s="7" t="s">
        <v>2501</v>
      </c>
      <c r="J1722" s="7" t="s">
        <v>83</v>
      </c>
      <c r="K1722" s="7" t="s">
        <v>36</v>
      </c>
      <c r="L1722" s="8">
        <v>68</v>
      </c>
      <c r="M1722" s="7" t="s">
        <v>70</v>
      </c>
      <c r="N1722" s="8">
        <v>287</v>
      </c>
      <c r="O1722" s="8">
        <v>1</v>
      </c>
      <c r="P1722" s="5">
        <v>2732.86</v>
      </c>
      <c r="Q1722" s="4">
        <v>45600</v>
      </c>
      <c r="R1722" s="9">
        <v>0.34190972222222221</v>
      </c>
      <c r="S1722" s="8">
        <v>16</v>
      </c>
      <c r="T1722" s="7" t="s">
        <v>4454</v>
      </c>
      <c r="U1722" s="7" t="s">
        <v>4455</v>
      </c>
      <c r="V17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23" spans="1:22" x14ac:dyDescent="0.35">
      <c r="A1723" s="7" t="s">
        <v>3567</v>
      </c>
      <c r="B1723" s="7" t="s">
        <v>2949</v>
      </c>
      <c r="C1723" s="5">
        <v>8.4499999999999993</v>
      </c>
      <c r="D1723" s="2">
        <v>0.73997685185167938</v>
      </c>
      <c r="E1723" s="4">
        <v>44967</v>
      </c>
      <c r="F1723" s="7" t="s">
        <v>17</v>
      </c>
      <c r="G1723" s="7" t="s">
        <v>243</v>
      </c>
      <c r="H1723" s="7" t="s">
        <v>1374</v>
      </c>
      <c r="I1723" s="7" t="s">
        <v>394</v>
      </c>
      <c r="J1723" s="7" t="s">
        <v>154</v>
      </c>
      <c r="K1723" s="7" t="s">
        <v>22</v>
      </c>
      <c r="L1723" s="8">
        <v>22</v>
      </c>
      <c r="M1723" s="7" t="s">
        <v>37</v>
      </c>
      <c r="N1723" s="8">
        <v>141</v>
      </c>
      <c r="O1723" s="8">
        <v>1</v>
      </c>
      <c r="P1723" s="5">
        <v>1115.3</v>
      </c>
      <c r="Q1723" s="4">
        <v>45600</v>
      </c>
      <c r="R1723" s="9">
        <v>0.3387384259259259</v>
      </c>
      <c r="S1723" s="8">
        <v>17</v>
      </c>
      <c r="T1723" s="7" t="s">
        <v>4456</v>
      </c>
      <c r="U1723" s="7" t="s">
        <v>4455</v>
      </c>
      <c r="V17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24" spans="1:22" x14ac:dyDescent="0.35">
      <c r="A1724" s="7" t="s">
        <v>3568</v>
      </c>
      <c r="B1724" s="7" t="s">
        <v>3251</v>
      </c>
      <c r="C1724" s="5">
        <v>435.98</v>
      </c>
      <c r="D1724" s="2">
        <v>0.68690972222248092</v>
      </c>
      <c r="E1724" s="4">
        <v>45211</v>
      </c>
      <c r="F1724" s="7" t="s">
        <v>17</v>
      </c>
      <c r="G1724" s="7" t="s">
        <v>32</v>
      </c>
      <c r="H1724" s="7" t="s">
        <v>198</v>
      </c>
      <c r="I1724" s="7" t="s">
        <v>535</v>
      </c>
      <c r="J1724" s="7" t="s">
        <v>514</v>
      </c>
      <c r="K1724" s="7" t="s">
        <v>69</v>
      </c>
      <c r="L1724" s="8">
        <v>30</v>
      </c>
      <c r="M1724" s="7" t="s">
        <v>77</v>
      </c>
      <c r="N1724" s="8">
        <v>105</v>
      </c>
      <c r="O1724" s="8">
        <v>1</v>
      </c>
      <c r="P1724" s="5">
        <v>7334.08</v>
      </c>
      <c r="Q1724" s="4">
        <v>45600</v>
      </c>
      <c r="R1724" s="9">
        <v>0.34103009259259259</v>
      </c>
      <c r="S1724" s="8">
        <v>16</v>
      </c>
      <c r="T1724" s="7" t="s">
        <v>4456</v>
      </c>
      <c r="U1724" s="7" t="s">
        <v>4455</v>
      </c>
      <c r="V17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25" spans="1:22" x14ac:dyDescent="0.35">
      <c r="A1725" s="7" t="s">
        <v>3569</v>
      </c>
      <c r="B1725" s="7" t="s">
        <v>1123</v>
      </c>
      <c r="C1725" s="5">
        <v>743.24</v>
      </c>
      <c r="D1725" s="2">
        <v>0.72994212962657912</v>
      </c>
      <c r="E1725" s="4">
        <v>45114</v>
      </c>
      <c r="F1725" s="7" t="s">
        <v>46</v>
      </c>
      <c r="G1725" s="7" t="s">
        <v>65</v>
      </c>
      <c r="H1725" s="7" t="s">
        <v>570</v>
      </c>
      <c r="I1725" s="7" t="s">
        <v>1366</v>
      </c>
      <c r="J1725" s="7" t="s">
        <v>820</v>
      </c>
      <c r="K1725" s="7" t="s">
        <v>36</v>
      </c>
      <c r="L1725" s="8">
        <v>19</v>
      </c>
      <c r="M1725" s="7" t="s">
        <v>37</v>
      </c>
      <c r="N1725" s="8">
        <v>109</v>
      </c>
      <c r="O1725" s="8">
        <v>1</v>
      </c>
      <c r="P1725" s="5">
        <v>1024.19</v>
      </c>
      <c r="Q1725" s="4">
        <v>45600</v>
      </c>
      <c r="R1725" s="9">
        <v>0.3394212962962963</v>
      </c>
      <c r="S1725" s="8">
        <v>17</v>
      </c>
      <c r="T1725" s="7" t="s">
        <v>4456</v>
      </c>
      <c r="U1725" s="7" t="s">
        <v>4455</v>
      </c>
      <c r="V17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26" spans="1:22" x14ac:dyDescent="0.35">
      <c r="A1726" s="7" t="s">
        <v>3570</v>
      </c>
      <c r="B1726" s="7" t="s">
        <v>1327</v>
      </c>
      <c r="C1726" s="5">
        <v>16.27</v>
      </c>
      <c r="D1726" s="2">
        <v>0.74913194444525288</v>
      </c>
      <c r="E1726" s="4">
        <v>44970</v>
      </c>
      <c r="F1726" s="7" t="s">
        <v>17</v>
      </c>
      <c r="G1726" s="7" t="s">
        <v>47</v>
      </c>
      <c r="H1726" s="7" t="s">
        <v>1633</v>
      </c>
      <c r="I1726" s="7" t="s">
        <v>779</v>
      </c>
      <c r="J1726" s="7" t="s">
        <v>858</v>
      </c>
      <c r="K1726" s="7" t="s">
        <v>22</v>
      </c>
      <c r="L1726" s="8">
        <v>57</v>
      </c>
      <c r="M1726" s="7" t="s">
        <v>23</v>
      </c>
      <c r="N1726" s="8">
        <v>44</v>
      </c>
      <c r="O1726" s="8">
        <v>1</v>
      </c>
      <c r="P1726" s="5">
        <v>10971.32</v>
      </c>
      <c r="Q1726" s="4">
        <v>45600</v>
      </c>
      <c r="R1726" s="9">
        <v>0.33962962962962961</v>
      </c>
      <c r="S1726" s="8">
        <v>17</v>
      </c>
      <c r="T1726" s="7" t="s">
        <v>4454</v>
      </c>
      <c r="U1726" s="7" t="s">
        <v>4455</v>
      </c>
      <c r="V17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27" spans="1:22" x14ac:dyDescent="0.35">
      <c r="A1727" s="7" t="s">
        <v>3571</v>
      </c>
      <c r="B1727" s="7" t="s">
        <v>2643</v>
      </c>
      <c r="C1727" s="5">
        <v>290.86</v>
      </c>
      <c r="D1727" s="2">
        <v>0.73966435185138835</v>
      </c>
      <c r="E1727" s="4">
        <v>45082</v>
      </c>
      <c r="F1727" s="7" t="s">
        <v>17</v>
      </c>
      <c r="G1727" s="7" t="s">
        <v>108</v>
      </c>
      <c r="H1727" s="7" t="s">
        <v>204</v>
      </c>
      <c r="I1727" s="7" t="s">
        <v>1149</v>
      </c>
      <c r="J1727" s="7" t="s">
        <v>1524</v>
      </c>
      <c r="K1727" s="7" t="s">
        <v>36</v>
      </c>
      <c r="L1727" s="8">
        <v>45</v>
      </c>
      <c r="M1727" s="7" t="s">
        <v>23</v>
      </c>
      <c r="N1727" s="8">
        <v>36</v>
      </c>
      <c r="O1727" s="8">
        <v>1</v>
      </c>
      <c r="P1727" s="5">
        <v>14631.88</v>
      </c>
      <c r="Q1727" s="4">
        <v>45600</v>
      </c>
      <c r="R1727" s="9">
        <v>0.34079861111111109</v>
      </c>
      <c r="S1727" s="8">
        <v>17</v>
      </c>
      <c r="T1727" s="7" t="s">
        <v>4457</v>
      </c>
      <c r="U1727" s="7" t="s">
        <v>4455</v>
      </c>
      <c r="V17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28" spans="1:22" x14ac:dyDescent="0.35">
      <c r="A1728" s="7" t="s">
        <v>3572</v>
      </c>
      <c r="B1728" s="7" t="s">
        <v>248</v>
      </c>
      <c r="C1728" s="5">
        <v>85.73</v>
      </c>
      <c r="D1728" s="2">
        <v>0.67358796296321088</v>
      </c>
      <c r="E1728" s="4">
        <v>44986</v>
      </c>
      <c r="F1728" s="7" t="s">
        <v>17</v>
      </c>
      <c r="G1728" s="7" t="s">
        <v>301</v>
      </c>
      <c r="H1728" s="7" t="s">
        <v>1305</v>
      </c>
      <c r="I1728" s="7" t="s">
        <v>500</v>
      </c>
      <c r="J1728" s="7" t="s">
        <v>740</v>
      </c>
      <c r="K1728" s="7" t="s">
        <v>22</v>
      </c>
      <c r="L1728" s="8">
        <v>41</v>
      </c>
      <c r="M1728" s="7" t="s">
        <v>23</v>
      </c>
      <c r="N1728" s="8">
        <v>266</v>
      </c>
      <c r="O1728" s="8">
        <v>1</v>
      </c>
      <c r="P1728" s="5">
        <v>14928.35</v>
      </c>
      <c r="Q1728" s="4">
        <v>45600</v>
      </c>
      <c r="R1728" s="9">
        <v>0.33931712962962962</v>
      </c>
      <c r="S1728" s="8">
        <v>16</v>
      </c>
      <c r="T1728" s="7" t="s">
        <v>4457</v>
      </c>
      <c r="U1728" s="7" t="s">
        <v>4455</v>
      </c>
      <c r="V17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29" spans="1:22" x14ac:dyDescent="0.35">
      <c r="A1729" s="7" t="s">
        <v>3573</v>
      </c>
      <c r="B1729" s="7" t="s">
        <v>1144</v>
      </c>
      <c r="C1729" s="5">
        <v>555.71</v>
      </c>
      <c r="D1729" s="2">
        <v>0.73312499999883585</v>
      </c>
      <c r="E1729" s="4">
        <v>44949</v>
      </c>
      <c r="F1729" s="7" t="s">
        <v>46</v>
      </c>
      <c r="G1729" s="7" t="s">
        <v>388</v>
      </c>
      <c r="H1729" s="7" t="s">
        <v>1211</v>
      </c>
      <c r="I1729" s="7" t="s">
        <v>293</v>
      </c>
      <c r="J1729" s="7" t="s">
        <v>762</v>
      </c>
      <c r="K1729" s="7" t="s">
        <v>69</v>
      </c>
      <c r="L1729" s="8">
        <v>22</v>
      </c>
      <c r="M1729" s="7" t="s">
        <v>37</v>
      </c>
      <c r="N1729" s="8">
        <v>73</v>
      </c>
      <c r="O1729" s="8">
        <v>1</v>
      </c>
      <c r="P1729" s="5">
        <v>830.37</v>
      </c>
      <c r="Q1729" s="4">
        <v>45600</v>
      </c>
      <c r="R1729" s="9">
        <v>0.33916666666666667</v>
      </c>
      <c r="S1729" s="8">
        <v>17</v>
      </c>
      <c r="T1729" s="7" t="s">
        <v>4456</v>
      </c>
      <c r="U1729" s="7" t="s">
        <v>4455</v>
      </c>
      <c r="V17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30" spans="1:22" x14ac:dyDescent="0.35">
      <c r="A1730" s="7" t="s">
        <v>3574</v>
      </c>
      <c r="B1730" s="7" t="s">
        <v>868</v>
      </c>
      <c r="C1730" s="5">
        <v>40.03</v>
      </c>
      <c r="D1730" s="2">
        <v>0.72075231481721858</v>
      </c>
      <c r="E1730" s="4">
        <v>44935</v>
      </c>
      <c r="F1730" s="7" t="s">
        <v>17</v>
      </c>
      <c r="G1730" s="7" t="s">
        <v>296</v>
      </c>
      <c r="H1730" s="7" t="s">
        <v>1024</v>
      </c>
      <c r="I1730" s="7" t="s">
        <v>507</v>
      </c>
      <c r="J1730" s="7" t="s">
        <v>572</v>
      </c>
      <c r="K1730" s="7" t="s">
        <v>69</v>
      </c>
      <c r="L1730" s="8">
        <v>23</v>
      </c>
      <c r="M1730" s="7" t="s">
        <v>37</v>
      </c>
      <c r="N1730" s="8">
        <v>200</v>
      </c>
      <c r="O1730" s="8">
        <v>1</v>
      </c>
      <c r="P1730" s="5">
        <v>6408.8</v>
      </c>
      <c r="Q1730" s="4">
        <v>45600</v>
      </c>
      <c r="R1730" s="9">
        <v>0.34175925925925926</v>
      </c>
      <c r="S1730" s="8">
        <v>17</v>
      </c>
      <c r="T1730" s="7" t="s">
        <v>4456</v>
      </c>
      <c r="U1730" s="7" t="s">
        <v>4455</v>
      </c>
      <c r="V17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31" spans="1:22" x14ac:dyDescent="0.35">
      <c r="A1731" s="7" t="s">
        <v>3575</v>
      </c>
      <c r="B1731" s="7" t="s">
        <v>2090</v>
      </c>
      <c r="C1731" s="5">
        <v>73.010000000000005</v>
      </c>
      <c r="D1731" s="2">
        <v>0.76834490741021</v>
      </c>
      <c r="E1731" s="4">
        <v>45217</v>
      </c>
      <c r="F1731" s="7" t="s">
        <v>46</v>
      </c>
      <c r="G1731" s="7" t="s">
        <v>178</v>
      </c>
      <c r="H1731" s="7" t="s">
        <v>1522</v>
      </c>
      <c r="I1731" s="7" t="s">
        <v>2065</v>
      </c>
      <c r="J1731" s="7" t="s">
        <v>165</v>
      </c>
      <c r="K1731" s="7" t="s">
        <v>36</v>
      </c>
      <c r="L1731" s="8">
        <v>25</v>
      </c>
      <c r="M1731" s="7" t="s">
        <v>37</v>
      </c>
      <c r="N1731" s="8">
        <v>62</v>
      </c>
      <c r="O1731" s="8">
        <v>1</v>
      </c>
      <c r="P1731" s="5">
        <v>1997.33</v>
      </c>
      <c r="Q1731" s="4">
        <v>45600</v>
      </c>
      <c r="R1731" s="9">
        <v>0.34041666666666665</v>
      </c>
      <c r="S1731" s="8">
        <v>18</v>
      </c>
      <c r="T1731" s="7" t="s">
        <v>4456</v>
      </c>
      <c r="U1731" s="7" t="s">
        <v>4455</v>
      </c>
      <c r="V17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32" spans="1:22" x14ac:dyDescent="0.35">
      <c r="A1732" s="7" t="s">
        <v>3576</v>
      </c>
      <c r="B1732" s="7" t="s">
        <v>701</v>
      </c>
      <c r="C1732" s="5">
        <v>346.12</v>
      </c>
      <c r="D1732" s="2">
        <v>0.74687499999708962</v>
      </c>
      <c r="E1732" s="4">
        <v>45289</v>
      </c>
      <c r="F1732" s="7" t="s">
        <v>17</v>
      </c>
      <c r="G1732" s="7" t="s">
        <v>212</v>
      </c>
      <c r="H1732" s="7" t="s">
        <v>798</v>
      </c>
      <c r="I1732" s="7" t="s">
        <v>2280</v>
      </c>
      <c r="J1732" s="7" t="s">
        <v>652</v>
      </c>
      <c r="K1732" s="7" t="s">
        <v>69</v>
      </c>
      <c r="L1732" s="8">
        <v>44</v>
      </c>
      <c r="M1732" s="7" t="s">
        <v>23</v>
      </c>
      <c r="N1732" s="8">
        <v>12</v>
      </c>
      <c r="O1732" s="8">
        <v>1</v>
      </c>
      <c r="P1732" s="5">
        <v>13084.27</v>
      </c>
      <c r="Q1732" s="4">
        <v>45600</v>
      </c>
      <c r="R1732" s="9">
        <v>0.34097222222222223</v>
      </c>
      <c r="S1732" s="8">
        <v>17</v>
      </c>
      <c r="T1732" s="7" t="s">
        <v>4457</v>
      </c>
      <c r="U1732" s="7" t="s">
        <v>4455</v>
      </c>
      <c r="V17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33" spans="1:22" x14ac:dyDescent="0.35">
      <c r="A1733" s="7" t="s">
        <v>3577</v>
      </c>
      <c r="B1733" s="7" t="s">
        <v>684</v>
      </c>
      <c r="C1733" s="5">
        <v>1.93</v>
      </c>
      <c r="D1733" s="2">
        <v>0.75425925925810589</v>
      </c>
      <c r="E1733" s="4">
        <v>45218</v>
      </c>
      <c r="F1733" s="7" t="s">
        <v>17</v>
      </c>
      <c r="G1733" s="7" t="s">
        <v>265</v>
      </c>
      <c r="H1733" s="7" t="s">
        <v>189</v>
      </c>
      <c r="I1733" s="7" t="s">
        <v>1494</v>
      </c>
      <c r="J1733" s="7" t="s">
        <v>95</v>
      </c>
      <c r="K1733" s="7" t="s">
        <v>69</v>
      </c>
      <c r="L1733" s="8">
        <v>47</v>
      </c>
      <c r="M1733" s="7" t="s">
        <v>23</v>
      </c>
      <c r="N1733" s="8">
        <v>175</v>
      </c>
      <c r="O1733" s="8">
        <v>5</v>
      </c>
      <c r="P1733" s="5">
        <v>5684.09</v>
      </c>
      <c r="Q1733" s="4">
        <v>45600</v>
      </c>
      <c r="R1733" s="9">
        <v>0.33927083333333335</v>
      </c>
      <c r="S1733" s="8">
        <v>18</v>
      </c>
      <c r="T1733" s="7" t="s">
        <v>4457</v>
      </c>
      <c r="U1733" s="7" t="s">
        <v>4458</v>
      </c>
      <c r="V17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34" spans="1:22" x14ac:dyDescent="0.35">
      <c r="A1734" s="7" t="s">
        <v>3578</v>
      </c>
      <c r="B1734" s="7" t="s">
        <v>533</v>
      </c>
      <c r="C1734" s="5">
        <v>252.93</v>
      </c>
      <c r="D1734" s="2">
        <v>0.67023148148291511</v>
      </c>
      <c r="E1734" s="4">
        <v>44963</v>
      </c>
      <c r="F1734" s="7" t="s">
        <v>17</v>
      </c>
      <c r="G1734" s="7" t="s">
        <v>595</v>
      </c>
      <c r="H1734" s="7" t="s">
        <v>435</v>
      </c>
      <c r="I1734" s="7" t="s">
        <v>2729</v>
      </c>
      <c r="J1734" s="7" t="s">
        <v>353</v>
      </c>
      <c r="K1734" s="7" t="s">
        <v>22</v>
      </c>
      <c r="L1734" s="8">
        <v>75</v>
      </c>
      <c r="M1734" s="7" t="s">
        <v>70</v>
      </c>
      <c r="N1734" s="8">
        <v>222</v>
      </c>
      <c r="O1734" s="8">
        <v>1</v>
      </c>
      <c r="P1734" s="5">
        <v>2760.37</v>
      </c>
      <c r="Q1734" s="4">
        <v>45600</v>
      </c>
      <c r="R1734" s="9">
        <v>0.33880787037037036</v>
      </c>
      <c r="S1734" s="8">
        <v>16</v>
      </c>
      <c r="T1734" s="7" t="s">
        <v>4454</v>
      </c>
      <c r="U1734" s="7" t="s">
        <v>4455</v>
      </c>
      <c r="V17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35" spans="1:22" x14ac:dyDescent="0.35">
      <c r="A1735" s="7" t="s">
        <v>3579</v>
      </c>
      <c r="B1735" s="7" t="s">
        <v>667</v>
      </c>
      <c r="C1735" s="5">
        <v>238.54</v>
      </c>
      <c r="D1735" s="2">
        <v>0.66945601852057735</v>
      </c>
      <c r="E1735" s="4">
        <v>45023</v>
      </c>
      <c r="F1735" s="7" t="s">
        <v>17</v>
      </c>
      <c r="G1735" s="7" t="s">
        <v>65</v>
      </c>
      <c r="H1735" s="7" t="s">
        <v>448</v>
      </c>
      <c r="I1735" s="7" t="s">
        <v>1740</v>
      </c>
      <c r="J1735" s="7" t="s">
        <v>598</v>
      </c>
      <c r="K1735" s="7" t="s">
        <v>22</v>
      </c>
      <c r="L1735" s="8">
        <v>19</v>
      </c>
      <c r="M1735" s="7" t="s">
        <v>37</v>
      </c>
      <c r="N1735" s="8">
        <v>12</v>
      </c>
      <c r="O1735" s="8">
        <v>4</v>
      </c>
      <c r="P1735" s="5">
        <v>868.91</v>
      </c>
      <c r="Q1735" s="4">
        <v>45600</v>
      </c>
      <c r="R1735" s="9">
        <v>0.33840277777777777</v>
      </c>
      <c r="S1735" s="8">
        <v>16</v>
      </c>
      <c r="T1735" s="7" t="s">
        <v>4456</v>
      </c>
      <c r="U1735" s="7" t="s">
        <v>4458</v>
      </c>
      <c r="V17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36" spans="1:22" x14ac:dyDescent="0.35">
      <c r="A1736" s="7" t="s">
        <v>3580</v>
      </c>
      <c r="B1736" s="7" t="s">
        <v>813</v>
      </c>
      <c r="C1736" s="5">
        <v>1011.22</v>
      </c>
      <c r="D1736" s="2">
        <v>0.78554398148116888</v>
      </c>
      <c r="E1736" s="4">
        <v>45159</v>
      </c>
      <c r="F1736" s="7" t="s">
        <v>17</v>
      </c>
      <c r="G1736" s="7" t="s">
        <v>255</v>
      </c>
      <c r="H1736" s="7" t="s">
        <v>596</v>
      </c>
      <c r="I1736" s="7" t="s">
        <v>583</v>
      </c>
      <c r="J1736" s="7" t="s">
        <v>226</v>
      </c>
      <c r="K1736" s="7" t="s">
        <v>69</v>
      </c>
      <c r="L1736" s="8">
        <v>61</v>
      </c>
      <c r="M1736" s="7" t="s">
        <v>70</v>
      </c>
      <c r="N1736" s="8">
        <v>129</v>
      </c>
      <c r="O1736" s="8">
        <v>1</v>
      </c>
      <c r="P1736" s="5">
        <v>5838.91</v>
      </c>
      <c r="Q1736" s="4">
        <v>45600</v>
      </c>
      <c r="R1736" s="9">
        <v>0.3402662037037037</v>
      </c>
      <c r="S1736" s="8">
        <v>18</v>
      </c>
      <c r="T1736" s="7" t="s">
        <v>4454</v>
      </c>
      <c r="U1736" s="7" t="s">
        <v>4455</v>
      </c>
      <c r="V17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37" spans="1:22" x14ac:dyDescent="0.35">
      <c r="A1737" s="7" t="s">
        <v>3581</v>
      </c>
      <c r="B1737" s="7" t="s">
        <v>1121</v>
      </c>
      <c r="C1737" s="5">
        <v>58.7</v>
      </c>
      <c r="D1737" s="2">
        <v>0.666678240741021</v>
      </c>
      <c r="E1737" s="4">
        <v>44988</v>
      </c>
      <c r="F1737" s="7" t="s">
        <v>17</v>
      </c>
      <c r="G1737" s="7" t="s">
        <v>203</v>
      </c>
      <c r="H1737" s="7" t="s">
        <v>1708</v>
      </c>
      <c r="I1737" s="7" t="s">
        <v>287</v>
      </c>
      <c r="J1737" s="7" t="s">
        <v>576</v>
      </c>
      <c r="K1737" s="7" t="s">
        <v>69</v>
      </c>
      <c r="L1737" s="8">
        <v>67</v>
      </c>
      <c r="M1737" s="7" t="s">
        <v>23</v>
      </c>
      <c r="N1737" s="8">
        <v>141</v>
      </c>
      <c r="O1737" s="8">
        <v>1</v>
      </c>
      <c r="P1737" s="5">
        <v>8937.35</v>
      </c>
      <c r="Q1737" s="4">
        <v>45600</v>
      </c>
      <c r="R1737" s="9">
        <v>0.33833333333333332</v>
      </c>
      <c r="S1737" s="8">
        <v>16</v>
      </c>
      <c r="T1737" s="7" t="s">
        <v>4454</v>
      </c>
      <c r="U1737" s="7" t="s">
        <v>4455</v>
      </c>
      <c r="V17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38" spans="1:22" x14ac:dyDescent="0.35">
      <c r="A1738" s="7" t="s">
        <v>3582</v>
      </c>
      <c r="B1738" s="7" t="s">
        <v>484</v>
      </c>
      <c r="C1738" s="5">
        <v>7.56</v>
      </c>
      <c r="D1738" s="2">
        <v>0.69357638889050577</v>
      </c>
      <c r="E1738" s="4">
        <v>44963</v>
      </c>
      <c r="F1738" s="7" t="s">
        <v>17</v>
      </c>
      <c r="G1738" s="7" t="s">
        <v>178</v>
      </c>
      <c r="H1738" s="7" t="s">
        <v>2244</v>
      </c>
      <c r="I1738" s="7" t="s">
        <v>963</v>
      </c>
      <c r="J1738" s="7" t="s">
        <v>272</v>
      </c>
      <c r="K1738" s="7" t="s">
        <v>22</v>
      </c>
      <c r="L1738" s="8">
        <v>40</v>
      </c>
      <c r="M1738" s="7" t="s">
        <v>23</v>
      </c>
      <c r="N1738" s="8">
        <v>145</v>
      </c>
      <c r="O1738" s="8">
        <v>1</v>
      </c>
      <c r="P1738" s="5">
        <v>8528.7199999999993</v>
      </c>
      <c r="Q1738" s="4">
        <v>45600</v>
      </c>
      <c r="R1738" s="9">
        <v>0.33841435185185187</v>
      </c>
      <c r="S1738" s="8">
        <v>16</v>
      </c>
      <c r="T1738" s="7" t="s">
        <v>4457</v>
      </c>
      <c r="U1738" s="7" t="s">
        <v>4455</v>
      </c>
      <c r="V17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39" spans="1:22" x14ac:dyDescent="0.35">
      <c r="A1739" s="7" t="s">
        <v>3583</v>
      </c>
      <c r="B1739" s="7" t="s">
        <v>701</v>
      </c>
      <c r="C1739" s="5">
        <v>540.4</v>
      </c>
      <c r="D1739" s="2">
        <v>0.69603009259299142</v>
      </c>
      <c r="E1739" s="4">
        <v>44979</v>
      </c>
      <c r="F1739" s="7" t="s">
        <v>17</v>
      </c>
      <c r="G1739" s="7" t="s">
        <v>26</v>
      </c>
      <c r="H1739" s="7" t="s">
        <v>827</v>
      </c>
      <c r="I1739" s="7" t="s">
        <v>1819</v>
      </c>
      <c r="J1739" s="7" t="s">
        <v>885</v>
      </c>
      <c r="K1739" s="7" t="s">
        <v>69</v>
      </c>
      <c r="L1739" s="8">
        <v>45</v>
      </c>
      <c r="M1739" s="7" t="s">
        <v>23</v>
      </c>
      <c r="N1739" s="8">
        <v>272</v>
      </c>
      <c r="O1739" s="8">
        <v>1</v>
      </c>
      <c r="P1739" s="5">
        <v>425.77</v>
      </c>
      <c r="Q1739" s="4">
        <v>45600</v>
      </c>
      <c r="R1739" s="9">
        <v>0.33810185185185188</v>
      </c>
      <c r="S1739" s="8">
        <v>16</v>
      </c>
      <c r="T1739" s="7" t="s">
        <v>4457</v>
      </c>
      <c r="U1739" s="7" t="s">
        <v>4455</v>
      </c>
      <c r="V17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40" spans="1:22" x14ac:dyDescent="0.35">
      <c r="A1740" s="7" t="s">
        <v>3584</v>
      </c>
      <c r="B1740" s="7" t="s">
        <v>3332</v>
      </c>
      <c r="C1740" s="5">
        <v>264.14</v>
      </c>
      <c r="D1740" s="2">
        <v>0.73368055555329192</v>
      </c>
      <c r="E1740" s="4">
        <v>45135</v>
      </c>
      <c r="F1740" s="7" t="s">
        <v>17</v>
      </c>
      <c r="G1740" s="7" t="s">
        <v>197</v>
      </c>
      <c r="H1740" s="7" t="s">
        <v>2947</v>
      </c>
      <c r="I1740" s="7" t="s">
        <v>1556</v>
      </c>
      <c r="J1740" s="7" t="s">
        <v>386</v>
      </c>
      <c r="K1740" s="7" t="s">
        <v>22</v>
      </c>
      <c r="L1740" s="8">
        <v>64</v>
      </c>
      <c r="M1740" s="7" t="s">
        <v>23</v>
      </c>
      <c r="N1740" s="8">
        <v>125</v>
      </c>
      <c r="O1740" s="8">
        <v>1</v>
      </c>
      <c r="P1740" s="5">
        <v>8459.26</v>
      </c>
      <c r="Q1740" s="4">
        <v>45600</v>
      </c>
      <c r="R1740" s="9">
        <v>0.3384375</v>
      </c>
      <c r="S1740" s="8">
        <v>17</v>
      </c>
      <c r="T1740" s="7" t="s">
        <v>4454</v>
      </c>
      <c r="U1740" s="7" t="s">
        <v>4455</v>
      </c>
      <c r="V17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41" spans="1:22" x14ac:dyDescent="0.35">
      <c r="A1741" s="7" t="s">
        <v>3585</v>
      </c>
      <c r="B1741" s="7" t="s">
        <v>3586</v>
      </c>
      <c r="C1741" s="5">
        <v>248.15</v>
      </c>
      <c r="D1741" s="2">
        <v>0.69513888889196096</v>
      </c>
      <c r="E1741" s="4">
        <v>45092</v>
      </c>
      <c r="F1741" s="7" t="s">
        <v>17</v>
      </c>
      <c r="G1741" s="7" t="s">
        <v>178</v>
      </c>
      <c r="H1741" s="7" t="s">
        <v>1184</v>
      </c>
      <c r="I1741" s="7" t="s">
        <v>1246</v>
      </c>
      <c r="J1741" s="7" t="s">
        <v>762</v>
      </c>
      <c r="K1741" s="7" t="s">
        <v>22</v>
      </c>
      <c r="L1741" s="8">
        <v>75</v>
      </c>
      <c r="M1741" s="7" t="s">
        <v>70</v>
      </c>
      <c r="N1741" s="8">
        <v>202</v>
      </c>
      <c r="O1741" s="8">
        <v>1</v>
      </c>
      <c r="P1741" s="5">
        <v>2649.23</v>
      </c>
      <c r="Q1741" s="4">
        <v>45600</v>
      </c>
      <c r="R1741" s="9">
        <v>0.3395023148148148</v>
      </c>
      <c r="S1741" s="8">
        <v>16</v>
      </c>
      <c r="T1741" s="7" t="s">
        <v>4454</v>
      </c>
      <c r="U1741" s="7" t="s">
        <v>4455</v>
      </c>
      <c r="V17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42" spans="1:22" x14ac:dyDescent="0.35">
      <c r="A1742" s="7" t="s">
        <v>3587</v>
      </c>
      <c r="B1742" s="7" t="s">
        <v>1147</v>
      </c>
      <c r="C1742" s="5">
        <v>24.34</v>
      </c>
      <c r="D1742" s="2">
        <v>0.71877314814628335</v>
      </c>
      <c r="E1742" s="4">
        <v>45259</v>
      </c>
      <c r="F1742" s="7" t="s">
        <v>17</v>
      </c>
      <c r="G1742" s="7" t="s">
        <v>40</v>
      </c>
      <c r="H1742" s="7" t="s">
        <v>713</v>
      </c>
      <c r="I1742" s="7" t="s">
        <v>3588</v>
      </c>
      <c r="J1742" s="7" t="s">
        <v>267</v>
      </c>
      <c r="K1742" s="7" t="s">
        <v>69</v>
      </c>
      <c r="L1742" s="8">
        <v>54</v>
      </c>
      <c r="M1742" s="7" t="s">
        <v>77</v>
      </c>
      <c r="N1742" s="8">
        <v>110</v>
      </c>
      <c r="O1742" s="8">
        <v>1</v>
      </c>
      <c r="P1742" s="5">
        <v>6659.12</v>
      </c>
      <c r="Q1742" s="4">
        <v>45600</v>
      </c>
      <c r="R1742" s="9">
        <v>0.33984953703703702</v>
      </c>
      <c r="S1742" s="8">
        <v>17</v>
      </c>
      <c r="T1742" s="7" t="s">
        <v>4457</v>
      </c>
      <c r="U1742" s="7" t="s">
        <v>4455</v>
      </c>
      <c r="V17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43" spans="1:22" x14ac:dyDescent="0.35">
      <c r="A1743" s="7" t="s">
        <v>3589</v>
      </c>
      <c r="B1743" s="7" t="s">
        <v>1027</v>
      </c>
      <c r="C1743" s="5">
        <v>428.61</v>
      </c>
      <c r="D1743" s="2">
        <v>0.67500000000291038</v>
      </c>
      <c r="E1743" s="4">
        <v>44935</v>
      </c>
      <c r="F1743" s="7" t="s">
        <v>17</v>
      </c>
      <c r="G1743" s="7" t="s">
        <v>157</v>
      </c>
      <c r="H1743" s="7" t="s">
        <v>1859</v>
      </c>
      <c r="I1743" s="7" t="s">
        <v>1576</v>
      </c>
      <c r="J1743" s="7" t="s">
        <v>29</v>
      </c>
      <c r="K1743" s="7" t="s">
        <v>22</v>
      </c>
      <c r="L1743" s="8">
        <v>66</v>
      </c>
      <c r="M1743" s="7" t="s">
        <v>23</v>
      </c>
      <c r="N1743" s="8">
        <v>62</v>
      </c>
      <c r="O1743" s="8">
        <v>1</v>
      </c>
      <c r="P1743" s="5">
        <v>11937.04</v>
      </c>
      <c r="Q1743" s="4">
        <v>45600</v>
      </c>
      <c r="R1743" s="9">
        <v>0.34006944444444442</v>
      </c>
      <c r="S1743" s="8">
        <v>16</v>
      </c>
      <c r="T1743" s="7" t="s">
        <v>4454</v>
      </c>
      <c r="U1743" s="7" t="s">
        <v>4455</v>
      </c>
      <c r="V17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44" spans="1:22" x14ac:dyDescent="0.35">
      <c r="A1744" s="7" t="s">
        <v>3590</v>
      </c>
      <c r="B1744" s="7" t="s">
        <v>384</v>
      </c>
      <c r="C1744" s="5">
        <v>117.66</v>
      </c>
      <c r="D1744" s="2">
        <v>0.76380787036760012</v>
      </c>
      <c r="E1744" s="4">
        <v>45141</v>
      </c>
      <c r="F1744" s="7" t="s">
        <v>46</v>
      </c>
      <c r="G1744" s="7" t="s">
        <v>92</v>
      </c>
      <c r="H1744" s="7" t="s">
        <v>3399</v>
      </c>
      <c r="I1744" s="7" t="s">
        <v>507</v>
      </c>
      <c r="J1744" s="7" t="s">
        <v>240</v>
      </c>
      <c r="K1744" s="7" t="s">
        <v>69</v>
      </c>
      <c r="L1744" s="8">
        <v>39</v>
      </c>
      <c r="M1744" s="7" t="s">
        <v>23</v>
      </c>
      <c r="N1744" s="8">
        <v>126</v>
      </c>
      <c r="O1744" s="8">
        <v>1</v>
      </c>
      <c r="P1744" s="5">
        <v>6794.17</v>
      </c>
      <c r="Q1744" s="4">
        <v>45600</v>
      </c>
      <c r="R1744" s="9">
        <v>0.33883101851851855</v>
      </c>
      <c r="S1744" s="8">
        <v>18</v>
      </c>
      <c r="T1744" s="7" t="s">
        <v>4457</v>
      </c>
      <c r="U1744" s="7" t="s">
        <v>4455</v>
      </c>
      <c r="V17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45" spans="1:22" x14ac:dyDescent="0.35">
      <c r="A1745" s="7" t="s">
        <v>3591</v>
      </c>
      <c r="B1745" s="7" t="s">
        <v>2097</v>
      </c>
      <c r="C1745" s="5">
        <v>165.8</v>
      </c>
      <c r="D1745" s="2">
        <v>0.74045138889050577</v>
      </c>
      <c r="E1745" s="4">
        <v>45050</v>
      </c>
      <c r="F1745" s="7" t="s">
        <v>17</v>
      </c>
      <c r="G1745" s="7" t="s">
        <v>80</v>
      </c>
      <c r="H1745" s="7" t="s">
        <v>2562</v>
      </c>
      <c r="I1745" s="7" t="s">
        <v>1864</v>
      </c>
      <c r="J1745" s="7" t="s">
        <v>370</v>
      </c>
      <c r="K1745" s="7" t="s">
        <v>36</v>
      </c>
      <c r="L1745" s="8">
        <v>60</v>
      </c>
      <c r="M1745" s="7" t="s">
        <v>77</v>
      </c>
      <c r="N1745" s="8">
        <v>287</v>
      </c>
      <c r="O1745" s="8">
        <v>1</v>
      </c>
      <c r="P1745" s="5">
        <v>2064.7600000000002</v>
      </c>
      <c r="Q1745" s="4">
        <v>45600</v>
      </c>
      <c r="R1745" s="9">
        <v>0.33885416666666668</v>
      </c>
      <c r="S1745" s="8">
        <v>17</v>
      </c>
      <c r="T1745" s="7" t="s">
        <v>4454</v>
      </c>
      <c r="U1745" s="7" t="s">
        <v>4455</v>
      </c>
      <c r="V17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46" spans="1:22" x14ac:dyDescent="0.35">
      <c r="A1746" s="7" t="s">
        <v>3592</v>
      </c>
      <c r="B1746" s="7" t="s">
        <v>1221</v>
      </c>
      <c r="C1746" s="5">
        <v>289.18</v>
      </c>
      <c r="D1746" s="2">
        <v>0.67910879629926058</v>
      </c>
      <c r="E1746" s="4">
        <v>45167</v>
      </c>
      <c r="F1746" s="7" t="s">
        <v>17</v>
      </c>
      <c r="G1746" s="7" t="s">
        <v>197</v>
      </c>
      <c r="H1746" s="7" t="s">
        <v>1461</v>
      </c>
      <c r="I1746" s="7" t="s">
        <v>1943</v>
      </c>
      <c r="J1746" s="7" t="s">
        <v>652</v>
      </c>
      <c r="K1746" s="7" t="s">
        <v>22</v>
      </c>
      <c r="L1746" s="8">
        <v>65</v>
      </c>
      <c r="M1746" s="7" t="s">
        <v>70</v>
      </c>
      <c r="N1746" s="8">
        <v>64</v>
      </c>
      <c r="O1746" s="8">
        <v>1</v>
      </c>
      <c r="P1746" s="5">
        <v>3139.75</v>
      </c>
      <c r="Q1746" s="4">
        <v>45600</v>
      </c>
      <c r="R1746" s="9">
        <v>0.34109953703703705</v>
      </c>
      <c r="S1746" s="8">
        <v>16</v>
      </c>
      <c r="T1746" s="7" t="s">
        <v>4454</v>
      </c>
      <c r="U1746" s="7" t="s">
        <v>4455</v>
      </c>
      <c r="V17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47" spans="1:22" x14ac:dyDescent="0.35">
      <c r="A1747" s="7" t="s">
        <v>3593</v>
      </c>
      <c r="B1747" s="7" t="s">
        <v>337</v>
      </c>
      <c r="C1747" s="5">
        <v>125.39</v>
      </c>
      <c r="D1747" s="2">
        <v>0.703055555553874</v>
      </c>
      <c r="E1747" s="4">
        <v>45138</v>
      </c>
      <c r="F1747" s="7" t="s">
        <v>17</v>
      </c>
      <c r="G1747" s="7" t="s">
        <v>140</v>
      </c>
      <c r="H1747" s="7" t="s">
        <v>1045</v>
      </c>
      <c r="I1747" s="7" t="s">
        <v>963</v>
      </c>
      <c r="J1747" s="7" t="s">
        <v>308</v>
      </c>
      <c r="K1747" s="7" t="s">
        <v>22</v>
      </c>
      <c r="L1747" s="8">
        <v>21</v>
      </c>
      <c r="M1747" s="7" t="s">
        <v>37</v>
      </c>
      <c r="N1747" s="8">
        <v>140</v>
      </c>
      <c r="O1747" s="8">
        <v>1</v>
      </c>
      <c r="P1747" s="5">
        <v>202.69</v>
      </c>
      <c r="Q1747" s="4">
        <v>45600</v>
      </c>
      <c r="R1747" s="9">
        <v>0.33806712962962965</v>
      </c>
      <c r="S1747" s="8">
        <v>16</v>
      </c>
      <c r="T1747" s="7" t="s">
        <v>4456</v>
      </c>
      <c r="U1747" s="7" t="s">
        <v>4455</v>
      </c>
      <c r="V17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48" spans="1:22" x14ac:dyDescent="0.35">
      <c r="A1748" s="7" t="s">
        <v>3594</v>
      </c>
      <c r="B1748" s="7" t="s">
        <v>2695</v>
      </c>
      <c r="C1748" s="5">
        <v>305.18</v>
      </c>
      <c r="D1748" s="2">
        <v>0.742048611107748</v>
      </c>
      <c r="E1748" s="4">
        <v>45082</v>
      </c>
      <c r="F1748" s="7" t="s">
        <v>17</v>
      </c>
      <c r="G1748" s="7" t="s">
        <v>265</v>
      </c>
      <c r="H1748" s="7" t="s">
        <v>3595</v>
      </c>
      <c r="I1748" s="7" t="s">
        <v>281</v>
      </c>
      <c r="J1748" s="7" t="s">
        <v>149</v>
      </c>
      <c r="K1748" s="7" t="s">
        <v>36</v>
      </c>
      <c r="L1748" s="8">
        <v>58</v>
      </c>
      <c r="M1748" s="7" t="s">
        <v>70</v>
      </c>
      <c r="N1748" s="8">
        <v>216</v>
      </c>
      <c r="O1748" s="8">
        <v>1</v>
      </c>
      <c r="P1748" s="5">
        <v>4474.2</v>
      </c>
      <c r="Q1748" s="4">
        <v>45600</v>
      </c>
      <c r="R1748" s="9">
        <v>0.33914351851851854</v>
      </c>
      <c r="S1748" s="8">
        <v>17</v>
      </c>
      <c r="T1748" s="7" t="s">
        <v>4454</v>
      </c>
      <c r="U1748" s="7" t="s">
        <v>4455</v>
      </c>
      <c r="V17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49" spans="1:22" x14ac:dyDescent="0.35">
      <c r="A1749" s="7" t="s">
        <v>3596</v>
      </c>
      <c r="B1749" s="7" t="s">
        <v>1644</v>
      </c>
      <c r="C1749" s="5">
        <v>506.9</v>
      </c>
      <c r="D1749" s="2">
        <v>0.73942129629722331</v>
      </c>
      <c r="E1749" s="4">
        <v>45231</v>
      </c>
      <c r="F1749" s="7" t="s">
        <v>46</v>
      </c>
      <c r="G1749" s="7" t="s">
        <v>26</v>
      </c>
      <c r="H1749" s="7" t="s">
        <v>2192</v>
      </c>
      <c r="I1749" s="7" t="s">
        <v>1072</v>
      </c>
      <c r="J1749" s="7" t="s">
        <v>858</v>
      </c>
      <c r="K1749" s="7" t="s">
        <v>69</v>
      </c>
      <c r="L1749" s="8">
        <v>64</v>
      </c>
      <c r="M1749" s="7" t="s">
        <v>23</v>
      </c>
      <c r="N1749" s="8">
        <v>56</v>
      </c>
      <c r="O1749" s="8">
        <v>1</v>
      </c>
      <c r="P1749" s="5">
        <v>11471.87</v>
      </c>
      <c r="Q1749" s="4">
        <v>45600</v>
      </c>
      <c r="R1749" s="9">
        <v>0.34038194444444442</v>
      </c>
      <c r="S1749" s="8">
        <v>17</v>
      </c>
      <c r="T1749" s="7" t="s">
        <v>4454</v>
      </c>
      <c r="U1749" s="7" t="s">
        <v>4455</v>
      </c>
      <c r="V17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50" spans="1:22" x14ac:dyDescent="0.35">
      <c r="A1750" s="7" t="s">
        <v>3597</v>
      </c>
      <c r="B1750" s="7" t="s">
        <v>3286</v>
      </c>
      <c r="C1750" s="5">
        <v>504.12</v>
      </c>
      <c r="D1750" s="2">
        <v>0.73321759259124519</v>
      </c>
      <c r="E1750" s="4">
        <v>45030</v>
      </c>
      <c r="F1750" s="7" t="s">
        <v>46</v>
      </c>
      <c r="G1750" s="7" t="s">
        <v>197</v>
      </c>
      <c r="H1750" s="7" t="s">
        <v>906</v>
      </c>
      <c r="I1750" s="7" t="s">
        <v>1076</v>
      </c>
      <c r="J1750" s="7" t="s">
        <v>181</v>
      </c>
      <c r="K1750" s="7" t="s">
        <v>69</v>
      </c>
      <c r="L1750" s="8">
        <v>25</v>
      </c>
      <c r="M1750" s="7" t="s">
        <v>37</v>
      </c>
      <c r="N1750" s="8">
        <v>101</v>
      </c>
      <c r="O1750" s="8">
        <v>1</v>
      </c>
      <c r="P1750" s="5">
        <v>1107.28</v>
      </c>
      <c r="Q1750" s="4">
        <v>45600</v>
      </c>
      <c r="R1750" s="9">
        <v>0.34075231481481483</v>
      </c>
      <c r="S1750" s="8">
        <v>17</v>
      </c>
      <c r="T1750" s="7" t="s">
        <v>4456</v>
      </c>
      <c r="U1750" s="7" t="s">
        <v>4455</v>
      </c>
      <c r="V17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51" spans="1:22" x14ac:dyDescent="0.35">
      <c r="A1751" s="7" t="s">
        <v>3598</v>
      </c>
      <c r="B1751" s="7" t="s">
        <v>1794</v>
      </c>
      <c r="C1751" s="5">
        <v>42.09</v>
      </c>
      <c r="D1751" s="2">
        <v>0.77181712962919846</v>
      </c>
      <c r="E1751" s="4">
        <v>44946</v>
      </c>
      <c r="F1751" s="7" t="s">
        <v>17</v>
      </c>
      <c r="G1751" s="7" t="s">
        <v>114</v>
      </c>
      <c r="H1751" s="7" t="s">
        <v>1135</v>
      </c>
      <c r="I1751" s="7" t="s">
        <v>2104</v>
      </c>
      <c r="J1751" s="7" t="s">
        <v>246</v>
      </c>
      <c r="K1751" s="7" t="s">
        <v>69</v>
      </c>
      <c r="L1751" s="8">
        <v>29</v>
      </c>
      <c r="M1751" s="7" t="s">
        <v>77</v>
      </c>
      <c r="N1751" s="8">
        <v>118</v>
      </c>
      <c r="O1751" s="8">
        <v>1</v>
      </c>
      <c r="P1751" s="5">
        <v>5526.28</v>
      </c>
      <c r="Q1751" s="4">
        <v>45600</v>
      </c>
      <c r="R1751" s="9">
        <v>0.33807870370370369</v>
      </c>
      <c r="S1751" s="8">
        <v>18</v>
      </c>
      <c r="T1751" s="7" t="s">
        <v>4456</v>
      </c>
      <c r="U1751" s="7" t="s">
        <v>4455</v>
      </c>
      <c r="V17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52" spans="1:22" x14ac:dyDescent="0.35">
      <c r="A1752" s="7" t="s">
        <v>3599</v>
      </c>
      <c r="B1752" s="7" t="s">
        <v>3465</v>
      </c>
      <c r="C1752" s="5">
        <v>607.28</v>
      </c>
      <c r="D1752" s="2">
        <v>0.69943287037312984</v>
      </c>
      <c r="E1752" s="4">
        <v>44949</v>
      </c>
      <c r="F1752" s="7" t="s">
        <v>17</v>
      </c>
      <c r="G1752" s="7" t="s">
        <v>197</v>
      </c>
      <c r="H1752" s="7" t="s">
        <v>2604</v>
      </c>
      <c r="I1752" s="7" t="s">
        <v>369</v>
      </c>
      <c r="J1752" s="7" t="s">
        <v>634</v>
      </c>
      <c r="K1752" s="7" t="s">
        <v>22</v>
      </c>
      <c r="L1752" s="8">
        <v>32</v>
      </c>
      <c r="M1752" s="7" t="s">
        <v>23</v>
      </c>
      <c r="N1752" s="8">
        <v>84</v>
      </c>
      <c r="O1752" s="8">
        <v>1</v>
      </c>
      <c r="P1752" s="5">
        <v>9679.68</v>
      </c>
      <c r="Q1752" s="4">
        <v>45600</v>
      </c>
      <c r="R1752" s="9">
        <v>0.34046296296296297</v>
      </c>
      <c r="S1752" s="8">
        <v>16</v>
      </c>
      <c r="T1752" s="7" t="s">
        <v>4456</v>
      </c>
      <c r="U1752" s="7" t="s">
        <v>4455</v>
      </c>
      <c r="V17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53" spans="1:22" x14ac:dyDescent="0.35">
      <c r="A1753" s="7" t="s">
        <v>3600</v>
      </c>
      <c r="B1753" s="7" t="s">
        <v>396</v>
      </c>
      <c r="C1753" s="5">
        <v>91.9</v>
      </c>
      <c r="D1753" s="2">
        <v>0.67989583333110204</v>
      </c>
      <c r="E1753" s="4">
        <v>45061</v>
      </c>
      <c r="F1753" s="7" t="s">
        <v>17</v>
      </c>
      <c r="G1753" s="7" t="s">
        <v>265</v>
      </c>
      <c r="H1753" s="7" t="s">
        <v>1191</v>
      </c>
      <c r="I1753" s="7" t="s">
        <v>718</v>
      </c>
      <c r="J1753" s="7" t="s">
        <v>308</v>
      </c>
      <c r="K1753" s="7" t="s">
        <v>36</v>
      </c>
      <c r="L1753" s="8">
        <v>77</v>
      </c>
      <c r="M1753" s="7" t="s">
        <v>70</v>
      </c>
      <c r="N1753" s="8">
        <v>125</v>
      </c>
      <c r="O1753" s="8">
        <v>1</v>
      </c>
      <c r="P1753" s="5">
        <v>1033.94</v>
      </c>
      <c r="Q1753" s="4">
        <v>45600</v>
      </c>
      <c r="R1753" s="9">
        <v>0.34083333333333332</v>
      </c>
      <c r="S1753" s="8">
        <v>16</v>
      </c>
      <c r="T1753" s="7" t="s">
        <v>4454</v>
      </c>
      <c r="U1753" s="7" t="s">
        <v>4455</v>
      </c>
      <c r="V17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54" spans="1:22" x14ac:dyDescent="0.35">
      <c r="A1754" s="7" t="s">
        <v>3601</v>
      </c>
      <c r="B1754" s="7" t="s">
        <v>1561</v>
      </c>
      <c r="C1754" s="5">
        <v>303.43</v>
      </c>
      <c r="D1754" s="2">
        <v>0.73121527778130258</v>
      </c>
      <c r="E1754" s="4">
        <v>45083</v>
      </c>
      <c r="F1754" s="7" t="s">
        <v>17</v>
      </c>
      <c r="G1754" s="7" t="s">
        <v>301</v>
      </c>
      <c r="H1754" s="7" t="s">
        <v>3602</v>
      </c>
      <c r="I1754" s="7" t="s">
        <v>1414</v>
      </c>
      <c r="J1754" s="7" t="s">
        <v>175</v>
      </c>
      <c r="K1754" s="7" t="s">
        <v>69</v>
      </c>
      <c r="L1754" s="8">
        <v>22</v>
      </c>
      <c r="M1754" s="7" t="s">
        <v>37</v>
      </c>
      <c r="N1754" s="8">
        <v>30</v>
      </c>
      <c r="O1754" s="8">
        <v>1</v>
      </c>
      <c r="P1754" s="5">
        <v>1833.24</v>
      </c>
      <c r="Q1754" s="4">
        <v>45600</v>
      </c>
      <c r="R1754" s="9">
        <v>0.33901620370370372</v>
      </c>
      <c r="S1754" s="8">
        <v>17</v>
      </c>
      <c r="T1754" s="7" t="s">
        <v>4456</v>
      </c>
      <c r="U1754" s="7" t="s">
        <v>4455</v>
      </c>
      <c r="V17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55" spans="1:22" x14ac:dyDescent="0.35">
      <c r="A1755" s="7" t="s">
        <v>3603</v>
      </c>
      <c r="B1755" s="7" t="s">
        <v>848</v>
      </c>
      <c r="C1755" s="5">
        <v>668.78</v>
      </c>
      <c r="D1755" s="2">
        <v>0.72574074073781958</v>
      </c>
      <c r="E1755" s="4">
        <v>45222</v>
      </c>
      <c r="F1755" s="7" t="s">
        <v>17</v>
      </c>
      <c r="G1755" s="7" t="s">
        <v>32</v>
      </c>
      <c r="H1755" s="7" t="s">
        <v>1103</v>
      </c>
      <c r="I1755" s="7" t="s">
        <v>1990</v>
      </c>
      <c r="J1755" s="7" t="s">
        <v>209</v>
      </c>
      <c r="K1755" s="7" t="s">
        <v>22</v>
      </c>
      <c r="L1755" s="8">
        <v>20</v>
      </c>
      <c r="M1755" s="7" t="s">
        <v>37</v>
      </c>
      <c r="N1755" s="8">
        <v>141</v>
      </c>
      <c r="O1755" s="8">
        <v>1</v>
      </c>
      <c r="P1755" s="5">
        <v>983.68</v>
      </c>
      <c r="Q1755" s="4">
        <v>45600</v>
      </c>
      <c r="R1755" s="9">
        <v>0.3397222222222222</v>
      </c>
      <c r="S1755" s="8">
        <v>17</v>
      </c>
      <c r="T1755" s="7" t="s">
        <v>4456</v>
      </c>
      <c r="U1755" s="7" t="s">
        <v>4455</v>
      </c>
      <c r="V17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56" spans="1:22" x14ac:dyDescent="0.35">
      <c r="A1756" s="7" t="s">
        <v>3604</v>
      </c>
      <c r="B1756" s="7" t="s">
        <v>712</v>
      </c>
      <c r="C1756" s="5">
        <v>270.54000000000002</v>
      </c>
      <c r="D1756" s="2">
        <v>0.76530092592292931</v>
      </c>
      <c r="E1756" s="4">
        <v>45019</v>
      </c>
      <c r="F1756" s="7" t="s">
        <v>46</v>
      </c>
      <c r="G1756" s="7" t="s">
        <v>285</v>
      </c>
      <c r="H1756" s="7" t="s">
        <v>1771</v>
      </c>
      <c r="I1756" s="7" t="s">
        <v>3605</v>
      </c>
      <c r="J1756" s="7" t="s">
        <v>543</v>
      </c>
      <c r="K1756" s="7" t="s">
        <v>22</v>
      </c>
      <c r="L1756" s="8">
        <v>20</v>
      </c>
      <c r="M1756" s="7" t="s">
        <v>37</v>
      </c>
      <c r="N1756" s="8">
        <v>139</v>
      </c>
      <c r="O1756" s="8">
        <v>1</v>
      </c>
      <c r="P1756" s="5">
        <v>269.77999999999997</v>
      </c>
      <c r="Q1756" s="4">
        <v>45600</v>
      </c>
      <c r="R1756" s="9">
        <v>0.34006944444444442</v>
      </c>
      <c r="S1756" s="8">
        <v>18</v>
      </c>
      <c r="T1756" s="7" t="s">
        <v>4456</v>
      </c>
      <c r="U1756" s="7" t="s">
        <v>4455</v>
      </c>
      <c r="V17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57" spans="1:22" x14ac:dyDescent="0.35">
      <c r="A1757" s="7" t="s">
        <v>3606</v>
      </c>
      <c r="B1757" s="7" t="s">
        <v>232</v>
      </c>
      <c r="C1757" s="5">
        <v>247.93</v>
      </c>
      <c r="D1757" s="2">
        <v>0.75586805555212777</v>
      </c>
      <c r="E1757" s="4">
        <v>45152</v>
      </c>
      <c r="F1757" s="7" t="s">
        <v>17</v>
      </c>
      <c r="G1757" s="7" t="s">
        <v>65</v>
      </c>
      <c r="H1757" s="7" t="s">
        <v>852</v>
      </c>
      <c r="I1757" s="7" t="s">
        <v>2862</v>
      </c>
      <c r="J1757" s="7" t="s">
        <v>740</v>
      </c>
      <c r="K1757" s="7" t="s">
        <v>69</v>
      </c>
      <c r="L1757" s="8">
        <v>37</v>
      </c>
      <c r="M1757" s="7" t="s">
        <v>77</v>
      </c>
      <c r="N1757" s="8">
        <v>79</v>
      </c>
      <c r="O1757" s="8">
        <v>1</v>
      </c>
      <c r="P1757" s="5">
        <v>9801.48</v>
      </c>
      <c r="Q1757" s="4">
        <v>45600</v>
      </c>
      <c r="R1757" s="9">
        <v>0.33986111111111111</v>
      </c>
      <c r="S1757" s="8">
        <v>18</v>
      </c>
      <c r="T1757" s="7" t="s">
        <v>4457</v>
      </c>
      <c r="U1757" s="7" t="s">
        <v>4455</v>
      </c>
      <c r="V17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58" spans="1:22" x14ac:dyDescent="0.35">
      <c r="A1758" s="7" t="s">
        <v>3607</v>
      </c>
      <c r="B1758" s="7" t="s">
        <v>16</v>
      </c>
      <c r="C1758" s="5">
        <v>34.67</v>
      </c>
      <c r="D1758" s="2">
        <v>0.69091435184964212</v>
      </c>
      <c r="E1758" s="4">
        <v>45041</v>
      </c>
      <c r="F1758" s="7" t="s">
        <v>17</v>
      </c>
      <c r="G1758" s="7" t="s">
        <v>265</v>
      </c>
      <c r="H1758" s="7" t="s">
        <v>502</v>
      </c>
      <c r="I1758" s="7" t="s">
        <v>925</v>
      </c>
      <c r="J1758" s="7" t="s">
        <v>543</v>
      </c>
      <c r="K1758" s="7" t="s">
        <v>36</v>
      </c>
      <c r="L1758" s="8">
        <v>19</v>
      </c>
      <c r="M1758" s="7" t="s">
        <v>37</v>
      </c>
      <c r="N1758" s="8">
        <v>71</v>
      </c>
      <c r="O1758" s="8">
        <v>1</v>
      </c>
      <c r="P1758" s="5">
        <v>888.6</v>
      </c>
      <c r="Q1758" s="4">
        <v>45600</v>
      </c>
      <c r="R1758" s="9">
        <v>0.34141203703703704</v>
      </c>
      <c r="S1758" s="8">
        <v>16</v>
      </c>
      <c r="T1758" s="7" t="s">
        <v>4456</v>
      </c>
      <c r="U1758" s="7" t="s">
        <v>4455</v>
      </c>
      <c r="V17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59" spans="1:22" x14ac:dyDescent="0.35">
      <c r="A1759" s="7" t="s">
        <v>3608</v>
      </c>
      <c r="B1759" s="7" t="s">
        <v>2309</v>
      </c>
      <c r="C1759" s="5">
        <v>326.02999999999997</v>
      </c>
      <c r="D1759" s="2">
        <v>0.70473379629402189</v>
      </c>
      <c r="E1759" s="4">
        <v>45055</v>
      </c>
      <c r="F1759" s="7" t="s">
        <v>46</v>
      </c>
      <c r="G1759" s="7" t="s">
        <v>203</v>
      </c>
      <c r="H1759" s="7" t="s">
        <v>329</v>
      </c>
      <c r="I1759" s="7" t="s">
        <v>3609</v>
      </c>
      <c r="J1759" s="7" t="s">
        <v>858</v>
      </c>
      <c r="K1759" s="7" t="s">
        <v>36</v>
      </c>
      <c r="L1759" s="8">
        <v>18</v>
      </c>
      <c r="M1759" s="7" t="s">
        <v>37</v>
      </c>
      <c r="N1759" s="8">
        <v>137</v>
      </c>
      <c r="O1759" s="8">
        <v>1</v>
      </c>
      <c r="P1759" s="5">
        <v>290.24</v>
      </c>
      <c r="Q1759" s="4">
        <v>45600</v>
      </c>
      <c r="R1759" s="9">
        <v>0.34150462962962963</v>
      </c>
      <c r="S1759" s="8">
        <v>16</v>
      </c>
      <c r="T1759" s="7" t="s">
        <v>4456</v>
      </c>
      <c r="U1759" s="7" t="s">
        <v>4455</v>
      </c>
      <c r="V17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60" spans="1:22" x14ac:dyDescent="0.35">
      <c r="A1760" s="7" t="s">
        <v>3610</v>
      </c>
      <c r="B1760" s="7" t="s">
        <v>1272</v>
      </c>
      <c r="C1760" s="5">
        <v>148.26</v>
      </c>
      <c r="D1760" s="2">
        <v>0.73134259258949896</v>
      </c>
      <c r="E1760" s="4">
        <v>45054</v>
      </c>
      <c r="F1760" s="7" t="s">
        <v>17</v>
      </c>
      <c r="G1760" s="7" t="s">
        <v>296</v>
      </c>
      <c r="H1760" s="7" t="s">
        <v>1935</v>
      </c>
      <c r="I1760" s="7" t="s">
        <v>1341</v>
      </c>
      <c r="J1760" s="7" t="s">
        <v>1037</v>
      </c>
      <c r="K1760" s="7" t="s">
        <v>22</v>
      </c>
      <c r="L1760" s="8">
        <v>25</v>
      </c>
      <c r="M1760" s="7" t="s">
        <v>37</v>
      </c>
      <c r="N1760" s="8">
        <v>57</v>
      </c>
      <c r="O1760" s="8">
        <v>1</v>
      </c>
      <c r="P1760" s="5">
        <v>958.7</v>
      </c>
      <c r="Q1760" s="4">
        <v>45600</v>
      </c>
      <c r="R1760" s="9">
        <v>0.34181712962962962</v>
      </c>
      <c r="S1760" s="8">
        <v>17</v>
      </c>
      <c r="T1760" s="7" t="s">
        <v>4456</v>
      </c>
      <c r="U1760" s="7" t="s">
        <v>4455</v>
      </c>
      <c r="V17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61" spans="1:22" x14ac:dyDescent="0.35">
      <c r="A1761" s="7" t="s">
        <v>3611</v>
      </c>
      <c r="B1761" s="7" t="s">
        <v>484</v>
      </c>
      <c r="C1761" s="5">
        <v>1086.5999999999999</v>
      </c>
      <c r="D1761" s="2">
        <v>0.73664351851766696</v>
      </c>
      <c r="E1761" s="4">
        <v>45068</v>
      </c>
      <c r="F1761" s="7" t="s">
        <v>17</v>
      </c>
      <c r="G1761" s="7" t="s">
        <v>18</v>
      </c>
      <c r="H1761" s="7" t="s">
        <v>448</v>
      </c>
      <c r="I1761" s="7" t="s">
        <v>1481</v>
      </c>
      <c r="J1761" s="7" t="s">
        <v>1810</v>
      </c>
      <c r="K1761" s="7" t="s">
        <v>36</v>
      </c>
      <c r="L1761" s="8">
        <v>19</v>
      </c>
      <c r="M1761" s="7" t="s">
        <v>37</v>
      </c>
      <c r="N1761" s="8">
        <v>38</v>
      </c>
      <c r="O1761" s="8">
        <v>1</v>
      </c>
      <c r="P1761" s="5">
        <v>1605.67</v>
      </c>
      <c r="Q1761" s="4">
        <v>45600</v>
      </c>
      <c r="R1761" s="9">
        <v>0.34083333333333332</v>
      </c>
      <c r="S1761" s="8">
        <v>17</v>
      </c>
      <c r="T1761" s="7" t="s">
        <v>4456</v>
      </c>
      <c r="U1761" s="7" t="s">
        <v>4455</v>
      </c>
      <c r="V17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62" spans="1:22" x14ac:dyDescent="0.35">
      <c r="A1762" s="7" t="s">
        <v>3612</v>
      </c>
      <c r="B1762" s="7" t="s">
        <v>3060</v>
      </c>
      <c r="C1762" s="5">
        <v>373.99</v>
      </c>
      <c r="D1762" s="2">
        <v>0.68564814814453712</v>
      </c>
      <c r="E1762" s="4">
        <v>45222</v>
      </c>
      <c r="F1762" s="7" t="s">
        <v>17</v>
      </c>
      <c r="G1762" s="7" t="s">
        <v>285</v>
      </c>
      <c r="H1762" s="7" t="s">
        <v>1844</v>
      </c>
      <c r="I1762" s="7" t="s">
        <v>2575</v>
      </c>
      <c r="J1762" s="7" t="s">
        <v>348</v>
      </c>
      <c r="K1762" s="7" t="s">
        <v>22</v>
      </c>
      <c r="L1762" s="8">
        <v>60</v>
      </c>
      <c r="M1762" s="7" t="s">
        <v>23</v>
      </c>
      <c r="N1762" s="8">
        <v>140</v>
      </c>
      <c r="O1762" s="8">
        <v>1</v>
      </c>
      <c r="P1762" s="5">
        <v>8590.5</v>
      </c>
      <c r="Q1762" s="4">
        <v>45600</v>
      </c>
      <c r="R1762" s="9">
        <v>0.33831018518518519</v>
      </c>
      <c r="S1762" s="8">
        <v>16</v>
      </c>
      <c r="T1762" s="7" t="s">
        <v>4454</v>
      </c>
      <c r="U1762" s="7" t="s">
        <v>4455</v>
      </c>
      <c r="V17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63" spans="1:22" x14ac:dyDescent="0.35">
      <c r="A1763" s="7" t="s">
        <v>3613</v>
      </c>
      <c r="B1763" s="7" t="s">
        <v>2376</v>
      </c>
      <c r="C1763" s="5">
        <v>254.34</v>
      </c>
      <c r="D1763" s="2">
        <v>0.71114583333110204</v>
      </c>
      <c r="E1763" s="4">
        <v>45183</v>
      </c>
      <c r="F1763" s="7" t="s">
        <v>17</v>
      </c>
      <c r="G1763" s="7" t="s">
        <v>506</v>
      </c>
      <c r="H1763" s="7" t="s">
        <v>2918</v>
      </c>
      <c r="I1763" s="7" t="s">
        <v>2314</v>
      </c>
      <c r="J1763" s="7" t="s">
        <v>820</v>
      </c>
      <c r="K1763" s="7" t="s">
        <v>36</v>
      </c>
      <c r="L1763" s="8">
        <v>49</v>
      </c>
      <c r="M1763" s="7" t="s">
        <v>77</v>
      </c>
      <c r="N1763" s="8">
        <v>79</v>
      </c>
      <c r="O1763" s="8">
        <v>1</v>
      </c>
      <c r="P1763" s="5">
        <v>5461.08</v>
      </c>
      <c r="Q1763" s="4">
        <v>45600</v>
      </c>
      <c r="R1763" s="9">
        <v>0.34104166666666669</v>
      </c>
      <c r="S1763" s="8">
        <v>17</v>
      </c>
      <c r="T1763" s="7" t="s">
        <v>4457</v>
      </c>
      <c r="U1763" s="7" t="s">
        <v>4455</v>
      </c>
      <c r="V17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64" spans="1:22" x14ac:dyDescent="0.35">
      <c r="A1764" s="7" t="s">
        <v>3614</v>
      </c>
      <c r="B1764" s="7" t="s">
        <v>2370</v>
      </c>
      <c r="C1764" s="5">
        <v>819.48</v>
      </c>
      <c r="D1764" s="2">
        <v>0.68572916666744277</v>
      </c>
      <c r="E1764" s="4">
        <v>45204</v>
      </c>
      <c r="F1764" s="7" t="s">
        <v>17</v>
      </c>
      <c r="G1764" s="7" t="s">
        <v>301</v>
      </c>
      <c r="H1764" s="7" t="s">
        <v>1162</v>
      </c>
      <c r="I1764" s="7" t="s">
        <v>1698</v>
      </c>
      <c r="J1764" s="7" t="s">
        <v>858</v>
      </c>
      <c r="K1764" s="7" t="s">
        <v>22</v>
      </c>
      <c r="L1764" s="8">
        <v>25</v>
      </c>
      <c r="M1764" s="7" t="s">
        <v>37</v>
      </c>
      <c r="N1764" s="8">
        <v>26</v>
      </c>
      <c r="O1764" s="8">
        <v>1</v>
      </c>
      <c r="P1764" s="5">
        <v>1804.5</v>
      </c>
      <c r="Q1764" s="4">
        <v>45600</v>
      </c>
      <c r="R1764" s="9">
        <v>0.33931712962962962</v>
      </c>
      <c r="S1764" s="8">
        <v>16</v>
      </c>
      <c r="T1764" s="7" t="s">
        <v>4456</v>
      </c>
      <c r="U1764" s="7" t="s">
        <v>4455</v>
      </c>
      <c r="V17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65" spans="1:22" x14ac:dyDescent="0.35">
      <c r="A1765" s="7" t="s">
        <v>3615</v>
      </c>
      <c r="B1765" s="7" t="s">
        <v>412</v>
      </c>
      <c r="C1765" s="5">
        <v>14</v>
      </c>
      <c r="D1765" s="2">
        <v>0.68385416666569654</v>
      </c>
      <c r="E1765" s="4">
        <v>45175</v>
      </c>
      <c r="F1765" s="7" t="s">
        <v>17</v>
      </c>
      <c r="G1765" s="7" t="s">
        <v>237</v>
      </c>
      <c r="H1765" s="7" t="s">
        <v>213</v>
      </c>
      <c r="I1765" s="7" t="s">
        <v>3616</v>
      </c>
      <c r="J1765" s="7" t="s">
        <v>370</v>
      </c>
      <c r="K1765" s="7" t="s">
        <v>22</v>
      </c>
      <c r="L1765" s="8">
        <v>49</v>
      </c>
      <c r="M1765" s="7" t="s">
        <v>77</v>
      </c>
      <c r="N1765" s="8">
        <v>173</v>
      </c>
      <c r="O1765" s="8">
        <v>1</v>
      </c>
      <c r="P1765" s="5">
        <v>7975.18</v>
      </c>
      <c r="Q1765" s="4">
        <v>45600</v>
      </c>
      <c r="R1765" s="9">
        <v>0.33988425925925925</v>
      </c>
      <c r="S1765" s="8">
        <v>16</v>
      </c>
      <c r="T1765" s="7" t="s">
        <v>4457</v>
      </c>
      <c r="U1765" s="7" t="s">
        <v>4455</v>
      </c>
      <c r="V17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66" spans="1:22" x14ac:dyDescent="0.35">
      <c r="A1766" s="7" t="s">
        <v>3617</v>
      </c>
      <c r="B1766" s="7" t="s">
        <v>3618</v>
      </c>
      <c r="C1766" s="5">
        <v>57.16</v>
      </c>
      <c r="D1766" s="2">
        <v>0.78168981481576338</v>
      </c>
      <c r="E1766" s="4">
        <v>45092</v>
      </c>
      <c r="F1766" s="7" t="s">
        <v>17</v>
      </c>
      <c r="G1766" s="7" t="s">
        <v>125</v>
      </c>
      <c r="H1766" s="7" t="s">
        <v>1461</v>
      </c>
      <c r="I1766" s="7" t="s">
        <v>944</v>
      </c>
      <c r="J1766" s="7" t="s">
        <v>154</v>
      </c>
      <c r="K1766" s="7" t="s">
        <v>22</v>
      </c>
      <c r="L1766" s="8">
        <v>40</v>
      </c>
      <c r="M1766" s="7" t="s">
        <v>77</v>
      </c>
      <c r="N1766" s="8">
        <v>74</v>
      </c>
      <c r="O1766" s="8">
        <v>1</v>
      </c>
      <c r="P1766" s="5">
        <v>222.22</v>
      </c>
      <c r="Q1766" s="4">
        <v>45600</v>
      </c>
      <c r="R1766" s="9">
        <v>0.3394212962962963</v>
      </c>
      <c r="S1766" s="8">
        <v>18</v>
      </c>
      <c r="T1766" s="7" t="s">
        <v>4457</v>
      </c>
      <c r="U1766" s="7" t="s">
        <v>4455</v>
      </c>
      <c r="V17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67" spans="1:22" x14ac:dyDescent="0.35">
      <c r="A1767" s="7" t="s">
        <v>3619</v>
      </c>
      <c r="B1767" s="7" t="s">
        <v>3620</v>
      </c>
      <c r="C1767" s="5">
        <v>282.26</v>
      </c>
      <c r="D1767" s="2">
        <v>0.70505787037109258</v>
      </c>
      <c r="E1767" s="4">
        <v>45103</v>
      </c>
      <c r="F1767" s="7" t="s">
        <v>17</v>
      </c>
      <c r="G1767" s="7" t="s">
        <v>92</v>
      </c>
      <c r="H1767" s="7" t="s">
        <v>2088</v>
      </c>
      <c r="I1767" s="7" t="s">
        <v>1298</v>
      </c>
      <c r="J1767" s="7" t="s">
        <v>165</v>
      </c>
      <c r="K1767" s="7" t="s">
        <v>36</v>
      </c>
      <c r="L1767" s="8">
        <v>37</v>
      </c>
      <c r="M1767" s="7" t="s">
        <v>77</v>
      </c>
      <c r="N1767" s="8">
        <v>278</v>
      </c>
      <c r="O1767" s="8">
        <v>1</v>
      </c>
      <c r="P1767" s="5">
        <v>6857.2</v>
      </c>
      <c r="Q1767" s="4">
        <v>45600</v>
      </c>
      <c r="R1767" s="9">
        <v>0.33912037037037035</v>
      </c>
      <c r="S1767" s="8">
        <v>16</v>
      </c>
      <c r="T1767" s="7" t="s">
        <v>4457</v>
      </c>
      <c r="U1767" s="7" t="s">
        <v>4455</v>
      </c>
      <c r="V17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68" spans="1:22" x14ac:dyDescent="0.35">
      <c r="A1768" s="7" t="s">
        <v>3621</v>
      </c>
      <c r="B1768" s="7" t="s">
        <v>488</v>
      </c>
      <c r="C1768" s="5">
        <v>46.96</v>
      </c>
      <c r="D1768" s="2">
        <v>0.69765046296379296</v>
      </c>
      <c r="E1768" s="4">
        <v>45107</v>
      </c>
      <c r="F1768" s="7" t="s">
        <v>17</v>
      </c>
      <c r="G1768" s="7" t="s">
        <v>146</v>
      </c>
      <c r="H1768" s="7" t="s">
        <v>1570</v>
      </c>
      <c r="I1768" s="7" t="s">
        <v>1133</v>
      </c>
      <c r="J1768" s="7" t="s">
        <v>272</v>
      </c>
      <c r="K1768" s="7" t="s">
        <v>36</v>
      </c>
      <c r="L1768" s="8">
        <v>46</v>
      </c>
      <c r="M1768" s="7" t="s">
        <v>77</v>
      </c>
      <c r="N1768" s="8">
        <v>12</v>
      </c>
      <c r="O1768" s="8">
        <v>1</v>
      </c>
      <c r="P1768" s="5">
        <v>2028.92</v>
      </c>
      <c r="Q1768" s="4">
        <v>45600</v>
      </c>
      <c r="R1768" s="9">
        <v>0.34108796296296295</v>
      </c>
      <c r="S1768" s="8">
        <v>16</v>
      </c>
      <c r="T1768" s="7" t="s">
        <v>4457</v>
      </c>
      <c r="U1768" s="7" t="s">
        <v>4455</v>
      </c>
      <c r="V17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69" spans="1:22" x14ac:dyDescent="0.35">
      <c r="A1769" s="7" t="s">
        <v>3622</v>
      </c>
      <c r="B1769" s="7" t="s">
        <v>1617</v>
      </c>
      <c r="C1769" s="5">
        <v>473.2</v>
      </c>
      <c r="D1769" s="2">
        <v>0.66813657407328719</v>
      </c>
      <c r="E1769" s="4">
        <v>45145</v>
      </c>
      <c r="F1769" s="7" t="s">
        <v>17</v>
      </c>
      <c r="G1769" s="7" t="s">
        <v>26</v>
      </c>
      <c r="H1769" s="7" t="s">
        <v>1610</v>
      </c>
      <c r="I1769" s="7" t="s">
        <v>136</v>
      </c>
      <c r="J1769" s="7" t="s">
        <v>56</v>
      </c>
      <c r="K1769" s="7" t="s">
        <v>36</v>
      </c>
      <c r="L1769" s="8">
        <v>34</v>
      </c>
      <c r="M1769" s="7" t="s">
        <v>23</v>
      </c>
      <c r="N1769" s="8">
        <v>173</v>
      </c>
      <c r="O1769" s="8">
        <v>1</v>
      </c>
      <c r="P1769" s="5">
        <v>248.52</v>
      </c>
      <c r="Q1769" s="4">
        <v>45600</v>
      </c>
      <c r="R1769" s="9">
        <v>0.34062500000000001</v>
      </c>
      <c r="S1769" s="8">
        <v>16</v>
      </c>
      <c r="T1769" s="7" t="s">
        <v>4456</v>
      </c>
      <c r="U1769" s="7" t="s">
        <v>4455</v>
      </c>
      <c r="V17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70" spans="1:22" x14ac:dyDescent="0.35">
      <c r="A1770" s="7" t="s">
        <v>3623</v>
      </c>
      <c r="B1770" s="7" t="s">
        <v>215</v>
      </c>
      <c r="C1770" s="5">
        <v>192.97</v>
      </c>
      <c r="D1770" s="2">
        <v>0.67362268518627388</v>
      </c>
      <c r="E1770" s="4">
        <v>44998</v>
      </c>
      <c r="F1770" s="7" t="s">
        <v>17</v>
      </c>
      <c r="G1770" s="7" t="s">
        <v>285</v>
      </c>
      <c r="H1770" s="7" t="s">
        <v>216</v>
      </c>
      <c r="I1770" s="7" t="s">
        <v>1725</v>
      </c>
      <c r="J1770" s="7" t="s">
        <v>634</v>
      </c>
      <c r="K1770" s="7" t="s">
        <v>22</v>
      </c>
      <c r="L1770" s="8">
        <v>59</v>
      </c>
      <c r="M1770" s="7" t="s">
        <v>70</v>
      </c>
      <c r="N1770" s="8">
        <v>140</v>
      </c>
      <c r="O1770" s="8">
        <v>1</v>
      </c>
      <c r="P1770" s="5">
        <v>3019.04</v>
      </c>
      <c r="Q1770" s="4">
        <v>45600</v>
      </c>
      <c r="R1770" s="9">
        <v>0.33789351851851851</v>
      </c>
      <c r="S1770" s="8">
        <v>16</v>
      </c>
      <c r="T1770" s="7" t="s">
        <v>4454</v>
      </c>
      <c r="U1770" s="7" t="s">
        <v>4455</v>
      </c>
      <c r="V17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71" spans="1:22" x14ac:dyDescent="0.35">
      <c r="A1771" s="7" t="s">
        <v>3624</v>
      </c>
      <c r="B1771" s="7" t="s">
        <v>993</v>
      </c>
      <c r="C1771" s="5">
        <v>168.99</v>
      </c>
      <c r="D1771" s="2">
        <v>0.77656250000291038</v>
      </c>
      <c r="E1771" s="4">
        <v>45047</v>
      </c>
      <c r="F1771" s="7" t="s">
        <v>17</v>
      </c>
      <c r="G1771" s="7" t="s">
        <v>197</v>
      </c>
      <c r="H1771" s="7" t="s">
        <v>982</v>
      </c>
      <c r="I1771" s="7" t="s">
        <v>969</v>
      </c>
      <c r="J1771" s="7" t="s">
        <v>303</v>
      </c>
      <c r="K1771" s="7" t="s">
        <v>22</v>
      </c>
      <c r="L1771" s="8">
        <v>18</v>
      </c>
      <c r="M1771" s="7" t="s">
        <v>37</v>
      </c>
      <c r="N1771" s="8">
        <v>203</v>
      </c>
      <c r="O1771" s="8">
        <v>1</v>
      </c>
      <c r="P1771" s="5">
        <v>1523.57</v>
      </c>
      <c r="Q1771" s="4">
        <v>45600</v>
      </c>
      <c r="R1771" s="9">
        <v>0.34028935185185183</v>
      </c>
      <c r="S1771" s="8">
        <v>18</v>
      </c>
      <c r="T1771" s="7" t="s">
        <v>4456</v>
      </c>
      <c r="U1771" s="7" t="s">
        <v>4455</v>
      </c>
      <c r="V17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72" spans="1:22" x14ac:dyDescent="0.35">
      <c r="A1772" s="7" t="s">
        <v>3625</v>
      </c>
      <c r="B1772" s="7" t="s">
        <v>408</v>
      </c>
      <c r="C1772" s="5">
        <v>1.82</v>
      </c>
      <c r="D1772" s="2">
        <v>0.73307870370626915</v>
      </c>
      <c r="E1772" s="4">
        <v>45029</v>
      </c>
      <c r="F1772" s="7" t="s">
        <v>17</v>
      </c>
      <c r="G1772" s="7" t="s">
        <v>212</v>
      </c>
      <c r="H1772" s="7" t="s">
        <v>955</v>
      </c>
      <c r="I1772" s="7" t="s">
        <v>3061</v>
      </c>
      <c r="J1772" s="7" t="s">
        <v>35</v>
      </c>
      <c r="K1772" s="7" t="s">
        <v>36</v>
      </c>
      <c r="L1772" s="8">
        <v>80</v>
      </c>
      <c r="M1772" s="7" t="s">
        <v>70</v>
      </c>
      <c r="N1772" s="8">
        <v>60</v>
      </c>
      <c r="O1772" s="8">
        <v>1</v>
      </c>
      <c r="P1772" s="5">
        <v>5571.39</v>
      </c>
      <c r="Q1772" s="4">
        <v>45600</v>
      </c>
      <c r="R1772" s="9">
        <v>0.33979166666666666</v>
      </c>
      <c r="S1772" s="8">
        <v>17</v>
      </c>
      <c r="T1772" s="7" t="s">
        <v>4454</v>
      </c>
      <c r="U1772" s="7" t="s">
        <v>4455</v>
      </c>
      <c r="V17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73" spans="1:22" x14ac:dyDescent="0.35">
      <c r="A1773" s="7" t="s">
        <v>3626</v>
      </c>
      <c r="B1773" s="7" t="s">
        <v>880</v>
      </c>
      <c r="C1773" s="5">
        <v>40.9</v>
      </c>
      <c r="D1773" s="2">
        <v>0.76888888888788642</v>
      </c>
      <c r="E1773" s="4">
        <v>45078</v>
      </c>
      <c r="F1773" s="7" t="s">
        <v>17</v>
      </c>
      <c r="G1773" s="7" t="s">
        <v>249</v>
      </c>
      <c r="H1773" s="7" t="s">
        <v>546</v>
      </c>
      <c r="I1773" s="7" t="s">
        <v>2974</v>
      </c>
      <c r="J1773" s="7" t="s">
        <v>1209</v>
      </c>
      <c r="K1773" s="7" t="s">
        <v>22</v>
      </c>
      <c r="L1773" s="8">
        <v>55</v>
      </c>
      <c r="M1773" s="7" t="s">
        <v>23</v>
      </c>
      <c r="N1773" s="8">
        <v>37</v>
      </c>
      <c r="O1773" s="8">
        <v>1</v>
      </c>
      <c r="P1773" s="5">
        <v>1514.34</v>
      </c>
      <c r="Q1773" s="4">
        <v>45600</v>
      </c>
      <c r="R1773" s="9">
        <v>0.34099537037037037</v>
      </c>
      <c r="S1773" s="8">
        <v>18</v>
      </c>
      <c r="T1773" s="7" t="s">
        <v>4454</v>
      </c>
      <c r="U1773" s="7" t="s">
        <v>4455</v>
      </c>
      <c r="V17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74" spans="1:22" x14ac:dyDescent="0.35">
      <c r="A1774" s="7" t="s">
        <v>3627</v>
      </c>
      <c r="B1774" s="7" t="s">
        <v>2024</v>
      </c>
      <c r="C1774" s="5">
        <v>78.91</v>
      </c>
      <c r="D1774" s="2">
        <v>0.71326388888701331</v>
      </c>
      <c r="E1774" s="4">
        <v>44986</v>
      </c>
      <c r="F1774" s="7" t="s">
        <v>17</v>
      </c>
      <c r="G1774" s="7" t="s">
        <v>285</v>
      </c>
      <c r="H1774" s="7" t="s">
        <v>2902</v>
      </c>
      <c r="I1774" s="7" t="s">
        <v>1605</v>
      </c>
      <c r="J1774" s="7" t="s">
        <v>370</v>
      </c>
      <c r="K1774" s="7" t="s">
        <v>36</v>
      </c>
      <c r="L1774" s="8">
        <v>61</v>
      </c>
      <c r="M1774" s="7" t="s">
        <v>23</v>
      </c>
      <c r="N1774" s="8">
        <v>157</v>
      </c>
      <c r="O1774" s="8">
        <v>1</v>
      </c>
      <c r="P1774" s="5">
        <v>1817.43</v>
      </c>
      <c r="Q1774" s="4">
        <v>45600</v>
      </c>
      <c r="R1774" s="9">
        <v>0.34077546296296296</v>
      </c>
      <c r="S1774" s="8">
        <v>17</v>
      </c>
      <c r="T1774" s="7" t="s">
        <v>4454</v>
      </c>
      <c r="U1774" s="7" t="s">
        <v>4455</v>
      </c>
      <c r="V17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75" spans="1:22" x14ac:dyDescent="0.35">
      <c r="A1775" s="7" t="s">
        <v>3628</v>
      </c>
      <c r="B1775" s="7" t="s">
        <v>1753</v>
      </c>
      <c r="C1775" s="5">
        <v>169.97</v>
      </c>
      <c r="D1775" s="2">
        <v>0.73143518518190831</v>
      </c>
      <c r="E1775" s="4">
        <v>45267</v>
      </c>
      <c r="F1775" s="7" t="s">
        <v>46</v>
      </c>
      <c r="G1775" s="7" t="s">
        <v>18</v>
      </c>
      <c r="H1775" s="7" t="s">
        <v>936</v>
      </c>
      <c r="I1775" s="7" t="s">
        <v>2925</v>
      </c>
      <c r="J1775" s="7" t="s">
        <v>406</v>
      </c>
      <c r="K1775" s="7" t="s">
        <v>22</v>
      </c>
      <c r="L1775" s="8">
        <v>22</v>
      </c>
      <c r="M1775" s="7" t="s">
        <v>37</v>
      </c>
      <c r="N1775" s="8">
        <v>12</v>
      </c>
      <c r="O1775" s="8">
        <v>1</v>
      </c>
      <c r="P1775" s="5">
        <v>6269.12</v>
      </c>
      <c r="Q1775" s="4">
        <v>45600</v>
      </c>
      <c r="R1775" s="9">
        <v>0.3397222222222222</v>
      </c>
      <c r="S1775" s="8">
        <v>17</v>
      </c>
      <c r="T1775" s="7" t="s">
        <v>4456</v>
      </c>
      <c r="U1775" s="7" t="s">
        <v>4455</v>
      </c>
      <c r="V17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76" spans="1:22" x14ac:dyDescent="0.35">
      <c r="A1776" s="7" t="s">
        <v>3629</v>
      </c>
      <c r="B1776" s="7" t="s">
        <v>585</v>
      </c>
      <c r="C1776" s="5">
        <v>17.79</v>
      </c>
      <c r="D1776" s="2">
        <v>0.70943287036789116</v>
      </c>
      <c r="E1776" s="4">
        <v>44979</v>
      </c>
      <c r="F1776" s="7" t="s">
        <v>17</v>
      </c>
      <c r="G1776" s="7" t="s">
        <v>392</v>
      </c>
      <c r="H1776" s="7" t="s">
        <v>2562</v>
      </c>
      <c r="I1776" s="7" t="s">
        <v>3141</v>
      </c>
      <c r="J1776" s="7" t="s">
        <v>50</v>
      </c>
      <c r="K1776" s="7" t="s">
        <v>69</v>
      </c>
      <c r="L1776" s="8">
        <v>61</v>
      </c>
      <c r="M1776" s="7" t="s">
        <v>70</v>
      </c>
      <c r="N1776" s="8">
        <v>162</v>
      </c>
      <c r="O1776" s="8">
        <v>5</v>
      </c>
      <c r="P1776" s="5">
        <v>2281.9</v>
      </c>
      <c r="Q1776" s="4">
        <v>45600</v>
      </c>
      <c r="R1776" s="9">
        <v>0.34100694444444446</v>
      </c>
      <c r="S1776" s="8">
        <v>17</v>
      </c>
      <c r="T1776" s="7" t="s">
        <v>4454</v>
      </c>
      <c r="U1776" s="7" t="s">
        <v>4458</v>
      </c>
      <c r="V17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77" spans="1:22" x14ac:dyDescent="0.35">
      <c r="A1777" s="7" t="s">
        <v>3630</v>
      </c>
      <c r="B1777" s="7" t="s">
        <v>1394</v>
      </c>
      <c r="C1777" s="5">
        <v>486.61</v>
      </c>
      <c r="D1777" s="2">
        <v>0.67880787036847323</v>
      </c>
      <c r="E1777" s="4">
        <v>45258</v>
      </c>
      <c r="F1777" s="7" t="s">
        <v>46</v>
      </c>
      <c r="G1777" s="7" t="s">
        <v>285</v>
      </c>
      <c r="H1777" s="7" t="s">
        <v>2387</v>
      </c>
      <c r="I1777" s="7" t="s">
        <v>394</v>
      </c>
      <c r="J1777" s="7" t="s">
        <v>478</v>
      </c>
      <c r="K1777" s="7" t="s">
        <v>22</v>
      </c>
      <c r="L1777" s="8">
        <v>48</v>
      </c>
      <c r="M1777" s="7" t="s">
        <v>77</v>
      </c>
      <c r="N1777" s="8">
        <v>130</v>
      </c>
      <c r="O1777" s="8">
        <v>1</v>
      </c>
      <c r="P1777" s="5">
        <v>2006.69</v>
      </c>
      <c r="Q1777" s="4">
        <v>45600</v>
      </c>
      <c r="R1777" s="9">
        <v>0.33789351851851851</v>
      </c>
      <c r="S1777" s="8">
        <v>16</v>
      </c>
      <c r="T1777" s="7" t="s">
        <v>4457</v>
      </c>
      <c r="U1777" s="7" t="s">
        <v>4455</v>
      </c>
      <c r="V17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78" spans="1:22" x14ac:dyDescent="0.35">
      <c r="A1778" s="7" t="s">
        <v>3631</v>
      </c>
      <c r="B1778" s="7" t="s">
        <v>789</v>
      </c>
      <c r="C1778" s="5">
        <v>148.13</v>
      </c>
      <c r="D1778" s="2">
        <v>0.69087962962657912</v>
      </c>
      <c r="E1778" s="4">
        <v>45002</v>
      </c>
      <c r="F1778" s="7" t="s">
        <v>17</v>
      </c>
      <c r="G1778" s="7" t="s">
        <v>425</v>
      </c>
      <c r="H1778" s="7" t="s">
        <v>1269</v>
      </c>
      <c r="I1778" s="7" t="s">
        <v>1917</v>
      </c>
      <c r="J1778" s="7" t="s">
        <v>105</v>
      </c>
      <c r="K1778" s="7" t="s">
        <v>69</v>
      </c>
      <c r="L1778" s="8">
        <v>58</v>
      </c>
      <c r="M1778" s="7" t="s">
        <v>70</v>
      </c>
      <c r="N1778" s="8">
        <v>56</v>
      </c>
      <c r="O1778" s="8">
        <v>1</v>
      </c>
      <c r="P1778" s="5">
        <v>2189.38</v>
      </c>
      <c r="Q1778" s="4">
        <v>45600</v>
      </c>
      <c r="R1778" s="9">
        <v>0.33819444444444446</v>
      </c>
      <c r="S1778" s="8">
        <v>16</v>
      </c>
      <c r="T1778" s="7" t="s">
        <v>4454</v>
      </c>
      <c r="U1778" s="7" t="s">
        <v>4455</v>
      </c>
      <c r="V17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79" spans="1:22" x14ac:dyDescent="0.35">
      <c r="A1779" s="7" t="s">
        <v>3632</v>
      </c>
      <c r="B1779" s="7" t="s">
        <v>950</v>
      </c>
      <c r="C1779" s="5">
        <v>164.52</v>
      </c>
      <c r="D1779" s="2">
        <v>0.67483796296437504</v>
      </c>
      <c r="E1779" s="4">
        <v>45285</v>
      </c>
      <c r="F1779" s="7" t="s">
        <v>17</v>
      </c>
      <c r="G1779" s="7" t="s">
        <v>323</v>
      </c>
      <c r="H1779" s="7" t="s">
        <v>1788</v>
      </c>
      <c r="I1779" s="7" t="s">
        <v>1325</v>
      </c>
      <c r="J1779" s="7" t="s">
        <v>514</v>
      </c>
      <c r="K1779" s="7" t="s">
        <v>22</v>
      </c>
      <c r="L1779" s="8">
        <v>61</v>
      </c>
      <c r="M1779" s="7" t="s">
        <v>23</v>
      </c>
      <c r="N1779" s="8">
        <v>162</v>
      </c>
      <c r="O1779" s="8">
        <v>1</v>
      </c>
      <c r="P1779" s="5">
        <v>11036.74</v>
      </c>
      <c r="Q1779" s="4">
        <v>45600</v>
      </c>
      <c r="R1779" s="9">
        <v>0.3411689814814815</v>
      </c>
      <c r="S1779" s="8">
        <v>16</v>
      </c>
      <c r="T1779" s="7" t="s">
        <v>4454</v>
      </c>
      <c r="U1779" s="7" t="s">
        <v>4455</v>
      </c>
      <c r="V17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80" spans="1:22" x14ac:dyDescent="0.35">
      <c r="A1780" s="7" t="s">
        <v>3633</v>
      </c>
      <c r="B1780" s="7" t="s">
        <v>1357</v>
      </c>
      <c r="C1780" s="5">
        <v>720.89</v>
      </c>
      <c r="D1780" s="2">
        <v>0.71583333333546761</v>
      </c>
      <c r="E1780" s="4">
        <v>45278</v>
      </c>
      <c r="F1780" s="7" t="s">
        <v>17</v>
      </c>
      <c r="G1780" s="7" t="s">
        <v>65</v>
      </c>
      <c r="H1780" s="7" t="s">
        <v>2433</v>
      </c>
      <c r="I1780" s="7" t="s">
        <v>1725</v>
      </c>
      <c r="J1780" s="7" t="s">
        <v>181</v>
      </c>
      <c r="K1780" s="7" t="s">
        <v>22</v>
      </c>
      <c r="L1780" s="8">
        <v>27</v>
      </c>
      <c r="M1780" s="7" t="s">
        <v>37</v>
      </c>
      <c r="N1780" s="8">
        <v>120</v>
      </c>
      <c r="O1780" s="8">
        <v>1</v>
      </c>
      <c r="P1780" s="5">
        <v>447.06</v>
      </c>
      <c r="Q1780" s="4">
        <v>45600</v>
      </c>
      <c r="R1780" s="9">
        <v>0.34028935185185183</v>
      </c>
      <c r="S1780" s="8">
        <v>17</v>
      </c>
      <c r="T1780" s="7" t="s">
        <v>4456</v>
      </c>
      <c r="U1780" s="7" t="s">
        <v>4455</v>
      </c>
      <c r="V17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81" spans="1:22" x14ac:dyDescent="0.35">
      <c r="A1781" s="7" t="s">
        <v>3634</v>
      </c>
      <c r="B1781" s="7" t="s">
        <v>636</v>
      </c>
      <c r="C1781" s="5">
        <v>268.7</v>
      </c>
      <c r="D1781" s="2">
        <v>0.67778935185197042</v>
      </c>
      <c r="E1781" s="4">
        <v>45202</v>
      </c>
      <c r="F1781" s="7" t="s">
        <v>17</v>
      </c>
      <c r="G1781" s="7" t="s">
        <v>178</v>
      </c>
      <c r="H1781" s="7" t="s">
        <v>2976</v>
      </c>
      <c r="I1781" s="7" t="s">
        <v>1112</v>
      </c>
      <c r="J1781" s="7" t="s">
        <v>759</v>
      </c>
      <c r="K1781" s="7" t="s">
        <v>22</v>
      </c>
      <c r="L1781" s="8">
        <v>53</v>
      </c>
      <c r="M1781" s="7" t="s">
        <v>70</v>
      </c>
      <c r="N1781" s="8">
        <v>63</v>
      </c>
      <c r="O1781" s="8">
        <v>1</v>
      </c>
      <c r="P1781" s="5">
        <v>2104.7399999999998</v>
      </c>
      <c r="Q1781" s="4">
        <v>45600</v>
      </c>
      <c r="R1781" s="9">
        <v>0.33796296296296297</v>
      </c>
      <c r="S1781" s="8">
        <v>16</v>
      </c>
      <c r="T1781" s="7" t="s">
        <v>4457</v>
      </c>
      <c r="U1781" s="7" t="s">
        <v>4455</v>
      </c>
      <c r="V17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82" spans="1:22" x14ac:dyDescent="0.35">
      <c r="A1782" s="7" t="s">
        <v>3635</v>
      </c>
      <c r="B1782" s="7" t="s">
        <v>1770</v>
      </c>
      <c r="C1782" s="5">
        <v>637.34</v>
      </c>
      <c r="D1782" s="2">
        <v>0.68035879629314877</v>
      </c>
      <c r="E1782" s="4">
        <v>45170</v>
      </c>
      <c r="F1782" s="7" t="s">
        <v>17</v>
      </c>
      <c r="G1782" s="7" t="s">
        <v>65</v>
      </c>
      <c r="H1782" s="7" t="s">
        <v>286</v>
      </c>
      <c r="I1782" s="7" t="s">
        <v>1195</v>
      </c>
      <c r="J1782" s="7" t="s">
        <v>762</v>
      </c>
      <c r="K1782" s="7" t="s">
        <v>22</v>
      </c>
      <c r="L1782" s="8">
        <v>51</v>
      </c>
      <c r="M1782" s="7" t="s">
        <v>70</v>
      </c>
      <c r="N1782" s="8">
        <v>278</v>
      </c>
      <c r="O1782" s="8">
        <v>1</v>
      </c>
      <c r="P1782" s="5">
        <v>5183.5</v>
      </c>
      <c r="Q1782" s="4">
        <v>45600</v>
      </c>
      <c r="R1782" s="9">
        <v>0.34021990740740743</v>
      </c>
      <c r="S1782" s="8">
        <v>16</v>
      </c>
      <c r="T1782" s="7" t="s">
        <v>4457</v>
      </c>
      <c r="U1782" s="7" t="s">
        <v>4455</v>
      </c>
      <c r="V17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83" spans="1:22" x14ac:dyDescent="0.35">
      <c r="A1783" s="7" t="s">
        <v>3636</v>
      </c>
      <c r="B1783" s="7" t="s">
        <v>228</v>
      </c>
      <c r="C1783" s="5">
        <v>216.76</v>
      </c>
      <c r="D1783" s="2">
        <v>0.726701388892252</v>
      </c>
      <c r="E1783" s="4">
        <v>45239</v>
      </c>
      <c r="F1783" s="7" t="s">
        <v>46</v>
      </c>
      <c r="G1783" s="7" t="s">
        <v>296</v>
      </c>
      <c r="H1783" s="7" t="s">
        <v>426</v>
      </c>
      <c r="I1783" s="7" t="s">
        <v>878</v>
      </c>
      <c r="J1783" s="7" t="s">
        <v>450</v>
      </c>
      <c r="K1783" s="7" t="s">
        <v>36</v>
      </c>
      <c r="L1783" s="8">
        <v>47</v>
      </c>
      <c r="M1783" s="7" t="s">
        <v>77</v>
      </c>
      <c r="N1783" s="8">
        <v>138</v>
      </c>
      <c r="O1783" s="8">
        <v>1</v>
      </c>
      <c r="P1783" s="5">
        <v>643.64</v>
      </c>
      <c r="Q1783" s="4">
        <v>45600</v>
      </c>
      <c r="R1783" s="9">
        <v>0.33998842592592593</v>
      </c>
      <c r="S1783" s="8">
        <v>17</v>
      </c>
      <c r="T1783" s="7" t="s">
        <v>4457</v>
      </c>
      <c r="U1783" s="7" t="s">
        <v>4455</v>
      </c>
      <c r="V17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84" spans="1:22" x14ac:dyDescent="0.35">
      <c r="A1784" s="7" t="s">
        <v>3637</v>
      </c>
      <c r="B1784" s="7" t="s">
        <v>1617</v>
      </c>
      <c r="C1784" s="5">
        <v>418.02</v>
      </c>
      <c r="D1784" s="2">
        <v>0.74773148148233304</v>
      </c>
      <c r="E1784" s="4">
        <v>45083</v>
      </c>
      <c r="F1784" s="7" t="s">
        <v>17</v>
      </c>
      <c r="G1784" s="7" t="s">
        <v>140</v>
      </c>
      <c r="H1784" s="7" t="s">
        <v>645</v>
      </c>
      <c r="I1784" s="7" t="s">
        <v>2120</v>
      </c>
      <c r="J1784" s="7" t="s">
        <v>111</v>
      </c>
      <c r="K1784" s="7" t="s">
        <v>22</v>
      </c>
      <c r="L1784" s="8">
        <v>46</v>
      </c>
      <c r="M1784" s="7" t="s">
        <v>23</v>
      </c>
      <c r="N1784" s="8">
        <v>110</v>
      </c>
      <c r="O1784" s="8">
        <v>1</v>
      </c>
      <c r="P1784" s="5">
        <v>11011.86</v>
      </c>
      <c r="Q1784" s="4">
        <v>45600</v>
      </c>
      <c r="R1784" s="9">
        <v>0.33788194444444447</v>
      </c>
      <c r="S1784" s="8">
        <v>17</v>
      </c>
      <c r="T1784" s="7" t="s">
        <v>4457</v>
      </c>
      <c r="U1784" s="7" t="s">
        <v>4455</v>
      </c>
      <c r="V17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85" spans="1:22" x14ac:dyDescent="0.35">
      <c r="A1785" s="7" t="s">
        <v>3638</v>
      </c>
      <c r="B1785" s="7" t="s">
        <v>722</v>
      </c>
      <c r="C1785" s="5">
        <v>292.02999999999997</v>
      </c>
      <c r="D1785" s="2">
        <v>0.68078703703940846</v>
      </c>
      <c r="E1785" s="4">
        <v>45173</v>
      </c>
      <c r="F1785" s="7" t="s">
        <v>46</v>
      </c>
      <c r="G1785" s="7" t="s">
        <v>92</v>
      </c>
      <c r="H1785" s="7" t="s">
        <v>2883</v>
      </c>
      <c r="I1785" s="7" t="s">
        <v>440</v>
      </c>
      <c r="J1785" s="7" t="s">
        <v>1345</v>
      </c>
      <c r="K1785" s="7" t="s">
        <v>22</v>
      </c>
      <c r="L1785" s="8">
        <v>46</v>
      </c>
      <c r="M1785" s="7" t="s">
        <v>77</v>
      </c>
      <c r="N1785" s="8">
        <v>154</v>
      </c>
      <c r="O1785" s="8">
        <v>1</v>
      </c>
      <c r="P1785" s="5">
        <v>951.33</v>
      </c>
      <c r="Q1785" s="4">
        <v>45600</v>
      </c>
      <c r="R1785" s="9">
        <v>0.33832175925925928</v>
      </c>
      <c r="S1785" s="8">
        <v>16</v>
      </c>
      <c r="T1785" s="7" t="s">
        <v>4457</v>
      </c>
      <c r="U1785" s="7" t="s">
        <v>4455</v>
      </c>
      <c r="V17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86" spans="1:22" x14ac:dyDescent="0.35">
      <c r="A1786" s="7" t="s">
        <v>3639</v>
      </c>
      <c r="B1786" s="7" t="s">
        <v>1814</v>
      </c>
      <c r="C1786" s="5">
        <v>251.4</v>
      </c>
      <c r="D1786" s="2">
        <v>0.70288194444583496</v>
      </c>
      <c r="E1786" s="4">
        <v>45112</v>
      </c>
      <c r="F1786" s="7" t="s">
        <v>17</v>
      </c>
      <c r="G1786" s="7" t="s">
        <v>255</v>
      </c>
      <c r="H1786" s="7" t="s">
        <v>2809</v>
      </c>
      <c r="I1786" s="7" t="s">
        <v>1399</v>
      </c>
      <c r="J1786" s="7" t="s">
        <v>282</v>
      </c>
      <c r="K1786" s="7" t="s">
        <v>22</v>
      </c>
      <c r="L1786" s="8">
        <v>57</v>
      </c>
      <c r="M1786" s="7" t="s">
        <v>70</v>
      </c>
      <c r="N1786" s="8">
        <v>178</v>
      </c>
      <c r="O1786" s="8">
        <v>1</v>
      </c>
      <c r="P1786" s="5">
        <v>2561.67</v>
      </c>
      <c r="Q1786" s="4">
        <v>45600</v>
      </c>
      <c r="R1786" s="9">
        <v>0.34100694444444446</v>
      </c>
      <c r="S1786" s="8">
        <v>16</v>
      </c>
      <c r="T1786" s="7" t="s">
        <v>4454</v>
      </c>
      <c r="U1786" s="7" t="s">
        <v>4455</v>
      </c>
      <c r="V17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87" spans="1:22" x14ac:dyDescent="0.35">
      <c r="A1787" s="7" t="s">
        <v>3640</v>
      </c>
      <c r="B1787" s="7" t="s">
        <v>1401</v>
      </c>
      <c r="C1787" s="5">
        <v>184.56</v>
      </c>
      <c r="D1787" s="2">
        <v>0.671944444446126</v>
      </c>
      <c r="E1787" s="4">
        <v>45260</v>
      </c>
      <c r="F1787" s="7" t="s">
        <v>17</v>
      </c>
      <c r="G1787" s="7" t="s">
        <v>301</v>
      </c>
      <c r="H1787" s="7" t="s">
        <v>586</v>
      </c>
      <c r="I1787" s="7" t="s">
        <v>2065</v>
      </c>
      <c r="J1787" s="7" t="s">
        <v>707</v>
      </c>
      <c r="K1787" s="7" t="s">
        <v>36</v>
      </c>
      <c r="L1787" s="8">
        <v>21</v>
      </c>
      <c r="M1787" s="7" t="s">
        <v>37</v>
      </c>
      <c r="N1787" s="8">
        <v>93</v>
      </c>
      <c r="O1787" s="8">
        <v>1</v>
      </c>
      <c r="P1787" s="5">
        <v>1549.27</v>
      </c>
      <c r="Q1787" s="4">
        <v>45600</v>
      </c>
      <c r="R1787" s="9">
        <v>0.33797453703703706</v>
      </c>
      <c r="S1787" s="8">
        <v>16</v>
      </c>
      <c r="T1787" s="7" t="s">
        <v>4456</v>
      </c>
      <c r="U1787" s="7" t="s">
        <v>4455</v>
      </c>
      <c r="V17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88" spans="1:22" x14ac:dyDescent="0.35">
      <c r="A1788" s="7" t="s">
        <v>3641</v>
      </c>
      <c r="B1788" s="7" t="s">
        <v>3238</v>
      </c>
      <c r="C1788" s="5">
        <v>33.76</v>
      </c>
      <c r="D1788" s="2">
        <v>0.73570601851679385</v>
      </c>
      <c r="E1788" s="4">
        <v>44942</v>
      </c>
      <c r="F1788" s="7" t="s">
        <v>17</v>
      </c>
      <c r="G1788" s="7" t="s">
        <v>59</v>
      </c>
      <c r="H1788" s="7" t="s">
        <v>324</v>
      </c>
      <c r="I1788" s="7" t="s">
        <v>1667</v>
      </c>
      <c r="J1788" s="7" t="s">
        <v>1209</v>
      </c>
      <c r="K1788" s="7" t="s">
        <v>36</v>
      </c>
      <c r="L1788" s="8">
        <v>26</v>
      </c>
      <c r="M1788" s="7" t="s">
        <v>77</v>
      </c>
      <c r="N1788" s="8">
        <v>227</v>
      </c>
      <c r="O1788" s="8">
        <v>1</v>
      </c>
      <c r="P1788" s="5">
        <v>3253.51</v>
      </c>
      <c r="Q1788" s="4">
        <v>45600</v>
      </c>
      <c r="R1788" s="9">
        <v>0.33944444444444444</v>
      </c>
      <c r="S1788" s="8">
        <v>17</v>
      </c>
      <c r="T1788" s="7" t="s">
        <v>4456</v>
      </c>
      <c r="U1788" s="7" t="s">
        <v>4455</v>
      </c>
      <c r="V17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89" spans="1:22" x14ac:dyDescent="0.35">
      <c r="A1789" s="7" t="s">
        <v>3642</v>
      </c>
      <c r="B1789" s="7" t="s">
        <v>364</v>
      </c>
      <c r="C1789" s="5">
        <v>253.46</v>
      </c>
      <c r="D1789" s="2">
        <v>0.68582175925985212</v>
      </c>
      <c r="E1789" s="4">
        <v>45068</v>
      </c>
      <c r="F1789" s="7" t="s">
        <v>17</v>
      </c>
      <c r="G1789" s="7" t="s">
        <v>92</v>
      </c>
      <c r="H1789" s="7" t="s">
        <v>2654</v>
      </c>
      <c r="I1789" s="7" t="s">
        <v>455</v>
      </c>
      <c r="J1789" s="7" t="s">
        <v>246</v>
      </c>
      <c r="K1789" s="7" t="s">
        <v>22</v>
      </c>
      <c r="L1789" s="8">
        <v>45</v>
      </c>
      <c r="M1789" s="7" t="s">
        <v>77</v>
      </c>
      <c r="N1789" s="8">
        <v>60</v>
      </c>
      <c r="O1789" s="8">
        <v>1</v>
      </c>
      <c r="P1789" s="5">
        <v>1338.95</v>
      </c>
      <c r="Q1789" s="4">
        <v>45600</v>
      </c>
      <c r="R1789" s="9">
        <v>0.33832175925925928</v>
      </c>
      <c r="S1789" s="8">
        <v>16</v>
      </c>
      <c r="T1789" s="7" t="s">
        <v>4457</v>
      </c>
      <c r="U1789" s="7" t="s">
        <v>4455</v>
      </c>
      <c r="V17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90" spans="1:22" x14ac:dyDescent="0.35">
      <c r="A1790" s="7" t="s">
        <v>3643</v>
      </c>
      <c r="B1790" s="7" t="s">
        <v>1069</v>
      </c>
      <c r="C1790" s="5">
        <v>1612.37</v>
      </c>
      <c r="D1790" s="2">
        <v>0.74042824074422242</v>
      </c>
      <c r="E1790" s="4">
        <v>45131</v>
      </c>
      <c r="F1790" s="7" t="s">
        <v>17</v>
      </c>
      <c r="G1790" s="7" t="s">
        <v>140</v>
      </c>
      <c r="H1790" s="7" t="s">
        <v>1993</v>
      </c>
      <c r="I1790" s="7" t="s">
        <v>1669</v>
      </c>
      <c r="J1790" s="7" t="s">
        <v>303</v>
      </c>
      <c r="K1790" s="7" t="s">
        <v>22</v>
      </c>
      <c r="L1790" s="8">
        <v>65</v>
      </c>
      <c r="M1790" s="7" t="s">
        <v>70</v>
      </c>
      <c r="N1790" s="8">
        <v>173</v>
      </c>
      <c r="O1790" s="8">
        <v>1</v>
      </c>
      <c r="P1790" s="5">
        <v>3910.59</v>
      </c>
      <c r="Q1790" s="4">
        <v>45600</v>
      </c>
      <c r="R1790" s="9">
        <v>0.33913194444444444</v>
      </c>
      <c r="S1790" s="8">
        <v>17</v>
      </c>
      <c r="T1790" s="7" t="s">
        <v>4454</v>
      </c>
      <c r="U1790" s="7" t="s">
        <v>4455</v>
      </c>
      <c r="V17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91" spans="1:22" x14ac:dyDescent="0.35">
      <c r="A1791" s="7" t="s">
        <v>3644</v>
      </c>
      <c r="B1791" s="7" t="s">
        <v>314</v>
      </c>
      <c r="C1791" s="5">
        <v>138.68</v>
      </c>
      <c r="D1791" s="2">
        <v>0.67111111111444188</v>
      </c>
      <c r="E1791" s="4">
        <v>45091</v>
      </c>
      <c r="F1791" s="7" t="s">
        <v>46</v>
      </c>
      <c r="G1791" s="7" t="s">
        <v>521</v>
      </c>
      <c r="H1791" s="7" t="s">
        <v>3645</v>
      </c>
      <c r="I1791" s="7" t="s">
        <v>230</v>
      </c>
      <c r="J1791" s="7" t="s">
        <v>43</v>
      </c>
      <c r="K1791" s="7" t="s">
        <v>69</v>
      </c>
      <c r="L1791" s="8">
        <v>22</v>
      </c>
      <c r="M1791" s="7" t="s">
        <v>37</v>
      </c>
      <c r="N1791" s="8">
        <v>44</v>
      </c>
      <c r="O1791" s="8">
        <v>1</v>
      </c>
      <c r="P1791" s="5">
        <v>206.2</v>
      </c>
      <c r="Q1791" s="4">
        <v>45600</v>
      </c>
      <c r="R1791" s="9">
        <v>0.33934027777777775</v>
      </c>
      <c r="S1791" s="8">
        <v>16</v>
      </c>
      <c r="T1791" s="7" t="s">
        <v>4456</v>
      </c>
      <c r="U1791" s="7" t="s">
        <v>4455</v>
      </c>
      <c r="V17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92" spans="1:22" x14ac:dyDescent="0.35">
      <c r="A1792" s="7" t="s">
        <v>3646</v>
      </c>
      <c r="B1792" s="7" t="s">
        <v>1123</v>
      </c>
      <c r="C1792" s="5">
        <v>42.56</v>
      </c>
      <c r="D1792" s="2">
        <v>0.68446759258949896</v>
      </c>
      <c r="E1792" s="4">
        <v>45138</v>
      </c>
      <c r="F1792" s="7" t="s">
        <v>17</v>
      </c>
      <c r="G1792" s="7" t="s">
        <v>558</v>
      </c>
      <c r="H1792" s="7" t="s">
        <v>2295</v>
      </c>
      <c r="I1792" s="7" t="s">
        <v>933</v>
      </c>
      <c r="J1792" s="7" t="s">
        <v>353</v>
      </c>
      <c r="K1792" s="7" t="s">
        <v>36</v>
      </c>
      <c r="L1792" s="8">
        <v>18</v>
      </c>
      <c r="M1792" s="7" t="s">
        <v>37</v>
      </c>
      <c r="N1792" s="8">
        <v>146</v>
      </c>
      <c r="O1792" s="8">
        <v>1</v>
      </c>
      <c r="P1792" s="5">
        <v>4361.4399999999996</v>
      </c>
      <c r="Q1792" s="4">
        <v>45600</v>
      </c>
      <c r="R1792" s="9">
        <v>0.33833333333333332</v>
      </c>
      <c r="S1792" s="8">
        <v>16</v>
      </c>
      <c r="T1792" s="7" t="s">
        <v>4456</v>
      </c>
      <c r="U1792" s="7" t="s">
        <v>4455</v>
      </c>
      <c r="V17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93" spans="1:22" x14ac:dyDescent="0.35">
      <c r="A1793" s="7" t="s">
        <v>3647</v>
      </c>
      <c r="B1793" s="7" t="s">
        <v>843</v>
      </c>
      <c r="C1793" s="5">
        <v>680.76</v>
      </c>
      <c r="D1793" s="2">
        <v>0.69353009259066312</v>
      </c>
      <c r="E1793" s="4">
        <v>44984</v>
      </c>
      <c r="F1793" s="7" t="s">
        <v>17</v>
      </c>
      <c r="G1793" s="7" t="s">
        <v>291</v>
      </c>
      <c r="H1793" s="7" t="s">
        <v>2461</v>
      </c>
      <c r="I1793" s="7" t="s">
        <v>251</v>
      </c>
      <c r="J1793" s="7" t="s">
        <v>1349</v>
      </c>
      <c r="K1793" s="7" t="s">
        <v>69</v>
      </c>
      <c r="L1793" s="8">
        <v>21</v>
      </c>
      <c r="M1793" s="7" t="s">
        <v>37</v>
      </c>
      <c r="N1793" s="8">
        <v>165</v>
      </c>
      <c r="O1793" s="8">
        <v>1</v>
      </c>
      <c r="P1793" s="5">
        <v>572.97</v>
      </c>
      <c r="Q1793" s="4">
        <v>45600</v>
      </c>
      <c r="R1793" s="9">
        <v>0.33962962962962961</v>
      </c>
      <c r="S1793" s="8">
        <v>16</v>
      </c>
      <c r="T1793" s="7" t="s">
        <v>4456</v>
      </c>
      <c r="U1793" s="7" t="s">
        <v>4455</v>
      </c>
      <c r="V17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94" spans="1:22" x14ac:dyDescent="0.35">
      <c r="A1794" s="7" t="s">
        <v>3648</v>
      </c>
      <c r="B1794" s="7" t="s">
        <v>1088</v>
      </c>
      <c r="C1794" s="5">
        <v>53.83</v>
      </c>
      <c r="D1794" s="2">
        <v>0.72299768518860219</v>
      </c>
      <c r="E1794" s="4">
        <v>45077</v>
      </c>
      <c r="F1794" s="7" t="s">
        <v>17</v>
      </c>
      <c r="G1794" s="7" t="s">
        <v>197</v>
      </c>
      <c r="H1794" s="7" t="s">
        <v>2278</v>
      </c>
      <c r="I1794" s="7" t="s">
        <v>3004</v>
      </c>
      <c r="J1794" s="7" t="s">
        <v>619</v>
      </c>
      <c r="K1794" s="7" t="s">
        <v>69</v>
      </c>
      <c r="L1794" s="8">
        <v>70</v>
      </c>
      <c r="M1794" s="7" t="s">
        <v>70</v>
      </c>
      <c r="N1794" s="8">
        <v>131</v>
      </c>
      <c r="O1794" s="8">
        <v>1</v>
      </c>
      <c r="P1794" s="5">
        <v>4580.59</v>
      </c>
      <c r="Q1794" s="4">
        <v>45600</v>
      </c>
      <c r="R1794" s="9">
        <v>0.34149305555555554</v>
      </c>
      <c r="S1794" s="8">
        <v>17</v>
      </c>
      <c r="T1794" s="7" t="s">
        <v>4454</v>
      </c>
      <c r="U1794" s="7" t="s">
        <v>4455</v>
      </c>
      <c r="V17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95" spans="1:22" x14ac:dyDescent="0.35">
      <c r="A1795" s="7" t="s">
        <v>3649</v>
      </c>
      <c r="B1795" s="7" t="s">
        <v>2097</v>
      </c>
      <c r="C1795" s="5">
        <v>11.09</v>
      </c>
      <c r="D1795" s="2">
        <v>0.70462962963210884</v>
      </c>
      <c r="E1795" s="4">
        <v>45230</v>
      </c>
      <c r="F1795" s="7" t="s">
        <v>17</v>
      </c>
      <c r="G1795" s="7" t="s">
        <v>249</v>
      </c>
      <c r="H1795" s="7" t="s">
        <v>1486</v>
      </c>
      <c r="I1795" s="7" t="s">
        <v>2104</v>
      </c>
      <c r="J1795" s="7" t="s">
        <v>209</v>
      </c>
      <c r="K1795" s="7" t="s">
        <v>69</v>
      </c>
      <c r="L1795" s="8">
        <v>51</v>
      </c>
      <c r="M1795" s="7" t="s">
        <v>77</v>
      </c>
      <c r="N1795" s="8">
        <v>95</v>
      </c>
      <c r="O1795" s="8">
        <v>1</v>
      </c>
      <c r="P1795" s="5">
        <v>2990.05</v>
      </c>
      <c r="Q1795" s="4">
        <v>45600</v>
      </c>
      <c r="R1795" s="9">
        <v>0.34052083333333333</v>
      </c>
      <c r="S1795" s="8">
        <v>16</v>
      </c>
      <c r="T1795" s="7" t="s">
        <v>4457</v>
      </c>
      <c r="U1795" s="7" t="s">
        <v>4455</v>
      </c>
      <c r="V17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96" spans="1:22" x14ac:dyDescent="0.35">
      <c r="A1796" s="7" t="s">
        <v>3650</v>
      </c>
      <c r="B1796" s="7" t="s">
        <v>1488</v>
      </c>
      <c r="C1796" s="5">
        <v>37.81</v>
      </c>
      <c r="D1796" s="2">
        <v>0.69761574074072996</v>
      </c>
      <c r="E1796" s="4">
        <v>45131</v>
      </c>
      <c r="F1796" s="7" t="s">
        <v>17</v>
      </c>
      <c r="G1796" s="7" t="s">
        <v>521</v>
      </c>
      <c r="H1796" s="7" t="s">
        <v>404</v>
      </c>
      <c r="I1796" s="7" t="s">
        <v>121</v>
      </c>
      <c r="J1796" s="7" t="s">
        <v>226</v>
      </c>
      <c r="K1796" s="7" t="s">
        <v>69</v>
      </c>
      <c r="L1796" s="8">
        <v>63</v>
      </c>
      <c r="M1796" s="7" t="s">
        <v>70</v>
      </c>
      <c r="N1796" s="8">
        <v>195</v>
      </c>
      <c r="O1796" s="8">
        <v>1</v>
      </c>
      <c r="P1796" s="5">
        <v>5208.9799999999996</v>
      </c>
      <c r="Q1796" s="4">
        <v>45600</v>
      </c>
      <c r="R1796" s="9">
        <v>0.34104166666666669</v>
      </c>
      <c r="S1796" s="8">
        <v>16</v>
      </c>
      <c r="T1796" s="7" t="s">
        <v>4454</v>
      </c>
      <c r="U1796" s="7" t="s">
        <v>4455</v>
      </c>
      <c r="V17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97" spans="1:22" x14ac:dyDescent="0.35">
      <c r="A1797" s="7" t="s">
        <v>3651</v>
      </c>
      <c r="B1797" s="7" t="s">
        <v>1682</v>
      </c>
      <c r="C1797" s="5">
        <v>449.18</v>
      </c>
      <c r="D1797" s="2">
        <v>0.70953703703708015</v>
      </c>
      <c r="E1797" s="4">
        <v>45285</v>
      </c>
      <c r="F1797" s="7" t="s">
        <v>17</v>
      </c>
      <c r="G1797" s="7" t="s">
        <v>114</v>
      </c>
      <c r="H1797" s="7" t="s">
        <v>3652</v>
      </c>
      <c r="I1797" s="7" t="s">
        <v>1188</v>
      </c>
      <c r="J1797" s="7" t="s">
        <v>598</v>
      </c>
      <c r="K1797" s="7" t="s">
        <v>36</v>
      </c>
      <c r="L1797" s="8">
        <v>67</v>
      </c>
      <c r="M1797" s="7" t="s">
        <v>70</v>
      </c>
      <c r="N1797" s="8">
        <v>50</v>
      </c>
      <c r="O1797" s="8">
        <v>1</v>
      </c>
      <c r="P1797" s="5">
        <v>1025.99</v>
      </c>
      <c r="Q1797" s="4">
        <v>45600</v>
      </c>
      <c r="R1797" s="9">
        <v>0.33984953703703702</v>
      </c>
      <c r="S1797" s="8">
        <v>17</v>
      </c>
      <c r="T1797" s="7" t="s">
        <v>4454</v>
      </c>
      <c r="U1797" s="7" t="s">
        <v>4455</v>
      </c>
      <c r="V17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798" spans="1:22" x14ac:dyDescent="0.35">
      <c r="A1798" s="7" t="s">
        <v>3653</v>
      </c>
      <c r="B1798" s="7" t="s">
        <v>3654</v>
      </c>
      <c r="C1798" s="5">
        <v>1135.8</v>
      </c>
      <c r="D1798" s="2">
        <v>0.66892361111240461</v>
      </c>
      <c r="E1798" s="4">
        <v>45175</v>
      </c>
      <c r="F1798" s="7" t="s">
        <v>17</v>
      </c>
      <c r="G1798" s="7" t="s">
        <v>18</v>
      </c>
      <c r="H1798" s="7" t="s">
        <v>966</v>
      </c>
      <c r="I1798" s="7" t="s">
        <v>449</v>
      </c>
      <c r="J1798" s="7" t="s">
        <v>432</v>
      </c>
      <c r="K1798" s="7" t="s">
        <v>22</v>
      </c>
      <c r="L1798" s="8">
        <v>30</v>
      </c>
      <c r="M1798" s="7" t="s">
        <v>23</v>
      </c>
      <c r="N1798" s="8">
        <v>250</v>
      </c>
      <c r="O1798" s="8">
        <v>1</v>
      </c>
      <c r="P1798" s="5">
        <v>13534.3</v>
      </c>
      <c r="Q1798" s="4">
        <v>45600</v>
      </c>
      <c r="R1798" s="9">
        <v>0.33835648148148151</v>
      </c>
      <c r="S1798" s="8">
        <v>16</v>
      </c>
      <c r="T1798" s="7" t="s">
        <v>4456</v>
      </c>
      <c r="U1798" s="7" t="s">
        <v>4455</v>
      </c>
      <c r="V17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799" spans="1:22" x14ac:dyDescent="0.35">
      <c r="A1799" s="7" t="s">
        <v>3655</v>
      </c>
      <c r="B1799" s="7" t="s">
        <v>124</v>
      </c>
      <c r="C1799" s="5">
        <v>297.60000000000002</v>
      </c>
      <c r="D1799" s="2">
        <v>0.70056712962832535</v>
      </c>
      <c r="E1799" s="4">
        <v>45202</v>
      </c>
      <c r="F1799" s="7" t="s">
        <v>17</v>
      </c>
      <c r="G1799" s="7" t="s">
        <v>178</v>
      </c>
      <c r="H1799" s="7" t="s">
        <v>2916</v>
      </c>
      <c r="I1799" s="7" t="s">
        <v>874</v>
      </c>
      <c r="J1799" s="7" t="s">
        <v>514</v>
      </c>
      <c r="K1799" s="7" t="s">
        <v>36</v>
      </c>
      <c r="L1799" s="8">
        <v>39</v>
      </c>
      <c r="M1799" s="7" t="s">
        <v>23</v>
      </c>
      <c r="N1799" s="8">
        <v>162</v>
      </c>
      <c r="O1799" s="8">
        <v>1</v>
      </c>
      <c r="P1799" s="5">
        <v>1461.17</v>
      </c>
      <c r="Q1799" s="4">
        <v>45600</v>
      </c>
      <c r="R1799" s="9">
        <v>0.34015046296296297</v>
      </c>
      <c r="S1799" s="8">
        <v>16</v>
      </c>
      <c r="T1799" s="7" t="s">
        <v>4457</v>
      </c>
      <c r="U1799" s="7" t="s">
        <v>4455</v>
      </c>
      <c r="V17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00" spans="1:22" x14ac:dyDescent="0.35">
      <c r="A1800" s="7" t="s">
        <v>3656</v>
      </c>
      <c r="B1800" s="7" t="s">
        <v>1217</v>
      </c>
      <c r="C1800" s="5">
        <v>683.75</v>
      </c>
      <c r="D1800" s="2">
        <v>0.78924768518481869</v>
      </c>
      <c r="E1800" s="4">
        <v>44977</v>
      </c>
      <c r="F1800" s="7" t="s">
        <v>17</v>
      </c>
      <c r="G1800" s="7" t="s">
        <v>146</v>
      </c>
      <c r="H1800" s="7" t="s">
        <v>1297</v>
      </c>
      <c r="I1800" s="7" t="s">
        <v>2298</v>
      </c>
      <c r="J1800" s="7" t="s">
        <v>89</v>
      </c>
      <c r="K1800" s="7" t="s">
        <v>69</v>
      </c>
      <c r="L1800" s="8">
        <v>32</v>
      </c>
      <c r="M1800" s="7" t="s">
        <v>23</v>
      </c>
      <c r="N1800" s="8">
        <v>106</v>
      </c>
      <c r="O1800" s="8">
        <v>1</v>
      </c>
      <c r="P1800" s="5">
        <v>6333.72</v>
      </c>
      <c r="Q1800" s="4">
        <v>45600</v>
      </c>
      <c r="R1800" s="9">
        <v>0.33875</v>
      </c>
      <c r="S1800" s="8">
        <v>18</v>
      </c>
      <c r="T1800" s="7" t="s">
        <v>4456</v>
      </c>
      <c r="U1800" s="7" t="s">
        <v>4455</v>
      </c>
      <c r="V18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01" spans="1:22" x14ac:dyDescent="0.35">
      <c r="A1801" s="7" t="s">
        <v>3657</v>
      </c>
      <c r="B1801" s="7" t="s">
        <v>2978</v>
      </c>
      <c r="C1801" s="5">
        <v>21.4</v>
      </c>
      <c r="D1801" s="2">
        <v>0.67638888888905058</v>
      </c>
      <c r="E1801" s="4">
        <v>44970</v>
      </c>
      <c r="F1801" s="7" t="s">
        <v>46</v>
      </c>
      <c r="G1801" s="7" t="s">
        <v>291</v>
      </c>
      <c r="H1801" s="7" t="s">
        <v>2571</v>
      </c>
      <c r="I1801" s="7" t="s">
        <v>2510</v>
      </c>
      <c r="J1801" s="7" t="s">
        <v>35</v>
      </c>
      <c r="K1801" s="7" t="s">
        <v>36</v>
      </c>
      <c r="L1801" s="8">
        <v>48</v>
      </c>
      <c r="M1801" s="7" t="s">
        <v>77</v>
      </c>
      <c r="N1801" s="8">
        <v>129</v>
      </c>
      <c r="O1801" s="8">
        <v>1</v>
      </c>
      <c r="P1801" s="5">
        <v>8551.6</v>
      </c>
      <c r="Q1801" s="4">
        <v>45600</v>
      </c>
      <c r="R1801" s="9">
        <v>0.34190972222222221</v>
      </c>
      <c r="S1801" s="8">
        <v>16</v>
      </c>
      <c r="T1801" s="7" t="s">
        <v>4457</v>
      </c>
      <c r="U1801" s="7" t="s">
        <v>4455</v>
      </c>
      <c r="V18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02" spans="1:22" x14ac:dyDescent="0.35">
      <c r="A1802" s="7" t="s">
        <v>3658</v>
      </c>
      <c r="B1802" s="7" t="s">
        <v>2637</v>
      </c>
      <c r="C1802" s="5">
        <v>315.94</v>
      </c>
      <c r="D1802" s="2">
        <v>0.76616898148495238</v>
      </c>
      <c r="E1802" s="4">
        <v>45198</v>
      </c>
      <c r="F1802" s="7" t="s">
        <v>17</v>
      </c>
      <c r="G1802" s="7" t="s">
        <v>296</v>
      </c>
      <c r="H1802" s="7" t="s">
        <v>1971</v>
      </c>
      <c r="I1802" s="7" t="s">
        <v>1676</v>
      </c>
      <c r="J1802" s="7" t="s">
        <v>186</v>
      </c>
      <c r="K1802" s="7" t="s">
        <v>22</v>
      </c>
      <c r="L1802" s="8">
        <v>78</v>
      </c>
      <c r="M1802" s="7" t="s">
        <v>70</v>
      </c>
      <c r="N1802" s="8">
        <v>93</v>
      </c>
      <c r="O1802" s="8">
        <v>1</v>
      </c>
      <c r="P1802" s="5">
        <v>4273.99</v>
      </c>
      <c r="Q1802" s="4">
        <v>45600</v>
      </c>
      <c r="R1802" s="9">
        <v>0.33782407407407405</v>
      </c>
      <c r="S1802" s="8">
        <v>18</v>
      </c>
      <c r="T1802" s="7" t="s">
        <v>4454</v>
      </c>
      <c r="U1802" s="7" t="s">
        <v>4455</v>
      </c>
      <c r="V18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03" spans="1:22" x14ac:dyDescent="0.35">
      <c r="A1803" s="7" t="s">
        <v>3659</v>
      </c>
      <c r="B1803" s="7" t="s">
        <v>505</v>
      </c>
      <c r="C1803" s="5">
        <v>331.32</v>
      </c>
      <c r="D1803" s="2">
        <v>0.72533564814511919</v>
      </c>
      <c r="E1803" s="4">
        <v>45082</v>
      </c>
      <c r="F1803" s="7" t="s">
        <v>17</v>
      </c>
      <c r="G1803" s="7" t="s">
        <v>285</v>
      </c>
      <c r="H1803" s="7" t="s">
        <v>2387</v>
      </c>
      <c r="I1803" s="7" t="s">
        <v>1215</v>
      </c>
      <c r="J1803" s="7" t="s">
        <v>303</v>
      </c>
      <c r="K1803" s="7" t="s">
        <v>69</v>
      </c>
      <c r="L1803" s="8">
        <v>61</v>
      </c>
      <c r="M1803" s="7" t="s">
        <v>23</v>
      </c>
      <c r="N1803" s="8">
        <v>137</v>
      </c>
      <c r="O1803" s="8">
        <v>5</v>
      </c>
      <c r="P1803" s="5">
        <v>13054.54</v>
      </c>
      <c r="Q1803" s="4">
        <v>45600</v>
      </c>
      <c r="R1803" s="9">
        <v>0.33859953703703705</v>
      </c>
      <c r="S1803" s="8">
        <v>17</v>
      </c>
      <c r="T1803" s="7" t="s">
        <v>4454</v>
      </c>
      <c r="U1803" s="7" t="s">
        <v>4458</v>
      </c>
      <c r="V18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04" spans="1:22" x14ac:dyDescent="0.35">
      <c r="A1804" s="7" t="s">
        <v>3660</v>
      </c>
      <c r="B1804" s="7" t="s">
        <v>264</v>
      </c>
      <c r="C1804" s="5">
        <v>223.76</v>
      </c>
      <c r="D1804" s="2">
        <v>0.66843749999679858</v>
      </c>
      <c r="E1804" s="4">
        <v>45149</v>
      </c>
      <c r="F1804" s="7" t="s">
        <v>46</v>
      </c>
      <c r="G1804" s="7" t="s">
        <v>388</v>
      </c>
      <c r="H1804" s="7" t="s">
        <v>1815</v>
      </c>
      <c r="I1804" s="7" t="s">
        <v>2864</v>
      </c>
      <c r="J1804" s="7" t="s">
        <v>759</v>
      </c>
      <c r="K1804" s="7" t="s">
        <v>69</v>
      </c>
      <c r="L1804" s="8">
        <v>74</v>
      </c>
      <c r="M1804" s="7" t="s">
        <v>70</v>
      </c>
      <c r="N1804" s="8">
        <v>110</v>
      </c>
      <c r="O1804" s="8">
        <v>1</v>
      </c>
      <c r="P1804" s="5">
        <v>4102.2299999999996</v>
      </c>
      <c r="Q1804" s="4">
        <v>45600</v>
      </c>
      <c r="R1804" s="9">
        <v>0.3409375</v>
      </c>
      <c r="S1804" s="8">
        <v>16</v>
      </c>
      <c r="T1804" s="7" t="s">
        <v>4454</v>
      </c>
      <c r="U1804" s="7" t="s">
        <v>4455</v>
      </c>
      <c r="V18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05" spans="1:22" x14ac:dyDescent="0.35">
      <c r="A1805" s="7" t="s">
        <v>3661</v>
      </c>
      <c r="B1805" s="7" t="s">
        <v>2467</v>
      </c>
      <c r="C1805" s="5">
        <v>216.03</v>
      </c>
      <c r="D1805" s="2">
        <v>0.76950231481168885</v>
      </c>
      <c r="E1805" s="4">
        <v>45226</v>
      </c>
      <c r="F1805" s="7" t="s">
        <v>17</v>
      </c>
      <c r="G1805" s="7" t="s">
        <v>388</v>
      </c>
      <c r="H1805" s="7" t="s">
        <v>1543</v>
      </c>
      <c r="I1805" s="7" t="s">
        <v>1540</v>
      </c>
      <c r="J1805" s="7" t="s">
        <v>564</v>
      </c>
      <c r="K1805" s="7" t="s">
        <v>22</v>
      </c>
      <c r="L1805" s="8">
        <v>42</v>
      </c>
      <c r="M1805" s="7" t="s">
        <v>23</v>
      </c>
      <c r="N1805" s="8">
        <v>300</v>
      </c>
      <c r="O1805" s="8">
        <v>1</v>
      </c>
      <c r="P1805" s="5">
        <v>10462.77</v>
      </c>
      <c r="Q1805" s="4">
        <v>45600</v>
      </c>
      <c r="R1805" s="9">
        <v>0.34009259259259261</v>
      </c>
      <c r="S1805" s="8">
        <v>18</v>
      </c>
      <c r="T1805" s="7" t="s">
        <v>4457</v>
      </c>
      <c r="U1805" s="7" t="s">
        <v>4455</v>
      </c>
      <c r="V18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06" spans="1:22" x14ac:dyDescent="0.35">
      <c r="A1806" s="7" t="s">
        <v>3662</v>
      </c>
      <c r="B1806" s="7" t="s">
        <v>1488</v>
      </c>
      <c r="C1806" s="5">
        <v>17.420000000000002</v>
      </c>
      <c r="D1806" s="2">
        <v>0.72562499999912689</v>
      </c>
      <c r="E1806" s="4">
        <v>45238</v>
      </c>
      <c r="F1806" s="7" t="s">
        <v>17</v>
      </c>
      <c r="G1806" s="7" t="s">
        <v>323</v>
      </c>
      <c r="H1806" s="7" t="s">
        <v>346</v>
      </c>
      <c r="I1806" s="7" t="s">
        <v>983</v>
      </c>
      <c r="J1806" s="7" t="s">
        <v>598</v>
      </c>
      <c r="K1806" s="7" t="s">
        <v>22</v>
      </c>
      <c r="L1806" s="8">
        <v>74</v>
      </c>
      <c r="M1806" s="7" t="s">
        <v>70</v>
      </c>
      <c r="N1806" s="8">
        <v>150</v>
      </c>
      <c r="O1806" s="8">
        <v>1</v>
      </c>
      <c r="P1806" s="5">
        <v>6851.31</v>
      </c>
      <c r="Q1806" s="4">
        <v>45600</v>
      </c>
      <c r="R1806" s="9">
        <v>0.34182870370370372</v>
      </c>
      <c r="S1806" s="8">
        <v>17</v>
      </c>
      <c r="T1806" s="7" t="s">
        <v>4454</v>
      </c>
      <c r="U1806" s="7" t="s">
        <v>4455</v>
      </c>
      <c r="V18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07" spans="1:22" x14ac:dyDescent="0.35">
      <c r="A1807" s="7" t="s">
        <v>3663</v>
      </c>
      <c r="B1807" s="7" t="s">
        <v>1955</v>
      </c>
      <c r="C1807" s="5">
        <v>491.91</v>
      </c>
      <c r="D1807" s="2">
        <v>0.71895833333110204</v>
      </c>
      <c r="E1807" s="4">
        <v>44935</v>
      </c>
      <c r="F1807" s="7" t="s">
        <v>17</v>
      </c>
      <c r="G1807" s="7" t="s">
        <v>178</v>
      </c>
      <c r="H1807" s="7" t="s">
        <v>590</v>
      </c>
      <c r="I1807" s="7" t="s">
        <v>870</v>
      </c>
      <c r="J1807" s="7" t="s">
        <v>308</v>
      </c>
      <c r="K1807" s="7" t="s">
        <v>36</v>
      </c>
      <c r="L1807" s="8">
        <v>78</v>
      </c>
      <c r="M1807" s="7" t="s">
        <v>70</v>
      </c>
      <c r="N1807" s="8">
        <v>155</v>
      </c>
      <c r="O1807" s="8">
        <v>1</v>
      </c>
      <c r="P1807" s="5">
        <v>2421.94</v>
      </c>
      <c r="Q1807" s="4">
        <v>45600</v>
      </c>
      <c r="R1807" s="9">
        <v>0.33968749999999998</v>
      </c>
      <c r="S1807" s="8">
        <v>17</v>
      </c>
      <c r="T1807" s="7" t="s">
        <v>4454</v>
      </c>
      <c r="U1807" s="7" t="s">
        <v>4455</v>
      </c>
      <c r="V18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08" spans="1:22" x14ac:dyDescent="0.35">
      <c r="A1808" s="7" t="s">
        <v>3664</v>
      </c>
      <c r="B1808" s="7" t="s">
        <v>2710</v>
      </c>
      <c r="C1808" s="5">
        <v>350.11</v>
      </c>
      <c r="D1808" s="2">
        <v>0.71567129629693227</v>
      </c>
      <c r="E1808" s="4">
        <v>44998</v>
      </c>
      <c r="F1808" s="7" t="s">
        <v>46</v>
      </c>
      <c r="G1808" s="7" t="s">
        <v>40</v>
      </c>
      <c r="H1808" s="7" t="s">
        <v>3665</v>
      </c>
      <c r="I1808" s="7" t="s">
        <v>1170</v>
      </c>
      <c r="J1808" s="7" t="s">
        <v>1345</v>
      </c>
      <c r="K1808" s="7" t="s">
        <v>36</v>
      </c>
      <c r="L1808" s="8">
        <v>74</v>
      </c>
      <c r="M1808" s="7" t="s">
        <v>70</v>
      </c>
      <c r="N1808" s="8">
        <v>178</v>
      </c>
      <c r="O1808" s="8">
        <v>1</v>
      </c>
      <c r="P1808" s="5">
        <v>4639.04</v>
      </c>
      <c r="Q1808" s="4">
        <v>45600</v>
      </c>
      <c r="R1808" s="9">
        <v>0.33902777777777776</v>
      </c>
      <c r="S1808" s="8">
        <v>17</v>
      </c>
      <c r="T1808" s="7" t="s">
        <v>4454</v>
      </c>
      <c r="U1808" s="7" t="s">
        <v>4455</v>
      </c>
      <c r="V18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09" spans="1:22" x14ac:dyDescent="0.35">
      <c r="A1809" s="7" t="s">
        <v>3666</v>
      </c>
      <c r="B1809" s="7" t="s">
        <v>1289</v>
      </c>
      <c r="C1809" s="5">
        <v>218.07</v>
      </c>
      <c r="D1809" s="2">
        <v>0.77978009259095415</v>
      </c>
      <c r="E1809" s="4">
        <v>45236</v>
      </c>
      <c r="F1809" s="7" t="s">
        <v>17</v>
      </c>
      <c r="G1809" s="7" t="s">
        <v>119</v>
      </c>
      <c r="H1809" s="7" t="s">
        <v>1727</v>
      </c>
      <c r="I1809" s="7" t="s">
        <v>347</v>
      </c>
      <c r="J1809" s="7" t="s">
        <v>652</v>
      </c>
      <c r="K1809" s="7" t="s">
        <v>69</v>
      </c>
      <c r="L1809" s="8">
        <v>23</v>
      </c>
      <c r="M1809" s="7" t="s">
        <v>37</v>
      </c>
      <c r="N1809" s="8">
        <v>243</v>
      </c>
      <c r="O1809" s="8">
        <v>1</v>
      </c>
      <c r="P1809" s="5">
        <v>443.62</v>
      </c>
      <c r="Q1809" s="4">
        <v>45600</v>
      </c>
      <c r="R1809" s="9">
        <v>0.33785879629629628</v>
      </c>
      <c r="S1809" s="8">
        <v>18</v>
      </c>
      <c r="T1809" s="7" t="s">
        <v>4456</v>
      </c>
      <c r="U1809" s="7" t="s">
        <v>4455</v>
      </c>
      <c r="V18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0" spans="1:22" x14ac:dyDescent="0.35">
      <c r="A1810" s="7" t="s">
        <v>3667</v>
      </c>
      <c r="B1810" s="7" t="s">
        <v>889</v>
      </c>
      <c r="C1810" s="5">
        <v>291.08999999999997</v>
      </c>
      <c r="D1810" s="2">
        <v>0.78734953703678912</v>
      </c>
      <c r="E1810" s="4">
        <v>45250</v>
      </c>
      <c r="F1810" s="7" t="s">
        <v>17</v>
      </c>
      <c r="G1810" s="7" t="s">
        <v>506</v>
      </c>
      <c r="H1810" s="7" t="s">
        <v>1279</v>
      </c>
      <c r="I1810" s="7" t="s">
        <v>2206</v>
      </c>
      <c r="J1810" s="7" t="s">
        <v>62</v>
      </c>
      <c r="K1810" s="7" t="s">
        <v>69</v>
      </c>
      <c r="L1810" s="8">
        <v>48</v>
      </c>
      <c r="M1810" s="7" t="s">
        <v>77</v>
      </c>
      <c r="N1810" s="8">
        <v>73</v>
      </c>
      <c r="O1810" s="8">
        <v>1</v>
      </c>
      <c r="P1810" s="5">
        <v>6312.79</v>
      </c>
      <c r="Q1810" s="4">
        <v>45600</v>
      </c>
      <c r="R1810" s="9">
        <v>0.33937499999999998</v>
      </c>
      <c r="S1810" s="8">
        <v>18</v>
      </c>
      <c r="T1810" s="7" t="s">
        <v>4457</v>
      </c>
      <c r="U1810" s="7" t="s">
        <v>4455</v>
      </c>
      <c r="V18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1" spans="1:22" x14ac:dyDescent="0.35">
      <c r="A1811" s="7" t="s">
        <v>3668</v>
      </c>
      <c r="B1811" s="7" t="s">
        <v>1096</v>
      </c>
      <c r="C1811" s="5">
        <v>422.14</v>
      </c>
      <c r="D1811" s="2">
        <v>0.72993055555707542</v>
      </c>
      <c r="E1811" s="4">
        <v>45247</v>
      </c>
      <c r="F1811" s="7" t="s">
        <v>46</v>
      </c>
      <c r="G1811" s="7" t="s">
        <v>86</v>
      </c>
      <c r="H1811" s="7" t="s">
        <v>54</v>
      </c>
      <c r="I1811" s="7" t="s">
        <v>1277</v>
      </c>
      <c r="J1811" s="7" t="s">
        <v>1562</v>
      </c>
      <c r="K1811" s="7" t="s">
        <v>69</v>
      </c>
      <c r="L1811" s="8">
        <v>26</v>
      </c>
      <c r="M1811" s="7" t="s">
        <v>37</v>
      </c>
      <c r="N1811" s="8">
        <v>109</v>
      </c>
      <c r="O1811" s="8">
        <v>1</v>
      </c>
      <c r="P1811" s="5">
        <v>1436.32</v>
      </c>
      <c r="Q1811" s="4">
        <v>45600</v>
      </c>
      <c r="R1811" s="9">
        <v>0.33847222222222223</v>
      </c>
      <c r="S1811" s="8">
        <v>17</v>
      </c>
      <c r="T1811" s="7" t="s">
        <v>4456</v>
      </c>
      <c r="U1811" s="7" t="s">
        <v>4455</v>
      </c>
      <c r="V18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2" spans="1:22" x14ac:dyDescent="0.35">
      <c r="A1812" s="7" t="s">
        <v>3669</v>
      </c>
      <c r="B1812" s="7" t="s">
        <v>1760</v>
      </c>
      <c r="C1812" s="5">
        <v>613.21</v>
      </c>
      <c r="D1812" s="2">
        <v>0.73994212962861639</v>
      </c>
      <c r="E1812" s="4">
        <v>45000</v>
      </c>
      <c r="F1812" s="7" t="s">
        <v>17</v>
      </c>
      <c r="G1812" s="7" t="s">
        <v>255</v>
      </c>
      <c r="H1812" s="7" t="s">
        <v>2617</v>
      </c>
      <c r="I1812" s="7" t="s">
        <v>2287</v>
      </c>
      <c r="J1812" s="7" t="s">
        <v>634</v>
      </c>
      <c r="K1812" s="7" t="s">
        <v>22</v>
      </c>
      <c r="L1812" s="8">
        <v>61</v>
      </c>
      <c r="M1812" s="7" t="s">
        <v>70</v>
      </c>
      <c r="N1812" s="8">
        <v>157</v>
      </c>
      <c r="O1812" s="8">
        <v>1</v>
      </c>
      <c r="P1812" s="5">
        <v>3279.12</v>
      </c>
      <c r="Q1812" s="4">
        <v>45600</v>
      </c>
      <c r="R1812" s="9">
        <v>0.34053240740740742</v>
      </c>
      <c r="S1812" s="8">
        <v>17</v>
      </c>
      <c r="T1812" s="7" t="s">
        <v>4454</v>
      </c>
      <c r="U1812" s="7" t="s">
        <v>4455</v>
      </c>
      <c r="V18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3" spans="1:22" x14ac:dyDescent="0.35">
      <c r="A1813" s="7" t="s">
        <v>3670</v>
      </c>
      <c r="B1813" s="7" t="s">
        <v>946</v>
      </c>
      <c r="C1813" s="5">
        <v>73.83</v>
      </c>
      <c r="D1813" s="2">
        <v>0.77024305555823958</v>
      </c>
      <c r="E1813" s="4">
        <v>44931</v>
      </c>
      <c r="F1813" s="7" t="s">
        <v>17</v>
      </c>
      <c r="G1813" s="7" t="s">
        <v>146</v>
      </c>
      <c r="H1813" s="7" t="s">
        <v>1774</v>
      </c>
      <c r="I1813" s="7" t="s">
        <v>2186</v>
      </c>
      <c r="J1813" s="7" t="s">
        <v>348</v>
      </c>
      <c r="K1813" s="7" t="s">
        <v>36</v>
      </c>
      <c r="L1813" s="8">
        <v>69</v>
      </c>
      <c r="M1813" s="7" t="s">
        <v>23</v>
      </c>
      <c r="N1813" s="8">
        <v>69</v>
      </c>
      <c r="O1813" s="8">
        <v>1</v>
      </c>
      <c r="P1813" s="5">
        <v>6020.29</v>
      </c>
      <c r="Q1813" s="4">
        <v>45600</v>
      </c>
      <c r="R1813" s="9">
        <v>0.33807870370370369</v>
      </c>
      <c r="S1813" s="8">
        <v>18</v>
      </c>
      <c r="T1813" s="7" t="s">
        <v>4454</v>
      </c>
      <c r="U1813" s="7" t="s">
        <v>4455</v>
      </c>
      <c r="V18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4" spans="1:22" x14ac:dyDescent="0.35">
      <c r="A1814" s="7" t="s">
        <v>3671</v>
      </c>
      <c r="B1814" s="7" t="s">
        <v>1631</v>
      </c>
      <c r="C1814" s="5">
        <v>67.33</v>
      </c>
      <c r="D1814" s="2">
        <v>0.76101851851854008</v>
      </c>
      <c r="E1814" s="4">
        <v>45029</v>
      </c>
      <c r="F1814" s="7" t="s">
        <v>17</v>
      </c>
      <c r="G1814" s="7" t="s">
        <v>73</v>
      </c>
      <c r="H1814" s="7" t="s">
        <v>840</v>
      </c>
      <c r="I1814" s="7" t="s">
        <v>153</v>
      </c>
      <c r="J1814" s="7" t="s">
        <v>89</v>
      </c>
      <c r="K1814" s="7" t="s">
        <v>36</v>
      </c>
      <c r="L1814" s="8">
        <v>59</v>
      </c>
      <c r="M1814" s="7" t="s">
        <v>77</v>
      </c>
      <c r="N1814" s="8">
        <v>36</v>
      </c>
      <c r="O1814" s="8">
        <v>1</v>
      </c>
      <c r="P1814" s="5">
        <v>5925.98</v>
      </c>
      <c r="Q1814" s="4">
        <v>45600</v>
      </c>
      <c r="R1814" s="9">
        <v>0.33832175925925928</v>
      </c>
      <c r="S1814" s="8">
        <v>18</v>
      </c>
      <c r="T1814" s="7" t="s">
        <v>4454</v>
      </c>
      <c r="U1814" s="7" t="s">
        <v>4455</v>
      </c>
      <c r="V18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5" spans="1:22" x14ac:dyDescent="0.35">
      <c r="A1815" s="7" t="s">
        <v>3672</v>
      </c>
      <c r="B1815" s="7" t="s">
        <v>795</v>
      </c>
      <c r="C1815" s="5">
        <v>26.92</v>
      </c>
      <c r="D1815" s="2">
        <v>0.76043981481780065</v>
      </c>
      <c r="E1815" s="4">
        <v>45064</v>
      </c>
      <c r="F1815" s="7" t="s">
        <v>17</v>
      </c>
      <c r="G1815" s="7" t="s">
        <v>65</v>
      </c>
      <c r="H1815" s="7" t="s">
        <v>614</v>
      </c>
      <c r="I1815" s="7" t="s">
        <v>234</v>
      </c>
      <c r="J1815" s="7" t="s">
        <v>200</v>
      </c>
      <c r="K1815" s="7" t="s">
        <v>22</v>
      </c>
      <c r="L1815" s="8">
        <v>62</v>
      </c>
      <c r="M1815" s="7" t="s">
        <v>70</v>
      </c>
      <c r="N1815" s="8">
        <v>43</v>
      </c>
      <c r="O1815" s="8">
        <v>1</v>
      </c>
      <c r="P1815" s="5">
        <v>1674.94</v>
      </c>
      <c r="Q1815" s="4">
        <v>45600</v>
      </c>
      <c r="R1815" s="9">
        <v>0.33837962962962964</v>
      </c>
      <c r="S1815" s="8">
        <v>18</v>
      </c>
      <c r="T1815" s="7" t="s">
        <v>4454</v>
      </c>
      <c r="U1815" s="7" t="s">
        <v>4455</v>
      </c>
      <c r="V18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6" spans="1:22" x14ac:dyDescent="0.35">
      <c r="A1816" s="7" t="s">
        <v>3673</v>
      </c>
      <c r="B1816" s="7" t="s">
        <v>529</v>
      </c>
      <c r="C1816" s="5">
        <v>18.3</v>
      </c>
      <c r="D1816" s="2">
        <v>0.68178240740962792</v>
      </c>
      <c r="E1816" s="4">
        <v>44970</v>
      </c>
      <c r="F1816" s="7" t="s">
        <v>17</v>
      </c>
      <c r="G1816" s="7" t="s">
        <v>32</v>
      </c>
      <c r="H1816" s="7" t="s">
        <v>943</v>
      </c>
      <c r="I1816" s="7" t="s">
        <v>1042</v>
      </c>
      <c r="J1816" s="7" t="s">
        <v>1349</v>
      </c>
      <c r="K1816" s="7" t="s">
        <v>36</v>
      </c>
      <c r="L1816" s="8">
        <v>48</v>
      </c>
      <c r="M1816" s="7" t="s">
        <v>77</v>
      </c>
      <c r="N1816" s="8">
        <v>155</v>
      </c>
      <c r="O1816" s="8">
        <v>1</v>
      </c>
      <c r="P1816" s="5">
        <v>3733.52</v>
      </c>
      <c r="Q1816" s="4">
        <v>45600</v>
      </c>
      <c r="R1816" s="9">
        <v>0.33892361111111113</v>
      </c>
      <c r="S1816" s="8">
        <v>16</v>
      </c>
      <c r="T1816" s="7" t="s">
        <v>4457</v>
      </c>
      <c r="U1816" s="7" t="s">
        <v>4455</v>
      </c>
      <c r="V18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17" spans="1:22" x14ac:dyDescent="0.35">
      <c r="A1817" s="7" t="s">
        <v>3674</v>
      </c>
      <c r="B1817" s="7" t="s">
        <v>2539</v>
      </c>
      <c r="C1817" s="5">
        <v>317.94</v>
      </c>
      <c r="D1817" s="2">
        <v>0.7407407407372375</v>
      </c>
      <c r="E1817" s="4">
        <v>44951</v>
      </c>
      <c r="F1817" s="7" t="s">
        <v>17</v>
      </c>
      <c r="G1817" s="7" t="s">
        <v>140</v>
      </c>
      <c r="H1817" s="7" t="s">
        <v>2806</v>
      </c>
      <c r="I1817" s="7" t="s">
        <v>1626</v>
      </c>
      <c r="J1817" s="7" t="s">
        <v>50</v>
      </c>
      <c r="K1817" s="7" t="s">
        <v>22</v>
      </c>
      <c r="L1817" s="8">
        <v>54</v>
      </c>
      <c r="M1817" s="7" t="s">
        <v>77</v>
      </c>
      <c r="N1817" s="8">
        <v>124</v>
      </c>
      <c r="O1817" s="8">
        <v>1</v>
      </c>
      <c r="P1817" s="5">
        <v>2996.51</v>
      </c>
      <c r="Q1817" s="4">
        <v>45600</v>
      </c>
      <c r="R1817" s="9">
        <v>0.34144675925925927</v>
      </c>
      <c r="S1817" s="8">
        <v>17</v>
      </c>
      <c r="T1817" s="7" t="s">
        <v>4457</v>
      </c>
      <c r="U1817" s="7" t="s">
        <v>4455</v>
      </c>
      <c r="V18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8" spans="1:22" x14ac:dyDescent="0.35">
      <c r="A1818" s="7" t="s">
        <v>3675</v>
      </c>
      <c r="B1818" s="7" t="s">
        <v>1398</v>
      </c>
      <c r="C1818" s="5">
        <v>179.38</v>
      </c>
      <c r="D1818" s="2">
        <v>0.72010416666307719</v>
      </c>
      <c r="E1818" s="4">
        <v>44998</v>
      </c>
      <c r="F1818" s="7" t="s">
        <v>17</v>
      </c>
      <c r="G1818" s="7" t="s">
        <v>32</v>
      </c>
      <c r="H1818" s="7" t="s">
        <v>1731</v>
      </c>
      <c r="I1818" s="7" t="s">
        <v>2820</v>
      </c>
      <c r="J1818" s="7" t="s">
        <v>165</v>
      </c>
      <c r="K1818" s="7" t="s">
        <v>36</v>
      </c>
      <c r="L1818" s="8">
        <v>40</v>
      </c>
      <c r="M1818" s="7" t="s">
        <v>23</v>
      </c>
      <c r="N1818" s="8">
        <v>173</v>
      </c>
      <c r="O1818" s="8">
        <v>1</v>
      </c>
      <c r="P1818" s="5">
        <v>11666.18</v>
      </c>
      <c r="Q1818" s="4">
        <v>45600</v>
      </c>
      <c r="R1818" s="9">
        <v>0.34062500000000001</v>
      </c>
      <c r="S1818" s="8">
        <v>17</v>
      </c>
      <c r="T1818" s="7" t="s">
        <v>4457</v>
      </c>
      <c r="U1818" s="7" t="s">
        <v>4455</v>
      </c>
      <c r="V18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19" spans="1:22" x14ac:dyDescent="0.35">
      <c r="A1819" s="7" t="s">
        <v>3676</v>
      </c>
      <c r="B1819" s="7" t="s">
        <v>2464</v>
      </c>
      <c r="C1819" s="5">
        <v>918.95</v>
      </c>
      <c r="D1819" s="2">
        <v>0.69699074074014788</v>
      </c>
      <c r="E1819" s="4">
        <v>45047</v>
      </c>
      <c r="F1819" s="7" t="s">
        <v>17</v>
      </c>
      <c r="G1819" s="7" t="s">
        <v>59</v>
      </c>
      <c r="H1819" s="7" t="s">
        <v>1041</v>
      </c>
      <c r="I1819" s="7" t="s">
        <v>2254</v>
      </c>
      <c r="J1819" s="7" t="s">
        <v>607</v>
      </c>
      <c r="K1819" s="7" t="s">
        <v>36</v>
      </c>
      <c r="L1819" s="8">
        <v>68</v>
      </c>
      <c r="M1819" s="7" t="s">
        <v>23</v>
      </c>
      <c r="N1819" s="8">
        <v>139</v>
      </c>
      <c r="O1819" s="8">
        <v>1</v>
      </c>
      <c r="P1819" s="5">
        <v>7006.46</v>
      </c>
      <c r="Q1819" s="4">
        <v>45600</v>
      </c>
      <c r="R1819" s="9">
        <v>0.33870370370370373</v>
      </c>
      <c r="S1819" s="8">
        <v>16</v>
      </c>
      <c r="T1819" s="7" t="s">
        <v>4454</v>
      </c>
      <c r="U1819" s="7" t="s">
        <v>4455</v>
      </c>
      <c r="V18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20" spans="1:22" x14ac:dyDescent="0.35">
      <c r="A1820" s="7" t="s">
        <v>3677</v>
      </c>
      <c r="B1820" s="7" t="s">
        <v>2420</v>
      </c>
      <c r="C1820" s="5">
        <v>13.92</v>
      </c>
      <c r="D1820" s="2">
        <v>0.72932870370277669</v>
      </c>
      <c r="E1820" s="4">
        <v>45075</v>
      </c>
      <c r="F1820" s="7" t="s">
        <v>17</v>
      </c>
      <c r="G1820" s="7" t="s">
        <v>140</v>
      </c>
      <c r="H1820" s="7" t="s">
        <v>654</v>
      </c>
      <c r="I1820" s="7" t="s">
        <v>67</v>
      </c>
      <c r="J1820" s="7" t="s">
        <v>1209</v>
      </c>
      <c r="K1820" s="7" t="s">
        <v>22</v>
      </c>
      <c r="L1820" s="8">
        <v>37</v>
      </c>
      <c r="M1820" s="7" t="s">
        <v>77</v>
      </c>
      <c r="N1820" s="8">
        <v>209</v>
      </c>
      <c r="O1820" s="8">
        <v>1</v>
      </c>
      <c r="P1820" s="5">
        <v>2735.84</v>
      </c>
      <c r="Q1820" s="4">
        <v>45600</v>
      </c>
      <c r="R1820" s="9">
        <v>0.34025462962962966</v>
      </c>
      <c r="S1820" s="8">
        <v>17</v>
      </c>
      <c r="T1820" s="7" t="s">
        <v>4457</v>
      </c>
      <c r="U1820" s="7" t="s">
        <v>4455</v>
      </c>
      <c r="V18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21" spans="1:22" x14ac:dyDescent="0.35">
      <c r="A1821" s="7" t="s">
        <v>3678</v>
      </c>
      <c r="B1821" s="7" t="s">
        <v>935</v>
      </c>
      <c r="C1821" s="5">
        <v>365.43</v>
      </c>
      <c r="D1821" s="2">
        <v>0.70215277777606389</v>
      </c>
      <c r="E1821" s="4">
        <v>45253</v>
      </c>
      <c r="F1821" s="7" t="s">
        <v>17</v>
      </c>
      <c r="G1821" s="7" t="s">
        <v>595</v>
      </c>
      <c r="H1821" s="7" t="s">
        <v>1198</v>
      </c>
      <c r="I1821" s="7" t="s">
        <v>2416</v>
      </c>
      <c r="J1821" s="7" t="s">
        <v>240</v>
      </c>
      <c r="K1821" s="7" t="s">
        <v>22</v>
      </c>
      <c r="L1821" s="8">
        <v>25</v>
      </c>
      <c r="M1821" s="7" t="s">
        <v>37</v>
      </c>
      <c r="N1821" s="8">
        <v>176</v>
      </c>
      <c r="O1821" s="8">
        <v>1</v>
      </c>
      <c r="P1821" s="5">
        <v>1073.51</v>
      </c>
      <c r="Q1821" s="4">
        <v>45600</v>
      </c>
      <c r="R1821" s="9">
        <v>0.33986111111111111</v>
      </c>
      <c r="S1821" s="8">
        <v>16</v>
      </c>
      <c r="T1821" s="7" t="s">
        <v>4456</v>
      </c>
      <c r="U1821" s="7" t="s">
        <v>4455</v>
      </c>
      <c r="V18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22" spans="1:22" x14ac:dyDescent="0.35">
      <c r="A1822" s="7" t="s">
        <v>3679</v>
      </c>
      <c r="B1822" s="7" t="s">
        <v>1394</v>
      </c>
      <c r="C1822" s="5">
        <v>263.58999999999997</v>
      </c>
      <c r="D1822" s="2">
        <v>0.66879629629693227</v>
      </c>
      <c r="E1822" s="4">
        <v>44949</v>
      </c>
      <c r="F1822" s="7" t="s">
        <v>17</v>
      </c>
      <c r="G1822" s="7" t="s">
        <v>323</v>
      </c>
      <c r="H1822" s="7" t="s">
        <v>3318</v>
      </c>
      <c r="I1822" s="7" t="s">
        <v>3098</v>
      </c>
      <c r="J1822" s="7" t="s">
        <v>29</v>
      </c>
      <c r="K1822" s="7" t="s">
        <v>69</v>
      </c>
      <c r="L1822" s="8">
        <v>71</v>
      </c>
      <c r="M1822" s="7" t="s">
        <v>70</v>
      </c>
      <c r="N1822" s="8">
        <v>16</v>
      </c>
      <c r="O1822" s="8">
        <v>1</v>
      </c>
      <c r="P1822" s="5">
        <v>6996.35</v>
      </c>
      <c r="Q1822" s="4">
        <v>45600</v>
      </c>
      <c r="R1822" s="9">
        <v>0.34166666666666667</v>
      </c>
      <c r="S1822" s="8">
        <v>16</v>
      </c>
      <c r="T1822" s="7" t="s">
        <v>4454</v>
      </c>
      <c r="U1822" s="7" t="s">
        <v>4455</v>
      </c>
      <c r="V18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23" spans="1:22" x14ac:dyDescent="0.35">
      <c r="A1823" s="7" t="s">
        <v>3680</v>
      </c>
      <c r="B1823" s="7" t="s">
        <v>2149</v>
      </c>
      <c r="C1823" s="5">
        <v>54.8</v>
      </c>
      <c r="D1823" s="2">
        <v>0.67765046295971842</v>
      </c>
      <c r="E1823" s="4">
        <v>45078</v>
      </c>
      <c r="F1823" s="7" t="s">
        <v>17</v>
      </c>
      <c r="G1823" s="7" t="s">
        <v>86</v>
      </c>
      <c r="H1823" s="7" t="s">
        <v>2571</v>
      </c>
      <c r="I1823" s="7" t="s">
        <v>1751</v>
      </c>
      <c r="J1823" s="7" t="s">
        <v>482</v>
      </c>
      <c r="K1823" s="7" t="s">
        <v>69</v>
      </c>
      <c r="L1823" s="8">
        <v>34</v>
      </c>
      <c r="M1823" s="7" t="s">
        <v>77</v>
      </c>
      <c r="N1823" s="8">
        <v>140</v>
      </c>
      <c r="O1823" s="8">
        <v>1</v>
      </c>
      <c r="P1823" s="5">
        <v>4943.49</v>
      </c>
      <c r="Q1823" s="4">
        <v>45600</v>
      </c>
      <c r="R1823" s="9">
        <v>0.33954861111111112</v>
      </c>
      <c r="S1823" s="8">
        <v>16</v>
      </c>
      <c r="T1823" s="7" t="s">
        <v>4456</v>
      </c>
      <c r="U1823" s="7" t="s">
        <v>4455</v>
      </c>
      <c r="V18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24" spans="1:22" x14ac:dyDescent="0.35">
      <c r="A1824" s="7" t="s">
        <v>3681</v>
      </c>
      <c r="B1824" s="7" t="s">
        <v>192</v>
      </c>
      <c r="C1824" s="5">
        <v>141.49</v>
      </c>
      <c r="D1824" s="2">
        <v>0.70629629629547708</v>
      </c>
      <c r="E1824" s="4">
        <v>45189</v>
      </c>
      <c r="F1824" s="7" t="s">
        <v>17</v>
      </c>
      <c r="G1824" s="7" t="s">
        <v>197</v>
      </c>
      <c r="H1824" s="7" t="s">
        <v>881</v>
      </c>
      <c r="I1824" s="7" t="s">
        <v>3098</v>
      </c>
      <c r="J1824" s="7" t="s">
        <v>83</v>
      </c>
      <c r="K1824" s="7" t="s">
        <v>36</v>
      </c>
      <c r="L1824" s="8">
        <v>24</v>
      </c>
      <c r="M1824" s="7" t="s">
        <v>37</v>
      </c>
      <c r="N1824" s="8">
        <v>75</v>
      </c>
      <c r="O1824" s="8">
        <v>1</v>
      </c>
      <c r="P1824" s="5">
        <v>1665.58</v>
      </c>
      <c r="Q1824" s="4">
        <v>45600</v>
      </c>
      <c r="R1824" s="9">
        <v>0.34129629629629632</v>
      </c>
      <c r="S1824" s="8">
        <v>16</v>
      </c>
      <c r="T1824" s="7" t="s">
        <v>4456</v>
      </c>
      <c r="U1824" s="7" t="s">
        <v>4455</v>
      </c>
      <c r="V18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25" spans="1:22" x14ac:dyDescent="0.35">
      <c r="A1825" s="7" t="s">
        <v>3682</v>
      </c>
      <c r="B1825" s="7" t="s">
        <v>2118</v>
      </c>
      <c r="C1825" s="5">
        <v>31.39</v>
      </c>
      <c r="D1825" s="2">
        <v>0.71494212962716119</v>
      </c>
      <c r="E1825" s="4">
        <v>44935</v>
      </c>
      <c r="F1825" s="7" t="s">
        <v>17</v>
      </c>
      <c r="G1825" s="7" t="s">
        <v>255</v>
      </c>
      <c r="H1825" s="7" t="s">
        <v>939</v>
      </c>
      <c r="I1825" s="7" t="s">
        <v>2761</v>
      </c>
      <c r="J1825" s="7" t="s">
        <v>1524</v>
      </c>
      <c r="K1825" s="7" t="s">
        <v>22</v>
      </c>
      <c r="L1825" s="8">
        <v>20</v>
      </c>
      <c r="M1825" s="7" t="s">
        <v>37</v>
      </c>
      <c r="N1825" s="8">
        <v>15</v>
      </c>
      <c r="O1825" s="8">
        <v>1</v>
      </c>
      <c r="P1825" s="5">
        <v>998.49</v>
      </c>
      <c r="Q1825" s="4">
        <v>45600</v>
      </c>
      <c r="R1825" s="9">
        <v>0.33781250000000002</v>
      </c>
      <c r="S1825" s="8">
        <v>17</v>
      </c>
      <c r="T1825" s="7" t="s">
        <v>4456</v>
      </c>
      <c r="U1825" s="7" t="s">
        <v>4455</v>
      </c>
      <c r="V18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26" spans="1:22" x14ac:dyDescent="0.35">
      <c r="A1826" s="7" t="s">
        <v>3683</v>
      </c>
      <c r="B1826" s="7" t="s">
        <v>3493</v>
      </c>
      <c r="C1826" s="5">
        <v>93.82</v>
      </c>
      <c r="D1826" s="2">
        <v>0.73425925926130731</v>
      </c>
      <c r="E1826" s="4">
        <v>45103</v>
      </c>
      <c r="F1826" s="7" t="s">
        <v>17</v>
      </c>
      <c r="G1826" s="7" t="s">
        <v>18</v>
      </c>
      <c r="H1826" s="7" t="s">
        <v>454</v>
      </c>
      <c r="I1826" s="7" t="s">
        <v>3588</v>
      </c>
      <c r="J1826" s="7" t="s">
        <v>598</v>
      </c>
      <c r="K1826" s="7" t="s">
        <v>36</v>
      </c>
      <c r="L1826" s="8">
        <v>39</v>
      </c>
      <c r="M1826" s="7" t="s">
        <v>77</v>
      </c>
      <c r="N1826" s="8">
        <v>176</v>
      </c>
      <c r="O1826" s="8">
        <v>1</v>
      </c>
      <c r="P1826" s="5">
        <v>8422.06</v>
      </c>
      <c r="Q1826" s="4">
        <v>45600</v>
      </c>
      <c r="R1826" s="9">
        <v>0.34114583333333331</v>
      </c>
      <c r="S1826" s="8">
        <v>17</v>
      </c>
      <c r="T1826" s="7" t="s">
        <v>4457</v>
      </c>
      <c r="U1826" s="7" t="s">
        <v>4455</v>
      </c>
      <c r="V18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27" spans="1:22" x14ac:dyDescent="0.35">
      <c r="A1827" s="7" t="s">
        <v>3684</v>
      </c>
      <c r="B1827" s="7" t="s">
        <v>2019</v>
      </c>
      <c r="C1827" s="5">
        <v>5.71</v>
      </c>
      <c r="D1827" s="2">
        <v>0.73300925926014315</v>
      </c>
      <c r="E1827" s="4">
        <v>45261</v>
      </c>
      <c r="F1827" s="7" t="s">
        <v>17</v>
      </c>
      <c r="G1827" s="7" t="s">
        <v>255</v>
      </c>
      <c r="H1827" s="7" t="s">
        <v>397</v>
      </c>
      <c r="I1827" s="7" t="s">
        <v>1219</v>
      </c>
      <c r="J1827" s="7" t="s">
        <v>358</v>
      </c>
      <c r="K1827" s="7" t="s">
        <v>69</v>
      </c>
      <c r="L1827" s="8">
        <v>21</v>
      </c>
      <c r="M1827" s="7" t="s">
        <v>37</v>
      </c>
      <c r="N1827" s="8">
        <v>106</v>
      </c>
      <c r="O1827" s="8">
        <v>1</v>
      </c>
      <c r="P1827" s="5">
        <v>1285.42</v>
      </c>
      <c r="Q1827" s="4">
        <v>45600</v>
      </c>
      <c r="R1827" s="9">
        <v>0.34062500000000001</v>
      </c>
      <c r="S1827" s="8">
        <v>17</v>
      </c>
      <c r="T1827" s="7" t="s">
        <v>4456</v>
      </c>
      <c r="U1827" s="7" t="s">
        <v>4455</v>
      </c>
      <c r="V18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28" spans="1:22" x14ac:dyDescent="0.35">
      <c r="A1828" s="7" t="s">
        <v>3685</v>
      </c>
      <c r="B1828" s="7" t="s">
        <v>1289</v>
      </c>
      <c r="C1828" s="5">
        <v>178.39</v>
      </c>
      <c r="D1828" s="2">
        <v>0.76531249999970896</v>
      </c>
      <c r="E1828" s="4">
        <v>45153</v>
      </c>
      <c r="F1828" s="7" t="s">
        <v>17</v>
      </c>
      <c r="G1828" s="7" t="s">
        <v>255</v>
      </c>
      <c r="H1828" s="7" t="s">
        <v>1067</v>
      </c>
      <c r="I1828" s="7" t="s">
        <v>631</v>
      </c>
      <c r="J1828" s="7" t="s">
        <v>1014</v>
      </c>
      <c r="K1828" s="7" t="s">
        <v>36</v>
      </c>
      <c r="L1828" s="8">
        <v>34</v>
      </c>
      <c r="M1828" s="7" t="s">
        <v>77</v>
      </c>
      <c r="N1828" s="8">
        <v>98</v>
      </c>
      <c r="O1828" s="8">
        <v>1</v>
      </c>
      <c r="P1828" s="5">
        <v>8469.43</v>
      </c>
      <c r="Q1828" s="4">
        <v>45600</v>
      </c>
      <c r="R1828" s="9">
        <v>0.3399537037037037</v>
      </c>
      <c r="S1828" s="8">
        <v>18</v>
      </c>
      <c r="T1828" s="7" t="s">
        <v>4456</v>
      </c>
      <c r="U1828" s="7" t="s">
        <v>4455</v>
      </c>
      <c r="V18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29" spans="1:22" x14ac:dyDescent="0.35">
      <c r="A1829" s="7" t="s">
        <v>3686</v>
      </c>
      <c r="B1829" s="7" t="s">
        <v>3207</v>
      </c>
      <c r="C1829" s="5">
        <v>126.91</v>
      </c>
      <c r="D1829" s="2">
        <v>0.66994212962890742</v>
      </c>
      <c r="E1829" s="4">
        <v>45161</v>
      </c>
      <c r="F1829" s="7" t="s">
        <v>17</v>
      </c>
      <c r="G1829" s="7" t="s">
        <v>291</v>
      </c>
      <c r="H1829" s="7" t="s">
        <v>147</v>
      </c>
      <c r="I1829" s="7" t="s">
        <v>422</v>
      </c>
      <c r="J1829" s="7" t="s">
        <v>1345</v>
      </c>
      <c r="K1829" s="7" t="s">
        <v>22</v>
      </c>
      <c r="L1829" s="8">
        <v>22</v>
      </c>
      <c r="M1829" s="7" t="s">
        <v>37</v>
      </c>
      <c r="N1829" s="8">
        <v>42</v>
      </c>
      <c r="O1829" s="8">
        <v>1</v>
      </c>
      <c r="P1829" s="5">
        <v>692.69</v>
      </c>
      <c r="Q1829" s="4">
        <v>45600</v>
      </c>
      <c r="R1829" s="9">
        <v>0.33901620370370372</v>
      </c>
      <c r="S1829" s="8">
        <v>16</v>
      </c>
      <c r="T1829" s="7" t="s">
        <v>4456</v>
      </c>
      <c r="U1829" s="7" t="s">
        <v>4455</v>
      </c>
      <c r="V18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30" spans="1:22" x14ac:dyDescent="0.35">
      <c r="A1830" s="7" t="s">
        <v>3687</v>
      </c>
      <c r="B1830" s="7" t="s">
        <v>2581</v>
      </c>
      <c r="C1830" s="5">
        <v>36.090000000000003</v>
      </c>
      <c r="D1830" s="2">
        <v>0.67988425926159834</v>
      </c>
      <c r="E1830" s="4">
        <v>45093</v>
      </c>
      <c r="F1830" s="7" t="s">
        <v>17</v>
      </c>
      <c r="G1830" s="7" t="s">
        <v>125</v>
      </c>
      <c r="H1830" s="7" t="s">
        <v>2387</v>
      </c>
      <c r="I1830" s="7" t="s">
        <v>3688</v>
      </c>
      <c r="J1830" s="7" t="s">
        <v>312</v>
      </c>
      <c r="K1830" s="7" t="s">
        <v>69</v>
      </c>
      <c r="L1830" s="8">
        <v>53</v>
      </c>
      <c r="M1830" s="7" t="s">
        <v>23</v>
      </c>
      <c r="N1830" s="8">
        <v>167</v>
      </c>
      <c r="O1830" s="8">
        <v>1</v>
      </c>
      <c r="P1830" s="5">
        <v>12319.26</v>
      </c>
      <c r="Q1830" s="4">
        <v>45600</v>
      </c>
      <c r="R1830" s="9">
        <v>0.33887731481481481</v>
      </c>
      <c r="S1830" s="8">
        <v>16</v>
      </c>
      <c r="T1830" s="7" t="s">
        <v>4457</v>
      </c>
      <c r="U1830" s="7" t="s">
        <v>4455</v>
      </c>
      <c r="V18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31" spans="1:22" x14ac:dyDescent="0.35">
      <c r="A1831" s="7" t="s">
        <v>3689</v>
      </c>
      <c r="B1831" s="7" t="s">
        <v>876</v>
      </c>
      <c r="C1831" s="5">
        <v>91.77</v>
      </c>
      <c r="D1831" s="2">
        <v>0.7355439814782585</v>
      </c>
      <c r="E1831" s="4">
        <v>45000</v>
      </c>
      <c r="F1831" s="7" t="s">
        <v>17</v>
      </c>
      <c r="G1831" s="7" t="s">
        <v>296</v>
      </c>
      <c r="H1831" s="7" t="s">
        <v>1314</v>
      </c>
      <c r="I1831" s="7" t="s">
        <v>2838</v>
      </c>
      <c r="J1831" s="7" t="s">
        <v>564</v>
      </c>
      <c r="K1831" s="7" t="s">
        <v>69</v>
      </c>
      <c r="L1831" s="8">
        <v>51</v>
      </c>
      <c r="M1831" s="7" t="s">
        <v>23</v>
      </c>
      <c r="N1831" s="8">
        <v>174</v>
      </c>
      <c r="O1831" s="8">
        <v>1</v>
      </c>
      <c r="P1831" s="5">
        <v>9240.73</v>
      </c>
      <c r="Q1831" s="4">
        <v>45600</v>
      </c>
      <c r="R1831" s="9">
        <v>0.33833333333333332</v>
      </c>
      <c r="S1831" s="8">
        <v>17</v>
      </c>
      <c r="T1831" s="7" t="s">
        <v>4457</v>
      </c>
      <c r="U1831" s="7" t="s">
        <v>4455</v>
      </c>
      <c r="V18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32" spans="1:22" x14ac:dyDescent="0.35">
      <c r="A1832" s="7" t="s">
        <v>3690</v>
      </c>
      <c r="B1832" s="7" t="s">
        <v>550</v>
      </c>
      <c r="C1832" s="5">
        <v>198.92</v>
      </c>
      <c r="D1832" s="2">
        <v>0.69995370370452292</v>
      </c>
      <c r="E1832" s="4">
        <v>45222</v>
      </c>
      <c r="F1832" s="7" t="s">
        <v>17</v>
      </c>
      <c r="G1832" s="7" t="s">
        <v>178</v>
      </c>
      <c r="H1832" s="7" t="s">
        <v>810</v>
      </c>
      <c r="I1832" s="7" t="s">
        <v>1921</v>
      </c>
      <c r="J1832" s="7" t="s">
        <v>68</v>
      </c>
      <c r="K1832" s="7" t="s">
        <v>36</v>
      </c>
      <c r="L1832" s="8">
        <v>36</v>
      </c>
      <c r="M1832" s="7" t="s">
        <v>77</v>
      </c>
      <c r="N1832" s="8">
        <v>100</v>
      </c>
      <c r="O1832" s="8">
        <v>1</v>
      </c>
      <c r="P1832" s="5">
        <v>2854.66</v>
      </c>
      <c r="Q1832" s="4">
        <v>45600</v>
      </c>
      <c r="R1832" s="9">
        <v>0.34049768518518519</v>
      </c>
      <c r="S1832" s="8">
        <v>16</v>
      </c>
      <c r="T1832" s="7" t="s">
        <v>4457</v>
      </c>
      <c r="U1832" s="7" t="s">
        <v>4455</v>
      </c>
      <c r="V18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33" spans="1:22" x14ac:dyDescent="0.35">
      <c r="A1833" s="7" t="s">
        <v>3691</v>
      </c>
      <c r="B1833" s="7" t="s">
        <v>1808</v>
      </c>
      <c r="C1833" s="5">
        <v>137.81</v>
      </c>
      <c r="D1833" s="2">
        <v>0.70293981481518131</v>
      </c>
      <c r="E1833" s="4">
        <v>45225</v>
      </c>
      <c r="F1833" s="7" t="s">
        <v>17</v>
      </c>
      <c r="G1833" s="7" t="s">
        <v>73</v>
      </c>
      <c r="H1833" s="7" t="s">
        <v>3692</v>
      </c>
      <c r="I1833" s="7" t="s">
        <v>2054</v>
      </c>
      <c r="J1833" s="7" t="s">
        <v>652</v>
      </c>
      <c r="K1833" s="7" t="s">
        <v>69</v>
      </c>
      <c r="L1833" s="8">
        <v>58</v>
      </c>
      <c r="M1833" s="7" t="s">
        <v>77</v>
      </c>
      <c r="N1833" s="8">
        <v>44</v>
      </c>
      <c r="O1833" s="8">
        <v>1</v>
      </c>
      <c r="P1833" s="5">
        <v>2631.47</v>
      </c>
      <c r="Q1833" s="4">
        <v>45600</v>
      </c>
      <c r="R1833" s="9">
        <v>0.33865740740740741</v>
      </c>
      <c r="S1833" s="8">
        <v>16</v>
      </c>
      <c r="T1833" s="7" t="s">
        <v>4454</v>
      </c>
      <c r="U1833" s="7" t="s">
        <v>4455</v>
      </c>
      <c r="V18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34" spans="1:22" x14ac:dyDescent="0.35">
      <c r="A1834" s="7" t="s">
        <v>3693</v>
      </c>
      <c r="B1834" s="7" t="s">
        <v>79</v>
      </c>
      <c r="C1834" s="5">
        <v>136.88</v>
      </c>
      <c r="D1834" s="2">
        <v>0.73740740741050104</v>
      </c>
      <c r="E1834" s="4">
        <v>45125</v>
      </c>
      <c r="F1834" s="7" t="s">
        <v>46</v>
      </c>
      <c r="G1834" s="7" t="s">
        <v>92</v>
      </c>
      <c r="H1834" s="7" t="s">
        <v>2944</v>
      </c>
      <c r="I1834" s="7" t="s">
        <v>2510</v>
      </c>
      <c r="J1834" s="7" t="s">
        <v>175</v>
      </c>
      <c r="K1834" s="7" t="s">
        <v>69</v>
      </c>
      <c r="L1834" s="8">
        <v>24</v>
      </c>
      <c r="M1834" s="7" t="s">
        <v>37</v>
      </c>
      <c r="N1834" s="8">
        <v>71</v>
      </c>
      <c r="O1834" s="8">
        <v>1</v>
      </c>
      <c r="P1834" s="5">
        <v>7465.95</v>
      </c>
      <c r="Q1834" s="4">
        <v>45600</v>
      </c>
      <c r="R1834" s="9">
        <v>0.34090277777777778</v>
      </c>
      <c r="S1834" s="8">
        <v>17</v>
      </c>
      <c r="T1834" s="7" t="s">
        <v>4456</v>
      </c>
      <c r="U1834" s="7" t="s">
        <v>4455</v>
      </c>
      <c r="V18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35" spans="1:22" x14ac:dyDescent="0.35">
      <c r="A1835" s="7" t="s">
        <v>3694</v>
      </c>
      <c r="B1835" s="7" t="s">
        <v>1703</v>
      </c>
      <c r="C1835" s="5">
        <v>133.07</v>
      </c>
      <c r="D1835" s="2">
        <v>0.68250000000261934</v>
      </c>
      <c r="E1835" s="4">
        <v>45182</v>
      </c>
      <c r="F1835" s="7" t="s">
        <v>17</v>
      </c>
      <c r="G1835" s="7" t="s">
        <v>285</v>
      </c>
      <c r="H1835" s="7" t="s">
        <v>1297</v>
      </c>
      <c r="I1835" s="7" t="s">
        <v>1100</v>
      </c>
      <c r="J1835" s="7" t="s">
        <v>353</v>
      </c>
      <c r="K1835" s="7" t="s">
        <v>69</v>
      </c>
      <c r="L1835" s="8">
        <v>21</v>
      </c>
      <c r="M1835" s="7" t="s">
        <v>37</v>
      </c>
      <c r="N1835" s="8">
        <v>155</v>
      </c>
      <c r="O1835" s="8">
        <v>1</v>
      </c>
      <c r="P1835" s="5">
        <v>1670.99</v>
      </c>
      <c r="Q1835" s="4">
        <v>45600</v>
      </c>
      <c r="R1835" s="9">
        <v>0.33936342592592594</v>
      </c>
      <c r="S1835" s="8">
        <v>16</v>
      </c>
      <c r="T1835" s="7" t="s">
        <v>4456</v>
      </c>
      <c r="U1835" s="7" t="s">
        <v>4455</v>
      </c>
      <c r="V18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36" spans="1:22" x14ac:dyDescent="0.35">
      <c r="A1836" s="7" t="s">
        <v>3695</v>
      </c>
      <c r="B1836" s="7" t="s">
        <v>636</v>
      </c>
      <c r="C1836" s="5">
        <v>1.1399999999999999</v>
      </c>
      <c r="D1836" s="2">
        <v>0.677175925928168</v>
      </c>
      <c r="E1836" s="4">
        <v>45222</v>
      </c>
      <c r="F1836" s="7" t="s">
        <v>17</v>
      </c>
      <c r="G1836" s="7" t="s">
        <v>65</v>
      </c>
      <c r="H1836" s="7" t="s">
        <v>2160</v>
      </c>
      <c r="I1836" s="7" t="s">
        <v>132</v>
      </c>
      <c r="J1836" s="7" t="s">
        <v>358</v>
      </c>
      <c r="K1836" s="7" t="s">
        <v>69</v>
      </c>
      <c r="L1836" s="8">
        <v>43</v>
      </c>
      <c r="M1836" s="7" t="s">
        <v>23</v>
      </c>
      <c r="N1836" s="8">
        <v>137</v>
      </c>
      <c r="O1836" s="8">
        <v>1</v>
      </c>
      <c r="P1836" s="5">
        <v>13913.92</v>
      </c>
      <c r="Q1836" s="4">
        <v>45600</v>
      </c>
      <c r="R1836" s="9">
        <v>0.34140046296296295</v>
      </c>
      <c r="S1836" s="8">
        <v>16</v>
      </c>
      <c r="T1836" s="7" t="s">
        <v>4457</v>
      </c>
      <c r="U1836" s="7" t="s">
        <v>4455</v>
      </c>
      <c r="V18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37" spans="1:22" x14ac:dyDescent="0.35">
      <c r="A1837" s="7" t="s">
        <v>3696</v>
      </c>
      <c r="B1837" s="7" t="s">
        <v>1707</v>
      </c>
      <c r="C1837" s="5">
        <v>256.33999999999997</v>
      </c>
      <c r="D1837" s="2">
        <v>0.69585648148495238</v>
      </c>
      <c r="E1837" s="4">
        <v>45159</v>
      </c>
      <c r="F1837" s="7" t="s">
        <v>17</v>
      </c>
      <c r="G1837" s="7" t="s">
        <v>291</v>
      </c>
      <c r="H1837" s="7" t="s">
        <v>1152</v>
      </c>
      <c r="I1837" s="7" t="s">
        <v>3486</v>
      </c>
      <c r="J1837" s="7" t="s">
        <v>100</v>
      </c>
      <c r="K1837" s="7" t="s">
        <v>69</v>
      </c>
      <c r="L1837" s="8">
        <v>69</v>
      </c>
      <c r="M1837" s="7" t="s">
        <v>70</v>
      </c>
      <c r="N1837" s="8">
        <v>99</v>
      </c>
      <c r="O1837" s="8">
        <v>1</v>
      </c>
      <c r="P1837" s="5">
        <v>7471.63</v>
      </c>
      <c r="Q1837" s="4">
        <v>45600</v>
      </c>
      <c r="R1837" s="9">
        <v>0.33822916666666669</v>
      </c>
      <c r="S1837" s="8">
        <v>16</v>
      </c>
      <c r="T1837" s="7" t="s">
        <v>4454</v>
      </c>
      <c r="U1837" s="7" t="s">
        <v>4455</v>
      </c>
      <c r="V18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38" spans="1:22" x14ac:dyDescent="0.35">
      <c r="A1838" s="7" t="s">
        <v>3697</v>
      </c>
      <c r="B1838" s="7" t="s">
        <v>3556</v>
      </c>
      <c r="C1838" s="5">
        <v>56.11</v>
      </c>
      <c r="D1838" s="2">
        <v>0.72601851851504762</v>
      </c>
      <c r="E1838" s="4">
        <v>45012</v>
      </c>
      <c r="F1838" s="7" t="s">
        <v>17</v>
      </c>
      <c r="G1838" s="7" t="s">
        <v>388</v>
      </c>
      <c r="H1838" s="7" t="s">
        <v>1201</v>
      </c>
      <c r="I1838" s="7" t="s">
        <v>153</v>
      </c>
      <c r="J1838" s="7" t="s">
        <v>105</v>
      </c>
      <c r="K1838" s="7" t="s">
        <v>69</v>
      </c>
      <c r="L1838" s="8">
        <v>36</v>
      </c>
      <c r="M1838" s="7" t="s">
        <v>23</v>
      </c>
      <c r="N1838" s="8">
        <v>109</v>
      </c>
      <c r="O1838" s="8">
        <v>1</v>
      </c>
      <c r="P1838" s="5">
        <v>11123.65</v>
      </c>
      <c r="Q1838" s="4">
        <v>45600</v>
      </c>
      <c r="R1838" s="9">
        <v>0.33817129629629628</v>
      </c>
      <c r="S1838" s="8">
        <v>17</v>
      </c>
      <c r="T1838" s="7" t="s">
        <v>4457</v>
      </c>
      <c r="U1838" s="7" t="s">
        <v>4455</v>
      </c>
      <c r="V18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39" spans="1:22" x14ac:dyDescent="0.35">
      <c r="A1839" s="7" t="s">
        <v>3698</v>
      </c>
      <c r="B1839" s="7" t="s">
        <v>1206</v>
      </c>
      <c r="C1839" s="5">
        <v>118.1</v>
      </c>
      <c r="D1839" s="2">
        <v>0.671875</v>
      </c>
      <c r="E1839" s="4">
        <v>45194</v>
      </c>
      <c r="F1839" s="7" t="s">
        <v>17</v>
      </c>
      <c r="G1839" s="7" t="s">
        <v>157</v>
      </c>
      <c r="H1839" s="7" t="s">
        <v>1419</v>
      </c>
      <c r="I1839" s="7" t="s">
        <v>940</v>
      </c>
      <c r="J1839" s="7" t="s">
        <v>707</v>
      </c>
      <c r="K1839" s="7" t="s">
        <v>22</v>
      </c>
      <c r="L1839" s="8">
        <v>50</v>
      </c>
      <c r="M1839" s="7" t="s">
        <v>77</v>
      </c>
      <c r="N1839" s="8">
        <v>50</v>
      </c>
      <c r="O1839" s="8">
        <v>1</v>
      </c>
      <c r="P1839" s="5">
        <v>7976.6</v>
      </c>
      <c r="Q1839" s="4">
        <v>45600</v>
      </c>
      <c r="R1839" s="9">
        <v>0.34174768518518517</v>
      </c>
      <c r="S1839" s="8">
        <v>16</v>
      </c>
      <c r="T1839" s="7" t="s">
        <v>4457</v>
      </c>
      <c r="U1839" s="7" t="s">
        <v>4455</v>
      </c>
      <c r="V18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40" spans="1:22" x14ac:dyDescent="0.35">
      <c r="A1840" s="7" t="s">
        <v>3699</v>
      </c>
      <c r="B1840" s="7" t="s">
        <v>2616</v>
      </c>
      <c r="C1840" s="5">
        <v>137.86000000000001</v>
      </c>
      <c r="D1840" s="2">
        <v>0.67843749999883585</v>
      </c>
      <c r="E1840" s="4">
        <v>45166</v>
      </c>
      <c r="F1840" s="7" t="s">
        <v>46</v>
      </c>
      <c r="G1840" s="7" t="s">
        <v>285</v>
      </c>
      <c r="H1840" s="7" t="s">
        <v>1924</v>
      </c>
      <c r="I1840" s="7" t="s">
        <v>3538</v>
      </c>
      <c r="J1840" s="7" t="s">
        <v>1287</v>
      </c>
      <c r="K1840" s="7" t="s">
        <v>36</v>
      </c>
      <c r="L1840" s="8">
        <v>66</v>
      </c>
      <c r="M1840" s="7" t="s">
        <v>23</v>
      </c>
      <c r="N1840" s="8">
        <v>120</v>
      </c>
      <c r="O1840" s="8">
        <v>1</v>
      </c>
      <c r="P1840" s="5">
        <v>8046.94</v>
      </c>
      <c r="Q1840" s="4">
        <v>45600</v>
      </c>
      <c r="R1840" s="9">
        <v>0.34114583333333331</v>
      </c>
      <c r="S1840" s="8">
        <v>16</v>
      </c>
      <c r="T1840" s="7" t="s">
        <v>4454</v>
      </c>
      <c r="U1840" s="7" t="s">
        <v>4455</v>
      </c>
      <c r="V18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41" spans="1:22" x14ac:dyDescent="0.35">
      <c r="A1841" s="7" t="s">
        <v>3700</v>
      </c>
      <c r="B1841" s="7" t="s">
        <v>777</v>
      </c>
      <c r="C1841" s="5">
        <v>813.78</v>
      </c>
      <c r="D1841" s="2">
        <v>0.73753472221869742</v>
      </c>
      <c r="E1841" s="4">
        <v>45145</v>
      </c>
      <c r="F1841" s="7" t="s">
        <v>46</v>
      </c>
      <c r="G1841" s="7" t="s">
        <v>47</v>
      </c>
      <c r="H1841" s="7" t="s">
        <v>244</v>
      </c>
      <c r="I1841" s="7" t="s">
        <v>571</v>
      </c>
      <c r="J1841" s="7" t="s">
        <v>445</v>
      </c>
      <c r="K1841" s="7" t="s">
        <v>22</v>
      </c>
      <c r="L1841" s="8">
        <v>54</v>
      </c>
      <c r="M1841" s="7" t="s">
        <v>23</v>
      </c>
      <c r="N1841" s="8">
        <v>55</v>
      </c>
      <c r="O1841" s="8">
        <v>1</v>
      </c>
      <c r="P1841" s="5">
        <v>14935.5</v>
      </c>
      <c r="Q1841" s="4">
        <v>45600</v>
      </c>
      <c r="R1841" s="9">
        <v>0.33924768518518517</v>
      </c>
      <c r="S1841" s="8">
        <v>17</v>
      </c>
      <c r="T1841" s="7" t="s">
        <v>4457</v>
      </c>
      <c r="U1841" s="7" t="s">
        <v>4455</v>
      </c>
      <c r="V18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42" spans="1:22" x14ac:dyDescent="0.35">
      <c r="A1842" s="7" t="s">
        <v>3701</v>
      </c>
      <c r="B1842" s="7" t="s">
        <v>3702</v>
      </c>
      <c r="C1842" s="5">
        <v>237.97</v>
      </c>
      <c r="D1842" s="2">
        <v>0.72692129629285773</v>
      </c>
      <c r="E1842" s="4">
        <v>44935</v>
      </c>
      <c r="F1842" s="7" t="s">
        <v>17</v>
      </c>
      <c r="G1842" s="7" t="s">
        <v>125</v>
      </c>
      <c r="H1842" s="7" t="s">
        <v>2029</v>
      </c>
      <c r="I1842" s="7" t="s">
        <v>3274</v>
      </c>
      <c r="J1842" s="7" t="s">
        <v>548</v>
      </c>
      <c r="K1842" s="7" t="s">
        <v>22</v>
      </c>
      <c r="L1842" s="8">
        <v>69</v>
      </c>
      <c r="M1842" s="7" t="s">
        <v>23</v>
      </c>
      <c r="N1842" s="8">
        <v>69</v>
      </c>
      <c r="O1842" s="8">
        <v>1</v>
      </c>
      <c r="P1842" s="5">
        <v>13486.15</v>
      </c>
      <c r="Q1842" s="4">
        <v>45600</v>
      </c>
      <c r="R1842" s="9">
        <v>0.33792824074074074</v>
      </c>
      <c r="S1842" s="8">
        <v>17</v>
      </c>
      <c r="T1842" s="7" t="s">
        <v>4454</v>
      </c>
      <c r="U1842" s="7" t="s">
        <v>4455</v>
      </c>
      <c r="V18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43" spans="1:22" x14ac:dyDescent="0.35">
      <c r="A1843" s="7" t="s">
        <v>3703</v>
      </c>
      <c r="B1843" s="7" t="s">
        <v>1472</v>
      </c>
      <c r="C1843" s="5">
        <v>684.96</v>
      </c>
      <c r="D1843" s="2">
        <v>0.68040509259299142</v>
      </c>
      <c r="E1843" s="4">
        <v>44935</v>
      </c>
      <c r="F1843" s="7" t="s">
        <v>17</v>
      </c>
      <c r="G1843" s="7" t="s">
        <v>32</v>
      </c>
      <c r="H1843" s="7" t="s">
        <v>1386</v>
      </c>
      <c r="I1843" s="7" t="s">
        <v>444</v>
      </c>
      <c r="J1843" s="7" t="s">
        <v>272</v>
      </c>
      <c r="K1843" s="7" t="s">
        <v>22</v>
      </c>
      <c r="L1843" s="8">
        <v>21</v>
      </c>
      <c r="M1843" s="7" t="s">
        <v>37</v>
      </c>
      <c r="N1843" s="8">
        <v>31</v>
      </c>
      <c r="O1843" s="8">
        <v>1</v>
      </c>
      <c r="P1843" s="5">
        <v>526.66999999999996</v>
      </c>
      <c r="Q1843" s="4">
        <v>45600</v>
      </c>
      <c r="R1843" s="9">
        <v>0.33825231481481483</v>
      </c>
      <c r="S1843" s="8">
        <v>16</v>
      </c>
      <c r="T1843" s="7" t="s">
        <v>4456</v>
      </c>
      <c r="U1843" s="7" t="s">
        <v>4455</v>
      </c>
      <c r="V18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44" spans="1:22" x14ac:dyDescent="0.35">
      <c r="A1844" s="7" t="s">
        <v>3704</v>
      </c>
      <c r="B1844" s="7" t="s">
        <v>1016</v>
      </c>
      <c r="C1844" s="5">
        <v>878.63</v>
      </c>
      <c r="D1844" s="2">
        <v>0.70802083333546761</v>
      </c>
      <c r="E1844" s="4">
        <v>45022</v>
      </c>
      <c r="F1844" s="7" t="s">
        <v>17</v>
      </c>
      <c r="G1844" s="7" t="s">
        <v>125</v>
      </c>
      <c r="H1844" s="7" t="s">
        <v>3082</v>
      </c>
      <c r="I1844" s="7" t="s">
        <v>791</v>
      </c>
      <c r="J1844" s="7" t="s">
        <v>1014</v>
      </c>
      <c r="K1844" s="7" t="s">
        <v>22</v>
      </c>
      <c r="L1844" s="8">
        <v>60</v>
      </c>
      <c r="M1844" s="7" t="s">
        <v>77</v>
      </c>
      <c r="N1844" s="8">
        <v>139</v>
      </c>
      <c r="O1844" s="8">
        <v>1</v>
      </c>
      <c r="P1844" s="5">
        <v>4954.37</v>
      </c>
      <c r="Q1844" s="4">
        <v>45600</v>
      </c>
      <c r="R1844" s="9">
        <v>0.33825231481481483</v>
      </c>
      <c r="S1844" s="8">
        <v>16</v>
      </c>
      <c r="T1844" s="7" t="s">
        <v>4454</v>
      </c>
      <c r="U1844" s="7" t="s">
        <v>4455</v>
      </c>
      <c r="V18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45" spans="1:22" x14ac:dyDescent="0.35">
      <c r="A1845" s="7" t="s">
        <v>3705</v>
      </c>
      <c r="B1845" s="7" t="s">
        <v>396</v>
      </c>
      <c r="C1845" s="5">
        <v>276.56</v>
      </c>
      <c r="D1845" s="2">
        <v>0.72655092592322035</v>
      </c>
      <c r="E1845" s="4">
        <v>45026</v>
      </c>
      <c r="F1845" s="7" t="s">
        <v>17</v>
      </c>
      <c r="G1845" s="7" t="s">
        <v>119</v>
      </c>
      <c r="H1845" s="7" t="s">
        <v>559</v>
      </c>
      <c r="I1845" s="7" t="s">
        <v>3035</v>
      </c>
      <c r="J1845" s="7" t="s">
        <v>43</v>
      </c>
      <c r="K1845" s="7" t="s">
        <v>69</v>
      </c>
      <c r="L1845" s="8">
        <v>68</v>
      </c>
      <c r="M1845" s="7" t="s">
        <v>23</v>
      </c>
      <c r="N1845" s="8">
        <v>15</v>
      </c>
      <c r="O1845" s="8">
        <v>1</v>
      </c>
      <c r="P1845" s="5">
        <v>8942.58</v>
      </c>
      <c r="Q1845" s="4">
        <v>45600</v>
      </c>
      <c r="R1845" s="9">
        <v>0.33954861111111112</v>
      </c>
      <c r="S1845" s="8">
        <v>17</v>
      </c>
      <c r="T1845" s="7" t="s">
        <v>4454</v>
      </c>
      <c r="U1845" s="7" t="s">
        <v>4455</v>
      </c>
      <c r="V18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46" spans="1:22" x14ac:dyDescent="0.35">
      <c r="A1846" s="7" t="s">
        <v>3706</v>
      </c>
      <c r="B1846" s="7" t="s">
        <v>1794</v>
      </c>
      <c r="C1846" s="5">
        <v>8.75</v>
      </c>
      <c r="D1846" s="2">
        <v>0.67420138888701331</v>
      </c>
      <c r="E1846" s="4">
        <v>45092</v>
      </c>
      <c r="F1846" s="7" t="s">
        <v>17</v>
      </c>
      <c r="G1846" s="7" t="s">
        <v>108</v>
      </c>
      <c r="H1846" s="7" t="s">
        <v>2809</v>
      </c>
      <c r="I1846" s="7" t="s">
        <v>1048</v>
      </c>
      <c r="J1846" s="7" t="s">
        <v>169</v>
      </c>
      <c r="K1846" s="7" t="s">
        <v>22</v>
      </c>
      <c r="L1846" s="8">
        <v>79</v>
      </c>
      <c r="M1846" s="7" t="s">
        <v>70</v>
      </c>
      <c r="N1846" s="8">
        <v>199</v>
      </c>
      <c r="O1846" s="8">
        <v>1</v>
      </c>
      <c r="P1846" s="5">
        <v>4044.62</v>
      </c>
      <c r="Q1846" s="4">
        <v>45600</v>
      </c>
      <c r="R1846" s="9">
        <v>0.34047453703703706</v>
      </c>
      <c r="S1846" s="8">
        <v>16</v>
      </c>
      <c r="T1846" s="7" t="s">
        <v>4454</v>
      </c>
      <c r="U1846" s="7" t="s">
        <v>4455</v>
      </c>
      <c r="V18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47" spans="1:22" x14ac:dyDescent="0.35">
      <c r="A1847" s="7" t="s">
        <v>3707</v>
      </c>
      <c r="B1847" s="7" t="s">
        <v>1644</v>
      </c>
      <c r="C1847" s="5">
        <v>637.48</v>
      </c>
      <c r="D1847" s="2">
        <v>0.68601851852145046</v>
      </c>
      <c r="E1847" s="4">
        <v>45187</v>
      </c>
      <c r="F1847" s="7" t="s">
        <v>17</v>
      </c>
      <c r="G1847" s="7" t="s">
        <v>521</v>
      </c>
      <c r="H1847" s="7" t="s">
        <v>2333</v>
      </c>
      <c r="I1847" s="7" t="s">
        <v>1366</v>
      </c>
      <c r="J1847" s="7" t="s">
        <v>1810</v>
      </c>
      <c r="K1847" s="7" t="s">
        <v>36</v>
      </c>
      <c r="L1847" s="8">
        <v>65</v>
      </c>
      <c r="M1847" s="7" t="s">
        <v>70</v>
      </c>
      <c r="N1847" s="8">
        <v>207</v>
      </c>
      <c r="O1847" s="8">
        <v>1</v>
      </c>
      <c r="P1847" s="5">
        <v>4148.8500000000004</v>
      </c>
      <c r="Q1847" s="4">
        <v>45600</v>
      </c>
      <c r="R1847" s="9">
        <v>0.33899305555555553</v>
      </c>
      <c r="S1847" s="8">
        <v>16</v>
      </c>
      <c r="T1847" s="7" t="s">
        <v>4454</v>
      </c>
      <c r="U1847" s="7" t="s">
        <v>4455</v>
      </c>
      <c r="V18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48" spans="1:22" x14ac:dyDescent="0.35">
      <c r="A1848" s="7" t="s">
        <v>3708</v>
      </c>
      <c r="B1848" s="7" t="s">
        <v>1197</v>
      </c>
      <c r="C1848" s="5">
        <v>103.15</v>
      </c>
      <c r="D1848" s="2">
        <v>0.74776620370539604</v>
      </c>
      <c r="E1848" s="4">
        <v>45168</v>
      </c>
      <c r="F1848" s="7" t="s">
        <v>17</v>
      </c>
      <c r="G1848" s="7" t="s">
        <v>18</v>
      </c>
      <c r="H1848" s="7" t="s">
        <v>1132</v>
      </c>
      <c r="I1848" s="7" t="s">
        <v>643</v>
      </c>
      <c r="J1848" s="7" t="s">
        <v>752</v>
      </c>
      <c r="K1848" s="7" t="s">
        <v>69</v>
      </c>
      <c r="L1848" s="8">
        <v>51</v>
      </c>
      <c r="M1848" s="7" t="s">
        <v>23</v>
      </c>
      <c r="N1848" s="8">
        <v>179</v>
      </c>
      <c r="O1848" s="8">
        <v>1</v>
      </c>
      <c r="P1848" s="5">
        <v>11388.15</v>
      </c>
      <c r="Q1848" s="4">
        <v>45600</v>
      </c>
      <c r="R1848" s="9">
        <v>0.33850694444444446</v>
      </c>
      <c r="S1848" s="8">
        <v>17</v>
      </c>
      <c r="T1848" s="7" t="s">
        <v>4457</v>
      </c>
      <c r="U1848" s="7" t="s">
        <v>4455</v>
      </c>
      <c r="V18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49" spans="1:22" x14ac:dyDescent="0.35">
      <c r="A1849" s="7" t="s">
        <v>3709</v>
      </c>
      <c r="B1849" s="7" t="s">
        <v>899</v>
      </c>
      <c r="C1849" s="5">
        <v>505.6</v>
      </c>
      <c r="D1849" s="2">
        <v>0.74775462962861639</v>
      </c>
      <c r="E1849" s="4">
        <v>44971</v>
      </c>
      <c r="F1849" s="7" t="s">
        <v>17</v>
      </c>
      <c r="G1849" s="7" t="s">
        <v>114</v>
      </c>
      <c r="H1849" s="7" t="s">
        <v>3710</v>
      </c>
      <c r="I1849" s="7" t="s">
        <v>1277</v>
      </c>
      <c r="J1849" s="7" t="s">
        <v>1037</v>
      </c>
      <c r="K1849" s="7" t="s">
        <v>69</v>
      </c>
      <c r="L1849" s="8">
        <v>52</v>
      </c>
      <c r="M1849" s="7" t="s">
        <v>70</v>
      </c>
      <c r="N1849" s="8">
        <v>183</v>
      </c>
      <c r="O1849" s="8">
        <v>1</v>
      </c>
      <c r="P1849" s="5">
        <v>5347.57</v>
      </c>
      <c r="Q1849" s="4">
        <v>45600</v>
      </c>
      <c r="R1849" s="9">
        <v>0.34038194444444442</v>
      </c>
      <c r="S1849" s="8">
        <v>17</v>
      </c>
      <c r="T1849" s="7" t="s">
        <v>4457</v>
      </c>
      <c r="U1849" s="7" t="s">
        <v>4455</v>
      </c>
      <c r="V18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0" spans="1:22" x14ac:dyDescent="0.35">
      <c r="A1850" s="7" t="s">
        <v>3711</v>
      </c>
      <c r="B1850" s="7" t="s">
        <v>537</v>
      </c>
      <c r="C1850" s="5">
        <v>371.86</v>
      </c>
      <c r="D1850" s="2">
        <v>0.72843750000174623</v>
      </c>
      <c r="E1850" s="4">
        <v>44977</v>
      </c>
      <c r="F1850" s="7" t="s">
        <v>17</v>
      </c>
      <c r="G1850" s="7" t="s">
        <v>172</v>
      </c>
      <c r="H1850" s="7" t="s">
        <v>2721</v>
      </c>
      <c r="I1850" s="7" t="s">
        <v>2104</v>
      </c>
      <c r="J1850" s="7" t="s">
        <v>89</v>
      </c>
      <c r="K1850" s="7" t="s">
        <v>22</v>
      </c>
      <c r="L1850" s="8">
        <v>46</v>
      </c>
      <c r="M1850" s="7" t="s">
        <v>23</v>
      </c>
      <c r="N1850" s="8">
        <v>91</v>
      </c>
      <c r="O1850" s="8">
        <v>1</v>
      </c>
      <c r="P1850" s="5">
        <v>1329.45</v>
      </c>
      <c r="Q1850" s="4">
        <v>45600</v>
      </c>
      <c r="R1850" s="9">
        <v>0.33910879629629631</v>
      </c>
      <c r="S1850" s="8">
        <v>17</v>
      </c>
      <c r="T1850" s="7" t="s">
        <v>4457</v>
      </c>
      <c r="U1850" s="7" t="s">
        <v>4455</v>
      </c>
      <c r="V18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1" spans="1:22" x14ac:dyDescent="0.35">
      <c r="A1851" s="7" t="s">
        <v>3712</v>
      </c>
      <c r="B1851" s="7" t="s">
        <v>2125</v>
      </c>
      <c r="C1851" s="5">
        <v>14.26</v>
      </c>
      <c r="D1851" s="2">
        <v>0.71143518518510973</v>
      </c>
      <c r="E1851" s="4">
        <v>45257</v>
      </c>
      <c r="F1851" s="7" t="s">
        <v>17</v>
      </c>
      <c r="G1851" s="7" t="s">
        <v>301</v>
      </c>
      <c r="H1851" s="7" t="s">
        <v>2230</v>
      </c>
      <c r="I1851" s="7" t="s">
        <v>493</v>
      </c>
      <c r="J1851" s="7" t="s">
        <v>209</v>
      </c>
      <c r="K1851" s="7" t="s">
        <v>69</v>
      </c>
      <c r="L1851" s="8">
        <v>50</v>
      </c>
      <c r="M1851" s="7" t="s">
        <v>77</v>
      </c>
      <c r="N1851" s="8">
        <v>37</v>
      </c>
      <c r="O1851" s="8">
        <v>1</v>
      </c>
      <c r="P1851" s="5">
        <v>2475.65</v>
      </c>
      <c r="Q1851" s="4">
        <v>45600</v>
      </c>
      <c r="R1851" s="9">
        <v>0.33974537037037039</v>
      </c>
      <c r="S1851" s="8">
        <v>17</v>
      </c>
      <c r="T1851" s="7" t="s">
        <v>4457</v>
      </c>
      <c r="U1851" s="7" t="s">
        <v>4455</v>
      </c>
      <c r="V18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2" spans="1:22" x14ac:dyDescent="0.35">
      <c r="A1852" s="7" t="s">
        <v>3713</v>
      </c>
      <c r="B1852" s="7" t="s">
        <v>935</v>
      </c>
      <c r="C1852" s="5">
        <v>13.16</v>
      </c>
      <c r="D1852" s="2">
        <v>0.73344907407590654</v>
      </c>
      <c r="E1852" s="4">
        <v>45047</v>
      </c>
      <c r="F1852" s="7" t="s">
        <v>17</v>
      </c>
      <c r="G1852" s="7" t="s">
        <v>32</v>
      </c>
      <c r="H1852" s="7" t="s">
        <v>360</v>
      </c>
      <c r="I1852" s="7" t="s">
        <v>643</v>
      </c>
      <c r="J1852" s="7" t="s">
        <v>820</v>
      </c>
      <c r="K1852" s="7" t="s">
        <v>69</v>
      </c>
      <c r="L1852" s="8">
        <v>43</v>
      </c>
      <c r="M1852" s="7" t="s">
        <v>77</v>
      </c>
      <c r="N1852" s="8">
        <v>98</v>
      </c>
      <c r="O1852" s="8">
        <v>1</v>
      </c>
      <c r="P1852" s="5">
        <v>1019.46</v>
      </c>
      <c r="Q1852" s="4">
        <v>45600</v>
      </c>
      <c r="R1852" s="9">
        <v>0.34062500000000001</v>
      </c>
      <c r="S1852" s="8">
        <v>17</v>
      </c>
      <c r="T1852" s="7" t="s">
        <v>4457</v>
      </c>
      <c r="U1852" s="7" t="s">
        <v>4455</v>
      </c>
      <c r="V18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3" spans="1:22" x14ac:dyDescent="0.35">
      <c r="A1853" s="7" t="s">
        <v>3714</v>
      </c>
      <c r="B1853" s="7" t="s">
        <v>855</v>
      </c>
      <c r="C1853" s="5">
        <v>167.92</v>
      </c>
      <c r="D1853" s="2">
        <v>0.74599537037283881</v>
      </c>
      <c r="E1853" s="4">
        <v>45103</v>
      </c>
      <c r="F1853" s="7" t="s">
        <v>17</v>
      </c>
      <c r="G1853" s="7" t="s">
        <v>92</v>
      </c>
      <c r="H1853" s="7" t="s">
        <v>120</v>
      </c>
      <c r="I1853" s="7" t="s">
        <v>2314</v>
      </c>
      <c r="J1853" s="7" t="s">
        <v>1345</v>
      </c>
      <c r="K1853" s="7" t="s">
        <v>22</v>
      </c>
      <c r="L1853" s="8">
        <v>40</v>
      </c>
      <c r="M1853" s="7" t="s">
        <v>23</v>
      </c>
      <c r="N1853" s="8">
        <v>136</v>
      </c>
      <c r="O1853" s="8">
        <v>2</v>
      </c>
      <c r="P1853" s="5">
        <v>14321.73</v>
      </c>
      <c r="Q1853" s="4">
        <v>45600</v>
      </c>
      <c r="R1853" s="9">
        <v>0.33905092592592595</v>
      </c>
      <c r="S1853" s="8">
        <v>17</v>
      </c>
      <c r="T1853" s="7" t="s">
        <v>4457</v>
      </c>
      <c r="U1853" s="7" t="s">
        <v>4458</v>
      </c>
      <c r="V18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4" spans="1:22" x14ac:dyDescent="0.35">
      <c r="A1854" s="7" t="s">
        <v>3715</v>
      </c>
      <c r="B1854" s="7" t="s">
        <v>1027</v>
      </c>
      <c r="C1854" s="5">
        <v>73.010000000000005</v>
      </c>
      <c r="D1854" s="2">
        <v>0.71004629629896954</v>
      </c>
      <c r="E1854" s="4">
        <v>45055</v>
      </c>
      <c r="F1854" s="7" t="s">
        <v>17</v>
      </c>
      <c r="G1854" s="7" t="s">
        <v>26</v>
      </c>
      <c r="H1854" s="7" t="s">
        <v>1340</v>
      </c>
      <c r="I1854" s="7" t="s">
        <v>870</v>
      </c>
      <c r="J1854" s="7" t="s">
        <v>272</v>
      </c>
      <c r="K1854" s="7" t="s">
        <v>22</v>
      </c>
      <c r="L1854" s="8">
        <v>56</v>
      </c>
      <c r="M1854" s="7" t="s">
        <v>70</v>
      </c>
      <c r="N1854" s="8">
        <v>101</v>
      </c>
      <c r="O1854" s="8">
        <v>1</v>
      </c>
      <c r="P1854" s="5">
        <v>2833.12</v>
      </c>
      <c r="Q1854" s="4">
        <v>45600</v>
      </c>
      <c r="R1854" s="9">
        <v>0.34013888888888888</v>
      </c>
      <c r="S1854" s="8">
        <v>17</v>
      </c>
      <c r="T1854" s="7" t="s">
        <v>4454</v>
      </c>
      <c r="U1854" s="7" t="s">
        <v>4455</v>
      </c>
      <c r="V18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5" spans="1:22" x14ac:dyDescent="0.35">
      <c r="A1855" s="7" t="s">
        <v>3716</v>
      </c>
      <c r="B1855" s="7" t="s">
        <v>1802</v>
      </c>
      <c r="C1855" s="5">
        <v>201.5</v>
      </c>
      <c r="D1855" s="2">
        <v>0.75811342592351139</v>
      </c>
      <c r="E1855" s="4">
        <v>45121</v>
      </c>
      <c r="F1855" s="7" t="s">
        <v>46</v>
      </c>
      <c r="G1855" s="7" t="s">
        <v>323</v>
      </c>
      <c r="H1855" s="7" t="s">
        <v>778</v>
      </c>
      <c r="I1855" s="7" t="s">
        <v>104</v>
      </c>
      <c r="J1855" s="7" t="s">
        <v>386</v>
      </c>
      <c r="K1855" s="7" t="s">
        <v>36</v>
      </c>
      <c r="L1855" s="8">
        <v>61</v>
      </c>
      <c r="M1855" s="7" t="s">
        <v>23</v>
      </c>
      <c r="N1855" s="8">
        <v>196</v>
      </c>
      <c r="O1855" s="8">
        <v>1</v>
      </c>
      <c r="P1855" s="5">
        <v>12148.32</v>
      </c>
      <c r="Q1855" s="4">
        <v>45600</v>
      </c>
      <c r="R1855" s="9">
        <v>0.33944444444444444</v>
      </c>
      <c r="S1855" s="8">
        <v>18</v>
      </c>
      <c r="T1855" s="7" t="s">
        <v>4454</v>
      </c>
      <c r="U1855" s="7" t="s">
        <v>4455</v>
      </c>
      <c r="V18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6" spans="1:22" x14ac:dyDescent="0.35">
      <c r="A1856" s="7" t="s">
        <v>3717</v>
      </c>
      <c r="B1856" s="7" t="s">
        <v>2877</v>
      </c>
      <c r="C1856" s="5">
        <v>150.30000000000001</v>
      </c>
      <c r="D1856" s="2">
        <v>0.72630787036905531</v>
      </c>
      <c r="E1856" s="4">
        <v>45145</v>
      </c>
      <c r="F1856" s="7" t="s">
        <v>17</v>
      </c>
      <c r="G1856" s="7" t="s">
        <v>146</v>
      </c>
      <c r="H1856" s="7" t="s">
        <v>1891</v>
      </c>
      <c r="I1856" s="7" t="s">
        <v>2579</v>
      </c>
      <c r="J1856" s="7" t="s">
        <v>543</v>
      </c>
      <c r="K1856" s="7" t="s">
        <v>36</v>
      </c>
      <c r="L1856" s="8">
        <v>41</v>
      </c>
      <c r="M1856" s="7" t="s">
        <v>23</v>
      </c>
      <c r="N1856" s="8">
        <v>204</v>
      </c>
      <c r="O1856" s="8">
        <v>1</v>
      </c>
      <c r="P1856" s="5">
        <v>14371.08</v>
      </c>
      <c r="Q1856" s="4">
        <v>45600</v>
      </c>
      <c r="R1856" s="9">
        <v>0.33923611111111113</v>
      </c>
      <c r="S1856" s="8">
        <v>17</v>
      </c>
      <c r="T1856" s="7" t="s">
        <v>4457</v>
      </c>
      <c r="U1856" s="7" t="s">
        <v>4455</v>
      </c>
      <c r="V18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7" spans="1:22" x14ac:dyDescent="0.35">
      <c r="A1857" s="7" t="s">
        <v>3718</v>
      </c>
      <c r="B1857" s="7" t="s">
        <v>2179</v>
      </c>
      <c r="C1857" s="5">
        <v>23.7</v>
      </c>
      <c r="D1857" s="2">
        <v>0.74412037037109258</v>
      </c>
      <c r="E1857" s="4">
        <v>45225</v>
      </c>
      <c r="F1857" s="7" t="s">
        <v>17</v>
      </c>
      <c r="G1857" s="7" t="s">
        <v>212</v>
      </c>
      <c r="H1857" s="7" t="s">
        <v>152</v>
      </c>
      <c r="I1857" s="7" t="s">
        <v>42</v>
      </c>
      <c r="J1857" s="7" t="s">
        <v>358</v>
      </c>
      <c r="K1857" s="7" t="s">
        <v>22</v>
      </c>
      <c r="L1857" s="8">
        <v>46</v>
      </c>
      <c r="M1857" s="7" t="s">
        <v>23</v>
      </c>
      <c r="N1857" s="8">
        <v>32</v>
      </c>
      <c r="O1857" s="8">
        <v>1</v>
      </c>
      <c r="P1857" s="5">
        <v>7947.44</v>
      </c>
      <c r="Q1857" s="4">
        <v>45600</v>
      </c>
      <c r="R1857" s="9">
        <v>0.3414814814814815</v>
      </c>
      <c r="S1857" s="8">
        <v>17</v>
      </c>
      <c r="T1857" s="7" t="s">
        <v>4457</v>
      </c>
      <c r="U1857" s="7" t="s">
        <v>4455</v>
      </c>
      <c r="V18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58" spans="1:22" x14ac:dyDescent="0.35">
      <c r="A1858" s="7" t="s">
        <v>3719</v>
      </c>
      <c r="B1858" s="7" t="s">
        <v>3720</v>
      </c>
      <c r="C1858" s="5">
        <v>49.59</v>
      </c>
      <c r="D1858" s="2">
        <v>0.69814814814890269</v>
      </c>
      <c r="E1858" s="4">
        <v>45163</v>
      </c>
      <c r="F1858" s="7" t="s">
        <v>17</v>
      </c>
      <c r="G1858" s="7" t="s">
        <v>388</v>
      </c>
      <c r="H1858" s="7" t="s">
        <v>2763</v>
      </c>
      <c r="I1858" s="7" t="s">
        <v>3721</v>
      </c>
      <c r="J1858" s="7" t="s">
        <v>548</v>
      </c>
      <c r="K1858" s="7" t="s">
        <v>69</v>
      </c>
      <c r="L1858" s="8">
        <v>48</v>
      </c>
      <c r="M1858" s="7" t="s">
        <v>77</v>
      </c>
      <c r="N1858" s="8">
        <v>147</v>
      </c>
      <c r="O1858" s="8">
        <v>1</v>
      </c>
      <c r="P1858" s="5">
        <v>6037.03</v>
      </c>
      <c r="Q1858" s="4">
        <v>45600</v>
      </c>
      <c r="R1858" s="9">
        <v>0.34023148148148147</v>
      </c>
      <c r="S1858" s="8">
        <v>16</v>
      </c>
      <c r="T1858" s="7" t="s">
        <v>4457</v>
      </c>
      <c r="U1858" s="7" t="s">
        <v>4455</v>
      </c>
      <c r="V18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59" spans="1:22" x14ac:dyDescent="0.35">
      <c r="A1859" s="7" t="s">
        <v>3722</v>
      </c>
      <c r="B1859" s="7" t="s">
        <v>905</v>
      </c>
      <c r="C1859" s="5">
        <v>720.13</v>
      </c>
      <c r="D1859" s="2">
        <v>0.74896990740671754</v>
      </c>
      <c r="E1859" s="4">
        <v>44971</v>
      </c>
      <c r="F1859" s="7" t="s">
        <v>46</v>
      </c>
      <c r="G1859" s="7" t="s">
        <v>296</v>
      </c>
      <c r="H1859" s="7" t="s">
        <v>2340</v>
      </c>
      <c r="I1859" s="7" t="s">
        <v>1202</v>
      </c>
      <c r="J1859" s="7" t="s">
        <v>1209</v>
      </c>
      <c r="K1859" s="7" t="s">
        <v>22</v>
      </c>
      <c r="L1859" s="8">
        <v>22</v>
      </c>
      <c r="M1859" s="7" t="s">
        <v>37</v>
      </c>
      <c r="N1859" s="8">
        <v>96</v>
      </c>
      <c r="O1859" s="8">
        <v>1</v>
      </c>
      <c r="P1859" s="5">
        <v>387.02</v>
      </c>
      <c r="Q1859" s="4">
        <v>45600</v>
      </c>
      <c r="R1859" s="9">
        <v>0.33855324074074072</v>
      </c>
      <c r="S1859" s="8">
        <v>17</v>
      </c>
      <c r="T1859" s="7" t="s">
        <v>4456</v>
      </c>
      <c r="U1859" s="7" t="s">
        <v>4455</v>
      </c>
      <c r="V18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60" spans="1:22" x14ac:dyDescent="0.35">
      <c r="A1860" s="7" t="s">
        <v>3723</v>
      </c>
      <c r="B1860" s="7" t="s">
        <v>52</v>
      </c>
      <c r="C1860" s="5">
        <v>134.91999999999999</v>
      </c>
      <c r="D1860" s="2">
        <v>0.69881944444205146</v>
      </c>
      <c r="E1860" s="4">
        <v>45230</v>
      </c>
      <c r="F1860" s="7" t="s">
        <v>17</v>
      </c>
      <c r="G1860" s="7" t="s">
        <v>140</v>
      </c>
      <c r="H1860" s="7" t="s">
        <v>3082</v>
      </c>
      <c r="I1860" s="7" t="s">
        <v>352</v>
      </c>
      <c r="J1860" s="7" t="s">
        <v>1037</v>
      </c>
      <c r="K1860" s="7" t="s">
        <v>36</v>
      </c>
      <c r="L1860" s="8">
        <v>19</v>
      </c>
      <c r="M1860" s="7" t="s">
        <v>37</v>
      </c>
      <c r="N1860" s="8">
        <v>101</v>
      </c>
      <c r="O1860" s="8">
        <v>1</v>
      </c>
      <c r="P1860" s="5">
        <v>1081.97</v>
      </c>
      <c r="Q1860" s="4">
        <v>45600</v>
      </c>
      <c r="R1860" s="9">
        <v>0.34004629629629629</v>
      </c>
      <c r="S1860" s="8">
        <v>16</v>
      </c>
      <c r="T1860" s="7" t="s">
        <v>4456</v>
      </c>
      <c r="U1860" s="7" t="s">
        <v>4455</v>
      </c>
      <c r="V18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61" spans="1:22" x14ac:dyDescent="0.35">
      <c r="A1861" s="7" t="s">
        <v>3724</v>
      </c>
      <c r="B1861" s="7" t="s">
        <v>1311</v>
      </c>
      <c r="C1861" s="5">
        <v>116.97</v>
      </c>
      <c r="D1861" s="2">
        <v>0.70340277777722804</v>
      </c>
      <c r="E1861" s="4">
        <v>45119</v>
      </c>
      <c r="F1861" s="7" t="s">
        <v>17</v>
      </c>
      <c r="G1861" s="7" t="s">
        <v>53</v>
      </c>
      <c r="H1861" s="7" t="s">
        <v>103</v>
      </c>
      <c r="I1861" s="7" t="s">
        <v>681</v>
      </c>
      <c r="J1861" s="7" t="s">
        <v>576</v>
      </c>
      <c r="K1861" s="7" t="s">
        <v>22</v>
      </c>
      <c r="L1861" s="8">
        <v>18</v>
      </c>
      <c r="M1861" s="7" t="s">
        <v>37</v>
      </c>
      <c r="N1861" s="8">
        <v>299</v>
      </c>
      <c r="O1861" s="8">
        <v>1</v>
      </c>
      <c r="P1861" s="5">
        <v>729.7</v>
      </c>
      <c r="Q1861" s="4">
        <v>45600</v>
      </c>
      <c r="R1861" s="9">
        <v>0.33916666666666667</v>
      </c>
      <c r="S1861" s="8">
        <v>16</v>
      </c>
      <c r="T1861" s="7" t="s">
        <v>4456</v>
      </c>
      <c r="U1861" s="7" t="s">
        <v>4455</v>
      </c>
      <c r="V18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62" spans="1:22" x14ac:dyDescent="0.35">
      <c r="A1862" s="7" t="s">
        <v>3725</v>
      </c>
      <c r="B1862" s="7" t="s">
        <v>2690</v>
      </c>
      <c r="C1862" s="5">
        <v>11.06</v>
      </c>
      <c r="D1862" s="2">
        <v>0.74935185185313458</v>
      </c>
      <c r="E1862" s="4">
        <v>45231</v>
      </c>
      <c r="F1862" s="7" t="s">
        <v>17</v>
      </c>
      <c r="G1862" s="7" t="s">
        <v>521</v>
      </c>
      <c r="H1862" s="7" t="s">
        <v>1956</v>
      </c>
      <c r="I1862" s="7" t="s">
        <v>811</v>
      </c>
      <c r="J1862" s="7" t="s">
        <v>980</v>
      </c>
      <c r="K1862" s="7" t="s">
        <v>22</v>
      </c>
      <c r="L1862" s="8">
        <v>34</v>
      </c>
      <c r="M1862" s="7" t="s">
        <v>77</v>
      </c>
      <c r="N1862" s="8">
        <v>13</v>
      </c>
      <c r="O1862" s="8">
        <v>3</v>
      </c>
      <c r="P1862" s="5">
        <v>2782.21</v>
      </c>
      <c r="Q1862" s="4">
        <v>45600</v>
      </c>
      <c r="R1862" s="9">
        <v>0.33828703703703705</v>
      </c>
      <c r="S1862" s="8">
        <v>17</v>
      </c>
      <c r="T1862" s="7" t="s">
        <v>4456</v>
      </c>
      <c r="U1862" s="7" t="s">
        <v>4458</v>
      </c>
      <c r="V18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63" spans="1:22" x14ac:dyDescent="0.35">
      <c r="A1863" s="7" t="s">
        <v>3726</v>
      </c>
      <c r="B1863" s="7" t="s">
        <v>1381</v>
      </c>
      <c r="C1863" s="5">
        <v>88.29</v>
      </c>
      <c r="D1863" s="2">
        <v>0.69868055555707542</v>
      </c>
      <c r="E1863" s="4">
        <v>44946</v>
      </c>
      <c r="F1863" s="7" t="s">
        <v>46</v>
      </c>
      <c r="G1863" s="7" t="s">
        <v>26</v>
      </c>
      <c r="H1863" s="7" t="s">
        <v>1258</v>
      </c>
      <c r="I1863" s="7" t="s">
        <v>3087</v>
      </c>
      <c r="J1863" s="7" t="s">
        <v>137</v>
      </c>
      <c r="K1863" s="7" t="s">
        <v>36</v>
      </c>
      <c r="L1863" s="8">
        <v>50</v>
      </c>
      <c r="M1863" s="7" t="s">
        <v>77</v>
      </c>
      <c r="N1863" s="8">
        <v>287</v>
      </c>
      <c r="O1863" s="8">
        <v>1</v>
      </c>
      <c r="P1863" s="5">
        <v>5245.93</v>
      </c>
      <c r="Q1863" s="4">
        <v>45600</v>
      </c>
      <c r="R1863" s="9">
        <v>0.33978009259259262</v>
      </c>
      <c r="S1863" s="8">
        <v>16</v>
      </c>
      <c r="T1863" s="7" t="s">
        <v>4457</v>
      </c>
      <c r="U1863" s="7" t="s">
        <v>4455</v>
      </c>
      <c r="V18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64" spans="1:22" x14ac:dyDescent="0.35">
      <c r="A1864" s="7" t="s">
        <v>3727</v>
      </c>
      <c r="B1864" s="7" t="s">
        <v>1186</v>
      </c>
      <c r="C1864" s="5">
        <v>5.81</v>
      </c>
      <c r="D1864" s="2">
        <v>0.73365740740700858</v>
      </c>
      <c r="E1864" s="4">
        <v>45100</v>
      </c>
      <c r="F1864" s="7" t="s">
        <v>17</v>
      </c>
      <c r="G1864" s="7" t="s">
        <v>26</v>
      </c>
      <c r="H1864" s="7" t="s">
        <v>900</v>
      </c>
      <c r="I1864" s="7" t="s">
        <v>747</v>
      </c>
      <c r="J1864" s="7" t="s">
        <v>331</v>
      </c>
      <c r="K1864" s="7" t="s">
        <v>22</v>
      </c>
      <c r="L1864" s="8">
        <v>25</v>
      </c>
      <c r="M1864" s="7" t="s">
        <v>37</v>
      </c>
      <c r="N1864" s="8">
        <v>222</v>
      </c>
      <c r="O1864" s="8">
        <v>1</v>
      </c>
      <c r="P1864" s="5">
        <v>1290.95</v>
      </c>
      <c r="Q1864" s="4">
        <v>45600</v>
      </c>
      <c r="R1864" s="9">
        <v>0.33891203703703704</v>
      </c>
      <c r="S1864" s="8">
        <v>17</v>
      </c>
      <c r="T1864" s="7" t="s">
        <v>4456</v>
      </c>
      <c r="U1864" s="7" t="s">
        <v>4455</v>
      </c>
      <c r="V18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65" spans="1:22" x14ac:dyDescent="0.35">
      <c r="A1865" s="7" t="s">
        <v>3728</v>
      </c>
      <c r="B1865" s="7" t="s">
        <v>2532</v>
      </c>
      <c r="C1865" s="5">
        <v>103.48</v>
      </c>
      <c r="D1865" s="2">
        <v>0.66964120370539604</v>
      </c>
      <c r="E1865" s="4">
        <v>44956</v>
      </c>
      <c r="F1865" s="7" t="s">
        <v>17</v>
      </c>
      <c r="G1865" s="7" t="s">
        <v>197</v>
      </c>
      <c r="H1865" s="7" t="s">
        <v>1148</v>
      </c>
      <c r="I1865" s="7" t="s">
        <v>2864</v>
      </c>
      <c r="J1865" s="7" t="s">
        <v>312</v>
      </c>
      <c r="K1865" s="7" t="s">
        <v>22</v>
      </c>
      <c r="L1865" s="8">
        <v>32</v>
      </c>
      <c r="M1865" s="7" t="s">
        <v>77</v>
      </c>
      <c r="N1865" s="8">
        <v>33</v>
      </c>
      <c r="O1865" s="8">
        <v>1</v>
      </c>
      <c r="P1865" s="5">
        <v>6494.25</v>
      </c>
      <c r="Q1865" s="4">
        <v>45600</v>
      </c>
      <c r="R1865" s="9">
        <v>0.33997685185185184</v>
      </c>
      <c r="S1865" s="8">
        <v>16</v>
      </c>
      <c r="T1865" s="7" t="s">
        <v>4456</v>
      </c>
      <c r="U1865" s="7" t="s">
        <v>4455</v>
      </c>
      <c r="V18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66" spans="1:22" x14ac:dyDescent="0.35">
      <c r="A1866" s="7" t="s">
        <v>3729</v>
      </c>
      <c r="B1866" s="7" t="s">
        <v>2024</v>
      </c>
      <c r="C1866" s="5">
        <v>156.74</v>
      </c>
      <c r="D1866" s="2">
        <v>0.76563657407677965</v>
      </c>
      <c r="E1866" s="4">
        <v>44981</v>
      </c>
      <c r="F1866" s="7" t="s">
        <v>17</v>
      </c>
      <c r="G1866" s="7" t="s">
        <v>53</v>
      </c>
      <c r="H1866" s="7" t="s">
        <v>807</v>
      </c>
      <c r="I1866" s="7" t="s">
        <v>623</v>
      </c>
      <c r="J1866" s="7" t="s">
        <v>752</v>
      </c>
      <c r="K1866" s="7" t="s">
        <v>22</v>
      </c>
      <c r="L1866" s="8">
        <v>70</v>
      </c>
      <c r="M1866" s="7" t="s">
        <v>70</v>
      </c>
      <c r="N1866" s="8">
        <v>136</v>
      </c>
      <c r="O1866" s="8">
        <v>1</v>
      </c>
      <c r="P1866" s="5">
        <v>4004.35</v>
      </c>
      <c r="Q1866" s="4">
        <v>45600</v>
      </c>
      <c r="R1866" s="9">
        <v>0.33923611111111113</v>
      </c>
      <c r="S1866" s="8">
        <v>18</v>
      </c>
      <c r="T1866" s="7" t="s">
        <v>4454</v>
      </c>
      <c r="U1866" s="7" t="s">
        <v>4455</v>
      </c>
      <c r="V18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67" spans="1:22" x14ac:dyDescent="0.35">
      <c r="A1867" s="7" t="s">
        <v>3730</v>
      </c>
      <c r="B1867" s="7" t="s">
        <v>16</v>
      </c>
      <c r="C1867" s="5">
        <v>505.14</v>
      </c>
      <c r="D1867" s="2">
        <v>0.73187499999767169</v>
      </c>
      <c r="E1867" s="4">
        <v>44929</v>
      </c>
      <c r="F1867" s="7" t="s">
        <v>17</v>
      </c>
      <c r="G1867" s="7" t="s">
        <v>595</v>
      </c>
      <c r="H1867" s="7" t="s">
        <v>1924</v>
      </c>
      <c r="I1867" s="7" t="s">
        <v>1797</v>
      </c>
      <c r="J1867" s="7" t="s">
        <v>707</v>
      </c>
      <c r="K1867" s="7" t="s">
        <v>22</v>
      </c>
      <c r="L1867" s="8">
        <v>68</v>
      </c>
      <c r="M1867" s="7" t="s">
        <v>70</v>
      </c>
      <c r="N1867" s="8">
        <v>179</v>
      </c>
      <c r="O1867" s="8">
        <v>1</v>
      </c>
      <c r="P1867" s="5">
        <v>2525.4699999999998</v>
      </c>
      <c r="Q1867" s="4">
        <v>45600</v>
      </c>
      <c r="R1867" s="9">
        <v>0.34115740740740741</v>
      </c>
      <c r="S1867" s="8">
        <v>17</v>
      </c>
      <c r="T1867" s="7" t="s">
        <v>4454</v>
      </c>
      <c r="U1867" s="7" t="s">
        <v>4455</v>
      </c>
      <c r="V18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68" spans="1:22" x14ac:dyDescent="0.35">
      <c r="A1868" s="7" t="s">
        <v>3731</v>
      </c>
      <c r="B1868" s="7" t="s">
        <v>1044</v>
      </c>
      <c r="C1868" s="5">
        <v>31.06</v>
      </c>
      <c r="D1868" s="2">
        <v>0.70778935185080627</v>
      </c>
      <c r="E1868" s="4">
        <v>45250</v>
      </c>
      <c r="F1868" s="7" t="s">
        <v>17</v>
      </c>
      <c r="G1868" s="7" t="s">
        <v>291</v>
      </c>
      <c r="H1868" s="7" t="s">
        <v>48</v>
      </c>
      <c r="I1868" s="7" t="s">
        <v>1127</v>
      </c>
      <c r="J1868" s="7" t="s">
        <v>831</v>
      </c>
      <c r="K1868" s="7" t="s">
        <v>22</v>
      </c>
      <c r="L1868" s="8">
        <v>46</v>
      </c>
      <c r="M1868" s="7" t="s">
        <v>23</v>
      </c>
      <c r="N1868" s="8">
        <v>61</v>
      </c>
      <c r="O1868" s="8">
        <v>1</v>
      </c>
      <c r="P1868" s="5">
        <v>11014.25</v>
      </c>
      <c r="Q1868" s="4">
        <v>45600</v>
      </c>
      <c r="R1868" s="9">
        <v>0.33847222222222223</v>
      </c>
      <c r="S1868" s="8">
        <v>16</v>
      </c>
      <c r="T1868" s="7" t="s">
        <v>4457</v>
      </c>
      <c r="U1868" s="7" t="s">
        <v>4455</v>
      </c>
      <c r="V18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69" spans="1:22" x14ac:dyDescent="0.35">
      <c r="A1869" s="7" t="s">
        <v>3732</v>
      </c>
      <c r="B1869" s="7" t="s">
        <v>1696</v>
      </c>
      <c r="C1869" s="5">
        <v>7.61</v>
      </c>
      <c r="D1869" s="2">
        <v>0.75946759259386454</v>
      </c>
      <c r="E1869" s="4">
        <v>45190</v>
      </c>
      <c r="F1869" s="7" t="s">
        <v>17</v>
      </c>
      <c r="G1869" s="7" t="s">
        <v>47</v>
      </c>
      <c r="H1869" s="7" t="s">
        <v>902</v>
      </c>
      <c r="I1869" s="7" t="s">
        <v>897</v>
      </c>
      <c r="J1869" s="7" t="s">
        <v>154</v>
      </c>
      <c r="K1869" s="7" t="s">
        <v>22</v>
      </c>
      <c r="L1869" s="8">
        <v>50</v>
      </c>
      <c r="M1869" s="7" t="s">
        <v>23</v>
      </c>
      <c r="N1869" s="8">
        <v>163</v>
      </c>
      <c r="O1869" s="8">
        <v>1</v>
      </c>
      <c r="P1869" s="5">
        <v>6275</v>
      </c>
      <c r="Q1869" s="4">
        <v>45600</v>
      </c>
      <c r="R1869" s="9">
        <v>0.33900462962962963</v>
      </c>
      <c r="S1869" s="8">
        <v>18</v>
      </c>
      <c r="T1869" s="7" t="s">
        <v>4457</v>
      </c>
      <c r="U1869" s="7" t="s">
        <v>4455</v>
      </c>
      <c r="V18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70" spans="1:22" x14ac:dyDescent="0.35">
      <c r="A1870" s="7" t="s">
        <v>3733</v>
      </c>
      <c r="B1870" s="7" t="s">
        <v>2637</v>
      </c>
      <c r="C1870" s="5">
        <v>276.16000000000003</v>
      </c>
      <c r="D1870" s="2">
        <v>0.67658564815064892</v>
      </c>
      <c r="E1870" s="4">
        <v>44970</v>
      </c>
      <c r="F1870" s="7" t="s">
        <v>46</v>
      </c>
      <c r="G1870" s="7" t="s">
        <v>595</v>
      </c>
      <c r="H1870" s="7" t="s">
        <v>1697</v>
      </c>
      <c r="I1870" s="7" t="s">
        <v>1772</v>
      </c>
      <c r="J1870" s="7" t="s">
        <v>62</v>
      </c>
      <c r="K1870" s="7" t="s">
        <v>22</v>
      </c>
      <c r="L1870" s="8">
        <v>53</v>
      </c>
      <c r="M1870" s="7" t="s">
        <v>70</v>
      </c>
      <c r="N1870" s="8">
        <v>71</v>
      </c>
      <c r="O1870" s="8">
        <v>1</v>
      </c>
      <c r="P1870" s="5">
        <v>1733.34</v>
      </c>
      <c r="Q1870" s="4">
        <v>45600</v>
      </c>
      <c r="R1870" s="9">
        <v>0.34163194444444445</v>
      </c>
      <c r="S1870" s="8">
        <v>16</v>
      </c>
      <c r="T1870" s="7" t="s">
        <v>4457</v>
      </c>
      <c r="U1870" s="7" t="s">
        <v>4455</v>
      </c>
      <c r="V18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71" spans="1:22" x14ac:dyDescent="0.35">
      <c r="A1871" s="7" t="s">
        <v>3734</v>
      </c>
      <c r="B1871" s="7" t="s">
        <v>550</v>
      </c>
      <c r="C1871" s="5">
        <v>145.77000000000001</v>
      </c>
      <c r="D1871" s="2">
        <v>0.67237268518510973</v>
      </c>
      <c r="E1871" s="4">
        <v>45021</v>
      </c>
      <c r="F1871" s="7" t="s">
        <v>17</v>
      </c>
      <c r="G1871" s="7" t="s">
        <v>92</v>
      </c>
      <c r="H1871" s="7" t="s">
        <v>1640</v>
      </c>
      <c r="I1871" s="7" t="s">
        <v>3074</v>
      </c>
      <c r="J1871" s="7" t="s">
        <v>143</v>
      </c>
      <c r="K1871" s="7" t="s">
        <v>22</v>
      </c>
      <c r="L1871" s="8">
        <v>68</v>
      </c>
      <c r="M1871" s="7" t="s">
        <v>70</v>
      </c>
      <c r="N1871" s="8">
        <v>237</v>
      </c>
      <c r="O1871" s="8">
        <v>1</v>
      </c>
      <c r="P1871" s="5">
        <v>5294.98</v>
      </c>
      <c r="Q1871" s="4">
        <v>45600</v>
      </c>
      <c r="R1871" s="9">
        <v>0.34126157407407409</v>
      </c>
      <c r="S1871" s="8">
        <v>16</v>
      </c>
      <c r="T1871" s="7" t="s">
        <v>4454</v>
      </c>
      <c r="U1871" s="7" t="s">
        <v>4455</v>
      </c>
      <c r="V18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72" spans="1:22" x14ac:dyDescent="0.35">
      <c r="A1872" s="7" t="s">
        <v>3735</v>
      </c>
      <c r="B1872" s="7" t="s">
        <v>274</v>
      </c>
      <c r="C1872" s="5">
        <v>369.44</v>
      </c>
      <c r="D1872" s="2">
        <v>0.71599537037400296</v>
      </c>
      <c r="E1872" s="4">
        <v>45250</v>
      </c>
      <c r="F1872" s="7" t="s">
        <v>17</v>
      </c>
      <c r="G1872" s="7" t="s">
        <v>73</v>
      </c>
      <c r="H1872" s="7" t="s">
        <v>3197</v>
      </c>
      <c r="I1872" s="7" t="s">
        <v>3605</v>
      </c>
      <c r="J1872" s="7" t="s">
        <v>209</v>
      </c>
      <c r="K1872" s="7" t="s">
        <v>36</v>
      </c>
      <c r="L1872" s="8">
        <v>34</v>
      </c>
      <c r="M1872" s="7" t="s">
        <v>77</v>
      </c>
      <c r="N1872" s="8">
        <v>19</v>
      </c>
      <c r="O1872" s="8">
        <v>1</v>
      </c>
      <c r="P1872" s="5">
        <v>5018.67</v>
      </c>
      <c r="Q1872" s="4">
        <v>45600</v>
      </c>
      <c r="R1872" s="9">
        <v>0.33925925925925926</v>
      </c>
      <c r="S1872" s="8">
        <v>17</v>
      </c>
      <c r="T1872" s="7" t="s">
        <v>4456</v>
      </c>
      <c r="U1872" s="7" t="s">
        <v>4455</v>
      </c>
      <c r="V18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73" spans="1:22" x14ac:dyDescent="0.35">
      <c r="A1873" s="7" t="s">
        <v>3736</v>
      </c>
      <c r="B1873" s="7" t="s">
        <v>1343</v>
      </c>
      <c r="C1873" s="5">
        <v>558.86</v>
      </c>
      <c r="D1873" s="2">
        <v>0.72751157407765277</v>
      </c>
      <c r="E1873" s="4">
        <v>45000</v>
      </c>
      <c r="F1873" s="7" t="s">
        <v>17</v>
      </c>
      <c r="G1873" s="7" t="s">
        <v>119</v>
      </c>
      <c r="H1873" s="7" t="s">
        <v>1305</v>
      </c>
      <c r="I1873" s="7" t="s">
        <v>401</v>
      </c>
      <c r="J1873" s="7" t="s">
        <v>143</v>
      </c>
      <c r="K1873" s="7" t="s">
        <v>22</v>
      </c>
      <c r="L1873" s="8">
        <v>60</v>
      </c>
      <c r="M1873" s="7" t="s">
        <v>23</v>
      </c>
      <c r="N1873" s="8">
        <v>95</v>
      </c>
      <c r="O1873" s="8">
        <v>1</v>
      </c>
      <c r="P1873" s="5">
        <v>9844.32</v>
      </c>
      <c r="Q1873" s="4">
        <v>45600</v>
      </c>
      <c r="R1873" s="9">
        <v>0.34119212962962964</v>
      </c>
      <c r="S1873" s="8">
        <v>17</v>
      </c>
      <c r="T1873" s="7" t="s">
        <v>4454</v>
      </c>
      <c r="U1873" s="7" t="s">
        <v>4455</v>
      </c>
      <c r="V18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74" spans="1:22" x14ac:dyDescent="0.35">
      <c r="A1874" s="7" t="s">
        <v>3737</v>
      </c>
      <c r="B1874" s="7" t="s">
        <v>629</v>
      </c>
      <c r="C1874" s="5">
        <v>429.15</v>
      </c>
      <c r="D1874" s="2">
        <v>0.68135416666336823</v>
      </c>
      <c r="E1874" s="4">
        <v>44994</v>
      </c>
      <c r="F1874" s="7" t="s">
        <v>17</v>
      </c>
      <c r="G1874" s="7" t="s">
        <v>146</v>
      </c>
      <c r="H1874" s="7" t="s">
        <v>2811</v>
      </c>
      <c r="I1874" s="7" t="s">
        <v>1127</v>
      </c>
      <c r="J1874" s="7" t="s">
        <v>56</v>
      </c>
      <c r="K1874" s="7" t="s">
        <v>69</v>
      </c>
      <c r="L1874" s="8">
        <v>26</v>
      </c>
      <c r="M1874" s="7" t="s">
        <v>37</v>
      </c>
      <c r="N1874" s="8">
        <v>218</v>
      </c>
      <c r="O1874" s="8">
        <v>1</v>
      </c>
      <c r="P1874" s="5">
        <v>712.13</v>
      </c>
      <c r="Q1874" s="4">
        <v>45600</v>
      </c>
      <c r="R1874" s="9">
        <v>0.34131944444444445</v>
      </c>
      <c r="S1874" s="8">
        <v>16</v>
      </c>
      <c r="T1874" s="7" t="s">
        <v>4456</v>
      </c>
      <c r="U1874" s="7" t="s">
        <v>4455</v>
      </c>
      <c r="V18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75" spans="1:22" x14ac:dyDescent="0.35">
      <c r="A1875" s="7" t="s">
        <v>3738</v>
      </c>
      <c r="B1875" s="7" t="s">
        <v>986</v>
      </c>
      <c r="C1875" s="5">
        <v>36.74</v>
      </c>
      <c r="D1875" s="2">
        <v>0.72334490740468027</v>
      </c>
      <c r="E1875" s="4">
        <v>44963</v>
      </c>
      <c r="F1875" s="7" t="s">
        <v>17</v>
      </c>
      <c r="G1875" s="7" t="s">
        <v>255</v>
      </c>
      <c r="H1875" s="7" t="s">
        <v>3739</v>
      </c>
      <c r="I1875" s="7" t="s">
        <v>1657</v>
      </c>
      <c r="J1875" s="7" t="s">
        <v>209</v>
      </c>
      <c r="K1875" s="7" t="s">
        <v>69</v>
      </c>
      <c r="L1875" s="8">
        <v>33</v>
      </c>
      <c r="M1875" s="7" t="s">
        <v>23</v>
      </c>
      <c r="N1875" s="8">
        <v>133</v>
      </c>
      <c r="O1875" s="8">
        <v>1</v>
      </c>
      <c r="P1875" s="5">
        <v>6217.58</v>
      </c>
      <c r="Q1875" s="4">
        <v>45600</v>
      </c>
      <c r="R1875" s="9">
        <v>0.33885416666666668</v>
      </c>
      <c r="S1875" s="8">
        <v>17</v>
      </c>
      <c r="T1875" s="7" t="s">
        <v>4456</v>
      </c>
      <c r="U1875" s="7" t="s">
        <v>4455</v>
      </c>
      <c r="V18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76" spans="1:22" x14ac:dyDescent="0.35">
      <c r="A1876" s="7" t="s">
        <v>3740</v>
      </c>
      <c r="B1876" s="7" t="s">
        <v>817</v>
      </c>
      <c r="C1876" s="5">
        <v>79.14</v>
      </c>
      <c r="D1876" s="2">
        <v>0.72327546296583023</v>
      </c>
      <c r="E1876" s="4">
        <v>45028</v>
      </c>
      <c r="F1876" s="7" t="s">
        <v>46</v>
      </c>
      <c r="G1876" s="7" t="s">
        <v>595</v>
      </c>
      <c r="H1876" s="7" t="s">
        <v>633</v>
      </c>
      <c r="I1876" s="7" t="s">
        <v>2402</v>
      </c>
      <c r="J1876" s="7" t="s">
        <v>885</v>
      </c>
      <c r="K1876" s="7" t="s">
        <v>36</v>
      </c>
      <c r="L1876" s="8">
        <v>57</v>
      </c>
      <c r="M1876" s="7" t="s">
        <v>70</v>
      </c>
      <c r="N1876" s="8">
        <v>22</v>
      </c>
      <c r="O1876" s="8">
        <v>1</v>
      </c>
      <c r="P1876" s="5">
        <v>2229.56</v>
      </c>
      <c r="Q1876" s="4">
        <v>45600</v>
      </c>
      <c r="R1876" s="9">
        <v>0.33949074074074076</v>
      </c>
      <c r="S1876" s="8">
        <v>17</v>
      </c>
      <c r="T1876" s="7" t="s">
        <v>4454</v>
      </c>
      <c r="U1876" s="7" t="s">
        <v>4455</v>
      </c>
      <c r="V18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77" spans="1:22" x14ac:dyDescent="0.35">
      <c r="A1877" s="7" t="s">
        <v>3741</v>
      </c>
      <c r="B1877" s="7" t="s">
        <v>1874</v>
      </c>
      <c r="C1877" s="5">
        <v>132.47999999999999</v>
      </c>
      <c r="D1877" s="2">
        <v>0.77695601851883112</v>
      </c>
      <c r="E1877" s="4">
        <v>45147</v>
      </c>
      <c r="F1877" s="7" t="s">
        <v>17</v>
      </c>
      <c r="G1877" s="7" t="s">
        <v>249</v>
      </c>
      <c r="H1877" s="7" t="s">
        <v>426</v>
      </c>
      <c r="I1877" s="7" t="s">
        <v>547</v>
      </c>
      <c r="J1877" s="7" t="s">
        <v>619</v>
      </c>
      <c r="K1877" s="7" t="s">
        <v>69</v>
      </c>
      <c r="L1877" s="8">
        <v>36</v>
      </c>
      <c r="M1877" s="7" t="s">
        <v>77</v>
      </c>
      <c r="N1877" s="8">
        <v>101</v>
      </c>
      <c r="O1877" s="8">
        <v>1</v>
      </c>
      <c r="P1877" s="5">
        <v>9313.0499999999993</v>
      </c>
      <c r="Q1877" s="4">
        <v>45600</v>
      </c>
      <c r="R1877" s="9">
        <v>0.33833333333333332</v>
      </c>
      <c r="S1877" s="8">
        <v>18</v>
      </c>
      <c r="T1877" s="7" t="s">
        <v>4457</v>
      </c>
      <c r="U1877" s="7" t="s">
        <v>4455</v>
      </c>
      <c r="V18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78" spans="1:22" x14ac:dyDescent="0.35">
      <c r="A1878" s="7" t="s">
        <v>3742</v>
      </c>
      <c r="B1878" s="7" t="s">
        <v>2345</v>
      </c>
      <c r="C1878" s="5">
        <v>136.47999999999999</v>
      </c>
      <c r="D1878" s="2">
        <v>0.69891203703446081</v>
      </c>
      <c r="E1878" s="4">
        <v>45152</v>
      </c>
      <c r="F1878" s="7" t="s">
        <v>17</v>
      </c>
      <c r="G1878" s="7" t="s">
        <v>249</v>
      </c>
      <c r="H1878" s="7" t="s">
        <v>1809</v>
      </c>
      <c r="I1878" s="7" t="s">
        <v>1225</v>
      </c>
      <c r="J1878" s="7" t="s">
        <v>1281</v>
      </c>
      <c r="K1878" s="7" t="s">
        <v>36</v>
      </c>
      <c r="L1878" s="8">
        <v>52</v>
      </c>
      <c r="M1878" s="7" t="s">
        <v>77</v>
      </c>
      <c r="N1878" s="8">
        <v>138</v>
      </c>
      <c r="O1878" s="8">
        <v>4</v>
      </c>
      <c r="P1878" s="5">
        <v>4618.53</v>
      </c>
      <c r="Q1878" s="4">
        <v>45600</v>
      </c>
      <c r="R1878" s="9">
        <v>0.34</v>
      </c>
      <c r="S1878" s="8">
        <v>16</v>
      </c>
      <c r="T1878" s="7" t="s">
        <v>4457</v>
      </c>
      <c r="U1878" s="7" t="s">
        <v>4458</v>
      </c>
      <c r="V18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79" spans="1:22" x14ac:dyDescent="0.35">
      <c r="A1879" s="7" t="s">
        <v>3743</v>
      </c>
      <c r="B1879" s="7" t="s">
        <v>134</v>
      </c>
      <c r="C1879" s="5">
        <v>203.76</v>
      </c>
      <c r="D1879" s="2">
        <v>0.68968750000203727</v>
      </c>
      <c r="E1879" s="4">
        <v>45201</v>
      </c>
      <c r="F1879" s="7" t="s">
        <v>17</v>
      </c>
      <c r="G1879" s="7" t="s">
        <v>521</v>
      </c>
      <c r="H1879" s="7" t="s">
        <v>1941</v>
      </c>
      <c r="I1879" s="7" t="s">
        <v>2718</v>
      </c>
      <c r="J1879" s="7" t="s">
        <v>445</v>
      </c>
      <c r="K1879" s="7" t="s">
        <v>69</v>
      </c>
      <c r="L1879" s="8">
        <v>55</v>
      </c>
      <c r="M1879" s="7" t="s">
        <v>70</v>
      </c>
      <c r="N1879" s="8">
        <v>37</v>
      </c>
      <c r="O1879" s="8">
        <v>1</v>
      </c>
      <c r="P1879" s="5">
        <v>6747.16</v>
      </c>
      <c r="Q1879" s="4">
        <v>45600</v>
      </c>
      <c r="R1879" s="9">
        <v>0.34010416666666665</v>
      </c>
      <c r="S1879" s="8">
        <v>16</v>
      </c>
      <c r="T1879" s="7" t="s">
        <v>4454</v>
      </c>
      <c r="U1879" s="7" t="s">
        <v>4455</v>
      </c>
      <c r="V18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80" spans="1:22" x14ac:dyDescent="0.35">
      <c r="A1880" s="7" t="s">
        <v>3744</v>
      </c>
      <c r="B1880" s="7" t="s">
        <v>839</v>
      </c>
      <c r="C1880" s="5">
        <v>750.95</v>
      </c>
      <c r="D1880" s="2">
        <v>0.76146990740380716</v>
      </c>
      <c r="E1880" s="4">
        <v>45177</v>
      </c>
      <c r="F1880" s="7" t="s">
        <v>17</v>
      </c>
      <c r="G1880" s="7" t="s">
        <v>265</v>
      </c>
      <c r="H1880" s="7" t="s">
        <v>960</v>
      </c>
      <c r="I1880" s="7" t="s">
        <v>1701</v>
      </c>
      <c r="J1880" s="7" t="s">
        <v>740</v>
      </c>
      <c r="K1880" s="7" t="s">
        <v>69</v>
      </c>
      <c r="L1880" s="8">
        <v>78</v>
      </c>
      <c r="M1880" s="7" t="s">
        <v>70</v>
      </c>
      <c r="N1880" s="8">
        <v>27</v>
      </c>
      <c r="O1880" s="8">
        <v>1</v>
      </c>
      <c r="P1880" s="5">
        <v>5134.37</v>
      </c>
      <c r="Q1880" s="4">
        <v>45600</v>
      </c>
      <c r="R1880" s="9">
        <v>0.34107638888888892</v>
      </c>
      <c r="S1880" s="8">
        <v>18</v>
      </c>
      <c r="T1880" s="7" t="s">
        <v>4454</v>
      </c>
      <c r="U1880" s="7" t="s">
        <v>4455</v>
      </c>
      <c r="V18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81" spans="1:22" x14ac:dyDescent="0.35">
      <c r="A1881" s="7" t="s">
        <v>3745</v>
      </c>
      <c r="B1881" s="7" t="s">
        <v>367</v>
      </c>
      <c r="C1881" s="5">
        <v>0.84</v>
      </c>
      <c r="D1881" s="2">
        <v>0.69856481481838273</v>
      </c>
      <c r="E1881" s="4">
        <v>45292</v>
      </c>
      <c r="F1881" s="7" t="s">
        <v>17</v>
      </c>
      <c r="G1881" s="7" t="s">
        <v>119</v>
      </c>
      <c r="H1881" s="7" t="s">
        <v>2437</v>
      </c>
      <c r="I1881" s="7" t="s">
        <v>2416</v>
      </c>
      <c r="J1881" s="7" t="s">
        <v>308</v>
      </c>
      <c r="K1881" s="7" t="s">
        <v>22</v>
      </c>
      <c r="L1881" s="8">
        <v>52</v>
      </c>
      <c r="M1881" s="7" t="s">
        <v>77</v>
      </c>
      <c r="N1881" s="8">
        <v>31</v>
      </c>
      <c r="O1881" s="8">
        <v>1</v>
      </c>
      <c r="P1881" s="5">
        <v>2207.54</v>
      </c>
      <c r="Q1881" s="4">
        <v>45600</v>
      </c>
      <c r="R1881" s="9">
        <v>0.33835648148148151</v>
      </c>
      <c r="S1881" s="8">
        <v>16</v>
      </c>
      <c r="T1881" s="7" t="s">
        <v>4457</v>
      </c>
      <c r="U1881" s="7" t="s">
        <v>4455</v>
      </c>
      <c r="V18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82" spans="1:22" x14ac:dyDescent="0.35">
      <c r="A1882" s="7" t="s">
        <v>3746</v>
      </c>
      <c r="B1882" s="7" t="s">
        <v>1044</v>
      </c>
      <c r="C1882" s="5">
        <v>257.18</v>
      </c>
      <c r="D1882" s="2">
        <v>0.70836805555882165</v>
      </c>
      <c r="E1882" s="4">
        <v>45117</v>
      </c>
      <c r="F1882" s="7" t="s">
        <v>17</v>
      </c>
      <c r="G1882" s="7" t="s">
        <v>140</v>
      </c>
      <c r="H1882" s="7" t="s">
        <v>1771</v>
      </c>
      <c r="I1882" s="7" t="s">
        <v>2725</v>
      </c>
      <c r="J1882" s="7" t="s">
        <v>752</v>
      </c>
      <c r="K1882" s="7" t="s">
        <v>36</v>
      </c>
      <c r="L1882" s="8">
        <v>67</v>
      </c>
      <c r="M1882" s="7" t="s">
        <v>23</v>
      </c>
      <c r="N1882" s="8">
        <v>28</v>
      </c>
      <c r="O1882" s="8">
        <v>1</v>
      </c>
      <c r="P1882" s="5">
        <v>13336.15</v>
      </c>
      <c r="Q1882" s="4">
        <v>45600</v>
      </c>
      <c r="R1882" s="9">
        <v>0.34045138888888887</v>
      </c>
      <c r="S1882" s="8">
        <v>17</v>
      </c>
      <c r="T1882" s="7" t="s">
        <v>4454</v>
      </c>
      <c r="U1882" s="7" t="s">
        <v>4455</v>
      </c>
      <c r="V18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83" spans="1:22" x14ac:dyDescent="0.35">
      <c r="A1883" s="7" t="s">
        <v>3747</v>
      </c>
      <c r="B1883" s="7" t="s">
        <v>1020</v>
      </c>
      <c r="C1883" s="5">
        <v>767.66</v>
      </c>
      <c r="D1883" s="2">
        <v>0.73928240740497131</v>
      </c>
      <c r="E1883" s="4">
        <v>45054</v>
      </c>
      <c r="F1883" s="7" t="s">
        <v>17</v>
      </c>
      <c r="G1883" s="7" t="s">
        <v>223</v>
      </c>
      <c r="H1883" s="7" t="s">
        <v>2428</v>
      </c>
      <c r="I1883" s="7" t="s">
        <v>3109</v>
      </c>
      <c r="J1883" s="7" t="s">
        <v>674</v>
      </c>
      <c r="K1883" s="7" t="s">
        <v>22</v>
      </c>
      <c r="L1883" s="8">
        <v>63</v>
      </c>
      <c r="M1883" s="7" t="s">
        <v>23</v>
      </c>
      <c r="N1883" s="8">
        <v>155</v>
      </c>
      <c r="O1883" s="8">
        <v>1</v>
      </c>
      <c r="P1883" s="5">
        <v>1801.69</v>
      </c>
      <c r="Q1883" s="4">
        <v>45600</v>
      </c>
      <c r="R1883" s="9">
        <v>0.34171296296296294</v>
      </c>
      <c r="S1883" s="8">
        <v>17</v>
      </c>
      <c r="T1883" s="7" t="s">
        <v>4454</v>
      </c>
      <c r="U1883" s="7" t="s">
        <v>4455</v>
      </c>
      <c r="V18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84" spans="1:22" x14ac:dyDescent="0.35">
      <c r="A1884" s="7" t="s">
        <v>3748</v>
      </c>
      <c r="B1884" s="7" t="s">
        <v>617</v>
      </c>
      <c r="C1884" s="5">
        <v>182.29</v>
      </c>
      <c r="D1884" s="2">
        <v>0.70552083333313931</v>
      </c>
      <c r="E1884" s="4">
        <v>45056</v>
      </c>
      <c r="F1884" s="7" t="s">
        <v>17</v>
      </c>
      <c r="G1884" s="7" t="s">
        <v>18</v>
      </c>
      <c r="H1884" s="7" t="s">
        <v>2811</v>
      </c>
      <c r="I1884" s="7" t="s">
        <v>1887</v>
      </c>
      <c r="J1884" s="7" t="s">
        <v>418</v>
      </c>
      <c r="K1884" s="7" t="s">
        <v>36</v>
      </c>
      <c r="L1884" s="8">
        <v>54</v>
      </c>
      <c r="M1884" s="7" t="s">
        <v>23</v>
      </c>
      <c r="N1884" s="8">
        <v>123</v>
      </c>
      <c r="O1884" s="8">
        <v>1</v>
      </c>
      <c r="P1884" s="5">
        <v>522.39</v>
      </c>
      <c r="Q1884" s="4">
        <v>45600</v>
      </c>
      <c r="R1884" s="9">
        <v>0.33916666666666667</v>
      </c>
      <c r="S1884" s="8">
        <v>16</v>
      </c>
      <c r="T1884" s="7" t="s">
        <v>4457</v>
      </c>
      <c r="U1884" s="7" t="s">
        <v>4455</v>
      </c>
      <c r="V18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85" spans="1:22" x14ac:dyDescent="0.35">
      <c r="A1885" s="7" t="s">
        <v>3749</v>
      </c>
      <c r="B1885" s="7" t="s">
        <v>2128</v>
      </c>
      <c r="C1885" s="5">
        <v>184.51</v>
      </c>
      <c r="D1885" s="2">
        <v>0.69089120370335877</v>
      </c>
      <c r="E1885" s="4">
        <v>45173</v>
      </c>
      <c r="F1885" s="7" t="s">
        <v>46</v>
      </c>
      <c r="G1885" s="7" t="s">
        <v>595</v>
      </c>
      <c r="H1885" s="7" t="s">
        <v>1386</v>
      </c>
      <c r="I1885" s="7" t="s">
        <v>1396</v>
      </c>
      <c r="J1885" s="7" t="s">
        <v>1037</v>
      </c>
      <c r="K1885" s="7" t="s">
        <v>36</v>
      </c>
      <c r="L1885" s="8">
        <v>54</v>
      </c>
      <c r="M1885" s="7" t="s">
        <v>23</v>
      </c>
      <c r="N1885" s="8">
        <v>118</v>
      </c>
      <c r="O1885" s="8">
        <v>1</v>
      </c>
      <c r="P1885" s="5">
        <v>9381.64</v>
      </c>
      <c r="Q1885" s="4">
        <v>45600</v>
      </c>
      <c r="R1885" s="9">
        <v>0.33993055555555557</v>
      </c>
      <c r="S1885" s="8">
        <v>16</v>
      </c>
      <c r="T1885" s="7" t="s">
        <v>4457</v>
      </c>
      <c r="U1885" s="7" t="s">
        <v>4455</v>
      </c>
      <c r="V18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86" spans="1:22" x14ac:dyDescent="0.35">
      <c r="A1886" s="7" t="s">
        <v>3750</v>
      </c>
      <c r="B1886" s="7" t="s">
        <v>2024</v>
      </c>
      <c r="C1886" s="5">
        <v>451.31</v>
      </c>
      <c r="D1886" s="2">
        <v>0.70670138888817746</v>
      </c>
      <c r="E1886" s="4">
        <v>45264</v>
      </c>
      <c r="F1886" s="7" t="s">
        <v>17</v>
      </c>
      <c r="G1886" s="7" t="s">
        <v>157</v>
      </c>
      <c r="H1886" s="7" t="s">
        <v>1408</v>
      </c>
      <c r="I1886" s="7" t="s">
        <v>1850</v>
      </c>
      <c r="J1886" s="7" t="s">
        <v>246</v>
      </c>
      <c r="K1886" s="7" t="s">
        <v>22</v>
      </c>
      <c r="L1886" s="8">
        <v>62</v>
      </c>
      <c r="M1886" s="7" t="s">
        <v>70</v>
      </c>
      <c r="N1886" s="8">
        <v>166</v>
      </c>
      <c r="O1886" s="8">
        <v>5</v>
      </c>
      <c r="P1886" s="5">
        <v>2963.29</v>
      </c>
      <c r="Q1886" s="4">
        <v>45600</v>
      </c>
      <c r="R1886" s="9">
        <v>0.33863425925925927</v>
      </c>
      <c r="S1886" s="8">
        <v>16</v>
      </c>
      <c r="T1886" s="7" t="s">
        <v>4454</v>
      </c>
      <c r="U1886" s="7" t="s">
        <v>4458</v>
      </c>
      <c r="V18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87" spans="1:22" x14ac:dyDescent="0.35">
      <c r="A1887" s="7" t="s">
        <v>3751</v>
      </c>
      <c r="B1887" s="7" t="s">
        <v>781</v>
      </c>
      <c r="C1887" s="5">
        <v>144.1</v>
      </c>
      <c r="D1887" s="2">
        <v>0.72548611111415084</v>
      </c>
      <c r="E1887" s="4">
        <v>45114</v>
      </c>
      <c r="F1887" s="7" t="s">
        <v>17</v>
      </c>
      <c r="G1887" s="7" t="s">
        <v>265</v>
      </c>
      <c r="H1887" s="7" t="s">
        <v>939</v>
      </c>
      <c r="I1887" s="7" t="s">
        <v>230</v>
      </c>
      <c r="J1887" s="7" t="s">
        <v>149</v>
      </c>
      <c r="K1887" s="7" t="s">
        <v>69</v>
      </c>
      <c r="L1887" s="8">
        <v>57</v>
      </c>
      <c r="M1887" s="7" t="s">
        <v>23</v>
      </c>
      <c r="N1887" s="8">
        <v>30</v>
      </c>
      <c r="O1887" s="8">
        <v>1</v>
      </c>
      <c r="P1887" s="5">
        <v>11523.64</v>
      </c>
      <c r="Q1887" s="4">
        <v>45600</v>
      </c>
      <c r="R1887" s="9">
        <v>0.34031250000000002</v>
      </c>
      <c r="S1887" s="8">
        <v>17</v>
      </c>
      <c r="T1887" s="7" t="s">
        <v>4454</v>
      </c>
      <c r="U1887" s="7" t="s">
        <v>4455</v>
      </c>
      <c r="V18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88" spans="1:22" x14ac:dyDescent="0.35">
      <c r="A1888" s="7" t="s">
        <v>3752</v>
      </c>
      <c r="B1888" s="7" t="s">
        <v>1057</v>
      </c>
      <c r="C1888" s="5">
        <v>72.5</v>
      </c>
      <c r="D1888" s="2">
        <v>0.74187499999970896</v>
      </c>
      <c r="E1888" s="4">
        <v>45026</v>
      </c>
      <c r="F1888" s="7" t="s">
        <v>17</v>
      </c>
      <c r="G1888" s="7" t="s">
        <v>157</v>
      </c>
      <c r="H1888" s="7" t="s">
        <v>1924</v>
      </c>
      <c r="I1888" s="7" t="s">
        <v>1246</v>
      </c>
      <c r="J1888" s="7" t="s">
        <v>200</v>
      </c>
      <c r="K1888" s="7" t="s">
        <v>22</v>
      </c>
      <c r="L1888" s="8">
        <v>40</v>
      </c>
      <c r="M1888" s="7" t="s">
        <v>23</v>
      </c>
      <c r="N1888" s="8">
        <v>30</v>
      </c>
      <c r="O1888" s="8">
        <v>1</v>
      </c>
      <c r="P1888" s="5">
        <v>12723.62</v>
      </c>
      <c r="Q1888" s="4">
        <v>45600</v>
      </c>
      <c r="R1888" s="9">
        <v>0.34152777777777776</v>
      </c>
      <c r="S1888" s="8">
        <v>17</v>
      </c>
      <c r="T1888" s="7" t="s">
        <v>4457</v>
      </c>
      <c r="U1888" s="7" t="s">
        <v>4455</v>
      </c>
      <c r="V18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89" spans="1:22" x14ac:dyDescent="0.35">
      <c r="A1889" s="7" t="s">
        <v>3753</v>
      </c>
      <c r="B1889" s="7" t="s">
        <v>3754</v>
      </c>
      <c r="C1889" s="5">
        <v>74.11</v>
      </c>
      <c r="D1889" s="2">
        <v>0.67343750000145519</v>
      </c>
      <c r="E1889" s="4">
        <v>45177</v>
      </c>
      <c r="F1889" s="7" t="s">
        <v>46</v>
      </c>
      <c r="G1889" s="7" t="s">
        <v>301</v>
      </c>
      <c r="H1889" s="7" t="s">
        <v>1160</v>
      </c>
      <c r="I1889" s="7" t="s">
        <v>828</v>
      </c>
      <c r="J1889" s="7" t="s">
        <v>149</v>
      </c>
      <c r="K1889" s="7" t="s">
        <v>36</v>
      </c>
      <c r="L1889" s="8">
        <v>69</v>
      </c>
      <c r="M1889" s="7" t="s">
        <v>70</v>
      </c>
      <c r="N1889" s="8">
        <v>71</v>
      </c>
      <c r="O1889" s="8">
        <v>4</v>
      </c>
      <c r="P1889" s="5">
        <v>3920.11</v>
      </c>
      <c r="Q1889" s="4">
        <v>45600</v>
      </c>
      <c r="R1889" s="9">
        <v>0.33921296296296294</v>
      </c>
      <c r="S1889" s="8">
        <v>16</v>
      </c>
      <c r="T1889" s="7" t="s">
        <v>4454</v>
      </c>
      <c r="U1889" s="7" t="s">
        <v>4458</v>
      </c>
      <c r="V18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90" spans="1:22" x14ac:dyDescent="0.35">
      <c r="A1890" s="7" t="s">
        <v>3755</v>
      </c>
      <c r="B1890" s="7" t="s">
        <v>880</v>
      </c>
      <c r="C1890" s="5">
        <v>22.15</v>
      </c>
      <c r="D1890" s="2">
        <v>0.684814814812853</v>
      </c>
      <c r="E1890" s="4">
        <v>45049</v>
      </c>
      <c r="F1890" s="7" t="s">
        <v>17</v>
      </c>
      <c r="G1890" s="7" t="s">
        <v>114</v>
      </c>
      <c r="H1890" s="7" t="s">
        <v>1704</v>
      </c>
      <c r="I1890" s="7" t="s">
        <v>1740</v>
      </c>
      <c r="J1890" s="7" t="s">
        <v>149</v>
      </c>
      <c r="K1890" s="7" t="s">
        <v>69</v>
      </c>
      <c r="L1890" s="8">
        <v>44</v>
      </c>
      <c r="M1890" s="7" t="s">
        <v>23</v>
      </c>
      <c r="N1890" s="8">
        <v>73</v>
      </c>
      <c r="O1890" s="8">
        <v>1</v>
      </c>
      <c r="P1890" s="5">
        <v>7451.83</v>
      </c>
      <c r="Q1890" s="4">
        <v>45600</v>
      </c>
      <c r="R1890" s="9">
        <v>0.34100694444444446</v>
      </c>
      <c r="S1890" s="8">
        <v>16</v>
      </c>
      <c r="T1890" s="7" t="s">
        <v>4457</v>
      </c>
      <c r="U1890" s="7" t="s">
        <v>4455</v>
      </c>
      <c r="V18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91" spans="1:22" x14ac:dyDescent="0.35">
      <c r="A1891" s="7" t="s">
        <v>3756</v>
      </c>
      <c r="B1891" s="7" t="s">
        <v>1620</v>
      </c>
      <c r="C1891" s="5">
        <v>777.92</v>
      </c>
      <c r="D1891" s="2">
        <v>0.78956018518510973</v>
      </c>
      <c r="E1891" s="4">
        <v>45089</v>
      </c>
      <c r="F1891" s="7" t="s">
        <v>17</v>
      </c>
      <c r="G1891" s="7" t="s">
        <v>119</v>
      </c>
      <c r="H1891" s="7" t="s">
        <v>3757</v>
      </c>
      <c r="I1891" s="7" t="s">
        <v>849</v>
      </c>
      <c r="J1891" s="7" t="s">
        <v>414</v>
      </c>
      <c r="K1891" s="7" t="s">
        <v>69</v>
      </c>
      <c r="L1891" s="8">
        <v>62</v>
      </c>
      <c r="M1891" s="7" t="s">
        <v>23</v>
      </c>
      <c r="N1891" s="8">
        <v>97</v>
      </c>
      <c r="O1891" s="8">
        <v>1</v>
      </c>
      <c r="P1891" s="5">
        <v>7061.58</v>
      </c>
      <c r="Q1891" s="4">
        <v>45600</v>
      </c>
      <c r="R1891" s="9">
        <v>0.3399537037037037</v>
      </c>
      <c r="S1891" s="8">
        <v>18</v>
      </c>
      <c r="T1891" s="7" t="s">
        <v>4454</v>
      </c>
      <c r="U1891" s="7" t="s">
        <v>4455</v>
      </c>
      <c r="V18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92" spans="1:22" x14ac:dyDescent="0.35">
      <c r="A1892" s="7" t="s">
        <v>3758</v>
      </c>
      <c r="B1892" s="7" t="s">
        <v>1030</v>
      </c>
      <c r="C1892" s="5">
        <v>790.07</v>
      </c>
      <c r="D1892" s="2">
        <v>0.73089120370423188</v>
      </c>
      <c r="E1892" s="4">
        <v>45072</v>
      </c>
      <c r="F1892" s="7" t="s">
        <v>17</v>
      </c>
      <c r="G1892" s="7" t="s">
        <v>172</v>
      </c>
      <c r="H1892" s="7" t="s">
        <v>1615</v>
      </c>
      <c r="I1892" s="7" t="s">
        <v>1064</v>
      </c>
      <c r="J1892" s="7" t="s">
        <v>1287</v>
      </c>
      <c r="K1892" s="7" t="s">
        <v>36</v>
      </c>
      <c r="L1892" s="8">
        <v>28</v>
      </c>
      <c r="M1892" s="7" t="s">
        <v>37</v>
      </c>
      <c r="N1892" s="8">
        <v>197</v>
      </c>
      <c r="O1892" s="8">
        <v>1</v>
      </c>
      <c r="P1892" s="5">
        <v>985.77</v>
      </c>
      <c r="Q1892" s="4">
        <v>45600</v>
      </c>
      <c r="R1892" s="9">
        <v>0.34081018518518519</v>
      </c>
      <c r="S1892" s="8">
        <v>17</v>
      </c>
      <c r="T1892" s="7" t="s">
        <v>4456</v>
      </c>
      <c r="U1892" s="7" t="s">
        <v>4455</v>
      </c>
      <c r="V18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93" spans="1:22" x14ac:dyDescent="0.35">
      <c r="A1893" s="7" t="s">
        <v>3759</v>
      </c>
      <c r="B1893" s="7" t="s">
        <v>1123</v>
      </c>
      <c r="C1893" s="5">
        <v>406.33</v>
      </c>
      <c r="D1893" s="2">
        <v>0.69572916666948004</v>
      </c>
      <c r="E1893" s="4">
        <v>45201</v>
      </c>
      <c r="F1893" s="7" t="s">
        <v>46</v>
      </c>
      <c r="G1893" s="7" t="s">
        <v>172</v>
      </c>
      <c r="H1893" s="7" t="s">
        <v>341</v>
      </c>
      <c r="I1893" s="7" t="s">
        <v>1195</v>
      </c>
      <c r="J1893" s="7" t="s">
        <v>386</v>
      </c>
      <c r="K1893" s="7" t="s">
        <v>69</v>
      </c>
      <c r="L1893" s="8">
        <v>59</v>
      </c>
      <c r="M1893" s="7" t="s">
        <v>77</v>
      </c>
      <c r="N1893" s="8">
        <v>103</v>
      </c>
      <c r="O1893" s="8">
        <v>1</v>
      </c>
      <c r="P1893" s="5">
        <v>4298.34</v>
      </c>
      <c r="Q1893" s="4">
        <v>45600</v>
      </c>
      <c r="R1893" s="9">
        <v>0.3386689814814815</v>
      </c>
      <c r="S1893" s="8">
        <v>16</v>
      </c>
      <c r="T1893" s="7" t="s">
        <v>4454</v>
      </c>
      <c r="U1893" s="7" t="s">
        <v>4455</v>
      </c>
      <c r="V18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94" spans="1:22" x14ac:dyDescent="0.35">
      <c r="A1894" s="7" t="s">
        <v>3760</v>
      </c>
      <c r="B1894" s="7" t="s">
        <v>1339</v>
      </c>
      <c r="C1894" s="5">
        <v>767.41</v>
      </c>
      <c r="D1894" s="2">
        <v>0.6863310185217415</v>
      </c>
      <c r="E1894" s="4">
        <v>45176</v>
      </c>
      <c r="F1894" s="7" t="s">
        <v>17</v>
      </c>
      <c r="G1894" s="7" t="s">
        <v>157</v>
      </c>
      <c r="H1894" s="7" t="s">
        <v>1967</v>
      </c>
      <c r="I1894" s="7" t="s">
        <v>94</v>
      </c>
      <c r="J1894" s="7" t="s">
        <v>1037</v>
      </c>
      <c r="K1894" s="7" t="s">
        <v>22</v>
      </c>
      <c r="L1894" s="8">
        <v>56</v>
      </c>
      <c r="M1894" s="7" t="s">
        <v>23</v>
      </c>
      <c r="N1894" s="8">
        <v>27</v>
      </c>
      <c r="O1894" s="8">
        <v>1</v>
      </c>
      <c r="P1894" s="5">
        <v>12799.34</v>
      </c>
      <c r="Q1894" s="4">
        <v>45600</v>
      </c>
      <c r="R1894" s="9">
        <v>0.33952546296296299</v>
      </c>
      <c r="S1894" s="8">
        <v>16</v>
      </c>
      <c r="T1894" s="7" t="s">
        <v>4454</v>
      </c>
      <c r="U1894" s="7" t="s">
        <v>4455</v>
      </c>
      <c r="V18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95" spans="1:22" x14ac:dyDescent="0.35">
      <c r="A1895" s="7" t="s">
        <v>3761</v>
      </c>
      <c r="B1895" s="7" t="s">
        <v>1854</v>
      </c>
      <c r="C1895" s="5">
        <v>4.58</v>
      </c>
      <c r="D1895" s="2">
        <v>0.67604166666569654</v>
      </c>
      <c r="E1895" s="4">
        <v>45218</v>
      </c>
      <c r="F1895" s="7" t="s">
        <v>46</v>
      </c>
      <c r="G1895" s="7" t="s">
        <v>47</v>
      </c>
      <c r="H1895" s="7" t="s">
        <v>158</v>
      </c>
      <c r="I1895" s="7" t="s">
        <v>1163</v>
      </c>
      <c r="J1895" s="7" t="s">
        <v>514</v>
      </c>
      <c r="K1895" s="7" t="s">
        <v>36</v>
      </c>
      <c r="L1895" s="8">
        <v>21</v>
      </c>
      <c r="M1895" s="7" t="s">
        <v>37</v>
      </c>
      <c r="N1895" s="8">
        <v>135</v>
      </c>
      <c r="O1895" s="8">
        <v>1</v>
      </c>
      <c r="P1895" s="5">
        <v>811.24</v>
      </c>
      <c r="Q1895" s="4">
        <v>45600</v>
      </c>
      <c r="R1895" s="9">
        <v>0.33780092592592592</v>
      </c>
      <c r="S1895" s="8">
        <v>16</v>
      </c>
      <c r="T1895" s="7" t="s">
        <v>4456</v>
      </c>
      <c r="U1895" s="7" t="s">
        <v>4455</v>
      </c>
      <c r="V18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96" spans="1:22" x14ac:dyDescent="0.35">
      <c r="A1896" s="7" t="s">
        <v>3762</v>
      </c>
      <c r="B1896" s="7" t="s">
        <v>328</v>
      </c>
      <c r="C1896" s="5">
        <v>447.83</v>
      </c>
      <c r="D1896" s="2">
        <v>0.68201388888701331</v>
      </c>
      <c r="E1896" s="4">
        <v>45153</v>
      </c>
      <c r="F1896" s="7" t="s">
        <v>46</v>
      </c>
      <c r="G1896" s="7" t="s">
        <v>47</v>
      </c>
      <c r="H1896" s="7" t="s">
        <v>2222</v>
      </c>
      <c r="I1896" s="7" t="s">
        <v>1775</v>
      </c>
      <c r="J1896" s="7" t="s">
        <v>95</v>
      </c>
      <c r="K1896" s="7" t="s">
        <v>69</v>
      </c>
      <c r="L1896" s="8">
        <v>53</v>
      </c>
      <c r="M1896" s="7" t="s">
        <v>23</v>
      </c>
      <c r="N1896" s="8">
        <v>88</v>
      </c>
      <c r="O1896" s="8">
        <v>1</v>
      </c>
      <c r="P1896" s="5">
        <v>13273.08</v>
      </c>
      <c r="Q1896" s="4">
        <v>45600</v>
      </c>
      <c r="R1896" s="9">
        <v>0.33853009259259259</v>
      </c>
      <c r="S1896" s="8">
        <v>16</v>
      </c>
      <c r="T1896" s="7" t="s">
        <v>4457</v>
      </c>
      <c r="U1896" s="7" t="s">
        <v>4455</v>
      </c>
      <c r="V18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97" spans="1:22" x14ac:dyDescent="0.35">
      <c r="A1897" s="7" t="s">
        <v>3763</v>
      </c>
      <c r="B1897" s="7" t="s">
        <v>868</v>
      </c>
      <c r="C1897" s="5">
        <v>49.67</v>
      </c>
      <c r="D1897" s="2">
        <v>0.783935185187147</v>
      </c>
      <c r="E1897" s="4">
        <v>44977</v>
      </c>
      <c r="F1897" s="7" t="s">
        <v>17</v>
      </c>
      <c r="G1897" s="7" t="s">
        <v>47</v>
      </c>
      <c r="H1897" s="7" t="s">
        <v>1859</v>
      </c>
      <c r="I1897" s="7" t="s">
        <v>2389</v>
      </c>
      <c r="J1897" s="7" t="s">
        <v>95</v>
      </c>
      <c r="K1897" s="7" t="s">
        <v>36</v>
      </c>
      <c r="L1897" s="8">
        <v>21</v>
      </c>
      <c r="M1897" s="7" t="s">
        <v>37</v>
      </c>
      <c r="N1897" s="8">
        <v>146</v>
      </c>
      <c r="O1897" s="8">
        <v>1</v>
      </c>
      <c r="P1897" s="5">
        <v>842.94</v>
      </c>
      <c r="Q1897" s="4">
        <v>45600</v>
      </c>
      <c r="R1897" s="9">
        <v>0.33915509259259258</v>
      </c>
      <c r="S1897" s="8">
        <v>18</v>
      </c>
      <c r="T1897" s="7" t="s">
        <v>4456</v>
      </c>
      <c r="U1897" s="7" t="s">
        <v>4455</v>
      </c>
      <c r="V18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898" spans="1:22" x14ac:dyDescent="0.35">
      <c r="A1898" s="7" t="s">
        <v>3764</v>
      </c>
      <c r="B1898" s="7" t="s">
        <v>3765</v>
      </c>
      <c r="C1898" s="5">
        <v>77.83</v>
      </c>
      <c r="D1898" s="2">
        <v>0.69445601852203254</v>
      </c>
      <c r="E1898" s="4">
        <v>45287</v>
      </c>
      <c r="F1898" s="7" t="s">
        <v>46</v>
      </c>
      <c r="G1898" s="7" t="s">
        <v>291</v>
      </c>
      <c r="H1898" s="7" t="s">
        <v>2445</v>
      </c>
      <c r="I1898" s="7" t="s">
        <v>1629</v>
      </c>
      <c r="J1898" s="7" t="s">
        <v>652</v>
      </c>
      <c r="K1898" s="7" t="s">
        <v>69</v>
      </c>
      <c r="L1898" s="8">
        <v>49</v>
      </c>
      <c r="M1898" s="7" t="s">
        <v>77</v>
      </c>
      <c r="N1898" s="8">
        <v>146</v>
      </c>
      <c r="O1898" s="8">
        <v>1</v>
      </c>
      <c r="P1898" s="5">
        <v>2471.5300000000002</v>
      </c>
      <c r="Q1898" s="4">
        <v>45600</v>
      </c>
      <c r="R1898" s="9">
        <v>0.34063657407407405</v>
      </c>
      <c r="S1898" s="8">
        <v>16</v>
      </c>
      <c r="T1898" s="7" t="s">
        <v>4457</v>
      </c>
      <c r="U1898" s="7" t="s">
        <v>4455</v>
      </c>
      <c r="V18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899" spans="1:22" x14ac:dyDescent="0.35">
      <c r="A1899" s="7" t="s">
        <v>3766</v>
      </c>
      <c r="B1899" s="7" t="s">
        <v>107</v>
      </c>
      <c r="C1899" s="5">
        <v>702.87</v>
      </c>
      <c r="D1899" s="2">
        <v>0.71274305555562023</v>
      </c>
      <c r="E1899" s="4">
        <v>45084</v>
      </c>
      <c r="F1899" s="7" t="s">
        <v>17</v>
      </c>
      <c r="G1899" s="7" t="s">
        <v>453</v>
      </c>
      <c r="H1899" s="7" t="s">
        <v>1834</v>
      </c>
      <c r="I1899" s="7" t="s">
        <v>3767</v>
      </c>
      <c r="J1899" s="7" t="s">
        <v>450</v>
      </c>
      <c r="K1899" s="7" t="s">
        <v>22</v>
      </c>
      <c r="L1899" s="8">
        <v>19</v>
      </c>
      <c r="M1899" s="7" t="s">
        <v>37</v>
      </c>
      <c r="N1899" s="8">
        <v>184</v>
      </c>
      <c r="O1899" s="8">
        <v>1</v>
      </c>
      <c r="P1899" s="5">
        <v>1237.5</v>
      </c>
      <c r="Q1899" s="4">
        <v>45600</v>
      </c>
      <c r="R1899" s="9">
        <v>0.34113425925925928</v>
      </c>
      <c r="S1899" s="8">
        <v>17</v>
      </c>
      <c r="T1899" s="7" t="s">
        <v>4456</v>
      </c>
      <c r="U1899" s="7" t="s">
        <v>4455</v>
      </c>
      <c r="V18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00" spans="1:22" x14ac:dyDescent="0.35">
      <c r="A1900" s="7" t="s">
        <v>3768</v>
      </c>
      <c r="B1900" s="7" t="s">
        <v>1874</v>
      </c>
      <c r="C1900" s="5">
        <v>133.56</v>
      </c>
      <c r="D1900" s="2">
        <v>0.77993055555270985</v>
      </c>
      <c r="E1900" s="4">
        <v>44950</v>
      </c>
      <c r="F1900" s="7" t="s">
        <v>17</v>
      </c>
      <c r="G1900" s="7" t="s">
        <v>47</v>
      </c>
      <c r="H1900" s="7" t="s">
        <v>987</v>
      </c>
      <c r="I1900" s="7" t="s">
        <v>1494</v>
      </c>
      <c r="J1900" s="7" t="s">
        <v>358</v>
      </c>
      <c r="K1900" s="7" t="s">
        <v>36</v>
      </c>
      <c r="L1900" s="8">
        <v>25</v>
      </c>
      <c r="M1900" s="7" t="s">
        <v>37</v>
      </c>
      <c r="N1900" s="8">
        <v>177</v>
      </c>
      <c r="O1900" s="8">
        <v>1</v>
      </c>
      <c r="P1900" s="5">
        <v>783.83</v>
      </c>
      <c r="Q1900" s="4">
        <v>45600</v>
      </c>
      <c r="R1900" s="9">
        <v>0.33817129629629628</v>
      </c>
      <c r="S1900" s="8">
        <v>18</v>
      </c>
      <c r="T1900" s="7" t="s">
        <v>4456</v>
      </c>
      <c r="U1900" s="7" t="s">
        <v>4455</v>
      </c>
      <c r="V19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01" spans="1:22" x14ac:dyDescent="0.35">
      <c r="A1901" s="7" t="s">
        <v>3769</v>
      </c>
      <c r="B1901" s="7" t="s">
        <v>2366</v>
      </c>
      <c r="C1901" s="5">
        <v>868.05</v>
      </c>
      <c r="D1901" s="2">
        <v>0.6913888888884685</v>
      </c>
      <c r="E1901" s="4">
        <v>44938</v>
      </c>
      <c r="F1901" s="7" t="s">
        <v>46</v>
      </c>
      <c r="G1901" s="7" t="s">
        <v>18</v>
      </c>
      <c r="H1901" s="7" t="s">
        <v>2916</v>
      </c>
      <c r="I1901" s="7" t="s">
        <v>2107</v>
      </c>
      <c r="J1901" s="7" t="s">
        <v>1209</v>
      </c>
      <c r="K1901" s="7" t="s">
        <v>36</v>
      </c>
      <c r="L1901" s="8">
        <v>49</v>
      </c>
      <c r="M1901" s="7" t="s">
        <v>77</v>
      </c>
      <c r="N1901" s="8">
        <v>119</v>
      </c>
      <c r="O1901" s="8">
        <v>1</v>
      </c>
      <c r="P1901" s="5">
        <v>3931.03</v>
      </c>
      <c r="Q1901" s="4">
        <v>45600</v>
      </c>
      <c r="R1901" s="9">
        <v>0.34024305555555556</v>
      </c>
      <c r="S1901" s="8">
        <v>16</v>
      </c>
      <c r="T1901" s="7" t="s">
        <v>4457</v>
      </c>
      <c r="U1901" s="7" t="s">
        <v>4455</v>
      </c>
      <c r="V19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02" spans="1:22" x14ac:dyDescent="0.35">
      <c r="A1902" s="7" t="s">
        <v>3770</v>
      </c>
      <c r="B1902" s="7" t="s">
        <v>1069</v>
      </c>
      <c r="C1902" s="5">
        <v>52.87</v>
      </c>
      <c r="D1902" s="2">
        <v>0.72594907407619758</v>
      </c>
      <c r="E1902" s="4">
        <v>45016</v>
      </c>
      <c r="F1902" s="7" t="s">
        <v>17</v>
      </c>
      <c r="G1902" s="7" t="s">
        <v>65</v>
      </c>
      <c r="H1902" s="7" t="s">
        <v>1828</v>
      </c>
      <c r="I1902" s="7" t="s">
        <v>3032</v>
      </c>
      <c r="J1902" s="7" t="s">
        <v>288</v>
      </c>
      <c r="K1902" s="7" t="s">
        <v>69</v>
      </c>
      <c r="L1902" s="8">
        <v>24</v>
      </c>
      <c r="M1902" s="7" t="s">
        <v>37</v>
      </c>
      <c r="N1902" s="8">
        <v>70</v>
      </c>
      <c r="O1902" s="8">
        <v>1</v>
      </c>
      <c r="P1902" s="5">
        <v>960.96</v>
      </c>
      <c r="Q1902" s="4">
        <v>45600</v>
      </c>
      <c r="R1902" s="9">
        <v>0.34153935185185186</v>
      </c>
      <c r="S1902" s="8">
        <v>17</v>
      </c>
      <c r="T1902" s="7" t="s">
        <v>4456</v>
      </c>
      <c r="U1902" s="7" t="s">
        <v>4455</v>
      </c>
      <c r="V19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03" spans="1:22" x14ac:dyDescent="0.35">
      <c r="A1903" s="7" t="s">
        <v>3771</v>
      </c>
      <c r="B1903" s="7" t="s">
        <v>625</v>
      </c>
      <c r="C1903" s="5">
        <v>179</v>
      </c>
      <c r="D1903" s="2">
        <v>0.66776620370364981</v>
      </c>
      <c r="E1903" s="4">
        <v>45175</v>
      </c>
      <c r="F1903" s="7" t="s">
        <v>17</v>
      </c>
      <c r="G1903" s="7" t="s">
        <v>26</v>
      </c>
      <c r="H1903" s="7" t="s">
        <v>1075</v>
      </c>
      <c r="I1903" s="7" t="s">
        <v>3772</v>
      </c>
      <c r="J1903" s="7" t="s">
        <v>200</v>
      </c>
      <c r="K1903" s="7" t="s">
        <v>22</v>
      </c>
      <c r="L1903" s="8">
        <v>78</v>
      </c>
      <c r="M1903" s="7" t="s">
        <v>70</v>
      </c>
      <c r="N1903" s="8">
        <v>121</v>
      </c>
      <c r="O1903" s="8">
        <v>1</v>
      </c>
      <c r="P1903" s="5">
        <v>7310.88</v>
      </c>
      <c r="Q1903" s="4">
        <v>45600</v>
      </c>
      <c r="R1903" s="9">
        <v>0.3404861111111111</v>
      </c>
      <c r="S1903" s="8">
        <v>16</v>
      </c>
      <c r="T1903" s="7" t="s">
        <v>4454</v>
      </c>
      <c r="U1903" s="7" t="s">
        <v>4455</v>
      </c>
      <c r="V19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04" spans="1:22" x14ac:dyDescent="0.35">
      <c r="A1904" s="7" t="s">
        <v>3773</v>
      </c>
      <c r="B1904" s="7" t="s">
        <v>557</v>
      </c>
      <c r="C1904" s="5">
        <v>1168.26</v>
      </c>
      <c r="D1904" s="2">
        <v>0.68427083333517658</v>
      </c>
      <c r="E1904" s="4">
        <v>45089</v>
      </c>
      <c r="F1904" s="7" t="s">
        <v>46</v>
      </c>
      <c r="G1904" s="7" t="s">
        <v>243</v>
      </c>
      <c r="H1904" s="7" t="s">
        <v>1633</v>
      </c>
      <c r="I1904" s="7" t="s">
        <v>718</v>
      </c>
      <c r="J1904" s="7" t="s">
        <v>262</v>
      </c>
      <c r="K1904" s="7" t="s">
        <v>36</v>
      </c>
      <c r="L1904" s="8">
        <v>73</v>
      </c>
      <c r="M1904" s="7" t="s">
        <v>70</v>
      </c>
      <c r="N1904" s="8">
        <v>37</v>
      </c>
      <c r="O1904" s="8">
        <v>1</v>
      </c>
      <c r="P1904" s="5">
        <v>1385.74</v>
      </c>
      <c r="Q1904" s="4">
        <v>45600</v>
      </c>
      <c r="R1904" s="9">
        <v>0.34019675925925924</v>
      </c>
      <c r="S1904" s="8">
        <v>16</v>
      </c>
      <c r="T1904" s="7" t="s">
        <v>4454</v>
      </c>
      <c r="U1904" s="7" t="s">
        <v>4455</v>
      </c>
      <c r="V19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05" spans="1:22" x14ac:dyDescent="0.35">
      <c r="A1905" s="7" t="s">
        <v>3774</v>
      </c>
      <c r="B1905" s="7" t="s">
        <v>3702</v>
      </c>
      <c r="C1905" s="5">
        <v>384.11</v>
      </c>
      <c r="D1905" s="2">
        <v>0.69146990740409819</v>
      </c>
      <c r="E1905" s="4">
        <v>45061</v>
      </c>
      <c r="F1905" s="7" t="s">
        <v>17</v>
      </c>
      <c r="G1905" s="7" t="s">
        <v>157</v>
      </c>
      <c r="H1905" s="7" t="s">
        <v>2770</v>
      </c>
      <c r="I1905" s="7" t="s">
        <v>849</v>
      </c>
      <c r="J1905" s="7" t="s">
        <v>418</v>
      </c>
      <c r="K1905" s="7" t="s">
        <v>22</v>
      </c>
      <c r="L1905" s="8">
        <v>58</v>
      </c>
      <c r="M1905" s="7" t="s">
        <v>70</v>
      </c>
      <c r="N1905" s="8">
        <v>12</v>
      </c>
      <c r="O1905" s="8">
        <v>1</v>
      </c>
      <c r="P1905" s="5">
        <v>7902.52</v>
      </c>
      <c r="Q1905" s="4">
        <v>45600</v>
      </c>
      <c r="R1905" s="9">
        <v>0.33791666666666664</v>
      </c>
      <c r="S1905" s="8">
        <v>16</v>
      </c>
      <c r="T1905" s="7" t="s">
        <v>4454</v>
      </c>
      <c r="U1905" s="7" t="s">
        <v>4455</v>
      </c>
      <c r="V19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06" spans="1:22" x14ac:dyDescent="0.35">
      <c r="A1906" s="7" t="s">
        <v>3775</v>
      </c>
      <c r="B1906" s="7" t="s">
        <v>1854</v>
      </c>
      <c r="C1906" s="5">
        <v>227.61</v>
      </c>
      <c r="D1906" s="2">
        <v>0.67807870370597811</v>
      </c>
      <c r="E1906" s="4">
        <v>45145</v>
      </c>
      <c r="F1906" s="7" t="s">
        <v>17</v>
      </c>
      <c r="G1906" s="7" t="s">
        <v>26</v>
      </c>
      <c r="H1906" s="7" t="s">
        <v>158</v>
      </c>
      <c r="I1906" s="7" t="s">
        <v>1462</v>
      </c>
      <c r="J1906" s="7" t="s">
        <v>105</v>
      </c>
      <c r="K1906" s="7" t="s">
        <v>36</v>
      </c>
      <c r="L1906" s="8">
        <v>71</v>
      </c>
      <c r="M1906" s="7" t="s">
        <v>70</v>
      </c>
      <c r="N1906" s="8">
        <v>61</v>
      </c>
      <c r="O1906" s="8">
        <v>1</v>
      </c>
      <c r="P1906" s="5">
        <v>4405.28</v>
      </c>
      <c r="Q1906" s="4">
        <v>45600</v>
      </c>
      <c r="R1906" s="9">
        <v>0.3386689814814815</v>
      </c>
      <c r="S1906" s="8">
        <v>16</v>
      </c>
      <c r="T1906" s="7" t="s">
        <v>4454</v>
      </c>
      <c r="U1906" s="7" t="s">
        <v>4455</v>
      </c>
      <c r="V19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07" spans="1:22" x14ac:dyDescent="0.35">
      <c r="A1907" s="7" t="s">
        <v>3776</v>
      </c>
      <c r="B1907" s="7" t="s">
        <v>380</v>
      </c>
      <c r="C1907" s="5">
        <v>40.83</v>
      </c>
      <c r="D1907" s="2">
        <v>0.69503472222277196</v>
      </c>
      <c r="E1907" s="4">
        <v>45154</v>
      </c>
      <c r="F1907" s="7" t="s">
        <v>17</v>
      </c>
      <c r="G1907" s="7" t="s">
        <v>65</v>
      </c>
      <c r="H1907" s="7" t="s">
        <v>244</v>
      </c>
      <c r="I1907" s="7" t="s">
        <v>3057</v>
      </c>
      <c r="J1907" s="7" t="s">
        <v>143</v>
      </c>
      <c r="K1907" s="7" t="s">
        <v>22</v>
      </c>
      <c r="L1907" s="8">
        <v>48</v>
      </c>
      <c r="M1907" s="7" t="s">
        <v>77</v>
      </c>
      <c r="N1907" s="8">
        <v>24</v>
      </c>
      <c r="O1907" s="8">
        <v>1</v>
      </c>
      <c r="P1907" s="5">
        <v>3944.12</v>
      </c>
      <c r="Q1907" s="4">
        <v>45600</v>
      </c>
      <c r="R1907" s="9">
        <v>0.34171296296296294</v>
      </c>
      <c r="S1907" s="8">
        <v>16</v>
      </c>
      <c r="T1907" s="7" t="s">
        <v>4457</v>
      </c>
      <c r="U1907" s="7" t="s">
        <v>4455</v>
      </c>
      <c r="V19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08" spans="1:22" x14ac:dyDescent="0.35">
      <c r="A1908" s="7" t="s">
        <v>3777</v>
      </c>
      <c r="B1908" s="7" t="s">
        <v>1554</v>
      </c>
      <c r="C1908" s="5">
        <v>19.760000000000002</v>
      </c>
      <c r="D1908" s="2">
        <v>0.74315972222393611</v>
      </c>
      <c r="E1908" s="4">
        <v>45016</v>
      </c>
      <c r="F1908" s="7" t="s">
        <v>17</v>
      </c>
      <c r="G1908" s="7" t="s">
        <v>80</v>
      </c>
      <c r="H1908" s="7" t="s">
        <v>204</v>
      </c>
      <c r="I1908" s="7" t="s">
        <v>1571</v>
      </c>
      <c r="J1908" s="7" t="s">
        <v>980</v>
      </c>
      <c r="K1908" s="7" t="s">
        <v>22</v>
      </c>
      <c r="L1908" s="8">
        <v>20</v>
      </c>
      <c r="M1908" s="7" t="s">
        <v>37</v>
      </c>
      <c r="N1908" s="8">
        <v>240</v>
      </c>
      <c r="O1908" s="8">
        <v>1</v>
      </c>
      <c r="P1908" s="5">
        <v>1523.04</v>
      </c>
      <c r="Q1908" s="4">
        <v>45600</v>
      </c>
      <c r="R1908" s="9">
        <v>0.34037037037037038</v>
      </c>
      <c r="S1908" s="8">
        <v>17</v>
      </c>
      <c r="T1908" s="7" t="s">
        <v>4456</v>
      </c>
      <c r="U1908" s="7" t="s">
        <v>4455</v>
      </c>
      <c r="V19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09" spans="1:22" x14ac:dyDescent="0.35">
      <c r="A1909" s="7" t="s">
        <v>3778</v>
      </c>
      <c r="B1909" s="7" t="s">
        <v>1902</v>
      </c>
      <c r="C1909" s="5">
        <v>484.24</v>
      </c>
      <c r="D1909" s="2">
        <v>0.69461805555329192</v>
      </c>
      <c r="E1909" s="4">
        <v>45075</v>
      </c>
      <c r="F1909" s="7" t="s">
        <v>17</v>
      </c>
      <c r="G1909" s="7" t="s">
        <v>40</v>
      </c>
      <c r="H1909" s="7" t="s">
        <v>368</v>
      </c>
      <c r="I1909" s="7" t="s">
        <v>225</v>
      </c>
      <c r="J1909" s="7" t="s">
        <v>62</v>
      </c>
      <c r="K1909" s="7" t="s">
        <v>69</v>
      </c>
      <c r="L1909" s="8">
        <v>67</v>
      </c>
      <c r="M1909" s="7" t="s">
        <v>23</v>
      </c>
      <c r="N1909" s="8">
        <v>77</v>
      </c>
      <c r="O1909" s="8">
        <v>1</v>
      </c>
      <c r="P1909" s="5">
        <v>8042.3</v>
      </c>
      <c r="Q1909" s="4">
        <v>45600</v>
      </c>
      <c r="R1909" s="9">
        <v>0.33800925925925923</v>
      </c>
      <c r="S1909" s="8">
        <v>16</v>
      </c>
      <c r="T1909" s="7" t="s">
        <v>4454</v>
      </c>
      <c r="U1909" s="7" t="s">
        <v>4455</v>
      </c>
      <c r="V19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0" spans="1:22" x14ac:dyDescent="0.35">
      <c r="A1910" s="7" t="s">
        <v>3779</v>
      </c>
      <c r="B1910" s="7" t="s">
        <v>322</v>
      </c>
      <c r="C1910" s="5">
        <v>494.66</v>
      </c>
      <c r="D1910" s="2">
        <v>0.70804398148175096</v>
      </c>
      <c r="E1910" s="4">
        <v>45096</v>
      </c>
      <c r="F1910" s="7" t="s">
        <v>17</v>
      </c>
      <c r="G1910" s="7" t="s">
        <v>26</v>
      </c>
      <c r="H1910" s="7" t="s">
        <v>66</v>
      </c>
      <c r="I1910" s="7" t="s">
        <v>153</v>
      </c>
      <c r="J1910" s="7" t="s">
        <v>35</v>
      </c>
      <c r="K1910" s="7" t="s">
        <v>36</v>
      </c>
      <c r="L1910" s="8">
        <v>33</v>
      </c>
      <c r="M1910" s="7" t="s">
        <v>23</v>
      </c>
      <c r="N1910" s="8">
        <v>110</v>
      </c>
      <c r="O1910" s="8">
        <v>1</v>
      </c>
      <c r="P1910" s="5">
        <v>5531.93</v>
      </c>
      <c r="Q1910" s="4">
        <v>45600</v>
      </c>
      <c r="R1910" s="9">
        <v>0.33778935185185183</v>
      </c>
      <c r="S1910" s="8">
        <v>16</v>
      </c>
      <c r="T1910" s="7" t="s">
        <v>4456</v>
      </c>
      <c r="U1910" s="7" t="s">
        <v>4455</v>
      </c>
      <c r="V19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1" spans="1:22" x14ac:dyDescent="0.35">
      <c r="A1911" s="7" t="s">
        <v>3780</v>
      </c>
      <c r="B1911" s="7" t="s">
        <v>2695</v>
      </c>
      <c r="C1911" s="5">
        <v>301.47000000000003</v>
      </c>
      <c r="D1911" s="2">
        <v>0.6758680555576575</v>
      </c>
      <c r="E1911" s="4">
        <v>44952</v>
      </c>
      <c r="F1911" s="7" t="s">
        <v>17</v>
      </c>
      <c r="G1911" s="7" t="s">
        <v>521</v>
      </c>
      <c r="H1911" s="7" t="s">
        <v>796</v>
      </c>
      <c r="I1911" s="7" t="s">
        <v>436</v>
      </c>
      <c r="J1911" s="7" t="s">
        <v>143</v>
      </c>
      <c r="K1911" s="7" t="s">
        <v>69</v>
      </c>
      <c r="L1911" s="8">
        <v>21</v>
      </c>
      <c r="M1911" s="7" t="s">
        <v>37</v>
      </c>
      <c r="N1911" s="8">
        <v>291</v>
      </c>
      <c r="O1911" s="8">
        <v>1</v>
      </c>
      <c r="P1911" s="5">
        <v>560.73</v>
      </c>
      <c r="Q1911" s="4">
        <v>45600</v>
      </c>
      <c r="R1911" s="9">
        <v>0.33987268518518521</v>
      </c>
      <c r="S1911" s="8">
        <v>16</v>
      </c>
      <c r="T1911" s="7" t="s">
        <v>4456</v>
      </c>
      <c r="U1911" s="7" t="s">
        <v>4455</v>
      </c>
      <c r="V19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2" spans="1:22" x14ac:dyDescent="0.35">
      <c r="A1912" s="7" t="s">
        <v>3781</v>
      </c>
      <c r="B1912" s="7" t="s">
        <v>1066</v>
      </c>
      <c r="C1912" s="5">
        <v>199.09</v>
      </c>
      <c r="D1912" s="2">
        <v>0.70435185185488081</v>
      </c>
      <c r="E1912" s="4">
        <v>45065</v>
      </c>
      <c r="F1912" s="7" t="s">
        <v>17</v>
      </c>
      <c r="G1912" s="7" t="s">
        <v>73</v>
      </c>
      <c r="H1912" s="7" t="s">
        <v>579</v>
      </c>
      <c r="I1912" s="7" t="s">
        <v>1868</v>
      </c>
      <c r="J1912" s="7" t="s">
        <v>303</v>
      </c>
      <c r="K1912" s="7" t="s">
        <v>36</v>
      </c>
      <c r="L1912" s="8">
        <v>70</v>
      </c>
      <c r="M1912" s="7" t="s">
        <v>23</v>
      </c>
      <c r="N1912" s="8">
        <v>89</v>
      </c>
      <c r="O1912" s="8">
        <v>1</v>
      </c>
      <c r="P1912" s="5">
        <v>1658.52</v>
      </c>
      <c r="Q1912" s="4">
        <v>45600</v>
      </c>
      <c r="R1912" s="9">
        <v>0.3394212962962963</v>
      </c>
      <c r="S1912" s="8">
        <v>16</v>
      </c>
      <c r="T1912" s="7" t="s">
        <v>4454</v>
      </c>
      <c r="U1912" s="7" t="s">
        <v>4455</v>
      </c>
      <c r="V19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3" spans="1:22" x14ac:dyDescent="0.35">
      <c r="A1913" s="7" t="s">
        <v>3782</v>
      </c>
      <c r="B1913" s="7" t="s">
        <v>737</v>
      </c>
      <c r="C1913" s="5">
        <v>38.950000000000003</v>
      </c>
      <c r="D1913" s="2">
        <v>0.69741898147913162</v>
      </c>
      <c r="E1913" s="4">
        <v>45217</v>
      </c>
      <c r="F1913" s="7" t="s">
        <v>17</v>
      </c>
      <c r="G1913" s="7" t="s">
        <v>140</v>
      </c>
      <c r="H1913" s="7" t="s">
        <v>1952</v>
      </c>
      <c r="I1913" s="7" t="s">
        <v>1083</v>
      </c>
      <c r="J1913" s="7" t="s">
        <v>740</v>
      </c>
      <c r="K1913" s="7" t="s">
        <v>36</v>
      </c>
      <c r="L1913" s="8">
        <v>27</v>
      </c>
      <c r="M1913" s="7" t="s">
        <v>77</v>
      </c>
      <c r="N1913" s="8">
        <v>50</v>
      </c>
      <c r="O1913" s="8">
        <v>1</v>
      </c>
      <c r="P1913" s="5">
        <v>731.52</v>
      </c>
      <c r="Q1913" s="4">
        <v>45600</v>
      </c>
      <c r="R1913" s="9">
        <v>0.33945601851851853</v>
      </c>
      <c r="S1913" s="8">
        <v>16</v>
      </c>
      <c r="T1913" s="7" t="s">
        <v>4456</v>
      </c>
      <c r="U1913" s="7" t="s">
        <v>4455</v>
      </c>
      <c r="V19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4" spans="1:22" x14ac:dyDescent="0.35">
      <c r="A1914" s="7" t="s">
        <v>3783</v>
      </c>
      <c r="B1914" s="7" t="s">
        <v>993</v>
      </c>
      <c r="C1914" s="5">
        <v>515.94000000000005</v>
      </c>
      <c r="D1914" s="2">
        <v>0.69621527777781012</v>
      </c>
      <c r="E1914" s="4">
        <v>45282</v>
      </c>
      <c r="F1914" s="7" t="s">
        <v>17</v>
      </c>
      <c r="G1914" s="7" t="s">
        <v>212</v>
      </c>
      <c r="H1914" s="7" t="s">
        <v>750</v>
      </c>
      <c r="I1914" s="7" t="s">
        <v>929</v>
      </c>
      <c r="J1914" s="7" t="s">
        <v>474</v>
      </c>
      <c r="K1914" s="7" t="s">
        <v>22</v>
      </c>
      <c r="L1914" s="8">
        <v>29</v>
      </c>
      <c r="M1914" s="7" t="s">
        <v>77</v>
      </c>
      <c r="N1914" s="8">
        <v>37</v>
      </c>
      <c r="O1914" s="8">
        <v>1</v>
      </c>
      <c r="P1914" s="5">
        <v>1389.89</v>
      </c>
      <c r="Q1914" s="4">
        <v>45600</v>
      </c>
      <c r="R1914" s="9">
        <v>0.34108796296296295</v>
      </c>
      <c r="S1914" s="8">
        <v>16</v>
      </c>
      <c r="T1914" s="7" t="s">
        <v>4456</v>
      </c>
      <c r="U1914" s="7" t="s">
        <v>4455</v>
      </c>
      <c r="V19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5" spans="1:22" x14ac:dyDescent="0.35">
      <c r="A1915" s="7" t="s">
        <v>3784</v>
      </c>
      <c r="B1915" s="7" t="s">
        <v>1587</v>
      </c>
      <c r="C1915" s="5">
        <v>41.93</v>
      </c>
      <c r="D1915" s="2">
        <v>0.69743055555591127</v>
      </c>
      <c r="E1915" s="4">
        <v>44970</v>
      </c>
      <c r="F1915" s="7" t="s">
        <v>17</v>
      </c>
      <c r="G1915" s="7" t="s">
        <v>558</v>
      </c>
      <c r="H1915" s="7" t="s">
        <v>668</v>
      </c>
      <c r="I1915" s="7" t="s">
        <v>2131</v>
      </c>
      <c r="J1915" s="7" t="s">
        <v>288</v>
      </c>
      <c r="K1915" s="7" t="s">
        <v>22</v>
      </c>
      <c r="L1915" s="8">
        <v>48</v>
      </c>
      <c r="M1915" s="7" t="s">
        <v>77</v>
      </c>
      <c r="N1915" s="8">
        <v>136</v>
      </c>
      <c r="O1915" s="8">
        <v>1</v>
      </c>
      <c r="P1915" s="5">
        <v>5081.26</v>
      </c>
      <c r="Q1915" s="4">
        <v>45600</v>
      </c>
      <c r="R1915" s="9">
        <v>0.33777777777777779</v>
      </c>
      <c r="S1915" s="8">
        <v>16</v>
      </c>
      <c r="T1915" s="7" t="s">
        <v>4457</v>
      </c>
      <c r="U1915" s="7" t="s">
        <v>4455</v>
      </c>
      <c r="V19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6" spans="1:22" x14ac:dyDescent="0.35">
      <c r="A1916" s="7" t="s">
        <v>3785</v>
      </c>
      <c r="B1916" s="7" t="s">
        <v>2889</v>
      </c>
      <c r="C1916" s="5">
        <v>137.84</v>
      </c>
      <c r="D1916" s="2">
        <v>0.66876157407386927</v>
      </c>
      <c r="E1916" s="4">
        <v>45243</v>
      </c>
      <c r="F1916" s="7" t="s">
        <v>17</v>
      </c>
      <c r="G1916" s="7" t="s">
        <v>296</v>
      </c>
      <c r="H1916" s="7" t="s">
        <v>654</v>
      </c>
      <c r="I1916" s="7" t="s">
        <v>606</v>
      </c>
      <c r="J1916" s="7" t="s">
        <v>853</v>
      </c>
      <c r="K1916" s="7" t="s">
        <v>22</v>
      </c>
      <c r="L1916" s="8">
        <v>27</v>
      </c>
      <c r="M1916" s="7" t="s">
        <v>37</v>
      </c>
      <c r="N1916" s="8">
        <v>83</v>
      </c>
      <c r="O1916" s="8">
        <v>1</v>
      </c>
      <c r="P1916" s="5">
        <v>1000.35</v>
      </c>
      <c r="Q1916" s="4">
        <v>45600</v>
      </c>
      <c r="R1916" s="9">
        <v>0.33988425925925925</v>
      </c>
      <c r="S1916" s="8">
        <v>16</v>
      </c>
      <c r="T1916" s="7" t="s">
        <v>4456</v>
      </c>
      <c r="U1916" s="7" t="s">
        <v>4455</v>
      </c>
      <c r="V19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7" spans="1:22" x14ac:dyDescent="0.35">
      <c r="A1917" s="7" t="s">
        <v>3786</v>
      </c>
      <c r="B1917" s="7" t="s">
        <v>1304</v>
      </c>
      <c r="C1917" s="5">
        <v>95.35</v>
      </c>
      <c r="D1917" s="2">
        <v>0.68563657407503342</v>
      </c>
      <c r="E1917" s="4">
        <v>45133</v>
      </c>
      <c r="F1917" s="7" t="s">
        <v>17</v>
      </c>
      <c r="G1917" s="7" t="s">
        <v>265</v>
      </c>
      <c r="H1917" s="7" t="s">
        <v>1154</v>
      </c>
      <c r="I1917" s="7" t="s">
        <v>1576</v>
      </c>
      <c r="J1917" s="7" t="s">
        <v>418</v>
      </c>
      <c r="K1917" s="7" t="s">
        <v>36</v>
      </c>
      <c r="L1917" s="8">
        <v>21</v>
      </c>
      <c r="M1917" s="7" t="s">
        <v>37</v>
      </c>
      <c r="N1917" s="8">
        <v>131</v>
      </c>
      <c r="O1917" s="8">
        <v>1</v>
      </c>
      <c r="P1917" s="5">
        <v>1639.9</v>
      </c>
      <c r="Q1917" s="4">
        <v>45600</v>
      </c>
      <c r="R1917" s="9">
        <v>0.3384490740740741</v>
      </c>
      <c r="S1917" s="8">
        <v>16</v>
      </c>
      <c r="T1917" s="7" t="s">
        <v>4456</v>
      </c>
      <c r="U1917" s="7" t="s">
        <v>4455</v>
      </c>
      <c r="V19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8" spans="1:22" x14ac:dyDescent="0.35">
      <c r="A1918" s="7" t="s">
        <v>3787</v>
      </c>
      <c r="B1918" s="7" t="s">
        <v>452</v>
      </c>
      <c r="C1918" s="5">
        <v>93.14</v>
      </c>
      <c r="D1918" s="2">
        <v>0.69943287037312984</v>
      </c>
      <c r="E1918" s="4">
        <v>44928</v>
      </c>
      <c r="F1918" s="7" t="s">
        <v>17</v>
      </c>
      <c r="G1918" s="7" t="s">
        <v>92</v>
      </c>
      <c r="H1918" s="7" t="s">
        <v>2657</v>
      </c>
      <c r="I1918" s="7" t="s">
        <v>1204</v>
      </c>
      <c r="J1918" s="7" t="s">
        <v>186</v>
      </c>
      <c r="K1918" s="7" t="s">
        <v>36</v>
      </c>
      <c r="L1918" s="8">
        <v>67</v>
      </c>
      <c r="M1918" s="7" t="s">
        <v>70</v>
      </c>
      <c r="N1918" s="8">
        <v>151</v>
      </c>
      <c r="O1918" s="8">
        <v>1</v>
      </c>
      <c r="P1918" s="5">
        <v>5473.82</v>
      </c>
      <c r="Q1918" s="4">
        <v>45600</v>
      </c>
      <c r="R1918" s="9">
        <v>0.33880787037037036</v>
      </c>
      <c r="S1918" s="8">
        <v>16</v>
      </c>
      <c r="T1918" s="7" t="s">
        <v>4454</v>
      </c>
      <c r="U1918" s="7" t="s">
        <v>4455</v>
      </c>
      <c r="V19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19" spans="1:22" x14ac:dyDescent="0.35">
      <c r="A1919" s="7" t="s">
        <v>3788</v>
      </c>
      <c r="B1919" s="7" t="s">
        <v>621</v>
      </c>
      <c r="C1919" s="5">
        <v>1427.71</v>
      </c>
      <c r="D1919" s="2">
        <v>0.72678240740788169</v>
      </c>
      <c r="E1919" s="4">
        <v>44950</v>
      </c>
      <c r="F1919" s="7" t="s">
        <v>17</v>
      </c>
      <c r="G1919" s="7" t="s">
        <v>203</v>
      </c>
      <c r="H1919" s="7" t="s">
        <v>618</v>
      </c>
      <c r="I1919" s="7" t="s">
        <v>1306</v>
      </c>
      <c r="J1919" s="7" t="s">
        <v>572</v>
      </c>
      <c r="K1919" s="7" t="s">
        <v>69</v>
      </c>
      <c r="L1919" s="8">
        <v>64</v>
      </c>
      <c r="M1919" s="7" t="s">
        <v>23</v>
      </c>
      <c r="N1919" s="8">
        <v>159</v>
      </c>
      <c r="O1919" s="8">
        <v>1</v>
      </c>
      <c r="P1919" s="5">
        <v>1729.26</v>
      </c>
      <c r="Q1919" s="4">
        <v>45600</v>
      </c>
      <c r="R1919" s="9">
        <v>0.33993055555555557</v>
      </c>
      <c r="S1919" s="8">
        <v>17</v>
      </c>
      <c r="T1919" s="7" t="s">
        <v>4454</v>
      </c>
      <c r="U1919" s="7" t="s">
        <v>4455</v>
      </c>
      <c r="V19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20" spans="1:22" x14ac:dyDescent="0.35">
      <c r="A1920" s="7" t="s">
        <v>3789</v>
      </c>
      <c r="B1920" s="7" t="s">
        <v>1653</v>
      </c>
      <c r="C1920" s="5">
        <v>79.33</v>
      </c>
      <c r="D1920" s="2">
        <v>0.67361111110949423</v>
      </c>
      <c r="E1920" s="4">
        <v>45266</v>
      </c>
      <c r="F1920" s="7" t="s">
        <v>46</v>
      </c>
      <c r="G1920" s="7" t="s">
        <v>146</v>
      </c>
      <c r="H1920" s="7" t="s">
        <v>1224</v>
      </c>
      <c r="I1920" s="7" t="s">
        <v>1772</v>
      </c>
      <c r="J1920" s="7" t="s">
        <v>607</v>
      </c>
      <c r="K1920" s="7" t="s">
        <v>36</v>
      </c>
      <c r="L1920" s="8">
        <v>51</v>
      </c>
      <c r="M1920" s="7" t="s">
        <v>23</v>
      </c>
      <c r="N1920" s="8">
        <v>109</v>
      </c>
      <c r="O1920" s="8">
        <v>1</v>
      </c>
      <c r="P1920" s="5">
        <v>14798.1</v>
      </c>
      <c r="Q1920" s="4">
        <v>45600</v>
      </c>
      <c r="R1920" s="9">
        <v>0.33826388888888886</v>
      </c>
      <c r="S1920" s="8">
        <v>16</v>
      </c>
      <c r="T1920" s="7" t="s">
        <v>4457</v>
      </c>
      <c r="U1920" s="7" t="s">
        <v>4455</v>
      </c>
      <c r="V19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21" spans="1:22" x14ac:dyDescent="0.35">
      <c r="A1921" s="7" t="s">
        <v>3790</v>
      </c>
      <c r="B1921" s="7" t="s">
        <v>1814</v>
      </c>
      <c r="C1921" s="5">
        <v>76.89</v>
      </c>
      <c r="D1921" s="2">
        <v>0.74302083333168412</v>
      </c>
      <c r="E1921" s="4">
        <v>45056</v>
      </c>
      <c r="F1921" s="7" t="s">
        <v>17</v>
      </c>
      <c r="G1921" s="7" t="s">
        <v>265</v>
      </c>
      <c r="H1921" s="7" t="s">
        <v>120</v>
      </c>
      <c r="I1921" s="7" t="s">
        <v>1467</v>
      </c>
      <c r="J1921" s="7" t="s">
        <v>1349</v>
      </c>
      <c r="K1921" s="7" t="s">
        <v>22</v>
      </c>
      <c r="L1921" s="8">
        <v>55</v>
      </c>
      <c r="M1921" s="7" t="s">
        <v>23</v>
      </c>
      <c r="N1921" s="8">
        <v>132</v>
      </c>
      <c r="O1921" s="8">
        <v>1</v>
      </c>
      <c r="P1921" s="5">
        <v>7374.26</v>
      </c>
      <c r="Q1921" s="4">
        <v>45600</v>
      </c>
      <c r="R1921" s="9">
        <v>0.34063657407407405</v>
      </c>
      <c r="S1921" s="8">
        <v>17</v>
      </c>
      <c r="T1921" s="7" t="s">
        <v>4454</v>
      </c>
      <c r="U1921" s="7" t="s">
        <v>4455</v>
      </c>
      <c r="V19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22" spans="1:22" x14ac:dyDescent="0.35">
      <c r="A1922" s="7" t="s">
        <v>3791</v>
      </c>
      <c r="B1922" s="7" t="s">
        <v>1183</v>
      </c>
      <c r="C1922" s="5">
        <v>233.71</v>
      </c>
      <c r="D1922" s="2">
        <v>0.72939814814890269</v>
      </c>
      <c r="E1922" s="4">
        <v>44998</v>
      </c>
      <c r="F1922" s="7" t="s">
        <v>17</v>
      </c>
      <c r="G1922" s="7" t="s">
        <v>392</v>
      </c>
      <c r="H1922" s="7" t="s">
        <v>994</v>
      </c>
      <c r="I1922" s="7" t="s">
        <v>3470</v>
      </c>
      <c r="J1922" s="7" t="s">
        <v>143</v>
      </c>
      <c r="K1922" s="7" t="s">
        <v>36</v>
      </c>
      <c r="L1922" s="8">
        <v>19</v>
      </c>
      <c r="M1922" s="7" t="s">
        <v>37</v>
      </c>
      <c r="N1922" s="8">
        <v>297</v>
      </c>
      <c r="O1922" s="8">
        <v>1</v>
      </c>
      <c r="P1922" s="5">
        <v>1231.98</v>
      </c>
      <c r="Q1922" s="4">
        <v>45600</v>
      </c>
      <c r="R1922" s="9">
        <v>0.34177083333333336</v>
      </c>
      <c r="S1922" s="8">
        <v>17</v>
      </c>
      <c r="T1922" s="7" t="s">
        <v>4456</v>
      </c>
      <c r="U1922" s="7" t="s">
        <v>4455</v>
      </c>
      <c r="V19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23" spans="1:22" x14ac:dyDescent="0.35">
      <c r="A1923" s="7" t="s">
        <v>3792</v>
      </c>
      <c r="B1923" s="7" t="s">
        <v>2530</v>
      </c>
      <c r="C1923" s="5">
        <v>14.92</v>
      </c>
      <c r="D1923" s="2">
        <v>0.70240740740700858</v>
      </c>
      <c r="E1923" s="4">
        <v>45068</v>
      </c>
      <c r="F1923" s="7" t="s">
        <v>17</v>
      </c>
      <c r="G1923" s="7" t="s">
        <v>146</v>
      </c>
      <c r="H1923" s="7" t="s">
        <v>3045</v>
      </c>
      <c r="I1923" s="7" t="s">
        <v>1551</v>
      </c>
      <c r="J1923" s="7" t="s">
        <v>252</v>
      </c>
      <c r="K1923" s="7" t="s">
        <v>69</v>
      </c>
      <c r="L1923" s="8">
        <v>26</v>
      </c>
      <c r="M1923" s="7" t="s">
        <v>77</v>
      </c>
      <c r="N1923" s="8">
        <v>120</v>
      </c>
      <c r="O1923" s="8">
        <v>1</v>
      </c>
      <c r="P1923" s="5">
        <v>6611.26</v>
      </c>
      <c r="Q1923" s="4">
        <v>45600</v>
      </c>
      <c r="R1923" s="9">
        <v>0.33857638888888891</v>
      </c>
      <c r="S1923" s="8">
        <v>16</v>
      </c>
      <c r="T1923" s="7" t="s">
        <v>4456</v>
      </c>
      <c r="U1923" s="7" t="s">
        <v>4455</v>
      </c>
      <c r="V19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24" spans="1:22" x14ac:dyDescent="0.35">
      <c r="A1924" s="7" t="s">
        <v>3793</v>
      </c>
      <c r="B1924" s="7" t="s">
        <v>868</v>
      </c>
      <c r="C1924" s="5">
        <v>242.17</v>
      </c>
      <c r="D1924" s="2">
        <v>0.68644675926043419</v>
      </c>
      <c r="E1924" s="4">
        <v>45085</v>
      </c>
      <c r="F1924" s="7" t="s">
        <v>17</v>
      </c>
      <c r="G1924" s="7" t="s">
        <v>392</v>
      </c>
      <c r="H1924" s="7" t="s">
        <v>306</v>
      </c>
      <c r="I1924" s="7" t="s">
        <v>518</v>
      </c>
      <c r="J1924" s="7" t="s">
        <v>418</v>
      </c>
      <c r="K1924" s="7" t="s">
        <v>22</v>
      </c>
      <c r="L1924" s="8">
        <v>60</v>
      </c>
      <c r="M1924" s="7" t="s">
        <v>23</v>
      </c>
      <c r="N1924" s="8">
        <v>147</v>
      </c>
      <c r="O1924" s="8">
        <v>1</v>
      </c>
      <c r="P1924" s="5">
        <v>883.72</v>
      </c>
      <c r="Q1924" s="4">
        <v>45600</v>
      </c>
      <c r="R1924" s="9">
        <v>0.34075231481481483</v>
      </c>
      <c r="S1924" s="8">
        <v>16</v>
      </c>
      <c r="T1924" s="7" t="s">
        <v>4454</v>
      </c>
      <c r="U1924" s="7" t="s">
        <v>4455</v>
      </c>
      <c r="V19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25" spans="1:22" x14ac:dyDescent="0.35">
      <c r="A1925" s="7" t="s">
        <v>3794</v>
      </c>
      <c r="B1925" s="7" t="s">
        <v>2352</v>
      </c>
      <c r="C1925" s="5">
        <v>122.98</v>
      </c>
      <c r="D1925" s="2">
        <v>0.67775462962890742</v>
      </c>
      <c r="E1925" s="4">
        <v>45131</v>
      </c>
      <c r="F1925" s="7" t="s">
        <v>17</v>
      </c>
      <c r="G1925" s="7" t="s">
        <v>392</v>
      </c>
      <c r="H1925" s="7" t="s">
        <v>3366</v>
      </c>
      <c r="I1925" s="7" t="s">
        <v>3101</v>
      </c>
      <c r="J1925" s="7" t="s">
        <v>68</v>
      </c>
      <c r="K1925" s="7" t="s">
        <v>36</v>
      </c>
      <c r="L1925" s="8">
        <v>79</v>
      </c>
      <c r="M1925" s="7" t="s">
        <v>70</v>
      </c>
      <c r="N1925" s="8">
        <v>228</v>
      </c>
      <c r="O1925" s="8">
        <v>1</v>
      </c>
      <c r="P1925" s="5">
        <v>5055.99</v>
      </c>
      <c r="Q1925" s="4">
        <v>45600</v>
      </c>
      <c r="R1925" s="9">
        <v>0.34016203703703701</v>
      </c>
      <c r="S1925" s="8">
        <v>16</v>
      </c>
      <c r="T1925" s="7" t="s">
        <v>4454</v>
      </c>
      <c r="U1925" s="7" t="s">
        <v>4455</v>
      </c>
      <c r="V19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26" spans="1:22" x14ac:dyDescent="0.35">
      <c r="A1926" s="7" t="s">
        <v>3795</v>
      </c>
      <c r="B1926" s="7" t="s">
        <v>720</v>
      </c>
      <c r="C1926" s="5">
        <v>129.35</v>
      </c>
      <c r="D1926" s="2">
        <v>0.68875000000116415</v>
      </c>
      <c r="E1926" s="4">
        <v>45166</v>
      </c>
      <c r="F1926" s="7" t="s">
        <v>17</v>
      </c>
      <c r="G1926" s="7" t="s">
        <v>146</v>
      </c>
      <c r="H1926" s="7" t="s">
        <v>833</v>
      </c>
      <c r="I1926" s="7" t="s">
        <v>298</v>
      </c>
      <c r="J1926" s="7" t="s">
        <v>143</v>
      </c>
      <c r="K1926" s="7" t="s">
        <v>22</v>
      </c>
      <c r="L1926" s="8">
        <v>52</v>
      </c>
      <c r="M1926" s="7" t="s">
        <v>77</v>
      </c>
      <c r="N1926" s="8">
        <v>130</v>
      </c>
      <c r="O1926" s="8">
        <v>1</v>
      </c>
      <c r="P1926" s="5">
        <v>7166.88</v>
      </c>
      <c r="Q1926" s="4">
        <v>45600</v>
      </c>
      <c r="R1926" s="9">
        <v>0.34005787037037039</v>
      </c>
      <c r="S1926" s="8">
        <v>16</v>
      </c>
      <c r="T1926" s="7" t="s">
        <v>4457</v>
      </c>
      <c r="U1926" s="7" t="s">
        <v>4455</v>
      </c>
      <c r="V19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27" spans="1:22" x14ac:dyDescent="0.35">
      <c r="A1927" s="7" t="s">
        <v>3796</v>
      </c>
      <c r="B1927" s="7" t="s">
        <v>733</v>
      </c>
      <c r="C1927" s="5">
        <v>138.33000000000001</v>
      </c>
      <c r="D1927" s="2">
        <v>0.74894675926043419</v>
      </c>
      <c r="E1927" s="4">
        <v>45114</v>
      </c>
      <c r="F1927" s="7" t="s">
        <v>17</v>
      </c>
      <c r="G1927" s="7" t="s">
        <v>323</v>
      </c>
      <c r="H1927" s="7" t="s">
        <v>936</v>
      </c>
      <c r="I1927" s="7" t="s">
        <v>857</v>
      </c>
      <c r="J1927" s="7" t="s">
        <v>1349</v>
      </c>
      <c r="K1927" s="7" t="s">
        <v>36</v>
      </c>
      <c r="L1927" s="8">
        <v>21</v>
      </c>
      <c r="M1927" s="7" t="s">
        <v>37</v>
      </c>
      <c r="N1927" s="8">
        <v>69</v>
      </c>
      <c r="O1927" s="8">
        <v>1</v>
      </c>
      <c r="P1927" s="5">
        <v>232.56</v>
      </c>
      <c r="Q1927" s="4">
        <v>45600</v>
      </c>
      <c r="R1927" s="9">
        <v>0.33978009259259262</v>
      </c>
      <c r="S1927" s="8">
        <v>17</v>
      </c>
      <c r="T1927" s="7" t="s">
        <v>4456</v>
      </c>
      <c r="U1927" s="7" t="s">
        <v>4455</v>
      </c>
      <c r="V19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28" spans="1:22" x14ac:dyDescent="0.35">
      <c r="A1928" s="7" t="s">
        <v>3797</v>
      </c>
      <c r="B1928" s="7" t="s">
        <v>989</v>
      </c>
      <c r="C1928" s="5">
        <v>39.31</v>
      </c>
      <c r="D1928" s="2">
        <v>0.72563657407590654</v>
      </c>
      <c r="E1928" s="4">
        <v>45229</v>
      </c>
      <c r="F1928" s="7" t="s">
        <v>17</v>
      </c>
      <c r="G1928" s="7" t="s">
        <v>595</v>
      </c>
      <c r="H1928" s="7" t="s">
        <v>3798</v>
      </c>
      <c r="I1928" s="7" t="s">
        <v>1534</v>
      </c>
      <c r="J1928" s="7" t="s">
        <v>200</v>
      </c>
      <c r="K1928" s="7" t="s">
        <v>36</v>
      </c>
      <c r="L1928" s="8">
        <v>25</v>
      </c>
      <c r="M1928" s="7" t="s">
        <v>37</v>
      </c>
      <c r="N1928" s="8">
        <v>178</v>
      </c>
      <c r="O1928" s="8">
        <v>1</v>
      </c>
      <c r="P1928" s="5">
        <v>1236.3800000000001</v>
      </c>
      <c r="Q1928" s="4">
        <v>45600</v>
      </c>
      <c r="R1928" s="9">
        <v>0.33804398148148146</v>
      </c>
      <c r="S1928" s="8">
        <v>17</v>
      </c>
      <c r="T1928" s="7" t="s">
        <v>4456</v>
      </c>
      <c r="U1928" s="7" t="s">
        <v>4455</v>
      </c>
      <c r="V19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29" spans="1:22" x14ac:dyDescent="0.35">
      <c r="A1929" s="7" t="s">
        <v>3799</v>
      </c>
      <c r="B1929" s="7" t="s">
        <v>2125</v>
      </c>
      <c r="C1929" s="5">
        <v>91.85</v>
      </c>
      <c r="D1929" s="2">
        <v>0.7017476851833635</v>
      </c>
      <c r="E1929" s="4">
        <v>45215</v>
      </c>
      <c r="F1929" s="7" t="s">
        <v>17</v>
      </c>
      <c r="G1929" s="7" t="s">
        <v>59</v>
      </c>
      <c r="H1929" s="7" t="s">
        <v>2278</v>
      </c>
      <c r="I1929" s="7" t="s">
        <v>1165</v>
      </c>
      <c r="J1929" s="7" t="s">
        <v>143</v>
      </c>
      <c r="K1929" s="7" t="s">
        <v>36</v>
      </c>
      <c r="L1929" s="8">
        <v>21</v>
      </c>
      <c r="M1929" s="7" t="s">
        <v>37</v>
      </c>
      <c r="N1929" s="8">
        <v>148</v>
      </c>
      <c r="O1929" s="8">
        <v>1</v>
      </c>
      <c r="P1929" s="5">
        <v>802.09</v>
      </c>
      <c r="Q1929" s="4">
        <v>45600</v>
      </c>
      <c r="R1929" s="9">
        <v>0.34182870370370372</v>
      </c>
      <c r="S1929" s="8">
        <v>16</v>
      </c>
      <c r="T1929" s="7" t="s">
        <v>4456</v>
      </c>
      <c r="U1929" s="7" t="s">
        <v>4455</v>
      </c>
      <c r="V19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30" spans="1:22" x14ac:dyDescent="0.35">
      <c r="A1930" s="7" t="s">
        <v>3800</v>
      </c>
      <c r="B1930" s="7" t="s">
        <v>2525</v>
      </c>
      <c r="C1930" s="5">
        <v>277.7</v>
      </c>
      <c r="D1930" s="2">
        <v>0.69358796296000946</v>
      </c>
      <c r="E1930" s="4">
        <v>45099</v>
      </c>
      <c r="F1930" s="7" t="s">
        <v>17</v>
      </c>
      <c r="G1930" s="7" t="s">
        <v>80</v>
      </c>
      <c r="H1930" s="7" t="s">
        <v>3801</v>
      </c>
      <c r="I1930" s="7" t="s">
        <v>449</v>
      </c>
      <c r="J1930" s="7" t="s">
        <v>1349</v>
      </c>
      <c r="K1930" s="7" t="s">
        <v>69</v>
      </c>
      <c r="L1930" s="8">
        <v>58</v>
      </c>
      <c r="M1930" s="7" t="s">
        <v>77</v>
      </c>
      <c r="N1930" s="8">
        <v>107</v>
      </c>
      <c r="O1930" s="8">
        <v>1</v>
      </c>
      <c r="P1930" s="5">
        <v>1423.2</v>
      </c>
      <c r="Q1930" s="4">
        <v>45600</v>
      </c>
      <c r="R1930" s="9">
        <v>0.3414699074074074</v>
      </c>
      <c r="S1930" s="8">
        <v>16</v>
      </c>
      <c r="T1930" s="7" t="s">
        <v>4454</v>
      </c>
      <c r="U1930" s="7" t="s">
        <v>4455</v>
      </c>
      <c r="V19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31" spans="1:22" x14ac:dyDescent="0.35">
      <c r="A1931" s="7" t="s">
        <v>3802</v>
      </c>
      <c r="B1931" s="7" t="s">
        <v>1361</v>
      </c>
      <c r="C1931" s="5">
        <v>114.03</v>
      </c>
      <c r="D1931" s="2">
        <v>0.68774305555416504</v>
      </c>
      <c r="E1931" s="4">
        <v>45254</v>
      </c>
      <c r="F1931" s="7" t="s">
        <v>17</v>
      </c>
      <c r="G1931" s="7" t="s">
        <v>595</v>
      </c>
      <c r="H1931" s="7" t="s">
        <v>2773</v>
      </c>
      <c r="I1931" s="7" t="s">
        <v>824</v>
      </c>
      <c r="J1931" s="7" t="s">
        <v>427</v>
      </c>
      <c r="K1931" s="7" t="s">
        <v>22</v>
      </c>
      <c r="L1931" s="8">
        <v>51</v>
      </c>
      <c r="M1931" s="7" t="s">
        <v>23</v>
      </c>
      <c r="N1931" s="8">
        <v>172</v>
      </c>
      <c r="O1931" s="8">
        <v>1</v>
      </c>
      <c r="P1931" s="5">
        <v>13388.56</v>
      </c>
      <c r="Q1931" s="4">
        <v>45600</v>
      </c>
      <c r="R1931" s="9">
        <v>0.34145833333333331</v>
      </c>
      <c r="S1931" s="8">
        <v>16</v>
      </c>
      <c r="T1931" s="7" t="s">
        <v>4457</v>
      </c>
      <c r="U1931" s="7" t="s">
        <v>4455</v>
      </c>
      <c r="V19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32" spans="1:22" x14ac:dyDescent="0.35">
      <c r="A1932" s="7" t="s">
        <v>3803</v>
      </c>
      <c r="B1932" s="7" t="s">
        <v>399</v>
      </c>
      <c r="C1932" s="5">
        <v>302.63</v>
      </c>
      <c r="D1932" s="2">
        <v>0.72530092592933215</v>
      </c>
      <c r="E1932" s="4">
        <v>44985</v>
      </c>
      <c r="F1932" s="7" t="s">
        <v>46</v>
      </c>
      <c r="G1932" s="7" t="s">
        <v>223</v>
      </c>
      <c r="H1932" s="7" t="s">
        <v>1550</v>
      </c>
      <c r="I1932" s="7" t="s">
        <v>710</v>
      </c>
      <c r="J1932" s="7" t="s">
        <v>29</v>
      </c>
      <c r="K1932" s="7" t="s">
        <v>69</v>
      </c>
      <c r="L1932" s="8">
        <v>27</v>
      </c>
      <c r="M1932" s="7" t="s">
        <v>77</v>
      </c>
      <c r="N1932" s="8">
        <v>10</v>
      </c>
      <c r="O1932" s="8">
        <v>1</v>
      </c>
      <c r="P1932" s="5">
        <v>2801.28</v>
      </c>
      <c r="Q1932" s="4">
        <v>45600</v>
      </c>
      <c r="R1932" s="9">
        <v>0.33839120370370368</v>
      </c>
      <c r="S1932" s="8">
        <v>17</v>
      </c>
      <c r="T1932" s="7" t="s">
        <v>4456</v>
      </c>
      <c r="U1932" s="7" t="s">
        <v>4455</v>
      </c>
      <c r="V19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33" spans="1:22" x14ac:dyDescent="0.35">
      <c r="A1933" s="7" t="s">
        <v>3804</v>
      </c>
      <c r="B1933" s="7" t="s">
        <v>39</v>
      </c>
      <c r="C1933" s="5">
        <v>31.19</v>
      </c>
      <c r="D1933" s="2">
        <v>0.68332175925752381</v>
      </c>
      <c r="E1933" s="4">
        <v>45041</v>
      </c>
      <c r="F1933" s="7" t="s">
        <v>17</v>
      </c>
      <c r="G1933" s="7" t="s">
        <v>249</v>
      </c>
      <c r="H1933" s="7" t="s">
        <v>385</v>
      </c>
      <c r="I1933" s="7" t="s">
        <v>2838</v>
      </c>
      <c r="J1933" s="7" t="s">
        <v>282</v>
      </c>
      <c r="K1933" s="7" t="s">
        <v>22</v>
      </c>
      <c r="L1933" s="8">
        <v>52</v>
      </c>
      <c r="M1933" s="7" t="s">
        <v>77</v>
      </c>
      <c r="N1933" s="8">
        <v>74</v>
      </c>
      <c r="O1933" s="8">
        <v>1</v>
      </c>
      <c r="P1933" s="5">
        <v>5545.96</v>
      </c>
      <c r="Q1933" s="4">
        <v>45600</v>
      </c>
      <c r="R1933" s="9">
        <v>0.3399652777777778</v>
      </c>
      <c r="S1933" s="8">
        <v>16</v>
      </c>
      <c r="T1933" s="7" t="s">
        <v>4457</v>
      </c>
      <c r="U1933" s="7" t="s">
        <v>4455</v>
      </c>
      <c r="V19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34" spans="1:22" x14ac:dyDescent="0.35">
      <c r="A1934" s="7" t="s">
        <v>3805</v>
      </c>
      <c r="B1934" s="7" t="s">
        <v>604</v>
      </c>
      <c r="C1934" s="5">
        <v>112.91</v>
      </c>
      <c r="D1934" s="2">
        <v>0.75303240741050104</v>
      </c>
      <c r="E1934" s="4">
        <v>45245</v>
      </c>
      <c r="F1934" s="7" t="s">
        <v>46</v>
      </c>
      <c r="G1934" s="7" t="s">
        <v>255</v>
      </c>
      <c r="H1934" s="7" t="s">
        <v>665</v>
      </c>
      <c r="I1934" s="7" t="s">
        <v>121</v>
      </c>
      <c r="J1934" s="7" t="s">
        <v>1000</v>
      </c>
      <c r="K1934" s="7" t="s">
        <v>36</v>
      </c>
      <c r="L1934" s="8">
        <v>27</v>
      </c>
      <c r="M1934" s="7" t="s">
        <v>77</v>
      </c>
      <c r="N1934" s="8">
        <v>135</v>
      </c>
      <c r="O1934" s="8">
        <v>1</v>
      </c>
      <c r="P1934" s="5">
        <v>4764.4799999999996</v>
      </c>
      <c r="Q1934" s="4">
        <v>45600</v>
      </c>
      <c r="R1934" s="9">
        <v>0.34</v>
      </c>
      <c r="S1934" s="8">
        <v>18</v>
      </c>
      <c r="T1934" s="7" t="s">
        <v>4456</v>
      </c>
      <c r="U1934" s="7" t="s">
        <v>4455</v>
      </c>
      <c r="V19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35" spans="1:22" x14ac:dyDescent="0.35">
      <c r="A1935" s="7" t="s">
        <v>3806</v>
      </c>
      <c r="B1935" s="7" t="s">
        <v>1016</v>
      </c>
      <c r="C1935" s="5">
        <v>742.26</v>
      </c>
      <c r="D1935" s="2">
        <v>0.71113425926159834</v>
      </c>
      <c r="E1935" s="4">
        <v>45097</v>
      </c>
      <c r="F1935" s="7" t="s">
        <v>17</v>
      </c>
      <c r="G1935" s="7" t="s">
        <v>18</v>
      </c>
      <c r="H1935" s="7" t="s">
        <v>717</v>
      </c>
      <c r="I1935" s="7" t="s">
        <v>3182</v>
      </c>
      <c r="J1935" s="7" t="s">
        <v>682</v>
      </c>
      <c r="K1935" s="7" t="s">
        <v>36</v>
      </c>
      <c r="L1935" s="8">
        <v>27</v>
      </c>
      <c r="M1935" s="7" t="s">
        <v>77</v>
      </c>
      <c r="N1935" s="8">
        <v>36</v>
      </c>
      <c r="O1935" s="8">
        <v>1</v>
      </c>
      <c r="P1935" s="5">
        <v>7868.19</v>
      </c>
      <c r="Q1935" s="4">
        <v>45600</v>
      </c>
      <c r="R1935" s="9">
        <v>0.34028935185185183</v>
      </c>
      <c r="S1935" s="8">
        <v>17</v>
      </c>
      <c r="T1935" s="7" t="s">
        <v>4456</v>
      </c>
      <c r="U1935" s="7" t="s">
        <v>4455</v>
      </c>
      <c r="V19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36" spans="1:22" x14ac:dyDescent="0.35">
      <c r="A1936" s="7" t="s">
        <v>3807</v>
      </c>
      <c r="B1936" s="7" t="s">
        <v>1889</v>
      </c>
      <c r="C1936" s="5">
        <v>256.8</v>
      </c>
      <c r="D1936" s="2">
        <v>0.70128472222131677</v>
      </c>
      <c r="E1936" s="4">
        <v>44981</v>
      </c>
      <c r="F1936" s="7" t="s">
        <v>17</v>
      </c>
      <c r="G1936" s="7" t="s">
        <v>249</v>
      </c>
      <c r="H1936" s="7" t="s">
        <v>3808</v>
      </c>
      <c r="I1936" s="7" t="s">
        <v>1149</v>
      </c>
      <c r="J1936" s="7" t="s">
        <v>240</v>
      </c>
      <c r="K1936" s="7" t="s">
        <v>22</v>
      </c>
      <c r="L1936" s="8">
        <v>26</v>
      </c>
      <c r="M1936" s="7" t="s">
        <v>37</v>
      </c>
      <c r="N1936" s="8">
        <v>80</v>
      </c>
      <c r="O1936" s="8">
        <v>1</v>
      </c>
      <c r="P1936" s="5">
        <v>1128.3800000000001</v>
      </c>
      <c r="Q1936" s="4">
        <v>45600</v>
      </c>
      <c r="R1936" s="9">
        <v>0.33983796296296298</v>
      </c>
      <c r="S1936" s="8">
        <v>16</v>
      </c>
      <c r="T1936" s="7" t="s">
        <v>4456</v>
      </c>
      <c r="U1936" s="7" t="s">
        <v>4455</v>
      </c>
      <c r="V19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37" spans="1:22" x14ac:dyDescent="0.35">
      <c r="A1937" s="7" t="s">
        <v>3809</v>
      </c>
      <c r="B1937" s="7" t="s">
        <v>2073</v>
      </c>
      <c r="C1937" s="5">
        <v>378.68</v>
      </c>
      <c r="D1937" s="2">
        <v>0.72498842592904111</v>
      </c>
      <c r="E1937" s="4">
        <v>44932</v>
      </c>
      <c r="F1937" s="7" t="s">
        <v>17</v>
      </c>
      <c r="G1937" s="7" t="s">
        <v>157</v>
      </c>
      <c r="H1937" s="7" t="s">
        <v>2110</v>
      </c>
      <c r="I1937" s="7" t="s">
        <v>2521</v>
      </c>
      <c r="J1937" s="7" t="s">
        <v>312</v>
      </c>
      <c r="K1937" s="7" t="s">
        <v>22</v>
      </c>
      <c r="L1937" s="8">
        <v>60</v>
      </c>
      <c r="M1937" s="7" t="s">
        <v>23</v>
      </c>
      <c r="N1937" s="8">
        <v>239</v>
      </c>
      <c r="O1937" s="8">
        <v>1</v>
      </c>
      <c r="P1937" s="5">
        <v>7627.04</v>
      </c>
      <c r="Q1937" s="4">
        <v>45600</v>
      </c>
      <c r="R1937" s="9">
        <v>0.33832175925925928</v>
      </c>
      <c r="S1937" s="8">
        <v>17</v>
      </c>
      <c r="T1937" s="7" t="s">
        <v>4454</v>
      </c>
      <c r="U1937" s="7" t="s">
        <v>4455</v>
      </c>
      <c r="V19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38" spans="1:22" x14ac:dyDescent="0.35">
      <c r="A1938" s="7" t="s">
        <v>3810</v>
      </c>
      <c r="B1938" s="7" t="s">
        <v>3811</v>
      </c>
      <c r="C1938" s="5">
        <v>571.92999999999995</v>
      </c>
      <c r="D1938" s="2">
        <v>0.73931712962803431</v>
      </c>
      <c r="E1938" s="4">
        <v>45189</v>
      </c>
      <c r="F1938" s="7" t="s">
        <v>17</v>
      </c>
      <c r="G1938" s="7" t="s">
        <v>453</v>
      </c>
      <c r="H1938" s="7" t="s">
        <v>1317</v>
      </c>
      <c r="I1938" s="7" t="s">
        <v>2316</v>
      </c>
      <c r="J1938" s="7" t="s">
        <v>122</v>
      </c>
      <c r="K1938" s="7" t="s">
        <v>36</v>
      </c>
      <c r="L1938" s="8">
        <v>52</v>
      </c>
      <c r="M1938" s="7" t="s">
        <v>70</v>
      </c>
      <c r="N1938" s="8">
        <v>119</v>
      </c>
      <c r="O1938" s="8">
        <v>1</v>
      </c>
      <c r="P1938" s="5">
        <v>4026.03</v>
      </c>
      <c r="Q1938" s="4">
        <v>45600</v>
      </c>
      <c r="R1938" s="9">
        <v>0.3379861111111111</v>
      </c>
      <c r="S1938" s="8">
        <v>17</v>
      </c>
      <c r="T1938" s="7" t="s">
        <v>4457</v>
      </c>
      <c r="U1938" s="7" t="s">
        <v>4455</v>
      </c>
      <c r="V19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39" spans="1:22" x14ac:dyDescent="0.35">
      <c r="A1939" s="7" t="s">
        <v>3812</v>
      </c>
      <c r="B1939" s="7" t="s">
        <v>2986</v>
      </c>
      <c r="C1939" s="5">
        <v>26.31</v>
      </c>
      <c r="D1939" s="2">
        <v>0.69324074074393138</v>
      </c>
      <c r="E1939" s="4">
        <v>45149</v>
      </c>
      <c r="F1939" s="7" t="s">
        <v>46</v>
      </c>
      <c r="G1939" s="7" t="s">
        <v>119</v>
      </c>
      <c r="H1939" s="7" t="s">
        <v>3813</v>
      </c>
      <c r="I1939" s="7" t="s">
        <v>199</v>
      </c>
      <c r="J1939" s="7" t="s">
        <v>165</v>
      </c>
      <c r="K1939" s="7" t="s">
        <v>36</v>
      </c>
      <c r="L1939" s="8">
        <v>77</v>
      </c>
      <c r="M1939" s="7" t="s">
        <v>70</v>
      </c>
      <c r="N1939" s="8">
        <v>163</v>
      </c>
      <c r="O1939" s="8">
        <v>1</v>
      </c>
      <c r="P1939" s="5">
        <v>7095.76</v>
      </c>
      <c r="Q1939" s="4">
        <v>45600</v>
      </c>
      <c r="R1939" s="9">
        <v>0.33812500000000001</v>
      </c>
      <c r="S1939" s="8">
        <v>16</v>
      </c>
      <c r="T1939" s="7" t="s">
        <v>4454</v>
      </c>
      <c r="U1939" s="7" t="s">
        <v>4455</v>
      </c>
      <c r="V19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40" spans="1:22" x14ac:dyDescent="0.35">
      <c r="A1940" s="7" t="s">
        <v>3814</v>
      </c>
      <c r="B1940" s="7" t="s">
        <v>1114</v>
      </c>
      <c r="C1940" s="5">
        <v>205.58</v>
      </c>
      <c r="D1940" s="2">
        <v>0.74251157407707069</v>
      </c>
      <c r="E1940" s="4">
        <v>45154</v>
      </c>
      <c r="F1940" s="7" t="s">
        <v>17</v>
      </c>
      <c r="G1940" s="7" t="s">
        <v>595</v>
      </c>
      <c r="H1940" s="7" t="s">
        <v>2123</v>
      </c>
      <c r="I1940" s="7" t="s">
        <v>1790</v>
      </c>
      <c r="J1940" s="7" t="s">
        <v>262</v>
      </c>
      <c r="K1940" s="7" t="s">
        <v>36</v>
      </c>
      <c r="L1940" s="8">
        <v>20</v>
      </c>
      <c r="M1940" s="7" t="s">
        <v>37</v>
      </c>
      <c r="N1940" s="8">
        <v>159</v>
      </c>
      <c r="O1940" s="8">
        <v>1</v>
      </c>
      <c r="P1940" s="5">
        <v>1501.95</v>
      </c>
      <c r="Q1940" s="4">
        <v>45600</v>
      </c>
      <c r="R1940" s="9">
        <v>0.33883101851851855</v>
      </c>
      <c r="S1940" s="8">
        <v>17</v>
      </c>
      <c r="T1940" s="7" t="s">
        <v>4456</v>
      </c>
      <c r="U1940" s="7" t="s">
        <v>4455</v>
      </c>
      <c r="V19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41" spans="1:22" x14ac:dyDescent="0.35">
      <c r="A1941" s="7" t="s">
        <v>3815</v>
      </c>
      <c r="B1941" s="7" t="s">
        <v>781</v>
      </c>
      <c r="C1941" s="5">
        <v>533.61</v>
      </c>
      <c r="D1941" s="2">
        <v>0.67859953703737119</v>
      </c>
      <c r="E1941" s="4">
        <v>45280</v>
      </c>
      <c r="F1941" s="7" t="s">
        <v>17</v>
      </c>
      <c r="G1941" s="7" t="s">
        <v>32</v>
      </c>
      <c r="H1941" s="7" t="s">
        <v>2743</v>
      </c>
      <c r="I1941" s="7" t="s">
        <v>2175</v>
      </c>
      <c r="J1941" s="7" t="s">
        <v>169</v>
      </c>
      <c r="K1941" s="7" t="s">
        <v>36</v>
      </c>
      <c r="L1941" s="8">
        <v>48</v>
      </c>
      <c r="M1941" s="7" t="s">
        <v>77</v>
      </c>
      <c r="N1941" s="8">
        <v>115</v>
      </c>
      <c r="O1941" s="8">
        <v>1</v>
      </c>
      <c r="P1941" s="5">
        <v>3656.93</v>
      </c>
      <c r="Q1941" s="4">
        <v>45600</v>
      </c>
      <c r="R1941" s="9">
        <v>0.3414699074074074</v>
      </c>
      <c r="S1941" s="8">
        <v>16</v>
      </c>
      <c r="T1941" s="7" t="s">
        <v>4457</v>
      </c>
      <c r="U1941" s="7" t="s">
        <v>4455</v>
      </c>
      <c r="V19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42" spans="1:22" x14ac:dyDescent="0.35">
      <c r="A1942" s="7" t="s">
        <v>3816</v>
      </c>
      <c r="B1942" s="7" t="s">
        <v>1512</v>
      </c>
      <c r="C1942" s="5">
        <v>428.62</v>
      </c>
      <c r="D1942" s="2">
        <v>0.66810185185022419</v>
      </c>
      <c r="E1942" s="4">
        <v>45082</v>
      </c>
      <c r="F1942" s="7" t="s">
        <v>17</v>
      </c>
      <c r="G1942" s="7" t="s">
        <v>40</v>
      </c>
      <c r="H1942" s="7" t="s">
        <v>135</v>
      </c>
      <c r="I1942" s="7" t="s">
        <v>3350</v>
      </c>
      <c r="J1942" s="7" t="s">
        <v>165</v>
      </c>
      <c r="K1942" s="7" t="s">
        <v>69</v>
      </c>
      <c r="L1942" s="8">
        <v>55</v>
      </c>
      <c r="M1942" s="7" t="s">
        <v>70</v>
      </c>
      <c r="N1942" s="8">
        <v>72</v>
      </c>
      <c r="O1942" s="8">
        <v>1</v>
      </c>
      <c r="P1942" s="5">
        <v>3473.24</v>
      </c>
      <c r="Q1942" s="4">
        <v>45600</v>
      </c>
      <c r="R1942" s="9">
        <v>0.34055555555555556</v>
      </c>
      <c r="S1942" s="8">
        <v>16</v>
      </c>
      <c r="T1942" s="7" t="s">
        <v>4454</v>
      </c>
      <c r="U1942" s="7" t="s">
        <v>4455</v>
      </c>
      <c r="V19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43" spans="1:22" x14ac:dyDescent="0.35">
      <c r="A1943" s="7" t="s">
        <v>3817</v>
      </c>
      <c r="B1943" s="7" t="s">
        <v>1736</v>
      </c>
      <c r="C1943" s="5">
        <v>361.22</v>
      </c>
      <c r="D1943" s="2">
        <v>0.74924768518394558</v>
      </c>
      <c r="E1943" s="4">
        <v>45033</v>
      </c>
      <c r="F1943" s="7" t="s">
        <v>17</v>
      </c>
      <c r="G1943" s="7" t="s">
        <v>40</v>
      </c>
      <c r="H1943" s="7" t="s">
        <v>3818</v>
      </c>
      <c r="I1943" s="7" t="s">
        <v>257</v>
      </c>
      <c r="J1943" s="7" t="s">
        <v>165</v>
      </c>
      <c r="K1943" s="7" t="s">
        <v>22</v>
      </c>
      <c r="L1943" s="8">
        <v>64</v>
      </c>
      <c r="M1943" s="7" t="s">
        <v>70</v>
      </c>
      <c r="N1943" s="8">
        <v>167</v>
      </c>
      <c r="O1943" s="8">
        <v>1</v>
      </c>
      <c r="P1943" s="5">
        <v>7061.73</v>
      </c>
      <c r="Q1943" s="4">
        <v>45600</v>
      </c>
      <c r="R1943" s="9">
        <v>0.34055555555555556</v>
      </c>
      <c r="S1943" s="8">
        <v>17</v>
      </c>
      <c r="T1943" s="7" t="s">
        <v>4454</v>
      </c>
      <c r="U1943" s="7" t="s">
        <v>4455</v>
      </c>
      <c r="V19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44" spans="1:22" x14ac:dyDescent="0.35">
      <c r="A1944" s="7" t="s">
        <v>3819</v>
      </c>
      <c r="B1944" s="7" t="s">
        <v>868</v>
      </c>
      <c r="C1944" s="5">
        <v>837.29</v>
      </c>
      <c r="D1944" s="2">
        <v>0.67667824074305827</v>
      </c>
      <c r="E1944" s="4">
        <v>45257</v>
      </c>
      <c r="F1944" s="7" t="s">
        <v>17</v>
      </c>
      <c r="G1944" s="7" t="s">
        <v>425</v>
      </c>
      <c r="H1944" s="7" t="s">
        <v>3187</v>
      </c>
      <c r="I1944" s="7" t="s">
        <v>1133</v>
      </c>
      <c r="J1944" s="7" t="s">
        <v>43</v>
      </c>
      <c r="K1944" s="7" t="s">
        <v>69</v>
      </c>
      <c r="L1944" s="8">
        <v>25</v>
      </c>
      <c r="M1944" s="7" t="s">
        <v>37</v>
      </c>
      <c r="N1944" s="8">
        <v>216</v>
      </c>
      <c r="O1944" s="8">
        <v>1</v>
      </c>
      <c r="P1944" s="5">
        <v>6012.67</v>
      </c>
      <c r="Q1944" s="4">
        <v>45600</v>
      </c>
      <c r="R1944" s="9">
        <v>0.33833333333333332</v>
      </c>
      <c r="S1944" s="8">
        <v>16</v>
      </c>
      <c r="T1944" s="7" t="s">
        <v>4456</v>
      </c>
      <c r="U1944" s="7" t="s">
        <v>4455</v>
      </c>
      <c r="V19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45" spans="1:22" x14ac:dyDescent="0.35">
      <c r="A1945" s="7" t="s">
        <v>3820</v>
      </c>
      <c r="B1945" s="7" t="s">
        <v>1620</v>
      </c>
      <c r="C1945" s="5">
        <v>117.25</v>
      </c>
      <c r="D1945" s="2">
        <v>0.6913194444423425</v>
      </c>
      <c r="E1945" s="4">
        <v>45019</v>
      </c>
      <c r="F1945" s="7" t="s">
        <v>46</v>
      </c>
      <c r="G1945" s="7" t="s">
        <v>47</v>
      </c>
      <c r="H1945" s="7" t="s">
        <v>1269</v>
      </c>
      <c r="I1945" s="7" t="s">
        <v>1112</v>
      </c>
      <c r="J1945" s="7" t="s">
        <v>50</v>
      </c>
      <c r="K1945" s="7" t="s">
        <v>36</v>
      </c>
      <c r="L1945" s="8">
        <v>31</v>
      </c>
      <c r="M1945" s="7" t="s">
        <v>23</v>
      </c>
      <c r="N1945" s="8">
        <v>73</v>
      </c>
      <c r="O1945" s="8">
        <v>1</v>
      </c>
      <c r="P1945" s="5">
        <v>13694.68</v>
      </c>
      <c r="Q1945" s="4">
        <v>45600</v>
      </c>
      <c r="R1945" s="9">
        <v>0.33922453703703703</v>
      </c>
      <c r="S1945" s="8">
        <v>16</v>
      </c>
      <c r="T1945" s="7" t="s">
        <v>4456</v>
      </c>
      <c r="U1945" s="7" t="s">
        <v>4455</v>
      </c>
      <c r="V19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46" spans="1:22" x14ac:dyDescent="0.35">
      <c r="A1946" s="7" t="s">
        <v>3821</v>
      </c>
      <c r="B1946" s="7" t="s">
        <v>1333</v>
      </c>
      <c r="C1946" s="5">
        <v>135.27000000000001</v>
      </c>
      <c r="D1946" s="2">
        <v>0.67825231481401715</v>
      </c>
      <c r="E1946" s="4">
        <v>45148</v>
      </c>
      <c r="F1946" s="7" t="s">
        <v>17</v>
      </c>
      <c r="G1946" s="7" t="s">
        <v>47</v>
      </c>
      <c r="H1946" s="7" t="s">
        <v>472</v>
      </c>
      <c r="I1946" s="7" t="s">
        <v>1819</v>
      </c>
      <c r="J1946" s="7" t="s">
        <v>1345</v>
      </c>
      <c r="K1946" s="7" t="s">
        <v>22</v>
      </c>
      <c r="L1946" s="8">
        <v>48</v>
      </c>
      <c r="M1946" s="7" t="s">
        <v>23</v>
      </c>
      <c r="N1946" s="8">
        <v>131</v>
      </c>
      <c r="O1946" s="8">
        <v>1</v>
      </c>
      <c r="P1946" s="5">
        <v>9410.51</v>
      </c>
      <c r="Q1946" s="4">
        <v>45600</v>
      </c>
      <c r="R1946" s="9">
        <v>0.3399537037037037</v>
      </c>
      <c r="S1946" s="8">
        <v>16</v>
      </c>
      <c r="T1946" s="7" t="s">
        <v>4457</v>
      </c>
      <c r="U1946" s="7" t="s">
        <v>4455</v>
      </c>
      <c r="V19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47" spans="1:22" x14ac:dyDescent="0.35">
      <c r="A1947" s="7" t="s">
        <v>3822</v>
      </c>
      <c r="B1947" s="7" t="s">
        <v>965</v>
      </c>
      <c r="C1947" s="5">
        <v>185.1</v>
      </c>
      <c r="D1947" s="2">
        <v>0.68126157407095889</v>
      </c>
      <c r="E1947" s="4">
        <v>45146</v>
      </c>
      <c r="F1947" s="7" t="s">
        <v>17</v>
      </c>
      <c r="G1947" s="7" t="s">
        <v>86</v>
      </c>
      <c r="H1947" s="7" t="s">
        <v>1426</v>
      </c>
      <c r="I1947" s="7" t="s">
        <v>999</v>
      </c>
      <c r="J1947" s="7" t="s">
        <v>262</v>
      </c>
      <c r="K1947" s="7" t="s">
        <v>69</v>
      </c>
      <c r="L1947" s="8">
        <v>53</v>
      </c>
      <c r="M1947" s="7" t="s">
        <v>70</v>
      </c>
      <c r="N1947" s="8">
        <v>23</v>
      </c>
      <c r="O1947" s="8">
        <v>1</v>
      </c>
      <c r="P1947" s="5">
        <v>6115.63</v>
      </c>
      <c r="Q1947" s="4">
        <v>45600</v>
      </c>
      <c r="R1947" s="9">
        <v>0.34075231481481483</v>
      </c>
      <c r="S1947" s="8">
        <v>16</v>
      </c>
      <c r="T1947" s="7" t="s">
        <v>4457</v>
      </c>
      <c r="U1947" s="7" t="s">
        <v>4455</v>
      </c>
      <c r="V19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48" spans="1:22" x14ac:dyDescent="0.35">
      <c r="A1948" s="7" t="s">
        <v>3823</v>
      </c>
      <c r="B1948" s="7" t="s">
        <v>1167</v>
      </c>
      <c r="C1948" s="5">
        <v>113.54</v>
      </c>
      <c r="D1948" s="2">
        <v>0.69636574073956581</v>
      </c>
      <c r="E1948" s="4">
        <v>45191</v>
      </c>
      <c r="F1948" s="7" t="s">
        <v>17</v>
      </c>
      <c r="G1948" s="7" t="s">
        <v>125</v>
      </c>
      <c r="H1948" s="7" t="s">
        <v>1838</v>
      </c>
      <c r="I1948" s="7" t="s">
        <v>918</v>
      </c>
      <c r="J1948" s="7" t="s">
        <v>308</v>
      </c>
      <c r="K1948" s="7" t="s">
        <v>36</v>
      </c>
      <c r="L1948" s="8">
        <v>38</v>
      </c>
      <c r="M1948" s="7" t="s">
        <v>77</v>
      </c>
      <c r="N1948" s="8">
        <v>273</v>
      </c>
      <c r="O1948" s="8">
        <v>1</v>
      </c>
      <c r="P1948" s="5">
        <v>5581.21</v>
      </c>
      <c r="Q1948" s="4">
        <v>45600</v>
      </c>
      <c r="R1948" s="9">
        <v>0.33940972222222221</v>
      </c>
      <c r="S1948" s="8">
        <v>16</v>
      </c>
      <c r="T1948" s="7" t="s">
        <v>4457</v>
      </c>
      <c r="U1948" s="7" t="s">
        <v>4455</v>
      </c>
      <c r="V19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49" spans="1:22" x14ac:dyDescent="0.35">
      <c r="A1949" s="7" t="s">
        <v>3824</v>
      </c>
      <c r="B1949" s="7" t="s">
        <v>3006</v>
      </c>
      <c r="C1949" s="5">
        <v>354.96</v>
      </c>
      <c r="D1949" s="2">
        <v>0.68585648148291511</v>
      </c>
      <c r="E1949" s="4">
        <v>45259</v>
      </c>
      <c r="F1949" s="7" t="s">
        <v>17</v>
      </c>
      <c r="G1949" s="7" t="s">
        <v>157</v>
      </c>
      <c r="H1949" s="7" t="s">
        <v>198</v>
      </c>
      <c r="I1949" s="7" t="s">
        <v>2325</v>
      </c>
      <c r="J1949" s="7" t="s">
        <v>240</v>
      </c>
      <c r="K1949" s="7" t="s">
        <v>36</v>
      </c>
      <c r="L1949" s="8">
        <v>69</v>
      </c>
      <c r="M1949" s="7" t="s">
        <v>23</v>
      </c>
      <c r="N1949" s="8">
        <v>96</v>
      </c>
      <c r="O1949" s="8">
        <v>1</v>
      </c>
      <c r="P1949" s="5">
        <v>6712.94</v>
      </c>
      <c r="Q1949" s="4">
        <v>45600</v>
      </c>
      <c r="R1949" s="9">
        <v>0.33910879629629631</v>
      </c>
      <c r="S1949" s="8">
        <v>16</v>
      </c>
      <c r="T1949" s="7" t="s">
        <v>4454</v>
      </c>
      <c r="U1949" s="7" t="s">
        <v>4455</v>
      </c>
      <c r="V19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50" spans="1:22" x14ac:dyDescent="0.35">
      <c r="A1950" s="7" t="s">
        <v>3825</v>
      </c>
      <c r="B1950" s="7" t="s">
        <v>2681</v>
      </c>
      <c r="C1950" s="5">
        <v>224.22</v>
      </c>
      <c r="D1950" s="2">
        <v>0.78125</v>
      </c>
      <c r="E1950" s="4">
        <v>44949</v>
      </c>
      <c r="F1950" s="7" t="s">
        <v>17</v>
      </c>
      <c r="G1950" s="7" t="s">
        <v>558</v>
      </c>
      <c r="H1950" s="7" t="s">
        <v>1234</v>
      </c>
      <c r="I1950" s="7" t="s">
        <v>1448</v>
      </c>
      <c r="J1950" s="7" t="s">
        <v>572</v>
      </c>
      <c r="K1950" s="7" t="s">
        <v>69</v>
      </c>
      <c r="L1950" s="8">
        <v>53</v>
      </c>
      <c r="M1950" s="7" t="s">
        <v>23</v>
      </c>
      <c r="N1950" s="8">
        <v>37</v>
      </c>
      <c r="O1950" s="8">
        <v>1</v>
      </c>
      <c r="P1950" s="5">
        <v>8400.8700000000008</v>
      </c>
      <c r="Q1950" s="4">
        <v>45600</v>
      </c>
      <c r="R1950" s="9">
        <v>0.34187499999999998</v>
      </c>
      <c r="S1950" s="8">
        <v>18</v>
      </c>
      <c r="T1950" s="7" t="s">
        <v>4457</v>
      </c>
      <c r="U1950" s="7" t="s">
        <v>4455</v>
      </c>
      <c r="V19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51" spans="1:22" x14ac:dyDescent="0.35">
      <c r="A1951" s="7" t="s">
        <v>3826</v>
      </c>
      <c r="B1951" s="7" t="s">
        <v>2162</v>
      </c>
      <c r="C1951" s="5">
        <v>737.1</v>
      </c>
      <c r="D1951" s="2">
        <v>0.67431712963298196</v>
      </c>
      <c r="E1951" s="4">
        <v>45126</v>
      </c>
      <c r="F1951" s="7" t="s">
        <v>17</v>
      </c>
      <c r="G1951" s="7" t="s">
        <v>453</v>
      </c>
      <c r="H1951" s="7" t="s">
        <v>917</v>
      </c>
      <c r="I1951" s="7" t="s">
        <v>3061</v>
      </c>
      <c r="J1951" s="7" t="s">
        <v>418</v>
      </c>
      <c r="K1951" s="7" t="s">
        <v>22</v>
      </c>
      <c r="L1951" s="8">
        <v>60</v>
      </c>
      <c r="M1951" s="7" t="s">
        <v>70</v>
      </c>
      <c r="N1951" s="8">
        <v>92</v>
      </c>
      <c r="O1951" s="8">
        <v>1</v>
      </c>
      <c r="P1951" s="5">
        <v>4644.1899999999996</v>
      </c>
      <c r="Q1951" s="4">
        <v>45600</v>
      </c>
      <c r="R1951" s="9">
        <v>0.34106481481481482</v>
      </c>
      <c r="S1951" s="8">
        <v>16</v>
      </c>
      <c r="T1951" s="7" t="s">
        <v>4454</v>
      </c>
      <c r="U1951" s="7" t="s">
        <v>4455</v>
      </c>
      <c r="V19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52" spans="1:22" x14ac:dyDescent="0.35">
      <c r="A1952" s="7" t="s">
        <v>3827</v>
      </c>
      <c r="B1952" s="7" t="s">
        <v>621</v>
      </c>
      <c r="C1952" s="5">
        <v>223.22</v>
      </c>
      <c r="D1952" s="2">
        <v>0.68086805555503815</v>
      </c>
      <c r="E1952" s="4">
        <v>45124</v>
      </c>
      <c r="F1952" s="7" t="s">
        <v>17</v>
      </c>
      <c r="G1952" s="7" t="s">
        <v>157</v>
      </c>
      <c r="H1952" s="7" t="s">
        <v>275</v>
      </c>
      <c r="I1952" s="7" t="s">
        <v>2175</v>
      </c>
      <c r="J1952" s="7" t="s">
        <v>762</v>
      </c>
      <c r="K1952" s="7" t="s">
        <v>22</v>
      </c>
      <c r="L1952" s="8">
        <v>27</v>
      </c>
      <c r="M1952" s="7" t="s">
        <v>37</v>
      </c>
      <c r="N1952" s="8">
        <v>96</v>
      </c>
      <c r="O1952" s="8">
        <v>1</v>
      </c>
      <c r="P1952" s="5">
        <v>1734.22</v>
      </c>
      <c r="Q1952" s="4">
        <v>45600</v>
      </c>
      <c r="R1952" s="9">
        <v>0.33906249999999999</v>
      </c>
      <c r="S1952" s="8">
        <v>16</v>
      </c>
      <c r="T1952" s="7" t="s">
        <v>4456</v>
      </c>
      <c r="U1952" s="7" t="s">
        <v>4455</v>
      </c>
      <c r="V19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53" spans="1:22" x14ac:dyDescent="0.35">
      <c r="A1953" s="7" t="s">
        <v>3828</v>
      </c>
      <c r="B1953" s="7" t="s">
        <v>1190</v>
      </c>
      <c r="C1953" s="5">
        <v>557.26</v>
      </c>
      <c r="D1953" s="2">
        <v>0.71315972222510027</v>
      </c>
      <c r="E1953" s="4">
        <v>45203</v>
      </c>
      <c r="F1953" s="7" t="s">
        <v>17</v>
      </c>
      <c r="G1953" s="7" t="s">
        <v>223</v>
      </c>
      <c r="H1953" s="7" t="s">
        <v>2032</v>
      </c>
      <c r="I1953" s="7" t="s">
        <v>1852</v>
      </c>
      <c r="J1953" s="7" t="s">
        <v>592</v>
      </c>
      <c r="K1953" s="7" t="s">
        <v>22</v>
      </c>
      <c r="L1953" s="8">
        <v>69</v>
      </c>
      <c r="M1953" s="7" t="s">
        <v>23</v>
      </c>
      <c r="N1953" s="8">
        <v>53</v>
      </c>
      <c r="O1953" s="8">
        <v>1</v>
      </c>
      <c r="P1953" s="5">
        <v>5237.12</v>
      </c>
      <c r="Q1953" s="4">
        <v>45600</v>
      </c>
      <c r="R1953" s="9">
        <v>0.34015046296296297</v>
      </c>
      <c r="S1953" s="8">
        <v>17</v>
      </c>
      <c r="T1953" s="7" t="s">
        <v>4454</v>
      </c>
      <c r="U1953" s="7" t="s">
        <v>4455</v>
      </c>
      <c r="V19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54" spans="1:22" x14ac:dyDescent="0.35">
      <c r="A1954" s="7" t="s">
        <v>3829</v>
      </c>
      <c r="B1954" s="7" t="s">
        <v>1635</v>
      </c>
      <c r="C1954" s="5">
        <v>1496.57</v>
      </c>
      <c r="D1954" s="2">
        <v>0.67949074073840166</v>
      </c>
      <c r="E1954" s="4">
        <v>44984</v>
      </c>
      <c r="F1954" s="7" t="s">
        <v>17</v>
      </c>
      <c r="G1954" s="7" t="s">
        <v>92</v>
      </c>
      <c r="H1954" s="7" t="s">
        <v>910</v>
      </c>
      <c r="I1954" s="7" t="s">
        <v>2065</v>
      </c>
      <c r="J1954" s="7" t="s">
        <v>186</v>
      </c>
      <c r="K1954" s="7" t="s">
        <v>36</v>
      </c>
      <c r="L1954" s="8">
        <v>33</v>
      </c>
      <c r="M1954" s="7" t="s">
        <v>77</v>
      </c>
      <c r="N1954" s="8">
        <v>95</v>
      </c>
      <c r="O1954" s="8">
        <v>1</v>
      </c>
      <c r="P1954" s="5">
        <v>969.06</v>
      </c>
      <c r="Q1954" s="4">
        <v>45600</v>
      </c>
      <c r="R1954" s="9">
        <v>0.33792824074074074</v>
      </c>
      <c r="S1954" s="8">
        <v>16</v>
      </c>
      <c r="T1954" s="7" t="s">
        <v>4456</v>
      </c>
      <c r="U1954" s="7" t="s">
        <v>4455</v>
      </c>
      <c r="V19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55" spans="1:22" x14ac:dyDescent="0.35">
      <c r="A1955" s="7" t="s">
        <v>3830</v>
      </c>
      <c r="B1955" s="7" t="s">
        <v>716</v>
      </c>
      <c r="C1955" s="5">
        <v>27.44</v>
      </c>
      <c r="D1955" s="2">
        <v>0.72480324074422242</v>
      </c>
      <c r="E1955" s="4">
        <v>45236</v>
      </c>
      <c r="F1955" s="7" t="s">
        <v>17</v>
      </c>
      <c r="G1955" s="7" t="s">
        <v>388</v>
      </c>
      <c r="H1955" s="7" t="s">
        <v>1479</v>
      </c>
      <c r="I1955" s="7" t="s">
        <v>2984</v>
      </c>
      <c r="J1955" s="7" t="s">
        <v>100</v>
      </c>
      <c r="K1955" s="7" t="s">
        <v>22</v>
      </c>
      <c r="L1955" s="8">
        <v>62</v>
      </c>
      <c r="M1955" s="7" t="s">
        <v>70</v>
      </c>
      <c r="N1955" s="8">
        <v>164</v>
      </c>
      <c r="O1955" s="8">
        <v>1</v>
      </c>
      <c r="P1955" s="5">
        <v>5950.48</v>
      </c>
      <c r="Q1955" s="4">
        <v>45600</v>
      </c>
      <c r="R1955" s="9">
        <v>0.33938657407407408</v>
      </c>
      <c r="S1955" s="8">
        <v>17</v>
      </c>
      <c r="T1955" s="7" t="s">
        <v>4454</v>
      </c>
      <c r="U1955" s="7" t="s">
        <v>4455</v>
      </c>
      <c r="V19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56" spans="1:22" x14ac:dyDescent="0.35">
      <c r="A1956" s="7" t="s">
        <v>3831</v>
      </c>
      <c r="B1956" s="7" t="s">
        <v>2986</v>
      </c>
      <c r="C1956" s="5">
        <v>310.08999999999997</v>
      </c>
      <c r="D1956" s="2">
        <v>0.70103009259037208</v>
      </c>
      <c r="E1956" s="4">
        <v>45254</v>
      </c>
      <c r="F1956" s="7" t="s">
        <v>17</v>
      </c>
      <c r="G1956" s="7" t="s">
        <v>73</v>
      </c>
      <c r="H1956" s="7" t="s">
        <v>2008</v>
      </c>
      <c r="I1956" s="7" t="s">
        <v>3486</v>
      </c>
      <c r="J1956" s="7" t="s">
        <v>1524</v>
      </c>
      <c r="K1956" s="7" t="s">
        <v>69</v>
      </c>
      <c r="L1956" s="8">
        <v>36</v>
      </c>
      <c r="M1956" s="7" t="s">
        <v>23</v>
      </c>
      <c r="N1956" s="8">
        <v>166</v>
      </c>
      <c r="O1956" s="8">
        <v>1</v>
      </c>
      <c r="P1956" s="5">
        <v>9962.5</v>
      </c>
      <c r="Q1956" s="4">
        <v>45600</v>
      </c>
      <c r="R1956" s="9">
        <v>0.34087962962962964</v>
      </c>
      <c r="S1956" s="8">
        <v>16</v>
      </c>
      <c r="T1956" s="7" t="s">
        <v>4457</v>
      </c>
      <c r="U1956" s="7" t="s">
        <v>4455</v>
      </c>
      <c r="V19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57" spans="1:22" x14ac:dyDescent="0.35">
      <c r="A1957" s="7" t="s">
        <v>3832</v>
      </c>
      <c r="B1957" s="7" t="s">
        <v>1878</v>
      </c>
      <c r="C1957" s="5">
        <v>80.38</v>
      </c>
      <c r="D1957" s="2">
        <v>0.68462962962803431</v>
      </c>
      <c r="E1957" s="4">
        <v>44991</v>
      </c>
      <c r="F1957" s="7" t="s">
        <v>17</v>
      </c>
      <c r="G1957" s="7" t="s">
        <v>291</v>
      </c>
      <c r="H1957" s="7" t="s">
        <v>1334</v>
      </c>
      <c r="I1957" s="7" t="s">
        <v>3057</v>
      </c>
      <c r="J1957" s="7" t="s">
        <v>331</v>
      </c>
      <c r="K1957" s="7" t="s">
        <v>36</v>
      </c>
      <c r="L1957" s="8">
        <v>52</v>
      </c>
      <c r="M1957" s="7" t="s">
        <v>23</v>
      </c>
      <c r="N1957" s="8">
        <v>116</v>
      </c>
      <c r="O1957" s="8">
        <v>1</v>
      </c>
      <c r="P1957" s="5">
        <v>9662.8799999999992</v>
      </c>
      <c r="Q1957" s="4">
        <v>45600</v>
      </c>
      <c r="R1957" s="9">
        <v>0.34020833333333333</v>
      </c>
      <c r="S1957" s="8">
        <v>16</v>
      </c>
      <c r="T1957" s="7" t="s">
        <v>4457</v>
      </c>
      <c r="U1957" s="7" t="s">
        <v>4455</v>
      </c>
      <c r="V19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58" spans="1:22" x14ac:dyDescent="0.35">
      <c r="A1958" s="7" t="s">
        <v>3833</v>
      </c>
      <c r="B1958" s="7" t="s">
        <v>1238</v>
      </c>
      <c r="C1958" s="5">
        <v>26.1</v>
      </c>
      <c r="D1958" s="2">
        <v>0.739641203705105</v>
      </c>
      <c r="E1958" s="4">
        <v>45261</v>
      </c>
      <c r="F1958" s="7" t="s">
        <v>46</v>
      </c>
      <c r="G1958" s="7" t="s">
        <v>73</v>
      </c>
      <c r="H1958" s="7" t="s">
        <v>2870</v>
      </c>
      <c r="I1958" s="7" t="s">
        <v>3274</v>
      </c>
      <c r="J1958" s="7" t="s">
        <v>418</v>
      </c>
      <c r="K1958" s="7" t="s">
        <v>69</v>
      </c>
      <c r="L1958" s="8">
        <v>66</v>
      </c>
      <c r="M1958" s="7" t="s">
        <v>23</v>
      </c>
      <c r="N1958" s="8">
        <v>115</v>
      </c>
      <c r="O1958" s="8">
        <v>1</v>
      </c>
      <c r="P1958" s="5">
        <v>5243</v>
      </c>
      <c r="Q1958" s="4">
        <v>45600</v>
      </c>
      <c r="R1958" s="9">
        <v>0.34055555555555556</v>
      </c>
      <c r="S1958" s="8">
        <v>17</v>
      </c>
      <c r="T1958" s="7" t="s">
        <v>4454</v>
      </c>
      <c r="U1958" s="7" t="s">
        <v>4455</v>
      </c>
      <c r="V19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59" spans="1:22" x14ac:dyDescent="0.35">
      <c r="A1959" s="7" t="s">
        <v>3834</v>
      </c>
      <c r="B1959" s="7" t="s">
        <v>899</v>
      </c>
      <c r="C1959" s="5">
        <v>845.14</v>
      </c>
      <c r="D1959" s="2">
        <v>0.68165509259415558</v>
      </c>
      <c r="E1959" s="4">
        <v>44935</v>
      </c>
      <c r="F1959" s="7" t="s">
        <v>46</v>
      </c>
      <c r="G1959" s="7" t="s">
        <v>53</v>
      </c>
      <c r="H1959" s="7" t="s">
        <v>1224</v>
      </c>
      <c r="I1959" s="7" t="s">
        <v>882</v>
      </c>
      <c r="J1959" s="7" t="s">
        <v>607</v>
      </c>
      <c r="K1959" s="7" t="s">
        <v>69</v>
      </c>
      <c r="L1959" s="8">
        <v>73</v>
      </c>
      <c r="M1959" s="7" t="s">
        <v>70</v>
      </c>
      <c r="N1959" s="8">
        <v>183</v>
      </c>
      <c r="O1959" s="8">
        <v>1</v>
      </c>
      <c r="P1959" s="5">
        <v>1702.65</v>
      </c>
      <c r="Q1959" s="4">
        <v>45600</v>
      </c>
      <c r="R1959" s="9">
        <v>0.34108796296296295</v>
      </c>
      <c r="S1959" s="8">
        <v>16</v>
      </c>
      <c r="T1959" s="7" t="s">
        <v>4454</v>
      </c>
      <c r="U1959" s="7" t="s">
        <v>4455</v>
      </c>
      <c r="V19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60" spans="1:22" x14ac:dyDescent="0.35">
      <c r="A1960" s="7" t="s">
        <v>3835</v>
      </c>
      <c r="B1960" s="7" t="s">
        <v>1085</v>
      </c>
      <c r="C1960" s="5">
        <v>59.73</v>
      </c>
      <c r="D1960" s="2">
        <v>0.69350694444437977</v>
      </c>
      <c r="E1960" s="4">
        <v>45068</v>
      </c>
      <c r="F1960" s="7" t="s">
        <v>17</v>
      </c>
      <c r="G1960" s="7" t="s">
        <v>558</v>
      </c>
      <c r="H1960" s="7" t="s">
        <v>2086</v>
      </c>
      <c r="I1960" s="7" t="s">
        <v>2761</v>
      </c>
      <c r="J1960" s="7" t="s">
        <v>62</v>
      </c>
      <c r="K1960" s="7" t="s">
        <v>22</v>
      </c>
      <c r="L1960" s="8">
        <v>27</v>
      </c>
      <c r="M1960" s="7" t="s">
        <v>37</v>
      </c>
      <c r="N1960" s="8">
        <v>56</v>
      </c>
      <c r="O1960" s="8">
        <v>1</v>
      </c>
      <c r="P1960" s="5">
        <v>800.93</v>
      </c>
      <c r="Q1960" s="4">
        <v>45600</v>
      </c>
      <c r="R1960" s="9">
        <v>0.34039351851851851</v>
      </c>
      <c r="S1960" s="8">
        <v>16</v>
      </c>
      <c r="T1960" s="7" t="s">
        <v>4456</v>
      </c>
      <c r="U1960" s="7" t="s">
        <v>4455</v>
      </c>
      <c r="V19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61" spans="1:22" x14ac:dyDescent="0.35">
      <c r="A1961" s="7" t="s">
        <v>3836</v>
      </c>
      <c r="B1961" s="7" t="s">
        <v>648</v>
      </c>
      <c r="C1961" s="5">
        <v>758.77</v>
      </c>
      <c r="D1961" s="2">
        <v>0.67517361111094942</v>
      </c>
      <c r="E1961" s="4">
        <v>45100</v>
      </c>
      <c r="F1961" s="7" t="s">
        <v>17</v>
      </c>
      <c r="G1961" s="7" t="s">
        <v>237</v>
      </c>
      <c r="H1961" s="7" t="s">
        <v>1135</v>
      </c>
      <c r="I1961" s="7" t="s">
        <v>3837</v>
      </c>
      <c r="J1961" s="7" t="s">
        <v>35</v>
      </c>
      <c r="K1961" s="7" t="s">
        <v>22</v>
      </c>
      <c r="L1961" s="8">
        <v>60</v>
      </c>
      <c r="M1961" s="7" t="s">
        <v>77</v>
      </c>
      <c r="N1961" s="8">
        <v>114</v>
      </c>
      <c r="O1961" s="8">
        <v>1</v>
      </c>
      <c r="P1961" s="5">
        <v>7231.47</v>
      </c>
      <c r="Q1961" s="4">
        <v>45600</v>
      </c>
      <c r="R1961" s="9">
        <v>0.33916666666666667</v>
      </c>
      <c r="S1961" s="8">
        <v>16</v>
      </c>
      <c r="T1961" s="7" t="s">
        <v>4454</v>
      </c>
      <c r="U1961" s="7" t="s">
        <v>4455</v>
      </c>
      <c r="V19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62" spans="1:22" x14ac:dyDescent="0.35">
      <c r="A1962" s="7" t="s">
        <v>3838</v>
      </c>
      <c r="B1962" s="7" t="s">
        <v>2525</v>
      </c>
      <c r="C1962" s="5">
        <v>301.51</v>
      </c>
      <c r="D1962" s="2">
        <v>0.68996527777926531</v>
      </c>
      <c r="E1962" s="4">
        <v>44981</v>
      </c>
      <c r="F1962" s="7" t="s">
        <v>17</v>
      </c>
      <c r="G1962" s="7" t="s">
        <v>249</v>
      </c>
      <c r="H1962" s="7" t="s">
        <v>3193</v>
      </c>
      <c r="I1962" s="7" t="s">
        <v>2523</v>
      </c>
      <c r="J1962" s="7" t="s">
        <v>548</v>
      </c>
      <c r="K1962" s="7" t="s">
        <v>22</v>
      </c>
      <c r="L1962" s="8">
        <v>22</v>
      </c>
      <c r="M1962" s="7" t="s">
        <v>37</v>
      </c>
      <c r="N1962" s="8">
        <v>284</v>
      </c>
      <c r="O1962" s="8">
        <v>1</v>
      </c>
      <c r="P1962" s="5">
        <v>1052.31</v>
      </c>
      <c r="Q1962" s="4">
        <v>45600</v>
      </c>
      <c r="R1962" s="9">
        <v>0.34107638888888892</v>
      </c>
      <c r="S1962" s="8">
        <v>16</v>
      </c>
      <c r="T1962" s="7" t="s">
        <v>4456</v>
      </c>
      <c r="U1962" s="7" t="s">
        <v>4455</v>
      </c>
      <c r="V19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63" spans="1:22" x14ac:dyDescent="0.35">
      <c r="A1963" s="7" t="s">
        <v>3839</v>
      </c>
      <c r="B1963" s="7" t="s">
        <v>2003</v>
      </c>
      <c r="C1963" s="5">
        <v>418.03</v>
      </c>
      <c r="D1963" s="2">
        <v>0.7407407407372375</v>
      </c>
      <c r="E1963" s="4">
        <v>45173</v>
      </c>
      <c r="F1963" s="7" t="s">
        <v>17</v>
      </c>
      <c r="G1963" s="7" t="s">
        <v>119</v>
      </c>
      <c r="H1963" s="7" t="s">
        <v>1323</v>
      </c>
      <c r="I1963" s="7" t="s">
        <v>2273</v>
      </c>
      <c r="J1963" s="7" t="s">
        <v>267</v>
      </c>
      <c r="K1963" s="7" t="s">
        <v>36</v>
      </c>
      <c r="L1963" s="8">
        <v>58</v>
      </c>
      <c r="M1963" s="7" t="s">
        <v>23</v>
      </c>
      <c r="N1963" s="8">
        <v>161</v>
      </c>
      <c r="O1963" s="8">
        <v>1</v>
      </c>
      <c r="P1963" s="5">
        <v>10721.29</v>
      </c>
      <c r="Q1963" s="4">
        <v>45600</v>
      </c>
      <c r="R1963" s="9">
        <v>0.33938657407407408</v>
      </c>
      <c r="S1963" s="8">
        <v>17</v>
      </c>
      <c r="T1963" s="7" t="s">
        <v>4454</v>
      </c>
      <c r="U1963" s="7" t="s">
        <v>4455</v>
      </c>
      <c r="V19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64" spans="1:22" x14ac:dyDescent="0.35">
      <c r="A1964" s="7" t="s">
        <v>3840</v>
      </c>
      <c r="B1964" s="7" t="s">
        <v>333</v>
      </c>
      <c r="C1964" s="5">
        <v>118.06</v>
      </c>
      <c r="D1964" s="2">
        <v>0.71385416666453239</v>
      </c>
      <c r="E1964" s="4">
        <v>45070</v>
      </c>
      <c r="F1964" s="7" t="s">
        <v>46</v>
      </c>
      <c r="G1964" s="7" t="s">
        <v>146</v>
      </c>
      <c r="H1964" s="7" t="s">
        <v>1815</v>
      </c>
      <c r="I1964" s="7" t="s">
        <v>342</v>
      </c>
      <c r="J1964" s="7" t="s">
        <v>984</v>
      </c>
      <c r="K1964" s="7" t="s">
        <v>69</v>
      </c>
      <c r="L1964" s="8">
        <v>32</v>
      </c>
      <c r="M1964" s="7" t="s">
        <v>23</v>
      </c>
      <c r="N1964" s="8">
        <v>31</v>
      </c>
      <c r="O1964" s="8">
        <v>1</v>
      </c>
      <c r="P1964" s="5">
        <v>13560.63</v>
      </c>
      <c r="Q1964" s="4">
        <v>45600</v>
      </c>
      <c r="R1964" s="9">
        <v>0.33831018518518519</v>
      </c>
      <c r="S1964" s="8">
        <v>17</v>
      </c>
      <c r="T1964" s="7" t="s">
        <v>4456</v>
      </c>
      <c r="U1964" s="7" t="s">
        <v>4455</v>
      </c>
      <c r="V19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65" spans="1:22" x14ac:dyDescent="0.35">
      <c r="A1965" s="7" t="s">
        <v>3841</v>
      </c>
      <c r="B1965" s="7" t="s">
        <v>434</v>
      </c>
      <c r="C1965" s="5">
        <v>483.92</v>
      </c>
      <c r="D1965" s="2">
        <v>0.78993055555474712</v>
      </c>
      <c r="E1965" s="4">
        <v>45215</v>
      </c>
      <c r="F1965" s="7" t="s">
        <v>17</v>
      </c>
      <c r="G1965" s="7" t="s">
        <v>203</v>
      </c>
      <c r="H1965" s="7" t="s">
        <v>173</v>
      </c>
      <c r="I1965" s="7" t="s">
        <v>3347</v>
      </c>
      <c r="J1965" s="7" t="s">
        <v>186</v>
      </c>
      <c r="K1965" s="7" t="s">
        <v>22</v>
      </c>
      <c r="L1965" s="8">
        <v>70</v>
      </c>
      <c r="M1965" s="7" t="s">
        <v>70</v>
      </c>
      <c r="N1965" s="8">
        <v>115</v>
      </c>
      <c r="O1965" s="8">
        <v>1</v>
      </c>
      <c r="P1965" s="5">
        <v>3138</v>
      </c>
      <c r="Q1965" s="4">
        <v>45600</v>
      </c>
      <c r="R1965" s="9">
        <v>0.33818287037037037</v>
      </c>
      <c r="S1965" s="8">
        <v>18</v>
      </c>
      <c r="T1965" s="7" t="s">
        <v>4454</v>
      </c>
      <c r="U1965" s="7" t="s">
        <v>4455</v>
      </c>
      <c r="V19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66" spans="1:22" x14ac:dyDescent="0.35">
      <c r="A1966" s="7" t="s">
        <v>3842</v>
      </c>
      <c r="B1966" s="7" t="s">
        <v>884</v>
      </c>
      <c r="C1966" s="5">
        <v>78.930000000000007</v>
      </c>
      <c r="D1966" s="2">
        <v>0.69549768518481869</v>
      </c>
      <c r="E1966" s="4">
        <v>44974</v>
      </c>
      <c r="F1966" s="7" t="s">
        <v>17</v>
      </c>
      <c r="G1966" s="7" t="s">
        <v>32</v>
      </c>
      <c r="H1966" s="7" t="s">
        <v>1362</v>
      </c>
      <c r="I1966" s="7" t="s">
        <v>2131</v>
      </c>
      <c r="J1966" s="7" t="s">
        <v>514</v>
      </c>
      <c r="K1966" s="7" t="s">
        <v>22</v>
      </c>
      <c r="L1966" s="8">
        <v>38</v>
      </c>
      <c r="M1966" s="7" t="s">
        <v>23</v>
      </c>
      <c r="N1966" s="8">
        <v>145</v>
      </c>
      <c r="O1966" s="8">
        <v>1</v>
      </c>
      <c r="P1966" s="5">
        <v>9916.24</v>
      </c>
      <c r="Q1966" s="4">
        <v>45600</v>
      </c>
      <c r="R1966" s="9">
        <v>0.34186342592592595</v>
      </c>
      <c r="S1966" s="8">
        <v>16</v>
      </c>
      <c r="T1966" s="7" t="s">
        <v>4457</v>
      </c>
      <c r="U1966" s="7" t="s">
        <v>4455</v>
      </c>
      <c r="V19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67" spans="1:22" x14ac:dyDescent="0.35">
      <c r="A1967" s="7" t="s">
        <v>3843</v>
      </c>
      <c r="B1967" s="7" t="s">
        <v>1267</v>
      </c>
      <c r="C1967" s="5">
        <v>36.630000000000003</v>
      </c>
      <c r="D1967" s="2">
        <v>0.71035879629926058</v>
      </c>
      <c r="E1967" s="4">
        <v>45050</v>
      </c>
      <c r="F1967" s="7" t="s">
        <v>17</v>
      </c>
      <c r="G1967" s="7" t="s">
        <v>172</v>
      </c>
      <c r="H1967" s="7" t="s">
        <v>1859</v>
      </c>
      <c r="I1967" s="7" t="s">
        <v>2025</v>
      </c>
      <c r="J1967" s="7" t="s">
        <v>209</v>
      </c>
      <c r="K1967" s="7" t="s">
        <v>22</v>
      </c>
      <c r="L1967" s="8">
        <v>75</v>
      </c>
      <c r="M1967" s="7" t="s">
        <v>70</v>
      </c>
      <c r="N1967" s="8">
        <v>261</v>
      </c>
      <c r="O1967" s="8">
        <v>1</v>
      </c>
      <c r="P1967" s="5">
        <v>7941.73</v>
      </c>
      <c r="Q1967" s="4">
        <v>45600</v>
      </c>
      <c r="R1967" s="9">
        <v>0.33859953703703705</v>
      </c>
      <c r="S1967" s="8">
        <v>17</v>
      </c>
      <c r="T1967" s="7" t="s">
        <v>4454</v>
      </c>
      <c r="U1967" s="7" t="s">
        <v>4455</v>
      </c>
      <c r="V19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68" spans="1:22" x14ac:dyDescent="0.35">
      <c r="A1968" s="7" t="s">
        <v>3844</v>
      </c>
      <c r="B1968" s="7" t="s">
        <v>1440</v>
      </c>
      <c r="C1968" s="5">
        <v>87.85</v>
      </c>
      <c r="D1968" s="2">
        <v>0.72631944444583496</v>
      </c>
      <c r="E1968" s="4">
        <v>45273</v>
      </c>
      <c r="F1968" s="7" t="s">
        <v>17</v>
      </c>
      <c r="G1968" s="7" t="s">
        <v>521</v>
      </c>
      <c r="H1968" s="7" t="s">
        <v>3845</v>
      </c>
      <c r="I1968" s="7" t="s">
        <v>903</v>
      </c>
      <c r="J1968" s="7" t="s">
        <v>619</v>
      </c>
      <c r="K1968" s="7" t="s">
        <v>69</v>
      </c>
      <c r="L1968" s="8">
        <v>49</v>
      </c>
      <c r="M1968" s="7" t="s">
        <v>77</v>
      </c>
      <c r="N1968" s="8">
        <v>63</v>
      </c>
      <c r="O1968" s="8">
        <v>1</v>
      </c>
      <c r="P1968" s="5">
        <v>3753.24</v>
      </c>
      <c r="Q1968" s="4">
        <v>45600</v>
      </c>
      <c r="R1968" s="9">
        <v>0.33837962962962964</v>
      </c>
      <c r="S1968" s="8">
        <v>17</v>
      </c>
      <c r="T1968" s="7" t="s">
        <v>4457</v>
      </c>
      <c r="U1968" s="7" t="s">
        <v>4455</v>
      </c>
      <c r="V19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69" spans="1:22" x14ac:dyDescent="0.35">
      <c r="A1969" s="7" t="s">
        <v>3846</v>
      </c>
      <c r="B1969" s="7" t="s">
        <v>629</v>
      </c>
      <c r="C1969" s="5">
        <v>1001.83</v>
      </c>
      <c r="D1969" s="2">
        <v>0.74034722222131677</v>
      </c>
      <c r="E1969" s="4">
        <v>45124</v>
      </c>
      <c r="F1969" s="7" t="s">
        <v>17</v>
      </c>
      <c r="G1969" s="7" t="s">
        <v>243</v>
      </c>
      <c r="H1969" s="7" t="s">
        <v>1489</v>
      </c>
      <c r="I1969" s="7" t="s">
        <v>3486</v>
      </c>
      <c r="J1969" s="7" t="s">
        <v>267</v>
      </c>
      <c r="K1969" s="7" t="s">
        <v>36</v>
      </c>
      <c r="L1969" s="8">
        <v>31</v>
      </c>
      <c r="M1969" s="7" t="s">
        <v>23</v>
      </c>
      <c r="N1969" s="8">
        <v>55</v>
      </c>
      <c r="O1969" s="8">
        <v>1</v>
      </c>
      <c r="P1969" s="5">
        <v>9733.83</v>
      </c>
      <c r="Q1969" s="4">
        <v>45600</v>
      </c>
      <c r="R1969" s="9">
        <v>0.3414699074074074</v>
      </c>
      <c r="S1969" s="8">
        <v>17</v>
      </c>
      <c r="T1969" s="7" t="s">
        <v>4456</v>
      </c>
      <c r="U1969" s="7" t="s">
        <v>4455</v>
      </c>
      <c r="V19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70" spans="1:22" x14ac:dyDescent="0.35">
      <c r="A1970" s="7" t="s">
        <v>3847</v>
      </c>
      <c r="B1970" s="7" t="s">
        <v>2802</v>
      </c>
      <c r="C1970" s="5">
        <v>705.34</v>
      </c>
      <c r="D1970" s="2">
        <v>0.78675925925927004</v>
      </c>
      <c r="E1970" s="4">
        <v>45181</v>
      </c>
      <c r="F1970" s="7" t="s">
        <v>17</v>
      </c>
      <c r="G1970" s="7" t="s">
        <v>453</v>
      </c>
      <c r="H1970" s="7" t="s">
        <v>3848</v>
      </c>
      <c r="I1970" s="7" t="s">
        <v>602</v>
      </c>
      <c r="J1970" s="7" t="s">
        <v>607</v>
      </c>
      <c r="K1970" s="7" t="s">
        <v>36</v>
      </c>
      <c r="L1970" s="8">
        <v>59</v>
      </c>
      <c r="M1970" s="7" t="s">
        <v>23</v>
      </c>
      <c r="N1970" s="8">
        <v>124</v>
      </c>
      <c r="O1970" s="8">
        <v>1</v>
      </c>
      <c r="P1970" s="5">
        <v>5003.22</v>
      </c>
      <c r="Q1970" s="4">
        <v>45600</v>
      </c>
      <c r="R1970" s="9">
        <v>0.34187499999999998</v>
      </c>
      <c r="S1970" s="8">
        <v>18</v>
      </c>
      <c r="T1970" s="7" t="s">
        <v>4454</v>
      </c>
      <c r="U1970" s="7" t="s">
        <v>4455</v>
      </c>
      <c r="V19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71" spans="1:22" x14ac:dyDescent="0.35">
      <c r="A1971" s="7" t="s">
        <v>3849</v>
      </c>
      <c r="B1971" s="7" t="s">
        <v>1144</v>
      </c>
      <c r="C1971" s="5">
        <v>146.55000000000001</v>
      </c>
      <c r="D1971" s="2">
        <v>0.77493055555532919</v>
      </c>
      <c r="E1971" s="4">
        <v>45141</v>
      </c>
      <c r="F1971" s="7" t="s">
        <v>17</v>
      </c>
      <c r="G1971" s="7" t="s">
        <v>301</v>
      </c>
      <c r="H1971" s="7" t="s">
        <v>2209</v>
      </c>
      <c r="I1971" s="7" t="s">
        <v>1064</v>
      </c>
      <c r="J1971" s="7" t="s">
        <v>43</v>
      </c>
      <c r="K1971" s="7" t="s">
        <v>36</v>
      </c>
      <c r="L1971" s="8">
        <v>54</v>
      </c>
      <c r="M1971" s="7" t="s">
        <v>70</v>
      </c>
      <c r="N1971" s="8">
        <v>124</v>
      </c>
      <c r="O1971" s="8">
        <v>5</v>
      </c>
      <c r="P1971" s="5">
        <v>4087.44</v>
      </c>
      <c r="Q1971" s="4">
        <v>45600</v>
      </c>
      <c r="R1971" s="9">
        <v>0.33863425925925927</v>
      </c>
      <c r="S1971" s="8">
        <v>18</v>
      </c>
      <c r="T1971" s="7" t="s">
        <v>4457</v>
      </c>
      <c r="U1971" s="7" t="s">
        <v>4458</v>
      </c>
      <c r="V19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72" spans="1:22" x14ac:dyDescent="0.35">
      <c r="A1972" s="7" t="s">
        <v>3850</v>
      </c>
      <c r="B1972" s="7" t="s">
        <v>843</v>
      </c>
      <c r="C1972" s="5">
        <v>116.89</v>
      </c>
      <c r="D1972" s="2">
        <v>0.68836805555474712</v>
      </c>
      <c r="E1972" s="4">
        <v>45250</v>
      </c>
      <c r="F1972" s="7" t="s">
        <v>17</v>
      </c>
      <c r="G1972" s="7" t="s">
        <v>125</v>
      </c>
      <c r="H1972" s="7" t="s">
        <v>3370</v>
      </c>
      <c r="I1972" s="7" t="s">
        <v>3061</v>
      </c>
      <c r="J1972" s="7" t="s">
        <v>331</v>
      </c>
      <c r="K1972" s="7" t="s">
        <v>36</v>
      </c>
      <c r="L1972" s="8">
        <v>71</v>
      </c>
      <c r="M1972" s="7" t="s">
        <v>70</v>
      </c>
      <c r="N1972" s="8">
        <v>226</v>
      </c>
      <c r="O1972" s="8">
        <v>1</v>
      </c>
      <c r="P1972" s="5">
        <v>4880.3100000000004</v>
      </c>
      <c r="Q1972" s="4">
        <v>45600</v>
      </c>
      <c r="R1972" s="9">
        <v>0.33792824074074074</v>
      </c>
      <c r="S1972" s="8">
        <v>16</v>
      </c>
      <c r="T1972" s="7" t="s">
        <v>4454</v>
      </c>
      <c r="U1972" s="7" t="s">
        <v>4455</v>
      </c>
      <c r="V19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73" spans="1:22" x14ac:dyDescent="0.35">
      <c r="A1973" s="7" t="s">
        <v>3851</v>
      </c>
      <c r="B1973" s="7" t="s">
        <v>2208</v>
      </c>
      <c r="C1973" s="5">
        <v>106.41</v>
      </c>
      <c r="D1973" s="2">
        <v>0.69275462962832535</v>
      </c>
      <c r="E1973" s="4">
        <v>44942</v>
      </c>
      <c r="F1973" s="7" t="s">
        <v>17</v>
      </c>
      <c r="G1973" s="7" t="s">
        <v>140</v>
      </c>
      <c r="H1973" s="7" t="s">
        <v>1294</v>
      </c>
      <c r="I1973" s="7" t="s">
        <v>1603</v>
      </c>
      <c r="J1973" s="7" t="s">
        <v>370</v>
      </c>
      <c r="K1973" s="7" t="s">
        <v>69</v>
      </c>
      <c r="L1973" s="8">
        <v>57</v>
      </c>
      <c r="M1973" s="7" t="s">
        <v>70</v>
      </c>
      <c r="N1973" s="8">
        <v>87</v>
      </c>
      <c r="O1973" s="8">
        <v>1</v>
      </c>
      <c r="P1973" s="5">
        <v>1310.3800000000001</v>
      </c>
      <c r="Q1973" s="4">
        <v>45600</v>
      </c>
      <c r="R1973" s="9">
        <v>0.3382060185185185</v>
      </c>
      <c r="S1973" s="8">
        <v>16</v>
      </c>
      <c r="T1973" s="7" t="s">
        <v>4454</v>
      </c>
      <c r="U1973" s="7" t="s">
        <v>4455</v>
      </c>
      <c r="V19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74" spans="1:22" x14ac:dyDescent="0.35">
      <c r="A1974" s="7" t="s">
        <v>3852</v>
      </c>
      <c r="B1974" s="7" t="s">
        <v>242</v>
      </c>
      <c r="C1974" s="5">
        <v>1087.9000000000001</v>
      </c>
      <c r="D1974" s="2">
        <v>0.75436342592729488</v>
      </c>
      <c r="E1974" s="4">
        <v>45012</v>
      </c>
      <c r="F1974" s="7" t="s">
        <v>17</v>
      </c>
      <c r="G1974" s="7" t="s">
        <v>388</v>
      </c>
      <c r="H1974" s="7" t="s">
        <v>1558</v>
      </c>
      <c r="I1974" s="7" t="s">
        <v>1315</v>
      </c>
      <c r="J1974" s="7" t="s">
        <v>200</v>
      </c>
      <c r="K1974" s="7" t="s">
        <v>22</v>
      </c>
      <c r="L1974" s="8">
        <v>78</v>
      </c>
      <c r="M1974" s="7" t="s">
        <v>70</v>
      </c>
      <c r="N1974" s="8">
        <v>103</v>
      </c>
      <c r="O1974" s="8">
        <v>1</v>
      </c>
      <c r="P1974" s="5">
        <v>2513.5100000000002</v>
      </c>
      <c r="Q1974" s="4">
        <v>45600</v>
      </c>
      <c r="R1974" s="9">
        <v>0.34171296296296294</v>
      </c>
      <c r="S1974" s="8">
        <v>18</v>
      </c>
      <c r="T1974" s="7" t="s">
        <v>4454</v>
      </c>
      <c r="U1974" s="7" t="s">
        <v>4455</v>
      </c>
      <c r="V19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75" spans="1:22" x14ac:dyDescent="0.35">
      <c r="A1975" s="7" t="s">
        <v>3853</v>
      </c>
      <c r="B1975" s="7" t="s">
        <v>1569</v>
      </c>
      <c r="C1975" s="5">
        <v>584.41</v>
      </c>
      <c r="D1975" s="2">
        <v>0.70262731481489027</v>
      </c>
      <c r="E1975" s="4">
        <v>44928</v>
      </c>
      <c r="F1975" s="7" t="s">
        <v>17</v>
      </c>
      <c r="G1975" s="7" t="s">
        <v>146</v>
      </c>
      <c r="H1975" s="7" t="s">
        <v>3094</v>
      </c>
      <c r="I1975" s="7" t="s">
        <v>1034</v>
      </c>
      <c r="J1975" s="7" t="s">
        <v>267</v>
      </c>
      <c r="K1975" s="7" t="s">
        <v>22</v>
      </c>
      <c r="L1975" s="8">
        <v>23</v>
      </c>
      <c r="M1975" s="7" t="s">
        <v>37</v>
      </c>
      <c r="N1975" s="8">
        <v>41</v>
      </c>
      <c r="O1975" s="8">
        <v>1</v>
      </c>
      <c r="P1975" s="5">
        <v>4475.22</v>
      </c>
      <c r="Q1975" s="4">
        <v>45600</v>
      </c>
      <c r="R1975" s="9">
        <v>0.34130787037037036</v>
      </c>
      <c r="S1975" s="8">
        <v>16</v>
      </c>
      <c r="T1975" s="7" t="s">
        <v>4456</v>
      </c>
      <c r="U1975" s="7" t="s">
        <v>4455</v>
      </c>
      <c r="V19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76" spans="1:22" x14ac:dyDescent="0.35">
      <c r="A1976" s="7" t="s">
        <v>3854</v>
      </c>
      <c r="B1976" s="7" t="s">
        <v>3855</v>
      </c>
      <c r="C1976" s="5">
        <v>584.98</v>
      </c>
      <c r="D1976" s="2">
        <v>0.68428240740468027</v>
      </c>
      <c r="E1976" s="4">
        <v>45089</v>
      </c>
      <c r="F1976" s="7" t="s">
        <v>46</v>
      </c>
      <c r="G1976" s="7" t="s">
        <v>265</v>
      </c>
      <c r="H1976" s="7" t="s">
        <v>1640</v>
      </c>
      <c r="I1976" s="7" t="s">
        <v>1953</v>
      </c>
      <c r="J1976" s="7" t="s">
        <v>482</v>
      </c>
      <c r="K1976" s="7" t="s">
        <v>69</v>
      </c>
      <c r="L1976" s="8">
        <v>55</v>
      </c>
      <c r="M1976" s="7" t="s">
        <v>70</v>
      </c>
      <c r="N1976" s="8">
        <v>121</v>
      </c>
      <c r="O1976" s="8">
        <v>1</v>
      </c>
      <c r="P1976" s="5">
        <v>6521.05</v>
      </c>
      <c r="Q1976" s="4">
        <v>45600</v>
      </c>
      <c r="R1976" s="9">
        <v>0.33887731481481481</v>
      </c>
      <c r="S1976" s="8">
        <v>16</v>
      </c>
      <c r="T1976" s="7" t="s">
        <v>4454</v>
      </c>
      <c r="U1976" s="7" t="s">
        <v>4455</v>
      </c>
      <c r="V19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77" spans="1:22" x14ac:dyDescent="0.35">
      <c r="A1977" s="7" t="s">
        <v>3856</v>
      </c>
      <c r="B1977" s="7" t="s">
        <v>1009</v>
      </c>
      <c r="C1977" s="5">
        <v>79.209999999999994</v>
      </c>
      <c r="D1977" s="2">
        <v>0.744837962964084</v>
      </c>
      <c r="E1977" s="4">
        <v>45254</v>
      </c>
      <c r="F1977" s="7" t="s">
        <v>17</v>
      </c>
      <c r="G1977" s="7" t="s">
        <v>521</v>
      </c>
      <c r="H1977" s="7" t="s">
        <v>862</v>
      </c>
      <c r="I1977" s="7" t="s">
        <v>3857</v>
      </c>
      <c r="J1977" s="7" t="s">
        <v>288</v>
      </c>
      <c r="K1977" s="7" t="s">
        <v>69</v>
      </c>
      <c r="L1977" s="8">
        <v>56</v>
      </c>
      <c r="M1977" s="7" t="s">
        <v>70</v>
      </c>
      <c r="N1977" s="8">
        <v>140</v>
      </c>
      <c r="O1977" s="8">
        <v>1</v>
      </c>
      <c r="P1977" s="5">
        <v>1615.04</v>
      </c>
      <c r="Q1977" s="4">
        <v>45600</v>
      </c>
      <c r="R1977" s="9">
        <v>0.3382060185185185</v>
      </c>
      <c r="S1977" s="8">
        <v>17</v>
      </c>
      <c r="T1977" s="7" t="s">
        <v>4454</v>
      </c>
      <c r="U1977" s="7" t="s">
        <v>4455</v>
      </c>
      <c r="V19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78" spans="1:22" x14ac:dyDescent="0.35">
      <c r="A1978" s="7" t="s">
        <v>3858</v>
      </c>
      <c r="B1978" s="7" t="s">
        <v>909</v>
      </c>
      <c r="C1978" s="5">
        <v>173.13</v>
      </c>
      <c r="D1978" s="2">
        <v>0.69896990740380716</v>
      </c>
      <c r="E1978" s="4">
        <v>45204</v>
      </c>
      <c r="F1978" s="7" t="s">
        <v>46</v>
      </c>
      <c r="G1978" s="7" t="s">
        <v>47</v>
      </c>
      <c r="H1978" s="7" t="s">
        <v>966</v>
      </c>
      <c r="I1978" s="7" t="s">
        <v>2325</v>
      </c>
      <c r="J1978" s="7" t="s">
        <v>252</v>
      </c>
      <c r="K1978" s="7" t="s">
        <v>36</v>
      </c>
      <c r="L1978" s="8">
        <v>20</v>
      </c>
      <c r="M1978" s="7" t="s">
        <v>37</v>
      </c>
      <c r="N1978" s="8">
        <v>288</v>
      </c>
      <c r="O1978" s="8">
        <v>1</v>
      </c>
      <c r="P1978" s="5">
        <v>1490.34</v>
      </c>
      <c r="Q1978" s="4">
        <v>45600</v>
      </c>
      <c r="R1978" s="9">
        <v>0.33847222222222223</v>
      </c>
      <c r="S1978" s="8">
        <v>16</v>
      </c>
      <c r="T1978" s="7" t="s">
        <v>4456</v>
      </c>
      <c r="U1978" s="7" t="s">
        <v>4455</v>
      </c>
      <c r="V19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79" spans="1:22" x14ac:dyDescent="0.35">
      <c r="A1979" s="7" t="s">
        <v>3859</v>
      </c>
      <c r="B1979" s="7" t="s">
        <v>3332</v>
      </c>
      <c r="C1979" s="5">
        <v>335.7</v>
      </c>
      <c r="D1979" s="2">
        <v>0.74144675926072523</v>
      </c>
      <c r="E1979" s="4">
        <v>44956</v>
      </c>
      <c r="F1979" s="7" t="s">
        <v>17</v>
      </c>
      <c r="G1979" s="7" t="s">
        <v>506</v>
      </c>
      <c r="H1979" s="7" t="s">
        <v>389</v>
      </c>
      <c r="I1979" s="7" t="s">
        <v>2348</v>
      </c>
      <c r="J1979" s="7" t="s">
        <v>445</v>
      </c>
      <c r="K1979" s="7" t="s">
        <v>22</v>
      </c>
      <c r="L1979" s="8">
        <v>80</v>
      </c>
      <c r="M1979" s="7" t="s">
        <v>70</v>
      </c>
      <c r="N1979" s="8">
        <v>57</v>
      </c>
      <c r="O1979" s="8">
        <v>1</v>
      </c>
      <c r="P1979" s="5">
        <v>6601.44</v>
      </c>
      <c r="Q1979" s="4">
        <v>45600</v>
      </c>
      <c r="R1979" s="9">
        <v>0.34040509259259261</v>
      </c>
      <c r="S1979" s="8">
        <v>17</v>
      </c>
      <c r="T1979" s="7" t="s">
        <v>4454</v>
      </c>
      <c r="U1979" s="7" t="s">
        <v>4455</v>
      </c>
      <c r="V19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80" spans="1:22" x14ac:dyDescent="0.35">
      <c r="A1980" s="7" t="s">
        <v>3860</v>
      </c>
      <c r="B1980" s="7" t="s">
        <v>1357</v>
      </c>
      <c r="C1980" s="5">
        <v>1225.5</v>
      </c>
      <c r="D1980" s="2">
        <v>0.66814814815006685</v>
      </c>
      <c r="E1980" s="4">
        <v>45257</v>
      </c>
      <c r="F1980" s="7" t="s">
        <v>46</v>
      </c>
      <c r="G1980" s="7" t="s">
        <v>146</v>
      </c>
      <c r="H1980" s="7" t="s">
        <v>1010</v>
      </c>
      <c r="I1980" s="7" t="s">
        <v>2501</v>
      </c>
      <c r="J1980" s="7" t="s">
        <v>386</v>
      </c>
      <c r="K1980" s="7" t="s">
        <v>36</v>
      </c>
      <c r="L1980" s="8">
        <v>50</v>
      </c>
      <c r="M1980" s="7" t="s">
        <v>23</v>
      </c>
      <c r="N1980" s="8">
        <v>109</v>
      </c>
      <c r="O1980" s="8">
        <v>1</v>
      </c>
      <c r="P1980" s="5">
        <v>8611.17</v>
      </c>
      <c r="Q1980" s="4">
        <v>45600</v>
      </c>
      <c r="R1980" s="9">
        <v>0.34144675925925927</v>
      </c>
      <c r="S1980" s="8">
        <v>16</v>
      </c>
      <c r="T1980" s="7" t="s">
        <v>4457</v>
      </c>
      <c r="U1980" s="7" t="s">
        <v>4455</v>
      </c>
      <c r="V19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81" spans="1:22" x14ac:dyDescent="0.35">
      <c r="A1981" s="7" t="s">
        <v>3861</v>
      </c>
      <c r="B1981" s="7" t="s">
        <v>525</v>
      </c>
      <c r="C1981" s="5">
        <v>422.81</v>
      </c>
      <c r="D1981" s="2">
        <v>0.67175925926130731</v>
      </c>
      <c r="E1981" s="4">
        <v>45250</v>
      </c>
      <c r="F1981" s="7" t="s">
        <v>17</v>
      </c>
      <c r="G1981" s="7" t="s">
        <v>140</v>
      </c>
      <c r="H1981" s="7" t="s">
        <v>2947</v>
      </c>
      <c r="I1981" s="7" t="s">
        <v>2434</v>
      </c>
      <c r="J1981" s="7" t="s">
        <v>308</v>
      </c>
      <c r="K1981" s="7" t="s">
        <v>69</v>
      </c>
      <c r="L1981" s="8">
        <v>28</v>
      </c>
      <c r="M1981" s="7" t="s">
        <v>37</v>
      </c>
      <c r="N1981" s="8">
        <v>193</v>
      </c>
      <c r="O1981" s="8">
        <v>1</v>
      </c>
      <c r="P1981" s="5">
        <v>1929.28</v>
      </c>
      <c r="Q1981" s="4">
        <v>45600</v>
      </c>
      <c r="R1981" s="9">
        <v>0.34060185185185188</v>
      </c>
      <c r="S1981" s="8">
        <v>16</v>
      </c>
      <c r="T1981" s="7" t="s">
        <v>4456</v>
      </c>
      <c r="U1981" s="7" t="s">
        <v>4455</v>
      </c>
      <c r="V19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82" spans="1:22" x14ac:dyDescent="0.35">
      <c r="A1982" s="7" t="s">
        <v>3862</v>
      </c>
      <c r="B1982" s="7" t="s">
        <v>1200</v>
      </c>
      <c r="C1982" s="5">
        <v>135.43</v>
      </c>
      <c r="D1982" s="2">
        <v>0.67697916666656965</v>
      </c>
      <c r="E1982" s="4">
        <v>45205</v>
      </c>
      <c r="F1982" s="7" t="s">
        <v>17</v>
      </c>
      <c r="G1982" s="7" t="s">
        <v>223</v>
      </c>
      <c r="H1982" s="7" t="s">
        <v>807</v>
      </c>
      <c r="I1982" s="7" t="s">
        <v>136</v>
      </c>
      <c r="J1982" s="7" t="s">
        <v>1000</v>
      </c>
      <c r="K1982" s="7" t="s">
        <v>22</v>
      </c>
      <c r="L1982" s="8">
        <v>57</v>
      </c>
      <c r="M1982" s="7" t="s">
        <v>70</v>
      </c>
      <c r="N1982" s="8">
        <v>92</v>
      </c>
      <c r="O1982" s="8">
        <v>1</v>
      </c>
      <c r="P1982" s="5">
        <v>5315.83</v>
      </c>
      <c r="Q1982" s="4">
        <v>45600</v>
      </c>
      <c r="R1982" s="9">
        <v>0.33954861111111112</v>
      </c>
      <c r="S1982" s="8">
        <v>16</v>
      </c>
      <c r="T1982" s="7" t="s">
        <v>4454</v>
      </c>
      <c r="U1982" s="7" t="s">
        <v>4455</v>
      </c>
      <c r="V19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83" spans="1:22" x14ac:dyDescent="0.35">
      <c r="A1983" s="7" t="s">
        <v>3863</v>
      </c>
      <c r="B1983" s="7" t="s">
        <v>1655</v>
      </c>
      <c r="C1983" s="5">
        <v>584.88</v>
      </c>
      <c r="D1983" s="2">
        <v>0.72207175925723277</v>
      </c>
      <c r="E1983" s="4">
        <v>45279</v>
      </c>
      <c r="F1983" s="7" t="s">
        <v>17</v>
      </c>
      <c r="G1983" s="7" t="s">
        <v>243</v>
      </c>
      <c r="H1983" s="7" t="s">
        <v>2687</v>
      </c>
      <c r="I1983" s="7" t="s">
        <v>933</v>
      </c>
      <c r="J1983" s="7" t="s">
        <v>564</v>
      </c>
      <c r="K1983" s="7" t="s">
        <v>22</v>
      </c>
      <c r="L1983" s="8">
        <v>26</v>
      </c>
      <c r="M1983" s="7" t="s">
        <v>37</v>
      </c>
      <c r="N1983" s="8">
        <v>121</v>
      </c>
      <c r="O1983" s="8">
        <v>1</v>
      </c>
      <c r="P1983" s="5">
        <v>548.45000000000005</v>
      </c>
      <c r="Q1983" s="4">
        <v>45600</v>
      </c>
      <c r="R1983" s="9">
        <v>0.34100694444444446</v>
      </c>
      <c r="S1983" s="8">
        <v>17</v>
      </c>
      <c r="T1983" s="7" t="s">
        <v>4456</v>
      </c>
      <c r="U1983" s="7" t="s">
        <v>4455</v>
      </c>
      <c r="V19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84" spans="1:22" x14ac:dyDescent="0.35">
      <c r="A1984" s="7" t="s">
        <v>3864</v>
      </c>
      <c r="B1984" s="7" t="s">
        <v>274</v>
      </c>
      <c r="C1984" s="5">
        <v>308.94</v>
      </c>
      <c r="D1984" s="2">
        <v>0.69130787037283881</v>
      </c>
      <c r="E1984" s="4">
        <v>45019</v>
      </c>
      <c r="F1984" s="7" t="s">
        <v>17</v>
      </c>
      <c r="G1984" s="7" t="s">
        <v>140</v>
      </c>
      <c r="H1984" s="7" t="s">
        <v>1724</v>
      </c>
      <c r="I1984" s="7" t="s">
        <v>234</v>
      </c>
      <c r="J1984" s="7" t="s">
        <v>186</v>
      </c>
      <c r="K1984" s="7" t="s">
        <v>36</v>
      </c>
      <c r="L1984" s="8">
        <v>25</v>
      </c>
      <c r="M1984" s="7" t="s">
        <v>37</v>
      </c>
      <c r="N1984" s="8">
        <v>167</v>
      </c>
      <c r="O1984" s="8">
        <v>1</v>
      </c>
      <c r="P1984" s="5">
        <v>1931.66</v>
      </c>
      <c r="Q1984" s="4">
        <v>45600</v>
      </c>
      <c r="R1984" s="9">
        <v>0.3387384259259259</v>
      </c>
      <c r="S1984" s="8">
        <v>16</v>
      </c>
      <c r="T1984" s="7" t="s">
        <v>4456</v>
      </c>
      <c r="U1984" s="7" t="s">
        <v>4455</v>
      </c>
      <c r="V19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85" spans="1:22" x14ac:dyDescent="0.35">
      <c r="A1985" s="7" t="s">
        <v>3865</v>
      </c>
      <c r="B1985" s="7" t="s">
        <v>3866</v>
      </c>
      <c r="C1985" s="5">
        <v>295.93</v>
      </c>
      <c r="D1985" s="2">
        <v>0.72684027777722804</v>
      </c>
      <c r="E1985" s="4">
        <v>44977</v>
      </c>
      <c r="F1985" s="7" t="s">
        <v>17</v>
      </c>
      <c r="G1985" s="7" t="s">
        <v>388</v>
      </c>
      <c r="H1985" s="7" t="s">
        <v>827</v>
      </c>
      <c r="I1985" s="7" t="s">
        <v>3347</v>
      </c>
      <c r="J1985" s="7" t="s">
        <v>1037</v>
      </c>
      <c r="K1985" s="7" t="s">
        <v>69</v>
      </c>
      <c r="L1985" s="8">
        <v>36</v>
      </c>
      <c r="M1985" s="7" t="s">
        <v>23</v>
      </c>
      <c r="N1985" s="8">
        <v>117</v>
      </c>
      <c r="O1985" s="8">
        <v>1</v>
      </c>
      <c r="P1985" s="5">
        <v>1050.6300000000001</v>
      </c>
      <c r="Q1985" s="4">
        <v>45600</v>
      </c>
      <c r="R1985" s="9">
        <v>0.34023148148148147</v>
      </c>
      <c r="S1985" s="8">
        <v>17</v>
      </c>
      <c r="T1985" s="7" t="s">
        <v>4457</v>
      </c>
      <c r="U1985" s="7" t="s">
        <v>4455</v>
      </c>
      <c r="V19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86" spans="1:22" x14ac:dyDescent="0.35">
      <c r="A1986" s="7" t="s">
        <v>3867</v>
      </c>
      <c r="B1986" s="7" t="s">
        <v>447</v>
      </c>
      <c r="C1986" s="5">
        <v>1512.99</v>
      </c>
      <c r="D1986" s="2">
        <v>0.71932870370073942</v>
      </c>
      <c r="E1986" s="4">
        <v>45146</v>
      </c>
      <c r="F1986" s="7" t="s">
        <v>17</v>
      </c>
      <c r="G1986" s="7" t="s">
        <v>243</v>
      </c>
      <c r="H1986" s="7" t="s">
        <v>98</v>
      </c>
      <c r="I1986" s="7" t="s">
        <v>1188</v>
      </c>
      <c r="J1986" s="7" t="s">
        <v>358</v>
      </c>
      <c r="K1986" s="7" t="s">
        <v>36</v>
      </c>
      <c r="L1986" s="8">
        <v>19</v>
      </c>
      <c r="M1986" s="7" t="s">
        <v>37</v>
      </c>
      <c r="N1986" s="8">
        <v>50</v>
      </c>
      <c r="O1986" s="8">
        <v>1</v>
      </c>
      <c r="P1986" s="5">
        <v>9963.39</v>
      </c>
      <c r="Q1986" s="4">
        <v>45600</v>
      </c>
      <c r="R1986" s="9">
        <v>0.34010416666666665</v>
      </c>
      <c r="S1986" s="8">
        <v>17</v>
      </c>
      <c r="T1986" s="7" t="s">
        <v>4456</v>
      </c>
      <c r="U1986" s="7" t="s">
        <v>4455</v>
      </c>
      <c r="V19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87" spans="1:22" x14ac:dyDescent="0.35">
      <c r="A1987" s="7" t="s">
        <v>3868</v>
      </c>
      <c r="B1987" s="7" t="s">
        <v>2779</v>
      </c>
      <c r="C1987" s="5">
        <v>77.44</v>
      </c>
      <c r="D1987" s="2">
        <v>0.68679398148378823</v>
      </c>
      <c r="E1987" s="4">
        <v>45103</v>
      </c>
      <c r="F1987" s="7" t="s">
        <v>17</v>
      </c>
      <c r="G1987" s="7" t="s">
        <v>453</v>
      </c>
      <c r="H1987" s="7" t="s">
        <v>1731</v>
      </c>
      <c r="I1987" s="7" t="s">
        <v>1188</v>
      </c>
      <c r="J1987" s="7" t="s">
        <v>1349</v>
      </c>
      <c r="K1987" s="7" t="s">
        <v>69</v>
      </c>
      <c r="L1987" s="8">
        <v>58</v>
      </c>
      <c r="M1987" s="7" t="s">
        <v>70</v>
      </c>
      <c r="N1987" s="8">
        <v>268</v>
      </c>
      <c r="O1987" s="8">
        <v>1</v>
      </c>
      <c r="P1987" s="5">
        <v>1950.63</v>
      </c>
      <c r="Q1987" s="4">
        <v>45600</v>
      </c>
      <c r="R1987" s="9">
        <v>0.34096064814814814</v>
      </c>
      <c r="S1987" s="8">
        <v>16</v>
      </c>
      <c r="T1987" s="7" t="s">
        <v>4454</v>
      </c>
      <c r="U1987" s="7" t="s">
        <v>4455</v>
      </c>
      <c r="V19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88" spans="1:22" x14ac:dyDescent="0.35">
      <c r="A1988" s="7" t="s">
        <v>3869</v>
      </c>
      <c r="B1988" s="7" t="s">
        <v>1398</v>
      </c>
      <c r="C1988" s="5">
        <v>92.5</v>
      </c>
      <c r="D1988" s="2">
        <v>0.68206018518685596</v>
      </c>
      <c r="E1988" s="4">
        <v>45194</v>
      </c>
      <c r="F1988" s="7" t="s">
        <v>46</v>
      </c>
      <c r="G1988" s="7" t="s">
        <v>59</v>
      </c>
      <c r="H1988" s="7" t="s">
        <v>3870</v>
      </c>
      <c r="I1988" s="7" t="s">
        <v>2316</v>
      </c>
      <c r="J1988" s="7" t="s">
        <v>1014</v>
      </c>
      <c r="K1988" s="7" t="s">
        <v>36</v>
      </c>
      <c r="L1988" s="8">
        <v>40</v>
      </c>
      <c r="M1988" s="7" t="s">
        <v>77</v>
      </c>
      <c r="N1988" s="8">
        <v>70</v>
      </c>
      <c r="O1988" s="8">
        <v>1</v>
      </c>
      <c r="P1988" s="5">
        <v>6295.45</v>
      </c>
      <c r="Q1988" s="4">
        <v>45600</v>
      </c>
      <c r="R1988" s="9">
        <v>0.33917824074074077</v>
      </c>
      <c r="S1988" s="8">
        <v>16</v>
      </c>
      <c r="T1988" s="7" t="s">
        <v>4457</v>
      </c>
      <c r="U1988" s="7" t="s">
        <v>4455</v>
      </c>
      <c r="V19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89" spans="1:22" x14ac:dyDescent="0.35">
      <c r="A1989" s="7" t="s">
        <v>3871</v>
      </c>
      <c r="B1989" s="7" t="s">
        <v>801</v>
      </c>
      <c r="C1989" s="5">
        <v>97.74</v>
      </c>
      <c r="D1989" s="2">
        <v>0.69894675925752381</v>
      </c>
      <c r="E1989" s="4">
        <v>45173</v>
      </c>
      <c r="F1989" s="7" t="s">
        <v>46</v>
      </c>
      <c r="G1989" s="7" t="s">
        <v>140</v>
      </c>
      <c r="H1989" s="7" t="s">
        <v>2548</v>
      </c>
      <c r="I1989" s="7" t="s">
        <v>983</v>
      </c>
      <c r="J1989" s="7" t="s">
        <v>246</v>
      </c>
      <c r="K1989" s="7" t="s">
        <v>36</v>
      </c>
      <c r="L1989" s="8">
        <v>41</v>
      </c>
      <c r="M1989" s="7" t="s">
        <v>77</v>
      </c>
      <c r="N1989" s="8">
        <v>137</v>
      </c>
      <c r="O1989" s="8">
        <v>1</v>
      </c>
      <c r="P1989" s="5">
        <v>4113.63</v>
      </c>
      <c r="Q1989" s="4">
        <v>45600</v>
      </c>
      <c r="R1989" s="9">
        <v>0.33836805555555555</v>
      </c>
      <c r="S1989" s="8">
        <v>16</v>
      </c>
      <c r="T1989" s="7" t="s">
        <v>4457</v>
      </c>
      <c r="U1989" s="7" t="s">
        <v>4455</v>
      </c>
      <c r="V19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90" spans="1:22" x14ac:dyDescent="0.35">
      <c r="A1990" s="7" t="s">
        <v>3872</v>
      </c>
      <c r="B1990" s="7" t="s">
        <v>2432</v>
      </c>
      <c r="C1990" s="5">
        <v>291.68</v>
      </c>
      <c r="D1990" s="2">
        <v>0.75552083333604969</v>
      </c>
      <c r="E1990" s="4">
        <v>45145</v>
      </c>
      <c r="F1990" s="7" t="s">
        <v>17</v>
      </c>
      <c r="G1990" s="7" t="s">
        <v>125</v>
      </c>
      <c r="H1990" s="7" t="s">
        <v>601</v>
      </c>
      <c r="I1990" s="7" t="s">
        <v>1455</v>
      </c>
      <c r="J1990" s="7" t="s">
        <v>707</v>
      </c>
      <c r="K1990" s="7" t="s">
        <v>22</v>
      </c>
      <c r="L1990" s="8">
        <v>21</v>
      </c>
      <c r="M1990" s="7" t="s">
        <v>37</v>
      </c>
      <c r="N1990" s="8">
        <v>90</v>
      </c>
      <c r="O1990" s="8">
        <v>1</v>
      </c>
      <c r="P1990" s="5">
        <v>1451.02</v>
      </c>
      <c r="Q1990" s="4">
        <v>45600</v>
      </c>
      <c r="R1990" s="9">
        <v>0.34165509259259258</v>
      </c>
      <c r="S1990" s="8">
        <v>18</v>
      </c>
      <c r="T1990" s="7" t="s">
        <v>4456</v>
      </c>
      <c r="U1990" s="7" t="s">
        <v>4455</v>
      </c>
      <c r="V19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91" spans="1:22" x14ac:dyDescent="0.35">
      <c r="A1991" s="7" t="s">
        <v>3873</v>
      </c>
      <c r="B1991" s="7" t="s">
        <v>589</v>
      </c>
      <c r="C1991" s="5">
        <v>56.96</v>
      </c>
      <c r="D1991" s="2">
        <v>0.73506944444670808</v>
      </c>
      <c r="E1991" s="4">
        <v>45103</v>
      </c>
      <c r="F1991" s="7" t="s">
        <v>17</v>
      </c>
      <c r="G1991" s="7" t="s">
        <v>86</v>
      </c>
      <c r="H1991" s="7" t="s">
        <v>1912</v>
      </c>
      <c r="I1991" s="7" t="s">
        <v>1348</v>
      </c>
      <c r="J1991" s="7" t="s">
        <v>1349</v>
      </c>
      <c r="K1991" s="7" t="s">
        <v>22</v>
      </c>
      <c r="L1991" s="8">
        <v>22</v>
      </c>
      <c r="M1991" s="7" t="s">
        <v>37</v>
      </c>
      <c r="N1991" s="8">
        <v>135</v>
      </c>
      <c r="O1991" s="8">
        <v>1</v>
      </c>
      <c r="P1991" s="5">
        <v>1597.85</v>
      </c>
      <c r="Q1991" s="4">
        <v>45600</v>
      </c>
      <c r="R1991" s="9">
        <v>0.33840277777777777</v>
      </c>
      <c r="S1991" s="8">
        <v>17</v>
      </c>
      <c r="T1991" s="7" t="s">
        <v>4456</v>
      </c>
      <c r="U1991" s="7" t="s">
        <v>4455</v>
      </c>
      <c r="V19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92" spans="1:22" x14ac:dyDescent="0.35">
      <c r="A1992" s="7" t="s">
        <v>3874</v>
      </c>
      <c r="B1992" s="7" t="s">
        <v>3754</v>
      </c>
      <c r="C1992" s="5">
        <v>436.8</v>
      </c>
      <c r="D1992" s="2">
        <v>0.677210648151231</v>
      </c>
      <c r="E1992" s="4">
        <v>45110</v>
      </c>
      <c r="F1992" s="7" t="s">
        <v>17</v>
      </c>
      <c r="G1992" s="7" t="s">
        <v>59</v>
      </c>
      <c r="H1992" s="7" t="s">
        <v>2902</v>
      </c>
      <c r="I1992" s="7" t="s">
        <v>2111</v>
      </c>
      <c r="J1992" s="7" t="s">
        <v>984</v>
      </c>
      <c r="K1992" s="7" t="s">
        <v>36</v>
      </c>
      <c r="L1992" s="8">
        <v>27</v>
      </c>
      <c r="M1992" s="7" t="s">
        <v>37</v>
      </c>
      <c r="N1992" s="8">
        <v>92</v>
      </c>
      <c r="O1992" s="8">
        <v>1</v>
      </c>
      <c r="P1992" s="5">
        <v>1256.33</v>
      </c>
      <c r="Q1992" s="4">
        <v>45600</v>
      </c>
      <c r="R1992" s="9">
        <v>0.34027777777777779</v>
      </c>
      <c r="S1992" s="8">
        <v>16</v>
      </c>
      <c r="T1992" s="7" t="s">
        <v>4456</v>
      </c>
      <c r="U1992" s="7" t="s">
        <v>4455</v>
      </c>
      <c r="V19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93" spans="1:22" x14ac:dyDescent="0.35">
      <c r="A1993" s="7" t="s">
        <v>3875</v>
      </c>
      <c r="B1993" s="7" t="s">
        <v>1391</v>
      </c>
      <c r="C1993" s="5">
        <v>259.49</v>
      </c>
      <c r="D1993" s="2">
        <v>0.6888425925935735</v>
      </c>
      <c r="E1993" s="4">
        <v>45086</v>
      </c>
      <c r="F1993" s="7" t="s">
        <v>17</v>
      </c>
      <c r="G1993" s="7" t="s">
        <v>119</v>
      </c>
      <c r="H1993" s="7" t="s">
        <v>1227</v>
      </c>
      <c r="I1993" s="7" t="s">
        <v>1775</v>
      </c>
      <c r="J1993" s="7" t="s">
        <v>414</v>
      </c>
      <c r="K1993" s="7" t="s">
        <v>36</v>
      </c>
      <c r="L1993" s="8">
        <v>72</v>
      </c>
      <c r="M1993" s="7" t="s">
        <v>70</v>
      </c>
      <c r="N1993" s="8">
        <v>292</v>
      </c>
      <c r="O1993" s="8">
        <v>1</v>
      </c>
      <c r="P1993" s="5">
        <v>7320.61</v>
      </c>
      <c r="Q1993" s="4">
        <v>45600</v>
      </c>
      <c r="R1993" s="9">
        <v>0.33855324074074072</v>
      </c>
      <c r="S1993" s="8">
        <v>16</v>
      </c>
      <c r="T1993" s="7" t="s">
        <v>4454</v>
      </c>
      <c r="U1993" s="7" t="s">
        <v>4455</v>
      </c>
      <c r="V19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94" spans="1:22" x14ac:dyDescent="0.35">
      <c r="A1994" s="7" t="s">
        <v>3876</v>
      </c>
      <c r="B1994" s="7" t="s">
        <v>1069</v>
      </c>
      <c r="C1994" s="5">
        <v>726.26</v>
      </c>
      <c r="D1994" s="2">
        <v>0.71792824073781958</v>
      </c>
      <c r="E1994" s="4">
        <v>44970</v>
      </c>
      <c r="F1994" s="7" t="s">
        <v>17</v>
      </c>
      <c r="G1994" s="7" t="s">
        <v>296</v>
      </c>
      <c r="H1994" s="7" t="s">
        <v>1510</v>
      </c>
      <c r="I1994" s="7" t="s">
        <v>2287</v>
      </c>
      <c r="J1994" s="7" t="s">
        <v>76</v>
      </c>
      <c r="K1994" s="7" t="s">
        <v>36</v>
      </c>
      <c r="L1994" s="8">
        <v>57</v>
      </c>
      <c r="M1994" s="7" t="s">
        <v>70</v>
      </c>
      <c r="N1994" s="8">
        <v>147</v>
      </c>
      <c r="O1994" s="8">
        <v>1</v>
      </c>
      <c r="P1994" s="5">
        <v>2150.38</v>
      </c>
      <c r="Q1994" s="4">
        <v>45600</v>
      </c>
      <c r="R1994" s="9">
        <v>0.33806712962962965</v>
      </c>
      <c r="S1994" s="8">
        <v>17</v>
      </c>
      <c r="T1994" s="7" t="s">
        <v>4454</v>
      </c>
      <c r="U1994" s="7" t="s">
        <v>4455</v>
      </c>
      <c r="V19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95" spans="1:22" x14ac:dyDescent="0.35">
      <c r="A1995" s="7" t="s">
        <v>3877</v>
      </c>
      <c r="B1995" s="7" t="s">
        <v>3006</v>
      </c>
      <c r="C1995" s="5">
        <v>568.67999999999995</v>
      </c>
      <c r="D1995" s="2">
        <v>0.78282407407095889</v>
      </c>
      <c r="E1995" s="4">
        <v>45041</v>
      </c>
      <c r="F1995" s="7" t="s">
        <v>17</v>
      </c>
      <c r="G1995" s="7" t="s">
        <v>26</v>
      </c>
      <c r="H1995" s="7" t="s">
        <v>1302</v>
      </c>
      <c r="I1995" s="7" t="s">
        <v>1845</v>
      </c>
      <c r="J1995" s="7" t="s">
        <v>326</v>
      </c>
      <c r="K1995" s="7" t="s">
        <v>22</v>
      </c>
      <c r="L1995" s="8">
        <v>72</v>
      </c>
      <c r="M1995" s="7" t="s">
        <v>70</v>
      </c>
      <c r="N1995" s="8">
        <v>101</v>
      </c>
      <c r="O1995" s="8">
        <v>1</v>
      </c>
      <c r="P1995" s="5">
        <v>2940.04</v>
      </c>
      <c r="Q1995" s="4">
        <v>45600</v>
      </c>
      <c r="R1995" s="9">
        <v>0.33934027777777775</v>
      </c>
      <c r="S1995" s="8">
        <v>18</v>
      </c>
      <c r="T1995" s="7" t="s">
        <v>4454</v>
      </c>
      <c r="U1995" s="7" t="s">
        <v>4455</v>
      </c>
      <c r="V19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96" spans="1:22" x14ac:dyDescent="0.35">
      <c r="A1996" s="7" t="s">
        <v>3878</v>
      </c>
      <c r="B1996" s="7" t="s">
        <v>660</v>
      </c>
      <c r="C1996" s="5">
        <v>77.569999999999993</v>
      </c>
      <c r="D1996" s="2">
        <v>0.70996527777606389</v>
      </c>
      <c r="E1996" s="4">
        <v>45273</v>
      </c>
      <c r="F1996" s="7" t="s">
        <v>17</v>
      </c>
      <c r="G1996" s="7" t="s">
        <v>47</v>
      </c>
      <c r="H1996" s="7" t="s">
        <v>1815</v>
      </c>
      <c r="I1996" s="7" t="s">
        <v>944</v>
      </c>
      <c r="J1996" s="7" t="s">
        <v>50</v>
      </c>
      <c r="K1996" s="7" t="s">
        <v>36</v>
      </c>
      <c r="L1996" s="8">
        <v>49</v>
      </c>
      <c r="M1996" s="7" t="s">
        <v>23</v>
      </c>
      <c r="N1996" s="8">
        <v>225</v>
      </c>
      <c r="O1996" s="8">
        <v>1</v>
      </c>
      <c r="P1996" s="5">
        <v>12801.93</v>
      </c>
      <c r="Q1996" s="4">
        <v>45600</v>
      </c>
      <c r="R1996" s="9">
        <v>0.33881944444444445</v>
      </c>
      <c r="S1996" s="8">
        <v>17</v>
      </c>
      <c r="T1996" s="7" t="s">
        <v>4457</v>
      </c>
      <c r="U1996" s="7" t="s">
        <v>4455</v>
      </c>
      <c r="V19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97" spans="1:22" x14ac:dyDescent="0.35">
      <c r="A1997" s="7" t="s">
        <v>3879</v>
      </c>
      <c r="B1997" s="7" t="s">
        <v>367</v>
      </c>
      <c r="C1997" s="5">
        <v>999.28</v>
      </c>
      <c r="D1997" s="2">
        <v>0.74016203703649808</v>
      </c>
      <c r="E1997" s="4">
        <v>45068</v>
      </c>
      <c r="F1997" s="7" t="s">
        <v>17</v>
      </c>
      <c r="G1997" s="7" t="s">
        <v>388</v>
      </c>
      <c r="H1997" s="7" t="s">
        <v>98</v>
      </c>
      <c r="I1997" s="7" t="s">
        <v>378</v>
      </c>
      <c r="J1997" s="7" t="s">
        <v>1345</v>
      </c>
      <c r="K1997" s="7" t="s">
        <v>36</v>
      </c>
      <c r="L1997" s="8">
        <v>29</v>
      </c>
      <c r="M1997" s="7" t="s">
        <v>77</v>
      </c>
      <c r="N1997" s="8">
        <v>40</v>
      </c>
      <c r="O1997" s="8">
        <v>1</v>
      </c>
      <c r="P1997" s="5">
        <v>4272.41</v>
      </c>
      <c r="Q1997" s="4">
        <v>45600</v>
      </c>
      <c r="R1997" s="9">
        <v>0.34184027777777776</v>
      </c>
      <c r="S1997" s="8">
        <v>17</v>
      </c>
      <c r="T1997" s="7" t="s">
        <v>4456</v>
      </c>
      <c r="U1997" s="7" t="s">
        <v>4455</v>
      </c>
      <c r="V19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1998" spans="1:22" x14ac:dyDescent="0.35">
      <c r="A1998" s="7" t="s">
        <v>3880</v>
      </c>
      <c r="B1998" s="7" t="s">
        <v>452</v>
      </c>
      <c r="C1998" s="5">
        <v>14.16</v>
      </c>
      <c r="D1998" s="2">
        <v>0.70077546295942739</v>
      </c>
      <c r="E1998" s="4">
        <v>44935</v>
      </c>
      <c r="F1998" s="7" t="s">
        <v>46</v>
      </c>
      <c r="G1998" s="7" t="s">
        <v>53</v>
      </c>
      <c r="H1998" s="7" t="s">
        <v>1664</v>
      </c>
      <c r="I1998" s="7" t="s">
        <v>3881</v>
      </c>
      <c r="J1998" s="7" t="s">
        <v>592</v>
      </c>
      <c r="K1998" s="7" t="s">
        <v>69</v>
      </c>
      <c r="L1998" s="8">
        <v>74</v>
      </c>
      <c r="M1998" s="7" t="s">
        <v>70</v>
      </c>
      <c r="N1998" s="8">
        <v>290</v>
      </c>
      <c r="O1998" s="8">
        <v>1</v>
      </c>
      <c r="P1998" s="5">
        <v>5399.76</v>
      </c>
      <c r="Q1998" s="4">
        <v>45600</v>
      </c>
      <c r="R1998" s="9">
        <v>0.34050925925925923</v>
      </c>
      <c r="S1998" s="8">
        <v>16</v>
      </c>
      <c r="T1998" s="7" t="s">
        <v>4454</v>
      </c>
      <c r="U1998" s="7" t="s">
        <v>4455</v>
      </c>
      <c r="V19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1999" spans="1:22" x14ac:dyDescent="0.35">
      <c r="A1999" s="7" t="s">
        <v>3882</v>
      </c>
      <c r="B1999" s="7" t="s">
        <v>1394</v>
      </c>
      <c r="C1999" s="5">
        <v>1142.83</v>
      </c>
      <c r="D1999" s="2">
        <v>0.73915509258949896</v>
      </c>
      <c r="E1999" s="4">
        <v>45121</v>
      </c>
      <c r="F1999" s="7" t="s">
        <v>46</v>
      </c>
      <c r="G1999" s="7" t="s">
        <v>296</v>
      </c>
      <c r="H1999" s="7" t="s">
        <v>2203</v>
      </c>
      <c r="I1999" s="7" t="s">
        <v>1477</v>
      </c>
      <c r="J1999" s="7" t="s">
        <v>165</v>
      </c>
      <c r="K1999" s="7" t="s">
        <v>69</v>
      </c>
      <c r="L1999" s="8">
        <v>61</v>
      </c>
      <c r="M1999" s="7" t="s">
        <v>70</v>
      </c>
      <c r="N1999" s="8">
        <v>48</v>
      </c>
      <c r="O1999" s="8">
        <v>1</v>
      </c>
      <c r="P1999" s="5">
        <v>2467.39</v>
      </c>
      <c r="Q1999" s="4">
        <v>45600</v>
      </c>
      <c r="R1999" s="9">
        <v>0.34127314814814813</v>
      </c>
      <c r="S1999" s="8">
        <v>17</v>
      </c>
      <c r="T1999" s="7" t="s">
        <v>4454</v>
      </c>
      <c r="U1999" s="7" t="s">
        <v>4455</v>
      </c>
      <c r="V19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00" spans="1:22" x14ac:dyDescent="0.35">
      <c r="A2000" s="7" t="s">
        <v>3883</v>
      </c>
      <c r="B2000" s="7" t="s">
        <v>520</v>
      </c>
      <c r="C2000" s="5">
        <v>61.33</v>
      </c>
      <c r="D2000" s="2">
        <v>0.76249999999708962</v>
      </c>
      <c r="E2000" s="4">
        <v>45189</v>
      </c>
      <c r="F2000" s="7" t="s">
        <v>17</v>
      </c>
      <c r="G2000" s="7" t="s">
        <v>40</v>
      </c>
      <c r="H2000" s="7" t="s">
        <v>381</v>
      </c>
      <c r="I2000" s="7" t="s">
        <v>2378</v>
      </c>
      <c r="J2000" s="7" t="s">
        <v>762</v>
      </c>
      <c r="K2000" s="7" t="s">
        <v>22</v>
      </c>
      <c r="L2000" s="8">
        <v>27</v>
      </c>
      <c r="M2000" s="7" t="s">
        <v>77</v>
      </c>
      <c r="N2000" s="8">
        <v>129</v>
      </c>
      <c r="O2000" s="8">
        <v>1</v>
      </c>
      <c r="P2000" s="5">
        <v>7537.4</v>
      </c>
      <c r="Q2000" s="4">
        <v>45600</v>
      </c>
      <c r="R2000" s="9">
        <v>0.33781250000000002</v>
      </c>
      <c r="S2000" s="8">
        <v>18</v>
      </c>
      <c r="T2000" s="7" t="s">
        <v>4456</v>
      </c>
      <c r="U2000" s="7" t="s">
        <v>4455</v>
      </c>
      <c r="V20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01" spans="1:22" x14ac:dyDescent="0.35">
      <c r="A2001" s="7" t="s">
        <v>3884</v>
      </c>
      <c r="B2001" s="7" t="s">
        <v>1327</v>
      </c>
      <c r="C2001" s="5">
        <v>27.64</v>
      </c>
      <c r="D2001" s="2">
        <v>0.71835648148407927</v>
      </c>
      <c r="E2001" s="4">
        <v>45086</v>
      </c>
      <c r="F2001" s="7" t="s">
        <v>17</v>
      </c>
      <c r="G2001" s="7" t="s">
        <v>203</v>
      </c>
      <c r="H2001" s="7" t="s">
        <v>2447</v>
      </c>
      <c r="I2001" s="7" t="s">
        <v>3885</v>
      </c>
      <c r="J2001" s="7" t="s">
        <v>149</v>
      </c>
      <c r="K2001" s="7" t="s">
        <v>36</v>
      </c>
      <c r="L2001" s="8">
        <v>54</v>
      </c>
      <c r="M2001" s="7" t="s">
        <v>77</v>
      </c>
      <c r="N2001" s="8">
        <v>23</v>
      </c>
      <c r="O2001" s="8">
        <v>1</v>
      </c>
      <c r="P2001" s="5">
        <v>7498.51</v>
      </c>
      <c r="Q2001" s="4">
        <v>45600</v>
      </c>
      <c r="R2001" s="9">
        <v>0.33914351851851854</v>
      </c>
      <c r="S2001" s="8">
        <v>17</v>
      </c>
      <c r="T2001" s="7" t="s">
        <v>4457</v>
      </c>
      <c r="U2001" s="7" t="s">
        <v>4455</v>
      </c>
      <c r="V20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02" spans="1:22" x14ac:dyDescent="0.35">
      <c r="A2002" s="7" t="s">
        <v>3886</v>
      </c>
      <c r="B2002" s="7" t="s">
        <v>322</v>
      </c>
      <c r="C2002" s="5">
        <v>3.85</v>
      </c>
      <c r="D2002" s="2">
        <v>0.68572916666744277</v>
      </c>
      <c r="E2002" s="4">
        <v>45033</v>
      </c>
      <c r="F2002" s="7" t="s">
        <v>17</v>
      </c>
      <c r="G2002" s="7" t="s">
        <v>223</v>
      </c>
      <c r="H2002" s="7" t="s">
        <v>1967</v>
      </c>
      <c r="I2002" s="7" t="s">
        <v>1366</v>
      </c>
      <c r="J2002" s="7" t="s">
        <v>105</v>
      </c>
      <c r="K2002" s="7" t="s">
        <v>22</v>
      </c>
      <c r="L2002" s="8">
        <v>29</v>
      </c>
      <c r="M2002" s="7" t="s">
        <v>23</v>
      </c>
      <c r="N2002" s="8">
        <v>32</v>
      </c>
      <c r="O2002" s="8">
        <v>1</v>
      </c>
      <c r="P2002" s="5">
        <v>10506.41</v>
      </c>
      <c r="Q2002" s="4">
        <v>45600</v>
      </c>
      <c r="R2002" s="9">
        <v>0.33947916666666667</v>
      </c>
      <c r="S2002" s="8">
        <v>16</v>
      </c>
      <c r="T2002" s="7" t="s">
        <v>4456</v>
      </c>
      <c r="U2002" s="7" t="s">
        <v>4455</v>
      </c>
      <c r="V20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03" spans="1:22" x14ac:dyDescent="0.35">
      <c r="A2003" s="7" t="s">
        <v>3887</v>
      </c>
      <c r="B2003" s="7" t="s">
        <v>749</v>
      </c>
      <c r="C2003" s="5">
        <v>431.22</v>
      </c>
      <c r="D2003" s="2">
        <v>0.68459490740497131</v>
      </c>
      <c r="E2003" s="4">
        <v>45037</v>
      </c>
      <c r="F2003" s="7" t="s">
        <v>46</v>
      </c>
      <c r="G2003" s="7" t="s">
        <v>119</v>
      </c>
      <c r="H2003" s="7" t="s">
        <v>810</v>
      </c>
      <c r="I2003" s="7" t="s">
        <v>518</v>
      </c>
      <c r="J2003" s="7" t="s">
        <v>267</v>
      </c>
      <c r="K2003" s="7" t="s">
        <v>69</v>
      </c>
      <c r="L2003" s="8">
        <v>73</v>
      </c>
      <c r="M2003" s="7" t="s">
        <v>70</v>
      </c>
      <c r="N2003" s="8">
        <v>129</v>
      </c>
      <c r="O2003" s="8">
        <v>1</v>
      </c>
      <c r="P2003" s="5">
        <v>6505.98</v>
      </c>
      <c r="Q2003" s="4">
        <v>45600</v>
      </c>
      <c r="R2003" s="9">
        <v>0.33854166666666669</v>
      </c>
      <c r="S2003" s="8">
        <v>16</v>
      </c>
      <c r="T2003" s="7" t="s">
        <v>4454</v>
      </c>
      <c r="U2003" s="7" t="s">
        <v>4455</v>
      </c>
      <c r="V20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04" spans="1:22" x14ac:dyDescent="0.35">
      <c r="A2004" s="7" t="s">
        <v>3888</v>
      </c>
      <c r="B2004" s="7" t="s">
        <v>2779</v>
      </c>
      <c r="C2004" s="5">
        <v>178.55</v>
      </c>
      <c r="D2004" s="2">
        <v>0.67812499999854481</v>
      </c>
      <c r="E2004" s="4">
        <v>45275</v>
      </c>
      <c r="F2004" s="7" t="s">
        <v>17</v>
      </c>
      <c r="G2004" s="7" t="s">
        <v>26</v>
      </c>
      <c r="H2004" s="7" t="s">
        <v>1600</v>
      </c>
      <c r="I2004" s="7" t="s">
        <v>3588</v>
      </c>
      <c r="J2004" s="7" t="s">
        <v>592</v>
      </c>
      <c r="K2004" s="7" t="s">
        <v>69</v>
      </c>
      <c r="L2004" s="8">
        <v>55</v>
      </c>
      <c r="M2004" s="7" t="s">
        <v>77</v>
      </c>
      <c r="N2004" s="8">
        <v>67</v>
      </c>
      <c r="O2004" s="8">
        <v>1</v>
      </c>
      <c r="P2004" s="5">
        <v>7568.4</v>
      </c>
      <c r="Q2004" s="4">
        <v>45600</v>
      </c>
      <c r="R2004" s="9">
        <v>0.34190972222222221</v>
      </c>
      <c r="S2004" s="8">
        <v>16</v>
      </c>
      <c r="T2004" s="7" t="s">
        <v>4454</v>
      </c>
      <c r="U2004" s="7" t="s">
        <v>4455</v>
      </c>
      <c r="V20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05" spans="1:22" x14ac:dyDescent="0.35">
      <c r="A2005" s="7" t="s">
        <v>3889</v>
      </c>
      <c r="B2005" s="7" t="s">
        <v>3890</v>
      </c>
      <c r="C2005" s="5">
        <v>248.76</v>
      </c>
      <c r="D2005" s="2">
        <v>0.67520833333401242</v>
      </c>
      <c r="E2005" s="4">
        <v>45070</v>
      </c>
      <c r="F2005" s="7" t="s">
        <v>17</v>
      </c>
      <c r="G2005" s="7" t="s">
        <v>114</v>
      </c>
      <c r="H2005" s="7" t="s">
        <v>2387</v>
      </c>
      <c r="I2005" s="7" t="s">
        <v>2555</v>
      </c>
      <c r="J2005" s="7" t="s">
        <v>50</v>
      </c>
      <c r="K2005" s="7" t="s">
        <v>22</v>
      </c>
      <c r="L2005" s="8">
        <v>18</v>
      </c>
      <c r="M2005" s="7" t="s">
        <v>37</v>
      </c>
      <c r="N2005" s="8">
        <v>56</v>
      </c>
      <c r="O2005" s="8">
        <v>1</v>
      </c>
      <c r="P2005" s="5">
        <v>546.46</v>
      </c>
      <c r="Q2005" s="4">
        <v>45600</v>
      </c>
      <c r="R2005" s="9">
        <v>0.33788194444444447</v>
      </c>
      <c r="S2005" s="8">
        <v>16</v>
      </c>
      <c r="T2005" s="7" t="s">
        <v>4456</v>
      </c>
      <c r="U2005" s="7" t="s">
        <v>4455</v>
      </c>
      <c r="V20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06" spans="1:22" x14ac:dyDescent="0.35">
      <c r="A2006" s="7" t="s">
        <v>3891</v>
      </c>
      <c r="B2006" s="7" t="s">
        <v>3892</v>
      </c>
      <c r="C2006" s="5">
        <v>76.16</v>
      </c>
      <c r="D2006" s="2">
        <v>0.69825231481809169</v>
      </c>
      <c r="E2006" s="4">
        <v>45251</v>
      </c>
      <c r="F2006" s="7" t="s">
        <v>17</v>
      </c>
      <c r="G2006" s="7" t="s">
        <v>212</v>
      </c>
      <c r="H2006" s="7" t="s">
        <v>1434</v>
      </c>
      <c r="I2006" s="7" t="s">
        <v>2828</v>
      </c>
      <c r="J2006" s="7" t="s">
        <v>406</v>
      </c>
      <c r="K2006" s="7" t="s">
        <v>22</v>
      </c>
      <c r="L2006" s="8">
        <v>23</v>
      </c>
      <c r="M2006" s="7" t="s">
        <v>37</v>
      </c>
      <c r="N2006" s="8">
        <v>99</v>
      </c>
      <c r="O2006" s="8">
        <v>1</v>
      </c>
      <c r="P2006" s="5">
        <v>1072.25</v>
      </c>
      <c r="Q2006" s="4">
        <v>45600</v>
      </c>
      <c r="R2006" s="9">
        <v>0.34171296296296294</v>
      </c>
      <c r="S2006" s="8">
        <v>16</v>
      </c>
      <c r="T2006" s="7" t="s">
        <v>4456</v>
      </c>
      <c r="U2006" s="7" t="s">
        <v>4455</v>
      </c>
      <c r="V20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07" spans="1:22" x14ac:dyDescent="0.35">
      <c r="A2007" s="7" t="s">
        <v>3893</v>
      </c>
      <c r="B2007" s="7" t="s">
        <v>594</v>
      </c>
      <c r="C2007" s="5">
        <v>347.25</v>
      </c>
      <c r="D2007" s="2">
        <v>0.78462962962657912</v>
      </c>
      <c r="E2007" s="4">
        <v>44956</v>
      </c>
      <c r="F2007" s="7" t="s">
        <v>17</v>
      </c>
      <c r="G2007" s="7" t="s">
        <v>65</v>
      </c>
      <c r="H2007" s="7" t="s">
        <v>2015</v>
      </c>
      <c r="I2007" s="7" t="s">
        <v>190</v>
      </c>
      <c r="J2007" s="7" t="s">
        <v>619</v>
      </c>
      <c r="K2007" s="7" t="s">
        <v>22</v>
      </c>
      <c r="L2007" s="8">
        <v>69</v>
      </c>
      <c r="M2007" s="7" t="s">
        <v>23</v>
      </c>
      <c r="N2007" s="8">
        <v>250</v>
      </c>
      <c r="O2007" s="8">
        <v>1</v>
      </c>
      <c r="P2007" s="5">
        <v>7273.55</v>
      </c>
      <c r="Q2007" s="4">
        <v>45600</v>
      </c>
      <c r="R2007" s="9">
        <v>0.33890046296296295</v>
      </c>
      <c r="S2007" s="8">
        <v>18</v>
      </c>
      <c r="T2007" s="7" t="s">
        <v>4454</v>
      </c>
      <c r="U2007" s="7" t="s">
        <v>4455</v>
      </c>
      <c r="V20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08" spans="1:22" x14ac:dyDescent="0.35">
      <c r="A2008" s="7" t="s">
        <v>3894</v>
      </c>
      <c r="B2008" s="7" t="s">
        <v>725</v>
      </c>
      <c r="C2008" s="5">
        <v>28.04</v>
      </c>
      <c r="D2008" s="2">
        <v>0.69246527777431766</v>
      </c>
      <c r="E2008" s="4">
        <v>44972</v>
      </c>
      <c r="F2008" s="7" t="s">
        <v>17</v>
      </c>
      <c r="G2008" s="7" t="s">
        <v>140</v>
      </c>
      <c r="H2008" s="7" t="s">
        <v>1258</v>
      </c>
      <c r="I2008" s="7" t="s">
        <v>127</v>
      </c>
      <c r="J2008" s="7" t="s">
        <v>181</v>
      </c>
      <c r="K2008" s="7" t="s">
        <v>22</v>
      </c>
      <c r="L2008" s="8">
        <v>57</v>
      </c>
      <c r="M2008" s="7" t="s">
        <v>23</v>
      </c>
      <c r="N2008" s="8">
        <v>146</v>
      </c>
      <c r="O2008" s="8">
        <v>5</v>
      </c>
      <c r="P2008" s="5">
        <v>11197.54</v>
      </c>
      <c r="Q2008" s="4">
        <v>45600</v>
      </c>
      <c r="R2008" s="9">
        <v>0.34186342592592595</v>
      </c>
      <c r="S2008" s="8">
        <v>16</v>
      </c>
      <c r="T2008" s="7" t="s">
        <v>4454</v>
      </c>
      <c r="U2008" s="7" t="s">
        <v>4458</v>
      </c>
      <c r="V20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09" spans="1:22" x14ac:dyDescent="0.35">
      <c r="A2009" s="7" t="s">
        <v>3895</v>
      </c>
      <c r="B2009" s="7" t="s">
        <v>2481</v>
      </c>
      <c r="C2009" s="5">
        <v>325.98</v>
      </c>
      <c r="D2009" s="2">
        <v>0.70739583333488554</v>
      </c>
      <c r="E2009" s="4">
        <v>45127</v>
      </c>
      <c r="F2009" s="7" t="s">
        <v>17</v>
      </c>
      <c r="G2009" s="7" t="s">
        <v>453</v>
      </c>
      <c r="H2009" s="7" t="s">
        <v>184</v>
      </c>
      <c r="I2009" s="7" t="s">
        <v>1605</v>
      </c>
      <c r="J2009" s="7" t="s">
        <v>572</v>
      </c>
      <c r="K2009" s="7" t="s">
        <v>22</v>
      </c>
      <c r="L2009" s="8">
        <v>19</v>
      </c>
      <c r="M2009" s="7" t="s">
        <v>37</v>
      </c>
      <c r="N2009" s="8">
        <v>277</v>
      </c>
      <c r="O2009" s="8">
        <v>1</v>
      </c>
      <c r="P2009" s="5">
        <v>782.35</v>
      </c>
      <c r="Q2009" s="4">
        <v>45600</v>
      </c>
      <c r="R2009" s="9">
        <v>0.33915509259259258</v>
      </c>
      <c r="S2009" s="8">
        <v>16</v>
      </c>
      <c r="T2009" s="7" t="s">
        <v>4456</v>
      </c>
      <c r="U2009" s="7" t="s">
        <v>4455</v>
      </c>
      <c r="V20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10" spans="1:22" x14ac:dyDescent="0.35">
      <c r="A2010" s="7" t="s">
        <v>3896</v>
      </c>
      <c r="B2010" s="7" t="s">
        <v>2225</v>
      </c>
      <c r="C2010" s="5">
        <v>249.56</v>
      </c>
      <c r="D2010" s="2">
        <v>0.67019675925985212</v>
      </c>
      <c r="E2010" s="4">
        <v>45250</v>
      </c>
      <c r="F2010" s="7" t="s">
        <v>17</v>
      </c>
      <c r="G2010" s="7" t="s">
        <v>203</v>
      </c>
      <c r="H2010" s="7" t="s">
        <v>1844</v>
      </c>
      <c r="I2010" s="7" t="s">
        <v>3772</v>
      </c>
      <c r="J2010" s="7" t="s">
        <v>160</v>
      </c>
      <c r="K2010" s="7" t="s">
        <v>69</v>
      </c>
      <c r="L2010" s="8">
        <v>76</v>
      </c>
      <c r="M2010" s="7" t="s">
        <v>70</v>
      </c>
      <c r="N2010" s="8">
        <v>246</v>
      </c>
      <c r="O2010" s="8">
        <v>1</v>
      </c>
      <c r="P2010" s="5">
        <v>4444.95</v>
      </c>
      <c r="Q2010" s="4">
        <v>45600</v>
      </c>
      <c r="R2010" s="9">
        <v>0.34106481481481482</v>
      </c>
      <c r="S2010" s="8">
        <v>16</v>
      </c>
      <c r="T2010" s="7" t="s">
        <v>4454</v>
      </c>
      <c r="U2010" s="7" t="s">
        <v>4455</v>
      </c>
      <c r="V20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11" spans="1:22" x14ac:dyDescent="0.35">
      <c r="A2011" s="7" t="s">
        <v>3897</v>
      </c>
      <c r="B2011" s="7" t="s">
        <v>1401</v>
      </c>
      <c r="C2011" s="5">
        <v>17.43</v>
      </c>
      <c r="D2011" s="2">
        <v>0.68168981481721858</v>
      </c>
      <c r="E2011" s="4">
        <v>44980</v>
      </c>
      <c r="F2011" s="7" t="s">
        <v>17</v>
      </c>
      <c r="G2011" s="7" t="s">
        <v>86</v>
      </c>
      <c r="H2011" s="7" t="s">
        <v>443</v>
      </c>
      <c r="I2011" s="7" t="s">
        <v>918</v>
      </c>
      <c r="J2011" s="7" t="s">
        <v>564</v>
      </c>
      <c r="K2011" s="7" t="s">
        <v>22</v>
      </c>
      <c r="L2011" s="8">
        <v>56</v>
      </c>
      <c r="M2011" s="7" t="s">
        <v>23</v>
      </c>
      <c r="N2011" s="8">
        <v>33</v>
      </c>
      <c r="O2011" s="8">
        <v>1</v>
      </c>
      <c r="P2011" s="5">
        <v>10658.88</v>
      </c>
      <c r="Q2011" s="4">
        <v>45600</v>
      </c>
      <c r="R2011" s="9">
        <v>0.33930555555555558</v>
      </c>
      <c r="S2011" s="8">
        <v>16</v>
      </c>
      <c r="T2011" s="7" t="s">
        <v>4454</v>
      </c>
      <c r="U2011" s="7" t="s">
        <v>4455</v>
      </c>
      <c r="V20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12" spans="1:22" x14ac:dyDescent="0.35">
      <c r="A2012" s="7" t="s">
        <v>3898</v>
      </c>
      <c r="B2012" s="7" t="s">
        <v>2352</v>
      </c>
      <c r="C2012" s="5">
        <v>198.01</v>
      </c>
      <c r="D2012" s="2">
        <v>0.74075231481401715</v>
      </c>
      <c r="E2012" s="4">
        <v>45040</v>
      </c>
      <c r="F2012" s="7" t="s">
        <v>46</v>
      </c>
      <c r="G2012" s="7" t="s">
        <v>119</v>
      </c>
      <c r="H2012" s="7" t="s">
        <v>329</v>
      </c>
      <c r="I2012" s="7" t="s">
        <v>1427</v>
      </c>
      <c r="J2012" s="7" t="s">
        <v>262</v>
      </c>
      <c r="K2012" s="7" t="s">
        <v>69</v>
      </c>
      <c r="L2012" s="8">
        <v>26</v>
      </c>
      <c r="M2012" s="7" t="s">
        <v>37</v>
      </c>
      <c r="N2012" s="8">
        <v>40</v>
      </c>
      <c r="O2012" s="8">
        <v>1</v>
      </c>
      <c r="P2012" s="5">
        <v>250.93</v>
      </c>
      <c r="Q2012" s="4">
        <v>45600</v>
      </c>
      <c r="R2012" s="9">
        <v>0.34038194444444442</v>
      </c>
      <c r="S2012" s="8">
        <v>17</v>
      </c>
      <c r="T2012" s="7" t="s">
        <v>4456</v>
      </c>
      <c r="U2012" s="7" t="s">
        <v>4455</v>
      </c>
      <c r="V20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13" spans="1:22" x14ac:dyDescent="0.35">
      <c r="A2013" s="7" t="s">
        <v>3899</v>
      </c>
      <c r="B2013" s="7" t="s">
        <v>1238</v>
      </c>
      <c r="C2013" s="5">
        <v>585.58000000000004</v>
      </c>
      <c r="D2013" s="2">
        <v>0.67615740740438923</v>
      </c>
      <c r="E2013" s="4">
        <v>45173</v>
      </c>
      <c r="F2013" s="7" t="s">
        <v>17</v>
      </c>
      <c r="G2013" s="7" t="s">
        <v>40</v>
      </c>
      <c r="H2013" s="7" t="s">
        <v>3900</v>
      </c>
      <c r="I2013" s="7" t="s">
        <v>1377</v>
      </c>
      <c r="J2013" s="7" t="s">
        <v>50</v>
      </c>
      <c r="K2013" s="7" t="s">
        <v>69</v>
      </c>
      <c r="L2013" s="8">
        <v>23</v>
      </c>
      <c r="M2013" s="7" t="s">
        <v>37</v>
      </c>
      <c r="N2013" s="8">
        <v>55</v>
      </c>
      <c r="O2013" s="8">
        <v>1</v>
      </c>
      <c r="P2013" s="5">
        <v>1729.02</v>
      </c>
      <c r="Q2013" s="4">
        <v>45600</v>
      </c>
      <c r="R2013" s="9">
        <v>0.33976851851851853</v>
      </c>
      <c r="S2013" s="8">
        <v>16</v>
      </c>
      <c r="T2013" s="7" t="s">
        <v>4456</v>
      </c>
      <c r="U2013" s="7" t="s">
        <v>4455</v>
      </c>
      <c r="V20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14" spans="1:22" x14ac:dyDescent="0.35">
      <c r="A2014" s="7" t="s">
        <v>3901</v>
      </c>
      <c r="B2014" s="7" t="s">
        <v>641</v>
      </c>
      <c r="C2014" s="5">
        <v>434.67</v>
      </c>
      <c r="D2014" s="2">
        <v>0.77293981481489027</v>
      </c>
      <c r="E2014" s="4">
        <v>45265</v>
      </c>
      <c r="F2014" s="7" t="s">
        <v>46</v>
      </c>
      <c r="G2014" s="7" t="s">
        <v>301</v>
      </c>
      <c r="H2014" s="7" t="s">
        <v>3902</v>
      </c>
      <c r="I2014" s="7" t="s">
        <v>28</v>
      </c>
      <c r="J2014" s="7" t="s">
        <v>1209</v>
      </c>
      <c r="K2014" s="7" t="s">
        <v>36</v>
      </c>
      <c r="L2014" s="8">
        <v>27</v>
      </c>
      <c r="M2014" s="7" t="s">
        <v>37</v>
      </c>
      <c r="N2014" s="8">
        <v>124</v>
      </c>
      <c r="O2014" s="8">
        <v>1</v>
      </c>
      <c r="P2014" s="5">
        <v>1298.1300000000001</v>
      </c>
      <c r="Q2014" s="4">
        <v>45600</v>
      </c>
      <c r="R2014" s="9">
        <v>0.34038194444444442</v>
      </c>
      <c r="S2014" s="8">
        <v>18</v>
      </c>
      <c r="T2014" s="7" t="s">
        <v>4456</v>
      </c>
      <c r="U2014" s="7" t="s">
        <v>4455</v>
      </c>
      <c r="V20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15" spans="1:22" x14ac:dyDescent="0.35">
      <c r="A2015" s="7" t="s">
        <v>3903</v>
      </c>
      <c r="B2015" s="7" t="s">
        <v>1998</v>
      </c>
      <c r="C2015" s="5">
        <v>510.7</v>
      </c>
      <c r="D2015" s="2">
        <v>0.6912847222192795</v>
      </c>
      <c r="E2015" s="4">
        <v>45084</v>
      </c>
      <c r="F2015" s="7" t="s">
        <v>46</v>
      </c>
      <c r="G2015" s="7" t="s">
        <v>80</v>
      </c>
      <c r="H2015" s="7" t="s">
        <v>978</v>
      </c>
      <c r="I2015" s="7" t="s">
        <v>2013</v>
      </c>
      <c r="J2015" s="7" t="s">
        <v>143</v>
      </c>
      <c r="K2015" s="7" t="s">
        <v>36</v>
      </c>
      <c r="L2015" s="8">
        <v>27</v>
      </c>
      <c r="M2015" s="7" t="s">
        <v>37</v>
      </c>
      <c r="N2015" s="8">
        <v>294</v>
      </c>
      <c r="O2015" s="8">
        <v>1</v>
      </c>
      <c r="P2015" s="5">
        <v>5828.48</v>
      </c>
      <c r="Q2015" s="4">
        <v>45600</v>
      </c>
      <c r="R2015" s="9">
        <v>0.33885416666666668</v>
      </c>
      <c r="S2015" s="8">
        <v>16</v>
      </c>
      <c r="T2015" s="7" t="s">
        <v>4456</v>
      </c>
      <c r="U2015" s="7" t="s">
        <v>4455</v>
      </c>
      <c r="V20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16" spans="1:22" x14ac:dyDescent="0.35">
      <c r="A2016" s="7" t="s">
        <v>3904</v>
      </c>
      <c r="B2016" s="7" t="s">
        <v>3905</v>
      </c>
      <c r="C2016" s="5">
        <v>331.98</v>
      </c>
      <c r="D2016" s="2">
        <v>0.69445601852203254</v>
      </c>
      <c r="E2016" s="4">
        <v>45166</v>
      </c>
      <c r="F2016" s="7" t="s">
        <v>17</v>
      </c>
      <c r="G2016" s="7" t="s">
        <v>114</v>
      </c>
      <c r="H2016" s="7" t="s">
        <v>3454</v>
      </c>
      <c r="I2016" s="7" t="s">
        <v>405</v>
      </c>
      <c r="J2016" s="7" t="s">
        <v>478</v>
      </c>
      <c r="K2016" s="7" t="s">
        <v>22</v>
      </c>
      <c r="L2016" s="8">
        <v>74</v>
      </c>
      <c r="M2016" s="7" t="s">
        <v>70</v>
      </c>
      <c r="N2016" s="8">
        <v>12</v>
      </c>
      <c r="O2016" s="8">
        <v>1</v>
      </c>
      <c r="P2016" s="5">
        <v>7600.99</v>
      </c>
      <c r="Q2016" s="4">
        <v>45600</v>
      </c>
      <c r="R2016" s="9">
        <v>0.33988425925925925</v>
      </c>
      <c r="S2016" s="8">
        <v>16</v>
      </c>
      <c r="T2016" s="7" t="s">
        <v>4454</v>
      </c>
      <c r="U2016" s="7" t="s">
        <v>4455</v>
      </c>
      <c r="V20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17" spans="1:22" x14ac:dyDescent="0.35">
      <c r="A2017" s="7" t="s">
        <v>3906</v>
      </c>
      <c r="B2017" s="7" t="s">
        <v>1240</v>
      </c>
      <c r="C2017" s="5">
        <v>199.54</v>
      </c>
      <c r="D2017" s="2">
        <v>0.72538194444496185</v>
      </c>
      <c r="E2017" s="4">
        <v>45209</v>
      </c>
      <c r="F2017" s="7" t="s">
        <v>17</v>
      </c>
      <c r="G2017" s="7" t="s">
        <v>595</v>
      </c>
      <c r="H2017" s="7" t="s">
        <v>833</v>
      </c>
      <c r="I2017" s="7" t="s">
        <v>3588</v>
      </c>
      <c r="J2017" s="7" t="s">
        <v>272</v>
      </c>
      <c r="K2017" s="7" t="s">
        <v>36</v>
      </c>
      <c r="L2017" s="8">
        <v>56</v>
      </c>
      <c r="M2017" s="7" t="s">
        <v>77</v>
      </c>
      <c r="N2017" s="8">
        <v>268</v>
      </c>
      <c r="O2017" s="8">
        <v>1</v>
      </c>
      <c r="P2017" s="5">
        <v>9603.73</v>
      </c>
      <c r="Q2017" s="4">
        <v>45600</v>
      </c>
      <c r="R2017" s="9">
        <v>0.34084490740740742</v>
      </c>
      <c r="S2017" s="8">
        <v>17</v>
      </c>
      <c r="T2017" s="7" t="s">
        <v>4454</v>
      </c>
      <c r="U2017" s="7" t="s">
        <v>4455</v>
      </c>
      <c r="V20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18" spans="1:22" x14ac:dyDescent="0.35">
      <c r="A2018" s="7" t="s">
        <v>3907</v>
      </c>
      <c r="B2018" s="7" t="s">
        <v>3047</v>
      </c>
      <c r="C2018" s="5">
        <v>212.97</v>
      </c>
      <c r="D2018" s="2">
        <v>0.70594907407212304</v>
      </c>
      <c r="E2018" s="4">
        <v>45244</v>
      </c>
      <c r="F2018" s="7" t="s">
        <v>17</v>
      </c>
      <c r="G2018" s="7" t="s">
        <v>47</v>
      </c>
      <c r="H2018" s="7" t="s">
        <v>3908</v>
      </c>
      <c r="I2018" s="7" t="s">
        <v>1242</v>
      </c>
      <c r="J2018" s="7" t="s">
        <v>362</v>
      </c>
      <c r="K2018" s="7" t="s">
        <v>36</v>
      </c>
      <c r="L2018" s="8">
        <v>59</v>
      </c>
      <c r="M2018" s="7" t="s">
        <v>77</v>
      </c>
      <c r="N2018" s="8">
        <v>178</v>
      </c>
      <c r="O2018" s="8">
        <v>1</v>
      </c>
      <c r="P2018" s="5">
        <v>4180.3999999999996</v>
      </c>
      <c r="Q2018" s="4">
        <v>45600</v>
      </c>
      <c r="R2018" s="9">
        <v>0.34076388888888887</v>
      </c>
      <c r="S2018" s="8">
        <v>16</v>
      </c>
      <c r="T2018" s="7" t="s">
        <v>4454</v>
      </c>
      <c r="U2018" s="7" t="s">
        <v>4455</v>
      </c>
      <c r="V20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19" spans="1:22" x14ac:dyDescent="0.35">
      <c r="A2019" s="7" t="s">
        <v>3909</v>
      </c>
      <c r="B2019" s="7" t="s">
        <v>156</v>
      </c>
      <c r="C2019" s="5">
        <v>270.56</v>
      </c>
      <c r="D2019" s="2">
        <v>0.70662037037254777</v>
      </c>
      <c r="E2019" s="4">
        <v>44974</v>
      </c>
      <c r="F2019" s="7" t="s">
        <v>17</v>
      </c>
      <c r="G2019" s="7" t="s">
        <v>243</v>
      </c>
      <c r="H2019" s="7" t="s">
        <v>928</v>
      </c>
      <c r="I2019" s="7" t="s">
        <v>1375</v>
      </c>
      <c r="J2019" s="7" t="s">
        <v>858</v>
      </c>
      <c r="K2019" s="7" t="s">
        <v>36</v>
      </c>
      <c r="L2019" s="8">
        <v>23</v>
      </c>
      <c r="M2019" s="7" t="s">
        <v>37</v>
      </c>
      <c r="N2019" s="8">
        <v>139</v>
      </c>
      <c r="O2019" s="8">
        <v>1</v>
      </c>
      <c r="P2019" s="5">
        <v>1268.44</v>
      </c>
      <c r="Q2019" s="4">
        <v>45600</v>
      </c>
      <c r="R2019" s="9">
        <v>0.33894675925925927</v>
      </c>
      <c r="S2019" s="8">
        <v>16</v>
      </c>
      <c r="T2019" s="7" t="s">
        <v>4456</v>
      </c>
      <c r="U2019" s="7" t="s">
        <v>4455</v>
      </c>
      <c r="V20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20" spans="1:22" x14ac:dyDescent="0.35">
      <c r="A2020" s="7" t="s">
        <v>3910</v>
      </c>
      <c r="B2020" s="7" t="s">
        <v>196</v>
      </c>
      <c r="C2020" s="5">
        <v>306.37</v>
      </c>
      <c r="D2020" s="2">
        <v>0.76814814814861165</v>
      </c>
      <c r="E2020" s="4">
        <v>45104</v>
      </c>
      <c r="F2020" s="7" t="s">
        <v>17</v>
      </c>
      <c r="G2020" s="7" t="s">
        <v>521</v>
      </c>
      <c r="H2020" s="7" t="s">
        <v>1115</v>
      </c>
      <c r="I2020" s="7" t="s">
        <v>3452</v>
      </c>
      <c r="J2020" s="7" t="s">
        <v>21</v>
      </c>
      <c r="K2020" s="7" t="s">
        <v>22</v>
      </c>
      <c r="L2020" s="8">
        <v>26</v>
      </c>
      <c r="M2020" s="7" t="s">
        <v>77</v>
      </c>
      <c r="N2020" s="8">
        <v>120</v>
      </c>
      <c r="O2020" s="8">
        <v>1</v>
      </c>
      <c r="P2020" s="5">
        <v>9609.67</v>
      </c>
      <c r="Q2020" s="4">
        <v>45600</v>
      </c>
      <c r="R2020" s="9">
        <v>0.33869212962962963</v>
      </c>
      <c r="S2020" s="8">
        <v>18</v>
      </c>
      <c r="T2020" s="7" t="s">
        <v>4456</v>
      </c>
      <c r="U2020" s="7" t="s">
        <v>4455</v>
      </c>
      <c r="V20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21" spans="1:22" x14ac:dyDescent="0.35">
      <c r="A2021" s="7" t="s">
        <v>3911</v>
      </c>
      <c r="B2021" s="7" t="s">
        <v>826</v>
      </c>
      <c r="C2021" s="5">
        <v>643.02</v>
      </c>
      <c r="D2021" s="2">
        <v>0.74119212962978054</v>
      </c>
      <c r="E2021" s="4">
        <v>45201</v>
      </c>
      <c r="F2021" s="7" t="s">
        <v>46</v>
      </c>
      <c r="G2021" s="7" t="s">
        <v>73</v>
      </c>
      <c r="H2021" s="7" t="s">
        <v>1031</v>
      </c>
      <c r="I2021" s="7" t="s">
        <v>507</v>
      </c>
      <c r="J2021" s="7" t="s">
        <v>149</v>
      </c>
      <c r="K2021" s="7" t="s">
        <v>22</v>
      </c>
      <c r="L2021" s="8">
        <v>38</v>
      </c>
      <c r="M2021" s="7" t="s">
        <v>23</v>
      </c>
      <c r="N2021" s="8">
        <v>85</v>
      </c>
      <c r="O2021" s="8">
        <v>1</v>
      </c>
      <c r="P2021" s="5">
        <v>11989.39</v>
      </c>
      <c r="Q2021" s="4">
        <v>45600</v>
      </c>
      <c r="R2021" s="9">
        <v>0.3382060185185185</v>
      </c>
      <c r="S2021" s="8">
        <v>17</v>
      </c>
      <c r="T2021" s="7" t="s">
        <v>4457</v>
      </c>
      <c r="U2021" s="7" t="s">
        <v>4455</v>
      </c>
      <c r="V20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22" spans="1:22" x14ac:dyDescent="0.35">
      <c r="A2022" s="7" t="s">
        <v>3912</v>
      </c>
      <c r="B2022" s="7" t="s">
        <v>183</v>
      </c>
      <c r="C2022" s="5">
        <v>98.48</v>
      </c>
      <c r="D2022" s="2">
        <v>0.71853009259211831</v>
      </c>
      <c r="E2022" s="4">
        <v>44973</v>
      </c>
      <c r="F2022" s="7" t="s">
        <v>17</v>
      </c>
      <c r="G2022" s="7" t="s">
        <v>172</v>
      </c>
      <c r="H2022" s="7" t="s">
        <v>951</v>
      </c>
      <c r="I2022" s="7" t="s">
        <v>677</v>
      </c>
      <c r="J2022" s="7" t="s">
        <v>277</v>
      </c>
      <c r="K2022" s="7" t="s">
        <v>69</v>
      </c>
      <c r="L2022" s="8">
        <v>47</v>
      </c>
      <c r="M2022" s="7" t="s">
        <v>77</v>
      </c>
      <c r="N2022" s="8">
        <v>12</v>
      </c>
      <c r="O2022" s="8">
        <v>1</v>
      </c>
      <c r="P2022" s="5">
        <v>9538.92</v>
      </c>
      <c r="Q2022" s="4">
        <v>45600</v>
      </c>
      <c r="R2022" s="9">
        <v>0.34130787037037036</v>
      </c>
      <c r="S2022" s="8">
        <v>17</v>
      </c>
      <c r="T2022" s="7" t="s">
        <v>4457</v>
      </c>
      <c r="U2022" s="7" t="s">
        <v>4455</v>
      </c>
      <c r="V20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23" spans="1:22" x14ac:dyDescent="0.35">
      <c r="A2023" s="7" t="s">
        <v>3913</v>
      </c>
      <c r="B2023" s="7" t="s">
        <v>968</v>
      </c>
      <c r="C2023" s="5">
        <v>889.01</v>
      </c>
      <c r="D2023" s="2">
        <v>0.74660879629664123</v>
      </c>
      <c r="E2023" s="4">
        <v>45167</v>
      </c>
      <c r="F2023" s="7" t="s">
        <v>17</v>
      </c>
      <c r="G2023" s="7" t="s">
        <v>301</v>
      </c>
      <c r="H2023" s="7" t="s">
        <v>2758</v>
      </c>
      <c r="I2023" s="7" t="s">
        <v>335</v>
      </c>
      <c r="J2023" s="7" t="s">
        <v>95</v>
      </c>
      <c r="K2023" s="7" t="s">
        <v>36</v>
      </c>
      <c r="L2023" s="8">
        <v>36</v>
      </c>
      <c r="M2023" s="7" t="s">
        <v>77</v>
      </c>
      <c r="N2023" s="8">
        <v>169</v>
      </c>
      <c r="O2023" s="8">
        <v>1</v>
      </c>
      <c r="P2023" s="5">
        <v>4826.88</v>
      </c>
      <c r="Q2023" s="4">
        <v>45600</v>
      </c>
      <c r="R2023" s="9">
        <v>0.3412384259259259</v>
      </c>
      <c r="S2023" s="8">
        <v>17</v>
      </c>
      <c r="T2023" s="7" t="s">
        <v>4457</v>
      </c>
      <c r="U2023" s="7" t="s">
        <v>4455</v>
      </c>
      <c r="V20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24" spans="1:22" x14ac:dyDescent="0.35">
      <c r="A2024" s="7" t="s">
        <v>3914</v>
      </c>
      <c r="B2024" s="7" t="s">
        <v>259</v>
      </c>
      <c r="C2024" s="5">
        <v>537.86</v>
      </c>
      <c r="D2024" s="2">
        <v>0.69746527777897427</v>
      </c>
      <c r="E2024" s="4">
        <v>45188</v>
      </c>
      <c r="F2024" s="7" t="s">
        <v>17</v>
      </c>
      <c r="G2024" s="7" t="s">
        <v>291</v>
      </c>
      <c r="H2024" s="7" t="s">
        <v>2160</v>
      </c>
      <c r="I2024" s="7" t="s">
        <v>2925</v>
      </c>
      <c r="J2024" s="7" t="s">
        <v>353</v>
      </c>
      <c r="K2024" s="7" t="s">
        <v>36</v>
      </c>
      <c r="L2024" s="8">
        <v>27</v>
      </c>
      <c r="M2024" s="7" t="s">
        <v>37</v>
      </c>
      <c r="N2024" s="8">
        <v>134</v>
      </c>
      <c r="O2024" s="8">
        <v>1</v>
      </c>
      <c r="P2024" s="5">
        <v>293.06</v>
      </c>
      <c r="Q2024" s="4">
        <v>45600</v>
      </c>
      <c r="R2024" s="9">
        <v>0.33989583333333334</v>
      </c>
      <c r="S2024" s="8">
        <v>16</v>
      </c>
      <c r="T2024" s="7" t="s">
        <v>4456</v>
      </c>
      <c r="U2024" s="7" t="s">
        <v>4455</v>
      </c>
      <c r="V20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25" spans="1:22" x14ac:dyDescent="0.35">
      <c r="A2025" s="7" t="s">
        <v>3915</v>
      </c>
      <c r="B2025" s="7" t="s">
        <v>463</v>
      </c>
      <c r="C2025" s="5">
        <v>241.18</v>
      </c>
      <c r="D2025" s="2">
        <v>0.77031249999708962</v>
      </c>
      <c r="E2025" s="4">
        <v>45076</v>
      </c>
      <c r="F2025" s="7" t="s">
        <v>17</v>
      </c>
      <c r="G2025" s="7" t="s">
        <v>32</v>
      </c>
      <c r="H2025" s="7" t="s">
        <v>435</v>
      </c>
      <c r="I2025" s="7" t="s">
        <v>3881</v>
      </c>
      <c r="J2025" s="7" t="s">
        <v>105</v>
      </c>
      <c r="K2025" s="7" t="s">
        <v>22</v>
      </c>
      <c r="L2025" s="8">
        <v>25</v>
      </c>
      <c r="M2025" s="7" t="s">
        <v>37</v>
      </c>
      <c r="N2025" s="8">
        <v>162</v>
      </c>
      <c r="O2025" s="8">
        <v>1</v>
      </c>
      <c r="P2025" s="5">
        <v>1445.53</v>
      </c>
      <c r="Q2025" s="4">
        <v>45600</v>
      </c>
      <c r="R2025" s="9">
        <v>0.33814814814814814</v>
      </c>
      <c r="S2025" s="8">
        <v>18</v>
      </c>
      <c r="T2025" s="7" t="s">
        <v>4456</v>
      </c>
      <c r="U2025" s="7" t="s">
        <v>4455</v>
      </c>
      <c r="V20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26" spans="1:22" x14ac:dyDescent="0.35">
      <c r="A2026" s="7" t="s">
        <v>3916</v>
      </c>
      <c r="B2026" s="7" t="s">
        <v>701</v>
      </c>
      <c r="C2026" s="5">
        <v>130.54</v>
      </c>
      <c r="D2026" s="2">
        <v>0.7226388888884685</v>
      </c>
      <c r="E2026" s="4">
        <v>45021</v>
      </c>
      <c r="F2026" s="7" t="s">
        <v>17</v>
      </c>
      <c r="G2026" s="7" t="s">
        <v>47</v>
      </c>
      <c r="H2026" s="7" t="s">
        <v>574</v>
      </c>
      <c r="I2026" s="7" t="s">
        <v>257</v>
      </c>
      <c r="J2026" s="7" t="s">
        <v>226</v>
      </c>
      <c r="K2026" s="7" t="s">
        <v>22</v>
      </c>
      <c r="L2026" s="8">
        <v>64</v>
      </c>
      <c r="M2026" s="7" t="s">
        <v>23</v>
      </c>
      <c r="N2026" s="8">
        <v>94</v>
      </c>
      <c r="O2026" s="8">
        <v>1</v>
      </c>
      <c r="P2026" s="5">
        <v>11204.62</v>
      </c>
      <c r="Q2026" s="4">
        <v>45600</v>
      </c>
      <c r="R2026" s="9">
        <v>0.34016203703703701</v>
      </c>
      <c r="S2026" s="8">
        <v>17</v>
      </c>
      <c r="T2026" s="7" t="s">
        <v>4454</v>
      </c>
      <c r="U2026" s="7" t="s">
        <v>4455</v>
      </c>
      <c r="V20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27" spans="1:22" x14ac:dyDescent="0.35">
      <c r="A2027" s="7" t="s">
        <v>3917</v>
      </c>
      <c r="B2027" s="7" t="s">
        <v>171</v>
      </c>
      <c r="C2027" s="5">
        <v>800.29</v>
      </c>
      <c r="D2027" s="2">
        <v>0.68434027778130258</v>
      </c>
      <c r="E2027" s="4">
        <v>45264</v>
      </c>
      <c r="F2027" s="7" t="s">
        <v>46</v>
      </c>
      <c r="G2027" s="7" t="s">
        <v>18</v>
      </c>
      <c r="H2027" s="7" t="s">
        <v>541</v>
      </c>
      <c r="I2027" s="7" t="s">
        <v>3918</v>
      </c>
      <c r="J2027" s="7" t="s">
        <v>450</v>
      </c>
      <c r="K2027" s="7" t="s">
        <v>69</v>
      </c>
      <c r="L2027" s="8">
        <v>20</v>
      </c>
      <c r="M2027" s="7" t="s">
        <v>37</v>
      </c>
      <c r="N2027" s="8">
        <v>84</v>
      </c>
      <c r="O2027" s="8">
        <v>1</v>
      </c>
      <c r="P2027" s="5">
        <v>693.4</v>
      </c>
      <c r="Q2027" s="4">
        <v>45600</v>
      </c>
      <c r="R2027" s="9">
        <v>0.34145833333333331</v>
      </c>
      <c r="S2027" s="8">
        <v>16</v>
      </c>
      <c r="T2027" s="7" t="s">
        <v>4456</v>
      </c>
      <c r="U2027" s="7" t="s">
        <v>4455</v>
      </c>
      <c r="V20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28" spans="1:22" x14ac:dyDescent="0.35">
      <c r="A2028" s="7" t="s">
        <v>3919</v>
      </c>
      <c r="B2028" s="7" t="s">
        <v>64</v>
      </c>
      <c r="C2028" s="5">
        <v>8.81</v>
      </c>
      <c r="D2028" s="2">
        <v>0.70659722221898846</v>
      </c>
      <c r="E2028" s="4">
        <v>45068</v>
      </c>
      <c r="F2028" s="7" t="s">
        <v>17</v>
      </c>
      <c r="G2028" s="7" t="s">
        <v>323</v>
      </c>
      <c r="H2028" s="7" t="s">
        <v>319</v>
      </c>
      <c r="I2028" s="7" t="s">
        <v>194</v>
      </c>
      <c r="J2028" s="7" t="s">
        <v>246</v>
      </c>
      <c r="K2028" s="7" t="s">
        <v>36</v>
      </c>
      <c r="L2028" s="8">
        <v>57</v>
      </c>
      <c r="M2028" s="7" t="s">
        <v>23</v>
      </c>
      <c r="N2028" s="8">
        <v>165</v>
      </c>
      <c r="O2028" s="8">
        <v>1</v>
      </c>
      <c r="P2028" s="5">
        <v>13523.65</v>
      </c>
      <c r="Q2028" s="4">
        <v>45600</v>
      </c>
      <c r="R2028" s="9">
        <v>0.34004629629629629</v>
      </c>
      <c r="S2028" s="8">
        <v>16</v>
      </c>
      <c r="T2028" s="7" t="s">
        <v>4454</v>
      </c>
      <c r="U2028" s="7" t="s">
        <v>4455</v>
      </c>
      <c r="V20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29" spans="1:22" x14ac:dyDescent="0.35">
      <c r="A2029" s="7" t="s">
        <v>3920</v>
      </c>
      <c r="B2029" s="7" t="s">
        <v>876</v>
      </c>
      <c r="C2029" s="5">
        <v>28.52</v>
      </c>
      <c r="D2029" s="2">
        <v>0.70430555555503815</v>
      </c>
      <c r="E2029" s="4">
        <v>45079</v>
      </c>
      <c r="F2029" s="7" t="s">
        <v>17</v>
      </c>
      <c r="G2029" s="7" t="s">
        <v>73</v>
      </c>
      <c r="H2029" s="7" t="s">
        <v>893</v>
      </c>
      <c r="I2029" s="7" t="s">
        <v>1732</v>
      </c>
      <c r="J2029" s="7" t="s">
        <v>1037</v>
      </c>
      <c r="K2029" s="7" t="s">
        <v>22</v>
      </c>
      <c r="L2029" s="8">
        <v>20</v>
      </c>
      <c r="M2029" s="7" t="s">
        <v>37</v>
      </c>
      <c r="N2029" s="8">
        <v>163</v>
      </c>
      <c r="O2029" s="8">
        <v>1</v>
      </c>
      <c r="P2029" s="5">
        <v>662.51</v>
      </c>
      <c r="Q2029" s="4">
        <v>45600</v>
      </c>
      <c r="R2029" s="9">
        <v>0.33921296296296294</v>
      </c>
      <c r="S2029" s="8">
        <v>16</v>
      </c>
      <c r="T2029" s="7" t="s">
        <v>4456</v>
      </c>
      <c r="U2029" s="7" t="s">
        <v>4455</v>
      </c>
      <c r="V20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30" spans="1:22" x14ac:dyDescent="0.35">
      <c r="A2030" s="7" t="s">
        <v>3921</v>
      </c>
      <c r="B2030" s="7" t="s">
        <v>3354</v>
      </c>
      <c r="C2030" s="5">
        <v>431.31</v>
      </c>
      <c r="D2030" s="2">
        <v>0.67935185185342561</v>
      </c>
      <c r="E2030" s="4">
        <v>45047</v>
      </c>
      <c r="F2030" s="7" t="s">
        <v>46</v>
      </c>
      <c r="G2030" s="7" t="s">
        <v>47</v>
      </c>
      <c r="H2030" s="7" t="s">
        <v>409</v>
      </c>
      <c r="I2030" s="7" t="s">
        <v>3406</v>
      </c>
      <c r="J2030" s="7" t="s">
        <v>1037</v>
      </c>
      <c r="K2030" s="7" t="s">
        <v>36</v>
      </c>
      <c r="L2030" s="8">
        <v>23</v>
      </c>
      <c r="M2030" s="7" t="s">
        <v>37</v>
      </c>
      <c r="N2030" s="8">
        <v>99</v>
      </c>
      <c r="O2030" s="8">
        <v>1</v>
      </c>
      <c r="P2030" s="5">
        <v>342.73</v>
      </c>
      <c r="Q2030" s="4">
        <v>45600</v>
      </c>
      <c r="R2030" s="9">
        <v>0.33991898148148147</v>
      </c>
      <c r="S2030" s="8">
        <v>16</v>
      </c>
      <c r="T2030" s="7" t="s">
        <v>4456</v>
      </c>
      <c r="U2030" s="7" t="s">
        <v>4455</v>
      </c>
      <c r="V20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31" spans="1:22" x14ac:dyDescent="0.35">
      <c r="A2031" s="7" t="s">
        <v>3922</v>
      </c>
      <c r="B2031" s="7" t="s">
        <v>855</v>
      </c>
      <c r="C2031" s="5">
        <v>885.33</v>
      </c>
      <c r="D2031" s="2">
        <v>0.77905092592845904</v>
      </c>
      <c r="E2031" s="4">
        <v>45160</v>
      </c>
      <c r="F2031" s="7" t="s">
        <v>46</v>
      </c>
      <c r="G2031" s="7" t="s">
        <v>40</v>
      </c>
      <c r="H2031" s="7" t="s">
        <v>692</v>
      </c>
      <c r="I2031" s="7" t="s">
        <v>382</v>
      </c>
      <c r="J2031" s="7" t="s">
        <v>105</v>
      </c>
      <c r="K2031" s="7" t="s">
        <v>22</v>
      </c>
      <c r="L2031" s="8">
        <v>47</v>
      </c>
      <c r="M2031" s="7" t="s">
        <v>77</v>
      </c>
      <c r="N2031" s="8">
        <v>59</v>
      </c>
      <c r="O2031" s="8">
        <v>1</v>
      </c>
      <c r="P2031" s="5">
        <v>7764.16</v>
      </c>
      <c r="Q2031" s="4">
        <v>45600</v>
      </c>
      <c r="R2031" s="9">
        <v>0.34031250000000002</v>
      </c>
      <c r="S2031" s="8">
        <v>18</v>
      </c>
      <c r="T2031" s="7" t="s">
        <v>4457</v>
      </c>
      <c r="U2031" s="7" t="s">
        <v>4455</v>
      </c>
      <c r="V20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32" spans="1:22" x14ac:dyDescent="0.35">
      <c r="A2032" s="7" t="s">
        <v>3923</v>
      </c>
      <c r="B2032" s="7" t="s">
        <v>3924</v>
      </c>
      <c r="C2032" s="5">
        <v>199.23</v>
      </c>
      <c r="D2032" s="2">
        <v>0.66975694444408873</v>
      </c>
      <c r="E2032" s="4">
        <v>45173</v>
      </c>
      <c r="F2032" s="7" t="s">
        <v>17</v>
      </c>
      <c r="G2032" s="7" t="s">
        <v>255</v>
      </c>
      <c r="H2032" s="7" t="s">
        <v>936</v>
      </c>
      <c r="I2032" s="7" t="s">
        <v>75</v>
      </c>
      <c r="J2032" s="7" t="s">
        <v>29</v>
      </c>
      <c r="K2032" s="7" t="s">
        <v>22</v>
      </c>
      <c r="L2032" s="8">
        <v>29</v>
      </c>
      <c r="M2032" s="7" t="s">
        <v>77</v>
      </c>
      <c r="N2032" s="8">
        <v>54</v>
      </c>
      <c r="O2032" s="8">
        <v>1</v>
      </c>
      <c r="P2032" s="5">
        <v>9834</v>
      </c>
      <c r="Q2032" s="4">
        <v>45600</v>
      </c>
      <c r="R2032" s="9">
        <v>0.33872685185185186</v>
      </c>
      <c r="S2032" s="8">
        <v>16</v>
      </c>
      <c r="T2032" s="7" t="s">
        <v>4456</v>
      </c>
      <c r="U2032" s="7" t="s">
        <v>4455</v>
      </c>
      <c r="V20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33" spans="1:22" x14ac:dyDescent="0.35">
      <c r="A2033" s="7" t="s">
        <v>3925</v>
      </c>
      <c r="B2033" s="7" t="s">
        <v>1333</v>
      </c>
      <c r="C2033" s="5">
        <v>42.26</v>
      </c>
      <c r="D2033" s="2">
        <v>0.68015046296204673</v>
      </c>
      <c r="E2033" s="4">
        <v>45225</v>
      </c>
      <c r="F2033" s="7" t="s">
        <v>17</v>
      </c>
      <c r="G2033" s="7" t="s">
        <v>40</v>
      </c>
      <c r="H2033" s="7" t="s">
        <v>939</v>
      </c>
      <c r="I2033" s="7" t="s">
        <v>148</v>
      </c>
      <c r="J2033" s="7" t="s">
        <v>1014</v>
      </c>
      <c r="K2033" s="7" t="s">
        <v>22</v>
      </c>
      <c r="L2033" s="8">
        <v>44</v>
      </c>
      <c r="M2033" s="7" t="s">
        <v>23</v>
      </c>
      <c r="N2033" s="8">
        <v>171</v>
      </c>
      <c r="O2033" s="8">
        <v>1</v>
      </c>
      <c r="P2033" s="5">
        <v>268.77</v>
      </c>
      <c r="Q2033" s="4">
        <v>45600</v>
      </c>
      <c r="R2033" s="9">
        <v>0.33998842592592593</v>
      </c>
      <c r="S2033" s="8">
        <v>16</v>
      </c>
      <c r="T2033" s="7" t="s">
        <v>4457</v>
      </c>
      <c r="U2033" s="7" t="s">
        <v>4455</v>
      </c>
      <c r="V20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34" spans="1:22" x14ac:dyDescent="0.35">
      <c r="A2034" s="7" t="s">
        <v>3926</v>
      </c>
      <c r="B2034" s="7" t="s">
        <v>337</v>
      </c>
      <c r="C2034" s="5">
        <v>166.06</v>
      </c>
      <c r="D2034" s="2">
        <v>0.67090277777606389</v>
      </c>
      <c r="E2034" s="4">
        <v>45121</v>
      </c>
      <c r="F2034" s="7" t="s">
        <v>17</v>
      </c>
      <c r="G2034" s="7" t="s">
        <v>65</v>
      </c>
      <c r="H2034" s="7" t="s">
        <v>1645</v>
      </c>
      <c r="I2034" s="7" t="s">
        <v>1116</v>
      </c>
      <c r="J2034" s="7" t="s">
        <v>68</v>
      </c>
      <c r="K2034" s="7" t="s">
        <v>22</v>
      </c>
      <c r="L2034" s="8">
        <v>30</v>
      </c>
      <c r="M2034" s="7" t="s">
        <v>77</v>
      </c>
      <c r="N2034" s="8">
        <v>172</v>
      </c>
      <c r="O2034" s="8">
        <v>1</v>
      </c>
      <c r="P2034" s="5">
        <v>5397.68</v>
      </c>
      <c r="Q2034" s="4">
        <v>45600</v>
      </c>
      <c r="R2034" s="9">
        <v>0.33824074074074073</v>
      </c>
      <c r="S2034" s="8">
        <v>16</v>
      </c>
      <c r="T2034" s="7" t="s">
        <v>4456</v>
      </c>
      <c r="U2034" s="7" t="s">
        <v>4455</v>
      </c>
      <c r="V20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35" spans="1:22" x14ac:dyDescent="0.35">
      <c r="A2035" s="7" t="s">
        <v>3927</v>
      </c>
      <c r="B2035" s="7" t="s">
        <v>3302</v>
      </c>
      <c r="C2035" s="5">
        <v>357.72</v>
      </c>
      <c r="D2035" s="2">
        <v>0.72902777777926531</v>
      </c>
      <c r="E2035" s="4">
        <v>45145</v>
      </c>
      <c r="F2035" s="7" t="s">
        <v>17</v>
      </c>
      <c r="G2035" s="7" t="s">
        <v>172</v>
      </c>
      <c r="H2035" s="7" t="s">
        <v>2387</v>
      </c>
      <c r="I2035" s="7" t="s">
        <v>1423</v>
      </c>
      <c r="J2035" s="7" t="s">
        <v>984</v>
      </c>
      <c r="K2035" s="7" t="s">
        <v>22</v>
      </c>
      <c r="L2035" s="8">
        <v>53</v>
      </c>
      <c r="M2035" s="7" t="s">
        <v>70</v>
      </c>
      <c r="N2035" s="8">
        <v>25</v>
      </c>
      <c r="O2035" s="8">
        <v>1</v>
      </c>
      <c r="P2035" s="5">
        <v>7659.5</v>
      </c>
      <c r="Q2035" s="4">
        <v>45600</v>
      </c>
      <c r="R2035" s="9">
        <v>0.34119212962962964</v>
      </c>
      <c r="S2035" s="8">
        <v>17</v>
      </c>
      <c r="T2035" s="7" t="s">
        <v>4457</v>
      </c>
      <c r="U2035" s="7" t="s">
        <v>4455</v>
      </c>
      <c r="V20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36" spans="1:22" x14ac:dyDescent="0.35">
      <c r="A2036" s="7" t="s">
        <v>3928</v>
      </c>
      <c r="B2036" s="7" t="s">
        <v>3929</v>
      </c>
      <c r="C2036" s="5">
        <v>588.37</v>
      </c>
      <c r="D2036" s="2">
        <v>0.74200231481518131</v>
      </c>
      <c r="E2036" s="4">
        <v>44931</v>
      </c>
      <c r="F2036" s="7" t="s">
        <v>17</v>
      </c>
      <c r="G2036" s="7" t="s">
        <v>323</v>
      </c>
      <c r="H2036" s="7" t="s">
        <v>1070</v>
      </c>
      <c r="I2036" s="7" t="s">
        <v>234</v>
      </c>
      <c r="J2036" s="7" t="s">
        <v>740</v>
      </c>
      <c r="K2036" s="7" t="s">
        <v>36</v>
      </c>
      <c r="L2036" s="8">
        <v>28</v>
      </c>
      <c r="M2036" s="7" t="s">
        <v>37</v>
      </c>
      <c r="N2036" s="8">
        <v>284</v>
      </c>
      <c r="O2036" s="8">
        <v>1</v>
      </c>
      <c r="P2036" s="5">
        <v>1926.08</v>
      </c>
      <c r="Q2036" s="4">
        <v>45600</v>
      </c>
      <c r="R2036" s="9">
        <v>0.33864583333333331</v>
      </c>
      <c r="S2036" s="8">
        <v>17</v>
      </c>
      <c r="T2036" s="7" t="s">
        <v>4456</v>
      </c>
      <c r="U2036" s="7" t="s">
        <v>4455</v>
      </c>
      <c r="V20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37" spans="1:22" x14ac:dyDescent="0.35">
      <c r="A2037" s="7" t="s">
        <v>3930</v>
      </c>
      <c r="B2037" s="7" t="s">
        <v>2507</v>
      </c>
      <c r="C2037" s="5">
        <v>72.819999999999993</v>
      </c>
      <c r="D2037" s="2">
        <v>0.70179398148320615</v>
      </c>
      <c r="E2037" s="4">
        <v>45240</v>
      </c>
      <c r="F2037" s="7" t="s">
        <v>17</v>
      </c>
      <c r="G2037" s="7" t="s">
        <v>26</v>
      </c>
      <c r="H2037" s="7" t="s">
        <v>457</v>
      </c>
      <c r="I2037" s="7" t="s">
        <v>1559</v>
      </c>
      <c r="J2037" s="7" t="s">
        <v>370</v>
      </c>
      <c r="K2037" s="7" t="s">
        <v>36</v>
      </c>
      <c r="L2037" s="8">
        <v>68</v>
      </c>
      <c r="M2037" s="7" t="s">
        <v>23</v>
      </c>
      <c r="N2037" s="8">
        <v>127</v>
      </c>
      <c r="O2037" s="8">
        <v>1</v>
      </c>
      <c r="P2037" s="5">
        <v>6911.62</v>
      </c>
      <c r="Q2037" s="4">
        <v>45600</v>
      </c>
      <c r="R2037" s="9">
        <v>0.33806712962962965</v>
      </c>
      <c r="S2037" s="8">
        <v>16</v>
      </c>
      <c r="T2037" s="7" t="s">
        <v>4454</v>
      </c>
      <c r="U2037" s="7" t="s">
        <v>4455</v>
      </c>
      <c r="V20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38" spans="1:22" x14ac:dyDescent="0.35">
      <c r="A2038" s="7" t="s">
        <v>3931</v>
      </c>
      <c r="B2038" s="7" t="s">
        <v>333</v>
      </c>
      <c r="C2038" s="5">
        <v>162.36000000000001</v>
      </c>
      <c r="D2038" s="2">
        <v>0.67398148147913162</v>
      </c>
      <c r="E2038" s="4">
        <v>45252</v>
      </c>
      <c r="F2038" s="7" t="s">
        <v>17</v>
      </c>
      <c r="G2038" s="7" t="s">
        <v>255</v>
      </c>
      <c r="H2038" s="7" t="s">
        <v>943</v>
      </c>
      <c r="I2038" s="7" t="s">
        <v>378</v>
      </c>
      <c r="J2038" s="7" t="s">
        <v>853</v>
      </c>
      <c r="K2038" s="7" t="s">
        <v>36</v>
      </c>
      <c r="L2038" s="8">
        <v>36</v>
      </c>
      <c r="M2038" s="7" t="s">
        <v>77</v>
      </c>
      <c r="N2038" s="8">
        <v>147</v>
      </c>
      <c r="O2038" s="8">
        <v>1</v>
      </c>
      <c r="P2038" s="5">
        <v>7527.04</v>
      </c>
      <c r="Q2038" s="4">
        <v>45600</v>
      </c>
      <c r="R2038" s="9">
        <v>0.33960648148148148</v>
      </c>
      <c r="S2038" s="8">
        <v>16</v>
      </c>
      <c r="T2038" s="7" t="s">
        <v>4457</v>
      </c>
      <c r="U2038" s="7" t="s">
        <v>4455</v>
      </c>
      <c r="V20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39" spans="1:22" x14ac:dyDescent="0.35">
      <c r="A2039" s="7" t="s">
        <v>3932</v>
      </c>
      <c r="B2039" s="7" t="s">
        <v>2488</v>
      </c>
      <c r="C2039" s="5">
        <v>584.82000000000005</v>
      </c>
      <c r="D2039" s="2">
        <v>0.67460648147971369</v>
      </c>
      <c r="E2039" s="4">
        <v>45216</v>
      </c>
      <c r="F2039" s="7" t="s">
        <v>46</v>
      </c>
      <c r="G2039" s="7" t="s">
        <v>80</v>
      </c>
      <c r="H2039" s="7" t="s">
        <v>3480</v>
      </c>
      <c r="I2039" s="7" t="s">
        <v>1053</v>
      </c>
      <c r="J2039" s="7" t="s">
        <v>100</v>
      </c>
      <c r="K2039" s="7" t="s">
        <v>36</v>
      </c>
      <c r="L2039" s="8">
        <v>43</v>
      </c>
      <c r="M2039" s="7" t="s">
        <v>23</v>
      </c>
      <c r="N2039" s="8">
        <v>109</v>
      </c>
      <c r="O2039" s="8">
        <v>1</v>
      </c>
      <c r="P2039" s="5">
        <v>12071.1</v>
      </c>
      <c r="Q2039" s="4">
        <v>45600</v>
      </c>
      <c r="R2039" s="9">
        <v>0.34012731481481484</v>
      </c>
      <c r="S2039" s="8">
        <v>16</v>
      </c>
      <c r="T2039" s="7" t="s">
        <v>4457</v>
      </c>
      <c r="U2039" s="7" t="s">
        <v>4455</v>
      </c>
      <c r="V20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40" spans="1:22" x14ac:dyDescent="0.35">
      <c r="A2040" s="7" t="s">
        <v>3933</v>
      </c>
      <c r="B2040" s="7" t="s">
        <v>3354</v>
      </c>
      <c r="C2040" s="5">
        <v>38.15</v>
      </c>
      <c r="D2040" s="2">
        <v>0.69254629629722331</v>
      </c>
      <c r="E2040" s="4">
        <v>45205</v>
      </c>
      <c r="F2040" s="7" t="s">
        <v>46</v>
      </c>
      <c r="G2040" s="7" t="s">
        <v>53</v>
      </c>
      <c r="H2040" s="7" t="s">
        <v>2295</v>
      </c>
      <c r="I2040" s="7" t="s">
        <v>787</v>
      </c>
      <c r="J2040" s="7" t="s">
        <v>149</v>
      </c>
      <c r="K2040" s="7" t="s">
        <v>36</v>
      </c>
      <c r="L2040" s="8">
        <v>72</v>
      </c>
      <c r="M2040" s="7" t="s">
        <v>70</v>
      </c>
      <c r="N2040" s="8">
        <v>129</v>
      </c>
      <c r="O2040" s="8">
        <v>1</v>
      </c>
      <c r="P2040" s="5">
        <v>1425.47</v>
      </c>
      <c r="Q2040" s="4">
        <v>45600</v>
      </c>
      <c r="R2040" s="9">
        <v>0.34193287037037035</v>
      </c>
      <c r="S2040" s="8">
        <v>16</v>
      </c>
      <c r="T2040" s="7" t="s">
        <v>4454</v>
      </c>
      <c r="U2040" s="7" t="s">
        <v>4455</v>
      </c>
      <c r="V20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41" spans="1:22" x14ac:dyDescent="0.35">
      <c r="A2041" s="7" t="s">
        <v>3934</v>
      </c>
      <c r="B2041" s="7" t="s">
        <v>1682</v>
      </c>
      <c r="C2041" s="5">
        <v>477.54</v>
      </c>
      <c r="D2041" s="2">
        <v>0.72228009259561077</v>
      </c>
      <c r="E2041" s="4">
        <v>45159</v>
      </c>
      <c r="F2041" s="7" t="s">
        <v>46</v>
      </c>
      <c r="G2041" s="7" t="s">
        <v>212</v>
      </c>
      <c r="H2041" s="7" t="s">
        <v>1510</v>
      </c>
      <c r="I2041" s="7" t="s">
        <v>1013</v>
      </c>
      <c r="J2041" s="7" t="s">
        <v>370</v>
      </c>
      <c r="K2041" s="7" t="s">
        <v>22</v>
      </c>
      <c r="L2041" s="8">
        <v>23</v>
      </c>
      <c r="M2041" s="7" t="s">
        <v>37</v>
      </c>
      <c r="N2041" s="8">
        <v>52</v>
      </c>
      <c r="O2041" s="8">
        <v>1</v>
      </c>
      <c r="P2041" s="5">
        <v>1598.63</v>
      </c>
      <c r="Q2041" s="4">
        <v>45600</v>
      </c>
      <c r="R2041" s="9">
        <v>0.33805555555555555</v>
      </c>
      <c r="S2041" s="8">
        <v>17</v>
      </c>
      <c r="T2041" s="7" t="s">
        <v>4456</v>
      </c>
      <c r="U2041" s="7" t="s">
        <v>4455</v>
      </c>
      <c r="V20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42" spans="1:22" x14ac:dyDescent="0.35">
      <c r="A2042" s="7" t="s">
        <v>3935</v>
      </c>
      <c r="B2042" s="7" t="s">
        <v>1781</v>
      </c>
      <c r="C2042" s="5">
        <v>639.57000000000005</v>
      </c>
      <c r="D2042" s="2">
        <v>0.68423611111211358</v>
      </c>
      <c r="E2042" s="4">
        <v>45278</v>
      </c>
      <c r="F2042" s="7" t="s">
        <v>17</v>
      </c>
      <c r="G2042" s="7" t="s">
        <v>243</v>
      </c>
      <c r="H2042" s="7" t="s">
        <v>3602</v>
      </c>
      <c r="I2042" s="7" t="s">
        <v>2627</v>
      </c>
      <c r="J2042" s="7" t="s">
        <v>759</v>
      </c>
      <c r="K2042" s="7" t="s">
        <v>69</v>
      </c>
      <c r="L2042" s="8">
        <v>60</v>
      </c>
      <c r="M2042" s="7" t="s">
        <v>23</v>
      </c>
      <c r="N2042" s="8">
        <v>43</v>
      </c>
      <c r="O2042" s="8">
        <v>1</v>
      </c>
      <c r="P2042" s="5">
        <v>11726.47</v>
      </c>
      <c r="Q2042" s="4">
        <v>45600</v>
      </c>
      <c r="R2042" s="9">
        <v>0.34168981481481481</v>
      </c>
      <c r="S2042" s="8">
        <v>16</v>
      </c>
      <c r="T2042" s="7" t="s">
        <v>4454</v>
      </c>
      <c r="U2042" s="7" t="s">
        <v>4455</v>
      </c>
      <c r="V20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43" spans="1:22" x14ac:dyDescent="0.35">
      <c r="A2043" s="7" t="s">
        <v>3936</v>
      </c>
      <c r="B2043" s="7" t="s">
        <v>2420</v>
      </c>
      <c r="C2043" s="5">
        <v>58.23</v>
      </c>
      <c r="D2043" s="2">
        <v>0.72596064814570127</v>
      </c>
      <c r="E2043" s="4">
        <v>45133</v>
      </c>
      <c r="F2043" s="7" t="s">
        <v>17</v>
      </c>
      <c r="G2043" s="7" t="s">
        <v>425</v>
      </c>
      <c r="H2043" s="7" t="s">
        <v>1314</v>
      </c>
      <c r="I2043" s="7" t="s">
        <v>819</v>
      </c>
      <c r="J2043" s="7" t="s">
        <v>1524</v>
      </c>
      <c r="K2043" s="7" t="s">
        <v>36</v>
      </c>
      <c r="L2043" s="8">
        <v>28</v>
      </c>
      <c r="M2043" s="7" t="s">
        <v>37</v>
      </c>
      <c r="N2043" s="8">
        <v>34</v>
      </c>
      <c r="O2043" s="8">
        <v>1</v>
      </c>
      <c r="P2043" s="5">
        <v>9189.76</v>
      </c>
      <c r="Q2043" s="4">
        <v>45600</v>
      </c>
      <c r="R2043" s="9">
        <v>0.3402662037037037</v>
      </c>
      <c r="S2043" s="8">
        <v>17</v>
      </c>
      <c r="T2043" s="7" t="s">
        <v>4456</v>
      </c>
      <c r="U2043" s="7" t="s">
        <v>4455</v>
      </c>
      <c r="V20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44" spans="1:22" x14ac:dyDescent="0.35">
      <c r="A2044" s="7" t="s">
        <v>3937</v>
      </c>
      <c r="B2044" s="7" t="s">
        <v>2986</v>
      </c>
      <c r="C2044" s="5">
        <v>776.21</v>
      </c>
      <c r="D2044" s="2">
        <v>0.71898148148466134</v>
      </c>
      <c r="E2044" s="4">
        <v>44979</v>
      </c>
      <c r="F2044" s="7" t="s">
        <v>46</v>
      </c>
      <c r="G2044" s="7" t="s">
        <v>40</v>
      </c>
      <c r="H2044" s="7" t="s">
        <v>3938</v>
      </c>
      <c r="I2044" s="7" t="s">
        <v>88</v>
      </c>
      <c r="J2044" s="7" t="s">
        <v>308</v>
      </c>
      <c r="K2044" s="7" t="s">
        <v>36</v>
      </c>
      <c r="L2044" s="8">
        <v>78</v>
      </c>
      <c r="M2044" s="7" t="s">
        <v>70</v>
      </c>
      <c r="N2044" s="8">
        <v>99</v>
      </c>
      <c r="O2044" s="8">
        <v>1</v>
      </c>
      <c r="P2044" s="5">
        <v>4895.87</v>
      </c>
      <c r="Q2044" s="4">
        <v>45600</v>
      </c>
      <c r="R2044" s="9">
        <v>0.33793981481481483</v>
      </c>
      <c r="S2044" s="8">
        <v>17</v>
      </c>
      <c r="T2044" s="7" t="s">
        <v>4454</v>
      </c>
      <c r="U2044" s="7" t="s">
        <v>4455</v>
      </c>
      <c r="V20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45" spans="1:22" x14ac:dyDescent="0.35">
      <c r="A2045" s="7" t="s">
        <v>3939</v>
      </c>
      <c r="B2045" s="7" t="s">
        <v>1992</v>
      </c>
      <c r="C2045" s="5">
        <v>248.76</v>
      </c>
      <c r="D2045" s="2">
        <v>0.78603009258949896</v>
      </c>
      <c r="E2045" s="4">
        <v>45005</v>
      </c>
      <c r="F2045" s="7" t="s">
        <v>17</v>
      </c>
      <c r="G2045" s="7" t="s">
        <v>595</v>
      </c>
      <c r="H2045" s="7" t="s">
        <v>3940</v>
      </c>
      <c r="I2045" s="7" t="s">
        <v>3941</v>
      </c>
      <c r="J2045" s="7" t="s">
        <v>272</v>
      </c>
      <c r="K2045" s="7" t="s">
        <v>69</v>
      </c>
      <c r="L2045" s="8">
        <v>21</v>
      </c>
      <c r="M2045" s="7" t="s">
        <v>37</v>
      </c>
      <c r="N2045" s="8">
        <v>117</v>
      </c>
      <c r="O2045" s="8">
        <v>1</v>
      </c>
      <c r="P2045" s="5">
        <v>6178.77</v>
      </c>
      <c r="Q2045" s="4">
        <v>45600</v>
      </c>
      <c r="R2045" s="9">
        <v>0.33966435185185184</v>
      </c>
      <c r="S2045" s="8">
        <v>18</v>
      </c>
      <c r="T2045" s="7" t="s">
        <v>4456</v>
      </c>
      <c r="U2045" s="7" t="s">
        <v>4455</v>
      </c>
      <c r="V20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46" spans="1:22" x14ac:dyDescent="0.35">
      <c r="A2046" s="7" t="s">
        <v>3942</v>
      </c>
      <c r="B2046" s="7" t="s">
        <v>162</v>
      </c>
      <c r="C2046" s="5">
        <v>188.61</v>
      </c>
      <c r="D2046" s="2">
        <v>0.71971064814715646</v>
      </c>
      <c r="E2046" s="4">
        <v>45292</v>
      </c>
      <c r="F2046" s="7" t="s">
        <v>17</v>
      </c>
      <c r="G2046" s="7" t="s">
        <v>388</v>
      </c>
      <c r="H2046" s="7" t="s">
        <v>1479</v>
      </c>
      <c r="I2046" s="7" t="s">
        <v>2319</v>
      </c>
      <c r="J2046" s="7" t="s">
        <v>160</v>
      </c>
      <c r="K2046" s="7" t="s">
        <v>36</v>
      </c>
      <c r="L2046" s="8">
        <v>67</v>
      </c>
      <c r="M2046" s="7" t="s">
        <v>70</v>
      </c>
      <c r="N2046" s="8">
        <v>26</v>
      </c>
      <c r="O2046" s="8">
        <v>1</v>
      </c>
      <c r="P2046" s="5">
        <v>7167.57</v>
      </c>
      <c r="Q2046" s="4">
        <v>45600</v>
      </c>
      <c r="R2046" s="9">
        <v>0.33776620370370369</v>
      </c>
      <c r="S2046" s="8">
        <v>17</v>
      </c>
      <c r="T2046" s="7" t="s">
        <v>4454</v>
      </c>
      <c r="U2046" s="7" t="s">
        <v>4455</v>
      </c>
      <c r="V20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47" spans="1:22" x14ac:dyDescent="0.35">
      <c r="A2047" s="7" t="s">
        <v>3943</v>
      </c>
      <c r="B2047" s="7" t="s">
        <v>1088</v>
      </c>
      <c r="C2047" s="5">
        <v>675.37</v>
      </c>
      <c r="D2047" s="2">
        <v>0.69798611111036735</v>
      </c>
      <c r="E2047" s="4">
        <v>45289</v>
      </c>
      <c r="F2047" s="7" t="s">
        <v>46</v>
      </c>
      <c r="G2047" s="7" t="s">
        <v>392</v>
      </c>
      <c r="H2047" s="7" t="s">
        <v>1079</v>
      </c>
      <c r="I2047" s="7" t="s">
        <v>2236</v>
      </c>
      <c r="J2047" s="7" t="s">
        <v>353</v>
      </c>
      <c r="K2047" s="7" t="s">
        <v>36</v>
      </c>
      <c r="L2047" s="8">
        <v>56</v>
      </c>
      <c r="M2047" s="7" t="s">
        <v>70</v>
      </c>
      <c r="N2047" s="8">
        <v>31</v>
      </c>
      <c r="O2047" s="8">
        <v>1</v>
      </c>
      <c r="P2047" s="5">
        <v>4704.91</v>
      </c>
      <c r="Q2047" s="4">
        <v>45600</v>
      </c>
      <c r="R2047" s="9">
        <v>0.34109953703703705</v>
      </c>
      <c r="S2047" s="8">
        <v>16</v>
      </c>
      <c r="T2047" s="7" t="s">
        <v>4454</v>
      </c>
      <c r="U2047" s="7" t="s">
        <v>4455</v>
      </c>
      <c r="V20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48" spans="1:22" x14ac:dyDescent="0.35">
      <c r="A2048" s="7" t="s">
        <v>3944</v>
      </c>
      <c r="B2048" s="7" t="s">
        <v>1710</v>
      </c>
      <c r="C2048" s="5">
        <v>94.82</v>
      </c>
      <c r="D2048" s="2">
        <v>0.69201388888905058</v>
      </c>
      <c r="E2048" s="4">
        <v>45006</v>
      </c>
      <c r="F2048" s="7" t="s">
        <v>46</v>
      </c>
      <c r="G2048" s="7" t="s">
        <v>125</v>
      </c>
      <c r="H2048" s="7" t="s">
        <v>1602</v>
      </c>
      <c r="I2048" s="7" t="s">
        <v>490</v>
      </c>
      <c r="J2048" s="7" t="s">
        <v>1349</v>
      </c>
      <c r="K2048" s="7" t="s">
        <v>69</v>
      </c>
      <c r="L2048" s="8">
        <v>67</v>
      </c>
      <c r="M2048" s="7" t="s">
        <v>70</v>
      </c>
      <c r="N2048" s="8">
        <v>56</v>
      </c>
      <c r="O2048" s="8">
        <v>1</v>
      </c>
      <c r="P2048" s="5">
        <v>1267.72</v>
      </c>
      <c r="Q2048" s="4">
        <v>45600</v>
      </c>
      <c r="R2048" s="9">
        <v>0.34186342592592595</v>
      </c>
      <c r="S2048" s="8">
        <v>16</v>
      </c>
      <c r="T2048" s="7" t="s">
        <v>4454</v>
      </c>
      <c r="U2048" s="7" t="s">
        <v>4455</v>
      </c>
      <c r="V20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49" spans="1:22" x14ac:dyDescent="0.35">
      <c r="A2049" s="7" t="s">
        <v>3945</v>
      </c>
      <c r="B2049" s="7" t="s">
        <v>1106</v>
      </c>
      <c r="C2049" s="5">
        <v>425.18</v>
      </c>
      <c r="D2049" s="2">
        <v>0.67822916666773381</v>
      </c>
      <c r="E2049" s="4">
        <v>44977</v>
      </c>
      <c r="F2049" s="7" t="s">
        <v>46</v>
      </c>
      <c r="G2049" s="7" t="s">
        <v>558</v>
      </c>
      <c r="H2049" s="7" t="s">
        <v>1129</v>
      </c>
      <c r="I2049" s="7" t="s">
        <v>3364</v>
      </c>
      <c r="J2049" s="7" t="s">
        <v>100</v>
      </c>
      <c r="K2049" s="7" t="s">
        <v>36</v>
      </c>
      <c r="L2049" s="8">
        <v>59</v>
      </c>
      <c r="M2049" s="7" t="s">
        <v>77</v>
      </c>
      <c r="N2049" s="8">
        <v>135</v>
      </c>
      <c r="O2049" s="8">
        <v>1</v>
      </c>
      <c r="P2049" s="5">
        <v>5790.55</v>
      </c>
      <c r="Q2049" s="4">
        <v>45600</v>
      </c>
      <c r="R2049" s="9">
        <v>0.34127314814814813</v>
      </c>
      <c r="S2049" s="8">
        <v>16</v>
      </c>
      <c r="T2049" s="7" t="s">
        <v>4454</v>
      </c>
      <c r="U2049" s="7" t="s">
        <v>4455</v>
      </c>
      <c r="V20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50" spans="1:22" x14ac:dyDescent="0.35">
      <c r="A2050" s="7" t="s">
        <v>3946</v>
      </c>
      <c r="B2050" s="7" t="s">
        <v>167</v>
      </c>
      <c r="C2050" s="5">
        <v>50.28</v>
      </c>
      <c r="D2050" s="2">
        <v>0.68087962963181781</v>
      </c>
      <c r="E2050" s="4">
        <v>44959</v>
      </c>
      <c r="F2050" s="7" t="s">
        <v>17</v>
      </c>
      <c r="G2050" s="7" t="s">
        <v>53</v>
      </c>
      <c r="H2050" s="7" t="s">
        <v>574</v>
      </c>
      <c r="I2050" s="7" t="s">
        <v>1484</v>
      </c>
      <c r="J2050" s="7" t="s">
        <v>100</v>
      </c>
      <c r="K2050" s="7" t="s">
        <v>69</v>
      </c>
      <c r="L2050" s="8">
        <v>60</v>
      </c>
      <c r="M2050" s="7" t="s">
        <v>77</v>
      </c>
      <c r="N2050" s="8">
        <v>65</v>
      </c>
      <c r="O2050" s="8">
        <v>1</v>
      </c>
      <c r="P2050" s="5">
        <v>5729.1</v>
      </c>
      <c r="Q2050" s="4">
        <v>45600</v>
      </c>
      <c r="R2050" s="9">
        <v>0.33803240740740742</v>
      </c>
      <c r="S2050" s="8">
        <v>16</v>
      </c>
      <c r="T2050" s="7" t="s">
        <v>4454</v>
      </c>
      <c r="U2050" s="7" t="s">
        <v>4455</v>
      </c>
      <c r="V20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51" spans="1:22" x14ac:dyDescent="0.35">
      <c r="A2051" s="7" t="s">
        <v>3947</v>
      </c>
      <c r="B2051" s="7" t="s">
        <v>118</v>
      </c>
      <c r="C2051" s="5">
        <v>864.72</v>
      </c>
      <c r="D2051" s="2">
        <v>0.6914236111115315</v>
      </c>
      <c r="E2051" s="4">
        <v>45163</v>
      </c>
      <c r="F2051" s="7" t="s">
        <v>46</v>
      </c>
      <c r="G2051" s="7" t="s">
        <v>73</v>
      </c>
      <c r="H2051" s="7" t="s">
        <v>485</v>
      </c>
      <c r="I2051" s="7" t="s">
        <v>744</v>
      </c>
      <c r="J2051" s="7" t="s">
        <v>762</v>
      </c>
      <c r="K2051" s="7" t="s">
        <v>69</v>
      </c>
      <c r="L2051" s="8">
        <v>34</v>
      </c>
      <c r="M2051" s="7" t="s">
        <v>77</v>
      </c>
      <c r="N2051" s="8">
        <v>58</v>
      </c>
      <c r="O2051" s="8">
        <v>1</v>
      </c>
      <c r="P2051" s="5">
        <v>7379.38</v>
      </c>
      <c r="Q2051" s="4">
        <v>45600</v>
      </c>
      <c r="R2051" s="9">
        <v>0.34108796296296295</v>
      </c>
      <c r="S2051" s="8">
        <v>16</v>
      </c>
      <c r="T2051" s="7" t="s">
        <v>4456</v>
      </c>
      <c r="U2051" s="7" t="s">
        <v>4455</v>
      </c>
      <c r="V20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52" spans="1:22" x14ac:dyDescent="0.35">
      <c r="A2052" s="7" t="s">
        <v>3948</v>
      </c>
      <c r="B2052" s="7" t="s">
        <v>1528</v>
      </c>
      <c r="C2052" s="5">
        <v>70.680000000000007</v>
      </c>
      <c r="D2052" s="2">
        <v>0.70912037036760012</v>
      </c>
      <c r="E2052" s="4">
        <v>45252</v>
      </c>
      <c r="F2052" s="7" t="s">
        <v>17</v>
      </c>
      <c r="G2052" s="7" t="s">
        <v>506</v>
      </c>
      <c r="H2052" s="7" t="s">
        <v>2401</v>
      </c>
      <c r="I2052" s="7" t="s">
        <v>991</v>
      </c>
      <c r="J2052" s="7" t="s">
        <v>1810</v>
      </c>
      <c r="K2052" s="7" t="s">
        <v>36</v>
      </c>
      <c r="L2052" s="8">
        <v>25</v>
      </c>
      <c r="M2052" s="7" t="s">
        <v>37</v>
      </c>
      <c r="N2052" s="8">
        <v>105</v>
      </c>
      <c r="O2052" s="8">
        <v>1</v>
      </c>
      <c r="P2052" s="5">
        <v>1478.41</v>
      </c>
      <c r="Q2052" s="4">
        <v>45600</v>
      </c>
      <c r="R2052" s="9">
        <v>0.34091435185185187</v>
      </c>
      <c r="S2052" s="8">
        <v>17</v>
      </c>
      <c r="T2052" s="7" t="s">
        <v>4456</v>
      </c>
      <c r="U2052" s="7" t="s">
        <v>4455</v>
      </c>
      <c r="V20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53" spans="1:22" x14ac:dyDescent="0.35">
      <c r="A2053" s="7" t="s">
        <v>3949</v>
      </c>
      <c r="B2053" s="7" t="s">
        <v>880</v>
      </c>
      <c r="C2053" s="5">
        <v>261.77</v>
      </c>
      <c r="D2053" s="2">
        <v>0.75510416666656965</v>
      </c>
      <c r="E2053" s="4">
        <v>44938</v>
      </c>
      <c r="F2053" s="7" t="s">
        <v>17</v>
      </c>
      <c r="G2053" s="7" t="s">
        <v>265</v>
      </c>
      <c r="H2053" s="7" t="s">
        <v>3529</v>
      </c>
      <c r="I2053" s="7" t="s">
        <v>1064</v>
      </c>
      <c r="J2053" s="7" t="s">
        <v>432</v>
      </c>
      <c r="K2053" s="7" t="s">
        <v>36</v>
      </c>
      <c r="L2053" s="8">
        <v>28</v>
      </c>
      <c r="M2053" s="7" t="s">
        <v>37</v>
      </c>
      <c r="N2053" s="8">
        <v>46</v>
      </c>
      <c r="O2053" s="8">
        <v>1</v>
      </c>
      <c r="P2053" s="5">
        <v>824.71</v>
      </c>
      <c r="Q2053" s="4">
        <v>45600</v>
      </c>
      <c r="R2053" s="9">
        <v>0.34152777777777776</v>
      </c>
      <c r="S2053" s="8">
        <v>18</v>
      </c>
      <c r="T2053" s="7" t="s">
        <v>4456</v>
      </c>
      <c r="U2053" s="7" t="s">
        <v>4455</v>
      </c>
      <c r="V20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54" spans="1:22" x14ac:dyDescent="0.35">
      <c r="A2054" s="7" t="s">
        <v>3950</v>
      </c>
      <c r="B2054" s="7" t="s">
        <v>248</v>
      </c>
      <c r="C2054" s="5">
        <v>183.22</v>
      </c>
      <c r="D2054" s="2">
        <v>0.77795138888905058</v>
      </c>
      <c r="E2054" s="4">
        <v>45204</v>
      </c>
      <c r="F2054" s="7" t="s">
        <v>17</v>
      </c>
      <c r="G2054" s="7" t="s">
        <v>178</v>
      </c>
      <c r="H2054" s="7" t="s">
        <v>2770</v>
      </c>
      <c r="I2054" s="7" t="s">
        <v>1772</v>
      </c>
      <c r="J2054" s="7" t="s">
        <v>514</v>
      </c>
      <c r="K2054" s="7" t="s">
        <v>22</v>
      </c>
      <c r="L2054" s="8">
        <v>27</v>
      </c>
      <c r="M2054" s="7" t="s">
        <v>37</v>
      </c>
      <c r="N2054" s="8">
        <v>63</v>
      </c>
      <c r="O2054" s="8">
        <v>1</v>
      </c>
      <c r="P2054" s="5">
        <v>1024.42</v>
      </c>
      <c r="Q2054" s="4">
        <v>45600</v>
      </c>
      <c r="R2054" s="9">
        <v>0.33850694444444446</v>
      </c>
      <c r="S2054" s="8">
        <v>18</v>
      </c>
      <c r="T2054" s="7" t="s">
        <v>4456</v>
      </c>
      <c r="U2054" s="7" t="s">
        <v>4455</v>
      </c>
      <c r="V20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55" spans="1:22" x14ac:dyDescent="0.35">
      <c r="A2055" s="7" t="s">
        <v>3951</v>
      </c>
      <c r="B2055" s="7" t="s">
        <v>756</v>
      </c>
      <c r="C2055" s="5">
        <v>58.32</v>
      </c>
      <c r="D2055" s="2">
        <v>0.68142361110949423</v>
      </c>
      <c r="E2055" s="4">
        <v>45138</v>
      </c>
      <c r="F2055" s="7" t="s">
        <v>46</v>
      </c>
      <c r="G2055" s="7" t="s">
        <v>108</v>
      </c>
      <c r="H2055" s="7" t="s">
        <v>2453</v>
      </c>
      <c r="I2055" s="7" t="s">
        <v>1751</v>
      </c>
      <c r="J2055" s="7" t="s">
        <v>1349</v>
      </c>
      <c r="K2055" s="7" t="s">
        <v>69</v>
      </c>
      <c r="L2055" s="8">
        <v>29</v>
      </c>
      <c r="M2055" s="7" t="s">
        <v>77</v>
      </c>
      <c r="N2055" s="8">
        <v>275</v>
      </c>
      <c r="O2055" s="8">
        <v>4</v>
      </c>
      <c r="P2055" s="5">
        <v>6027.49</v>
      </c>
      <c r="Q2055" s="4">
        <v>45600</v>
      </c>
      <c r="R2055" s="9">
        <v>0.33817129629629628</v>
      </c>
      <c r="S2055" s="8">
        <v>16</v>
      </c>
      <c r="T2055" s="7" t="s">
        <v>4456</v>
      </c>
      <c r="U2055" s="7" t="s">
        <v>4458</v>
      </c>
      <c r="V20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56" spans="1:22" x14ac:dyDescent="0.35">
      <c r="A2056" s="7" t="s">
        <v>3952</v>
      </c>
      <c r="B2056" s="7" t="s">
        <v>3561</v>
      </c>
      <c r="C2056" s="5">
        <v>156.86000000000001</v>
      </c>
      <c r="D2056" s="2">
        <v>0.69297453703620704</v>
      </c>
      <c r="E2056" s="4">
        <v>44956</v>
      </c>
      <c r="F2056" s="7" t="s">
        <v>17</v>
      </c>
      <c r="G2056" s="7" t="s">
        <v>249</v>
      </c>
      <c r="H2056" s="7" t="s">
        <v>2571</v>
      </c>
      <c r="I2056" s="7" t="s">
        <v>1925</v>
      </c>
      <c r="J2056" s="7" t="s">
        <v>514</v>
      </c>
      <c r="K2056" s="7" t="s">
        <v>22</v>
      </c>
      <c r="L2056" s="8">
        <v>51</v>
      </c>
      <c r="M2056" s="7" t="s">
        <v>23</v>
      </c>
      <c r="N2056" s="8">
        <v>102</v>
      </c>
      <c r="O2056" s="8">
        <v>1</v>
      </c>
      <c r="P2056" s="5">
        <v>14453.35</v>
      </c>
      <c r="Q2056" s="4">
        <v>45600</v>
      </c>
      <c r="R2056" s="9">
        <v>0.34059027777777778</v>
      </c>
      <c r="S2056" s="8">
        <v>16</v>
      </c>
      <c r="T2056" s="7" t="s">
        <v>4457</v>
      </c>
      <c r="U2056" s="7" t="s">
        <v>4455</v>
      </c>
      <c r="V20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57" spans="1:22" x14ac:dyDescent="0.35">
      <c r="A2057" s="7" t="s">
        <v>3953</v>
      </c>
      <c r="B2057" s="7" t="s">
        <v>1452</v>
      </c>
      <c r="C2057" s="5">
        <v>120.67</v>
      </c>
      <c r="D2057" s="2">
        <v>0.76156250000349246</v>
      </c>
      <c r="E2057" s="4">
        <v>45285</v>
      </c>
      <c r="F2057" s="7" t="s">
        <v>17</v>
      </c>
      <c r="G2057" s="7" t="s">
        <v>521</v>
      </c>
      <c r="H2057" s="7" t="s">
        <v>1809</v>
      </c>
      <c r="I2057" s="7" t="s">
        <v>1344</v>
      </c>
      <c r="J2057" s="7" t="s">
        <v>143</v>
      </c>
      <c r="K2057" s="7" t="s">
        <v>22</v>
      </c>
      <c r="L2057" s="8">
        <v>42</v>
      </c>
      <c r="M2057" s="7" t="s">
        <v>23</v>
      </c>
      <c r="N2057" s="8">
        <v>233</v>
      </c>
      <c r="O2057" s="8">
        <v>1</v>
      </c>
      <c r="P2057" s="5">
        <v>5374.54</v>
      </c>
      <c r="Q2057" s="4">
        <v>45600</v>
      </c>
      <c r="R2057" s="9">
        <v>0.34175925925925926</v>
      </c>
      <c r="S2057" s="8">
        <v>18</v>
      </c>
      <c r="T2057" s="7" t="s">
        <v>4457</v>
      </c>
      <c r="U2057" s="7" t="s">
        <v>4455</v>
      </c>
      <c r="V20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58" spans="1:22" x14ac:dyDescent="0.35">
      <c r="A2058" s="7" t="s">
        <v>3954</v>
      </c>
      <c r="B2058" s="7" t="s">
        <v>1905</v>
      </c>
      <c r="C2058" s="5">
        <v>308.62</v>
      </c>
      <c r="D2058" s="2">
        <v>0.79104166666365927</v>
      </c>
      <c r="E2058" s="4">
        <v>45205</v>
      </c>
      <c r="F2058" s="7" t="s">
        <v>46</v>
      </c>
      <c r="G2058" s="7" t="s">
        <v>285</v>
      </c>
      <c r="H2058" s="7" t="s">
        <v>1070</v>
      </c>
      <c r="I2058" s="7" t="s">
        <v>791</v>
      </c>
      <c r="J2058" s="7" t="s">
        <v>478</v>
      </c>
      <c r="K2058" s="7" t="s">
        <v>69</v>
      </c>
      <c r="L2058" s="8">
        <v>59</v>
      </c>
      <c r="M2058" s="7" t="s">
        <v>77</v>
      </c>
      <c r="N2058" s="8">
        <v>101</v>
      </c>
      <c r="O2058" s="8">
        <v>1</v>
      </c>
      <c r="P2058" s="5">
        <v>9148.08</v>
      </c>
      <c r="Q2058" s="4">
        <v>45600</v>
      </c>
      <c r="R2058" s="9">
        <v>0.33804398148148146</v>
      </c>
      <c r="S2058" s="8">
        <v>18</v>
      </c>
      <c r="T2058" s="7" t="s">
        <v>4454</v>
      </c>
      <c r="U2058" s="7" t="s">
        <v>4455</v>
      </c>
      <c r="V20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59" spans="1:22" x14ac:dyDescent="0.35">
      <c r="A2059" s="7" t="s">
        <v>3955</v>
      </c>
      <c r="B2059" s="7" t="s">
        <v>3956</v>
      </c>
      <c r="C2059" s="5">
        <v>506.81</v>
      </c>
      <c r="D2059" s="2">
        <v>0.67874999999912689</v>
      </c>
      <c r="E2059" s="4">
        <v>45280</v>
      </c>
      <c r="F2059" s="7" t="s">
        <v>17</v>
      </c>
      <c r="G2059" s="7" t="s">
        <v>178</v>
      </c>
      <c r="H2059" s="7" t="s">
        <v>1724</v>
      </c>
      <c r="I2059" s="7" t="s">
        <v>2585</v>
      </c>
      <c r="J2059" s="7" t="s">
        <v>50</v>
      </c>
      <c r="K2059" s="7" t="s">
        <v>22</v>
      </c>
      <c r="L2059" s="8">
        <v>59</v>
      </c>
      <c r="M2059" s="7" t="s">
        <v>77</v>
      </c>
      <c r="N2059" s="8">
        <v>41</v>
      </c>
      <c r="O2059" s="8">
        <v>1</v>
      </c>
      <c r="P2059" s="5">
        <v>2757.23</v>
      </c>
      <c r="Q2059" s="4">
        <v>45600</v>
      </c>
      <c r="R2059" s="9">
        <v>0.33888888888888891</v>
      </c>
      <c r="S2059" s="8">
        <v>16</v>
      </c>
      <c r="T2059" s="7" t="s">
        <v>4454</v>
      </c>
      <c r="U2059" s="7" t="s">
        <v>4455</v>
      </c>
      <c r="V20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60" spans="1:22" x14ac:dyDescent="0.35">
      <c r="A2060" s="7" t="s">
        <v>3957</v>
      </c>
      <c r="B2060" s="7" t="s">
        <v>927</v>
      </c>
      <c r="C2060" s="5">
        <v>328.39</v>
      </c>
      <c r="D2060" s="2">
        <v>0.69931712962716119</v>
      </c>
      <c r="E2060" s="4">
        <v>45239</v>
      </c>
      <c r="F2060" s="7" t="s">
        <v>17</v>
      </c>
      <c r="G2060" s="7" t="s">
        <v>203</v>
      </c>
      <c r="H2060" s="7" t="s">
        <v>3958</v>
      </c>
      <c r="I2060" s="7" t="s">
        <v>751</v>
      </c>
      <c r="J2060" s="7" t="s">
        <v>759</v>
      </c>
      <c r="K2060" s="7" t="s">
        <v>22</v>
      </c>
      <c r="L2060" s="8">
        <v>41</v>
      </c>
      <c r="M2060" s="7" t="s">
        <v>77</v>
      </c>
      <c r="N2060" s="8">
        <v>108</v>
      </c>
      <c r="O2060" s="8">
        <v>1</v>
      </c>
      <c r="P2060" s="5">
        <v>2523.83</v>
      </c>
      <c r="Q2060" s="4">
        <v>45600</v>
      </c>
      <c r="R2060" s="9">
        <v>0.34163194444444445</v>
      </c>
      <c r="S2060" s="8">
        <v>16</v>
      </c>
      <c r="T2060" s="7" t="s">
        <v>4457</v>
      </c>
      <c r="U2060" s="7" t="s">
        <v>4455</v>
      </c>
      <c r="V20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61" spans="1:22" x14ac:dyDescent="0.35">
      <c r="A2061" s="7" t="s">
        <v>3959</v>
      </c>
      <c r="B2061" s="7" t="s">
        <v>215</v>
      </c>
      <c r="C2061" s="5">
        <v>796.3</v>
      </c>
      <c r="D2061" s="2">
        <v>0.66876157407386927</v>
      </c>
      <c r="E2061" s="4">
        <v>45007</v>
      </c>
      <c r="F2061" s="7" t="s">
        <v>17</v>
      </c>
      <c r="G2061" s="7" t="s">
        <v>119</v>
      </c>
      <c r="H2061" s="7" t="s">
        <v>1861</v>
      </c>
      <c r="I2061" s="7" t="s">
        <v>2838</v>
      </c>
      <c r="J2061" s="7" t="s">
        <v>619</v>
      </c>
      <c r="K2061" s="7" t="s">
        <v>69</v>
      </c>
      <c r="L2061" s="8">
        <v>67</v>
      </c>
      <c r="M2061" s="7" t="s">
        <v>70</v>
      </c>
      <c r="N2061" s="8">
        <v>64</v>
      </c>
      <c r="O2061" s="8">
        <v>1</v>
      </c>
      <c r="P2061" s="5">
        <v>1498.79</v>
      </c>
      <c r="Q2061" s="4">
        <v>45600</v>
      </c>
      <c r="R2061" s="9">
        <v>0.33925925925925926</v>
      </c>
      <c r="S2061" s="8">
        <v>16</v>
      </c>
      <c r="T2061" s="7" t="s">
        <v>4454</v>
      </c>
      <c r="U2061" s="7" t="s">
        <v>4455</v>
      </c>
      <c r="V20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62" spans="1:22" x14ac:dyDescent="0.35">
      <c r="A2062" s="7" t="s">
        <v>3960</v>
      </c>
      <c r="B2062" s="7" t="s">
        <v>1304</v>
      </c>
      <c r="C2062" s="5">
        <v>72.47</v>
      </c>
      <c r="D2062" s="2">
        <v>0.75188657407124992</v>
      </c>
      <c r="E2062" s="4">
        <v>45216</v>
      </c>
      <c r="F2062" s="7" t="s">
        <v>17</v>
      </c>
      <c r="G2062" s="7" t="s">
        <v>388</v>
      </c>
      <c r="H2062" s="7" t="s">
        <v>1928</v>
      </c>
      <c r="I2062" s="7" t="s">
        <v>3486</v>
      </c>
      <c r="J2062" s="7" t="s">
        <v>160</v>
      </c>
      <c r="K2062" s="7" t="s">
        <v>36</v>
      </c>
      <c r="L2062" s="8">
        <v>29</v>
      </c>
      <c r="M2062" s="7" t="s">
        <v>23</v>
      </c>
      <c r="N2062" s="8">
        <v>72</v>
      </c>
      <c r="O2062" s="8">
        <v>1</v>
      </c>
      <c r="P2062" s="5">
        <v>1305.56</v>
      </c>
      <c r="Q2062" s="4">
        <v>45600</v>
      </c>
      <c r="R2062" s="9">
        <v>0.34108796296296295</v>
      </c>
      <c r="S2062" s="8">
        <v>18</v>
      </c>
      <c r="T2062" s="7" t="s">
        <v>4456</v>
      </c>
      <c r="U2062" s="7" t="s">
        <v>4455</v>
      </c>
      <c r="V20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63" spans="1:22" x14ac:dyDescent="0.35">
      <c r="A2063" s="7" t="s">
        <v>3961</v>
      </c>
      <c r="B2063" s="7" t="s">
        <v>345</v>
      </c>
      <c r="C2063" s="5">
        <v>279.60000000000002</v>
      </c>
      <c r="D2063" s="2">
        <v>0.68618055555270985</v>
      </c>
      <c r="E2063" s="4">
        <v>45077</v>
      </c>
      <c r="F2063" s="7" t="s">
        <v>17</v>
      </c>
      <c r="G2063" s="7" t="s">
        <v>157</v>
      </c>
      <c r="H2063" s="7" t="s">
        <v>1704</v>
      </c>
      <c r="I2063" s="7" t="s">
        <v>2065</v>
      </c>
      <c r="J2063" s="7" t="s">
        <v>348</v>
      </c>
      <c r="K2063" s="7" t="s">
        <v>22</v>
      </c>
      <c r="L2063" s="8">
        <v>25</v>
      </c>
      <c r="M2063" s="7" t="s">
        <v>37</v>
      </c>
      <c r="N2063" s="8">
        <v>131</v>
      </c>
      <c r="O2063" s="8">
        <v>1</v>
      </c>
      <c r="P2063" s="5">
        <v>1910.9</v>
      </c>
      <c r="Q2063" s="4">
        <v>45600</v>
      </c>
      <c r="R2063" s="9">
        <v>0.33811342592592591</v>
      </c>
      <c r="S2063" s="8">
        <v>16</v>
      </c>
      <c r="T2063" s="7" t="s">
        <v>4456</v>
      </c>
      <c r="U2063" s="7" t="s">
        <v>4455</v>
      </c>
      <c r="V20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64" spans="1:22" x14ac:dyDescent="0.35">
      <c r="A2064" s="7" t="s">
        <v>3962</v>
      </c>
      <c r="B2064" s="7" t="s">
        <v>3548</v>
      </c>
      <c r="C2064" s="5">
        <v>304.2</v>
      </c>
      <c r="D2064" s="2">
        <v>0.67098379629896954</v>
      </c>
      <c r="E2064" s="4">
        <v>45085</v>
      </c>
      <c r="F2064" s="7" t="s">
        <v>17</v>
      </c>
      <c r="G2064" s="7" t="s">
        <v>65</v>
      </c>
      <c r="H2064" s="7" t="s">
        <v>955</v>
      </c>
      <c r="I2064" s="7" t="s">
        <v>1990</v>
      </c>
      <c r="J2064" s="7" t="s">
        <v>160</v>
      </c>
      <c r="K2064" s="7" t="s">
        <v>36</v>
      </c>
      <c r="L2064" s="8">
        <v>25</v>
      </c>
      <c r="M2064" s="7" t="s">
        <v>37</v>
      </c>
      <c r="N2064" s="8">
        <v>102</v>
      </c>
      <c r="O2064" s="8">
        <v>1</v>
      </c>
      <c r="P2064" s="5">
        <v>423.64</v>
      </c>
      <c r="Q2064" s="4">
        <v>45600</v>
      </c>
      <c r="R2064" s="9">
        <v>0.34049768518518519</v>
      </c>
      <c r="S2064" s="8">
        <v>16</v>
      </c>
      <c r="T2064" s="7" t="s">
        <v>4456</v>
      </c>
      <c r="U2064" s="7" t="s">
        <v>4455</v>
      </c>
      <c r="V20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65" spans="1:22" x14ac:dyDescent="0.35">
      <c r="A2065" s="7" t="s">
        <v>3963</v>
      </c>
      <c r="B2065" s="7" t="s">
        <v>391</v>
      </c>
      <c r="C2065" s="5">
        <v>351.38</v>
      </c>
      <c r="D2065" s="2">
        <v>0.77910879629780538</v>
      </c>
      <c r="E2065" s="4">
        <v>45103</v>
      </c>
      <c r="F2065" s="7" t="s">
        <v>17</v>
      </c>
      <c r="G2065" s="7" t="s">
        <v>203</v>
      </c>
      <c r="H2065" s="7" t="s">
        <v>3298</v>
      </c>
      <c r="I2065" s="7" t="s">
        <v>1291</v>
      </c>
      <c r="J2065" s="7" t="s">
        <v>607</v>
      </c>
      <c r="K2065" s="7" t="s">
        <v>69</v>
      </c>
      <c r="L2065" s="8">
        <v>64</v>
      </c>
      <c r="M2065" s="7" t="s">
        <v>70</v>
      </c>
      <c r="N2065" s="8">
        <v>21</v>
      </c>
      <c r="O2065" s="8">
        <v>1</v>
      </c>
      <c r="P2065" s="5">
        <v>7606.63</v>
      </c>
      <c r="Q2065" s="4">
        <v>45600</v>
      </c>
      <c r="R2065" s="9">
        <v>0.33787037037037038</v>
      </c>
      <c r="S2065" s="8">
        <v>18</v>
      </c>
      <c r="T2065" s="7" t="s">
        <v>4454</v>
      </c>
      <c r="U2065" s="7" t="s">
        <v>4455</v>
      </c>
      <c r="V20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66" spans="1:22" x14ac:dyDescent="0.35">
      <c r="A2066" s="7" t="s">
        <v>3964</v>
      </c>
      <c r="B2066" s="7" t="s">
        <v>333</v>
      </c>
      <c r="C2066" s="5">
        <v>86.07</v>
      </c>
      <c r="D2066" s="2">
        <v>0.77829861111240461</v>
      </c>
      <c r="E2066" s="4">
        <v>45250</v>
      </c>
      <c r="F2066" s="7" t="s">
        <v>17</v>
      </c>
      <c r="G2066" s="7" t="s">
        <v>323</v>
      </c>
      <c r="H2066" s="7" t="s">
        <v>3965</v>
      </c>
      <c r="I2066" s="7" t="s">
        <v>3966</v>
      </c>
      <c r="J2066" s="7" t="s">
        <v>303</v>
      </c>
      <c r="K2066" s="7" t="s">
        <v>69</v>
      </c>
      <c r="L2066" s="8">
        <v>31</v>
      </c>
      <c r="M2066" s="7" t="s">
        <v>23</v>
      </c>
      <c r="N2066" s="8">
        <v>23</v>
      </c>
      <c r="O2066" s="8">
        <v>1</v>
      </c>
      <c r="P2066" s="5">
        <v>842.56</v>
      </c>
      <c r="Q2066" s="4">
        <v>45600</v>
      </c>
      <c r="R2066" s="9">
        <v>0.34188657407407408</v>
      </c>
      <c r="S2066" s="8">
        <v>18</v>
      </c>
      <c r="T2066" s="7" t="s">
        <v>4456</v>
      </c>
      <c r="U2066" s="7" t="s">
        <v>4455</v>
      </c>
      <c r="V20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67" spans="1:22" x14ac:dyDescent="0.35">
      <c r="A2067" s="7" t="s">
        <v>3967</v>
      </c>
      <c r="B2067" s="7" t="s">
        <v>2877</v>
      </c>
      <c r="C2067" s="5">
        <v>604.5</v>
      </c>
      <c r="D2067" s="2">
        <v>0.7773611111115315</v>
      </c>
      <c r="E2067" s="4">
        <v>45146</v>
      </c>
      <c r="F2067" s="7" t="s">
        <v>17</v>
      </c>
      <c r="G2067" s="7" t="s">
        <v>595</v>
      </c>
      <c r="H2067" s="7" t="s">
        <v>1584</v>
      </c>
      <c r="I2067" s="7" t="s">
        <v>857</v>
      </c>
      <c r="J2067" s="7" t="s">
        <v>89</v>
      </c>
      <c r="K2067" s="7" t="s">
        <v>22</v>
      </c>
      <c r="L2067" s="8">
        <v>28</v>
      </c>
      <c r="M2067" s="7" t="s">
        <v>37</v>
      </c>
      <c r="N2067" s="8">
        <v>80</v>
      </c>
      <c r="O2067" s="8">
        <v>1</v>
      </c>
      <c r="P2067" s="5">
        <v>709.42</v>
      </c>
      <c r="Q2067" s="4">
        <v>45600</v>
      </c>
      <c r="R2067" s="9">
        <v>0.33787037037037038</v>
      </c>
      <c r="S2067" s="8">
        <v>18</v>
      </c>
      <c r="T2067" s="7" t="s">
        <v>4456</v>
      </c>
      <c r="U2067" s="7" t="s">
        <v>4455</v>
      </c>
      <c r="V20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68" spans="1:22" x14ac:dyDescent="0.35">
      <c r="A2068" s="7" t="s">
        <v>3968</v>
      </c>
      <c r="B2068" s="7" t="s">
        <v>467</v>
      </c>
      <c r="C2068" s="5">
        <v>258.7</v>
      </c>
      <c r="D2068" s="2">
        <v>0.71684027777519077</v>
      </c>
      <c r="E2068" s="4">
        <v>44979</v>
      </c>
      <c r="F2068" s="7" t="s">
        <v>17</v>
      </c>
      <c r="G2068" s="7" t="s">
        <v>249</v>
      </c>
      <c r="H2068" s="7" t="s">
        <v>341</v>
      </c>
      <c r="I2068" s="7" t="s">
        <v>744</v>
      </c>
      <c r="J2068" s="7" t="s">
        <v>76</v>
      </c>
      <c r="K2068" s="7" t="s">
        <v>22</v>
      </c>
      <c r="L2068" s="8">
        <v>27</v>
      </c>
      <c r="M2068" s="7" t="s">
        <v>37</v>
      </c>
      <c r="N2068" s="8">
        <v>123</v>
      </c>
      <c r="O2068" s="8">
        <v>1</v>
      </c>
      <c r="P2068" s="5">
        <v>1358.37</v>
      </c>
      <c r="Q2068" s="4">
        <v>45600</v>
      </c>
      <c r="R2068" s="9">
        <v>0.33791666666666664</v>
      </c>
      <c r="S2068" s="8">
        <v>17</v>
      </c>
      <c r="T2068" s="7" t="s">
        <v>4456</v>
      </c>
      <c r="U2068" s="7" t="s">
        <v>4455</v>
      </c>
      <c r="V20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69" spans="1:22" x14ac:dyDescent="0.35">
      <c r="A2069" s="7" t="s">
        <v>3969</v>
      </c>
      <c r="B2069" s="7" t="s">
        <v>2467</v>
      </c>
      <c r="C2069" s="5">
        <v>994.63</v>
      </c>
      <c r="D2069" s="2">
        <v>0.666747685187147</v>
      </c>
      <c r="E2069" s="4">
        <v>45098</v>
      </c>
      <c r="F2069" s="7" t="s">
        <v>17</v>
      </c>
      <c r="G2069" s="7" t="s">
        <v>119</v>
      </c>
      <c r="H2069" s="7" t="s">
        <v>2682</v>
      </c>
      <c r="I2069" s="7" t="s">
        <v>828</v>
      </c>
      <c r="J2069" s="7" t="s">
        <v>95</v>
      </c>
      <c r="K2069" s="7" t="s">
        <v>36</v>
      </c>
      <c r="L2069" s="8">
        <v>61</v>
      </c>
      <c r="M2069" s="7" t="s">
        <v>23</v>
      </c>
      <c r="N2069" s="8">
        <v>158</v>
      </c>
      <c r="O2069" s="8">
        <v>1</v>
      </c>
      <c r="P2069" s="5">
        <v>13538.14</v>
      </c>
      <c r="Q2069" s="4">
        <v>45600</v>
      </c>
      <c r="R2069" s="9">
        <v>0.33987268518518521</v>
      </c>
      <c r="S2069" s="8">
        <v>16</v>
      </c>
      <c r="T2069" s="7" t="s">
        <v>4454</v>
      </c>
      <c r="U2069" s="7" t="s">
        <v>4455</v>
      </c>
      <c r="V20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70" spans="1:22" x14ac:dyDescent="0.35">
      <c r="A2070" s="7" t="s">
        <v>3970</v>
      </c>
      <c r="B2070" s="7" t="s">
        <v>781</v>
      </c>
      <c r="C2070" s="5">
        <v>11.46</v>
      </c>
      <c r="D2070" s="2">
        <v>0.71842592592292931</v>
      </c>
      <c r="E2070" s="4">
        <v>44957</v>
      </c>
      <c r="F2070" s="7" t="s">
        <v>46</v>
      </c>
      <c r="G2070" s="7" t="s">
        <v>119</v>
      </c>
      <c r="H2070" s="7" t="s">
        <v>184</v>
      </c>
      <c r="I2070" s="7" t="s">
        <v>298</v>
      </c>
      <c r="J2070" s="7" t="s">
        <v>1562</v>
      </c>
      <c r="K2070" s="7" t="s">
        <v>69</v>
      </c>
      <c r="L2070" s="8">
        <v>75</v>
      </c>
      <c r="M2070" s="7" t="s">
        <v>70</v>
      </c>
      <c r="N2070" s="8">
        <v>64</v>
      </c>
      <c r="O2070" s="8">
        <v>1</v>
      </c>
      <c r="P2070" s="5">
        <v>7258.33</v>
      </c>
      <c r="Q2070" s="4">
        <v>45600</v>
      </c>
      <c r="R2070" s="9">
        <v>0.33900462962962963</v>
      </c>
      <c r="S2070" s="8">
        <v>17</v>
      </c>
      <c r="T2070" s="7" t="s">
        <v>4454</v>
      </c>
      <c r="U2070" s="7" t="s">
        <v>4455</v>
      </c>
      <c r="V20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71" spans="1:22" x14ac:dyDescent="0.35">
      <c r="A2071" s="7" t="s">
        <v>3971</v>
      </c>
      <c r="B2071" s="7" t="s">
        <v>1536</v>
      </c>
      <c r="C2071" s="5">
        <v>63.76</v>
      </c>
      <c r="D2071" s="2">
        <v>0.73916666666627862</v>
      </c>
      <c r="E2071" s="4">
        <v>45104</v>
      </c>
      <c r="F2071" s="7" t="s">
        <v>17</v>
      </c>
      <c r="G2071" s="7" t="s">
        <v>237</v>
      </c>
      <c r="H2071" s="7" t="s">
        <v>2548</v>
      </c>
      <c r="I2071" s="7" t="s">
        <v>500</v>
      </c>
      <c r="J2071" s="7" t="s">
        <v>43</v>
      </c>
      <c r="K2071" s="7" t="s">
        <v>22</v>
      </c>
      <c r="L2071" s="8">
        <v>69</v>
      </c>
      <c r="M2071" s="7" t="s">
        <v>70</v>
      </c>
      <c r="N2071" s="8">
        <v>100</v>
      </c>
      <c r="O2071" s="8">
        <v>1</v>
      </c>
      <c r="P2071" s="5">
        <v>4980.26</v>
      </c>
      <c r="Q2071" s="4">
        <v>45600</v>
      </c>
      <c r="R2071" s="9">
        <v>0.34053240740740742</v>
      </c>
      <c r="S2071" s="8">
        <v>17</v>
      </c>
      <c r="T2071" s="7" t="s">
        <v>4454</v>
      </c>
      <c r="U2071" s="7" t="s">
        <v>4455</v>
      </c>
      <c r="V20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72" spans="1:22" x14ac:dyDescent="0.35">
      <c r="A2072" s="7" t="s">
        <v>3972</v>
      </c>
      <c r="B2072" s="7" t="s">
        <v>1799</v>
      </c>
      <c r="C2072" s="5">
        <v>446.83</v>
      </c>
      <c r="D2072" s="2">
        <v>0.78577546296583023</v>
      </c>
      <c r="E2072" s="4">
        <v>45103</v>
      </c>
      <c r="F2072" s="7" t="s">
        <v>46</v>
      </c>
      <c r="G2072" s="7" t="s">
        <v>172</v>
      </c>
      <c r="H2072" s="7" t="s">
        <v>1881</v>
      </c>
      <c r="I2072" s="7" t="s">
        <v>2434</v>
      </c>
      <c r="J2072" s="7" t="s">
        <v>267</v>
      </c>
      <c r="K2072" s="7" t="s">
        <v>69</v>
      </c>
      <c r="L2072" s="8">
        <v>55</v>
      </c>
      <c r="M2072" s="7" t="s">
        <v>70</v>
      </c>
      <c r="N2072" s="8">
        <v>143</v>
      </c>
      <c r="O2072" s="8">
        <v>1</v>
      </c>
      <c r="P2072" s="5">
        <v>1623.5</v>
      </c>
      <c r="Q2072" s="4">
        <v>45600</v>
      </c>
      <c r="R2072" s="9">
        <v>0.3399652777777778</v>
      </c>
      <c r="S2072" s="8">
        <v>18</v>
      </c>
      <c r="T2072" s="7" t="s">
        <v>4454</v>
      </c>
      <c r="U2072" s="7" t="s">
        <v>4455</v>
      </c>
      <c r="V20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73" spans="1:22" x14ac:dyDescent="0.35">
      <c r="A2073" s="7" t="s">
        <v>3973</v>
      </c>
      <c r="B2073" s="7" t="s">
        <v>1125</v>
      </c>
      <c r="C2073" s="5">
        <v>63.54</v>
      </c>
      <c r="D2073" s="2">
        <v>0.76618055555445608</v>
      </c>
      <c r="E2073" s="4">
        <v>45068</v>
      </c>
      <c r="F2073" s="7" t="s">
        <v>17</v>
      </c>
      <c r="G2073" s="7" t="s">
        <v>323</v>
      </c>
      <c r="H2073" s="7" t="s">
        <v>1645</v>
      </c>
      <c r="I2073" s="7" t="s">
        <v>555</v>
      </c>
      <c r="J2073" s="7" t="s">
        <v>414</v>
      </c>
      <c r="K2073" s="7" t="s">
        <v>22</v>
      </c>
      <c r="L2073" s="8">
        <v>26</v>
      </c>
      <c r="M2073" s="7" t="s">
        <v>77</v>
      </c>
      <c r="N2073" s="8">
        <v>136</v>
      </c>
      <c r="O2073" s="8">
        <v>1</v>
      </c>
      <c r="P2073" s="5">
        <v>4401.78</v>
      </c>
      <c r="Q2073" s="4">
        <v>45600</v>
      </c>
      <c r="R2073" s="9">
        <v>0.33855324074074072</v>
      </c>
      <c r="S2073" s="8">
        <v>18</v>
      </c>
      <c r="T2073" s="7" t="s">
        <v>4456</v>
      </c>
      <c r="U2073" s="7" t="s">
        <v>4455</v>
      </c>
      <c r="V20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74" spans="1:22" x14ac:dyDescent="0.35">
      <c r="A2074" s="7" t="s">
        <v>3974</v>
      </c>
      <c r="B2074" s="7" t="s">
        <v>720</v>
      </c>
      <c r="C2074" s="5">
        <v>81.11</v>
      </c>
      <c r="D2074" s="2">
        <v>0.755162037035916</v>
      </c>
      <c r="E2074" s="4">
        <v>45215</v>
      </c>
      <c r="F2074" s="7" t="s">
        <v>17</v>
      </c>
      <c r="G2074" s="7" t="s">
        <v>249</v>
      </c>
      <c r="H2074" s="7" t="s">
        <v>1340</v>
      </c>
      <c r="I2074" s="7" t="s">
        <v>2849</v>
      </c>
      <c r="J2074" s="7" t="s">
        <v>252</v>
      </c>
      <c r="K2074" s="7" t="s">
        <v>36</v>
      </c>
      <c r="L2074" s="8">
        <v>48</v>
      </c>
      <c r="M2074" s="7" t="s">
        <v>77</v>
      </c>
      <c r="N2074" s="8">
        <v>110</v>
      </c>
      <c r="O2074" s="8">
        <v>1</v>
      </c>
      <c r="P2074" s="5">
        <v>2051.37</v>
      </c>
      <c r="Q2074" s="4">
        <v>45600</v>
      </c>
      <c r="R2074" s="9">
        <v>0.33872685185185186</v>
      </c>
      <c r="S2074" s="8">
        <v>18</v>
      </c>
      <c r="T2074" s="7" t="s">
        <v>4457</v>
      </c>
      <c r="U2074" s="7" t="s">
        <v>4455</v>
      </c>
      <c r="V20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75" spans="1:22" x14ac:dyDescent="0.35">
      <c r="A2075" s="7" t="s">
        <v>3975</v>
      </c>
      <c r="B2075" s="7" t="s">
        <v>2690</v>
      </c>
      <c r="C2075" s="5">
        <v>441.26</v>
      </c>
      <c r="D2075" s="2">
        <v>0.67206018518481869</v>
      </c>
      <c r="E2075" s="4">
        <v>44984</v>
      </c>
      <c r="F2075" s="7" t="s">
        <v>46</v>
      </c>
      <c r="G2075" s="7" t="s">
        <v>255</v>
      </c>
      <c r="H2075" s="7" t="s">
        <v>3801</v>
      </c>
      <c r="I2075" s="7" t="s">
        <v>2280</v>
      </c>
      <c r="J2075" s="7" t="s">
        <v>226</v>
      </c>
      <c r="K2075" s="7" t="s">
        <v>69</v>
      </c>
      <c r="L2075" s="8">
        <v>58</v>
      </c>
      <c r="M2075" s="7" t="s">
        <v>23</v>
      </c>
      <c r="N2075" s="8">
        <v>87</v>
      </c>
      <c r="O2075" s="8">
        <v>5</v>
      </c>
      <c r="P2075" s="5">
        <v>13704.92</v>
      </c>
      <c r="Q2075" s="4">
        <v>45600</v>
      </c>
      <c r="R2075" s="9">
        <v>0.34144675925925927</v>
      </c>
      <c r="S2075" s="8">
        <v>16</v>
      </c>
      <c r="T2075" s="7" t="s">
        <v>4454</v>
      </c>
      <c r="U2075" s="7" t="s">
        <v>4458</v>
      </c>
      <c r="V20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76" spans="1:22" x14ac:dyDescent="0.35">
      <c r="A2076" s="7" t="s">
        <v>3976</v>
      </c>
      <c r="B2076" s="7" t="s">
        <v>1984</v>
      </c>
      <c r="C2076" s="5">
        <v>170.96</v>
      </c>
      <c r="D2076" s="2">
        <v>0.69914351851912215</v>
      </c>
      <c r="E2076" s="4">
        <v>45288</v>
      </c>
      <c r="F2076" s="7" t="s">
        <v>17</v>
      </c>
      <c r="G2076" s="7" t="s">
        <v>453</v>
      </c>
      <c r="H2076" s="7" t="s">
        <v>2357</v>
      </c>
      <c r="I2076" s="7" t="s">
        <v>1763</v>
      </c>
      <c r="J2076" s="7" t="s">
        <v>160</v>
      </c>
      <c r="K2076" s="7" t="s">
        <v>69</v>
      </c>
      <c r="L2076" s="8">
        <v>64</v>
      </c>
      <c r="M2076" s="7" t="s">
        <v>23</v>
      </c>
      <c r="N2076" s="8">
        <v>69</v>
      </c>
      <c r="O2076" s="8">
        <v>1</v>
      </c>
      <c r="P2076" s="5">
        <v>13374.89</v>
      </c>
      <c r="Q2076" s="4">
        <v>45600</v>
      </c>
      <c r="R2076" s="9">
        <v>0.33811342592592591</v>
      </c>
      <c r="S2076" s="8">
        <v>16</v>
      </c>
      <c r="T2076" s="7" t="s">
        <v>4454</v>
      </c>
      <c r="U2076" s="7" t="s">
        <v>4455</v>
      </c>
      <c r="V20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77" spans="1:22" x14ac:dyDescent="0.35">
      <c r="A2077" s="7" t="s">
        <v>3977</v>
      </c>
      <c r="B2077" s="7" t="s">
        <v>333</v>
      </c>
      <c r="C2077" s="5">
        <v>48.51</v>
      </c>
      <c r="D2077" s="2">
        <v>0.72381944444350665</v>
      </c>
      <c r="E2077" s="4">
        <v>44935</v>
      </c>
      <c r="F2077" s="7" t="s">
        <v>17</v>
      </c>
      <c r="G2077" s="7" t="s">
        <v>119</v>
      </c>
      <c r="H2077" s="7" t="s">
        <v>1187</v>
      </c>
      <c r="I2077" s="7" t="s">
        <v>2725</v>
      </c>
      <c r="J2077" s="7" t="s">
        <v>35</v>
      </c>
      <c r="K2077" s="7" t="s">
        <v>69</v>
      </c>
      <c r="L2077" s="8">
        <v>22</v>
      </c>
      <c r="M2077" s="7" t="s">
        <v>37</v>
      </c>
      <c r="N2077" s="8">
        <v>69</v>
      </c>
      <c r="O2077" s="8">
        <v>1</v>
      </c>
      <c r="P2077" s="5">
        <v>3363.23</v>
      </c>
      <c r="Q2077" s="4">
        <v>45600</v>
      </c>
      <c r="R2077" s="9">
        <v>0.34089120370370368</v>
      </c>
      <c r="S2077" s="8">
        <v>17</v>
      </c>
      <c r="T2077" s="7" t="s">
        <v>4456</v>
      </c>
      <c r="U2077" s="7" t="s">
        <v>4455</v>
      </c>
      <c r="V20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78" spans="1:22" x14ac:dyDescent="0.35">
      <c r="A2078" s="7" t="s">
        <v>3978</v>
      </c>
      <c r="B2078" s="7" t="s">
        <v>429</v>
      </c>
      <c r="C2078" s="5">
        <v>325.02999999999997</v>
      </c>
      <c r="D2078" s="2">
        <v>0.71133101851592073</v>
      </c>
      <c r="E2078" s="4">
        <v>44937</v>
      </c>
      <c r="F2078" s="7" t="s">
        <v>17</v>
      </c>
      <c r="G2078" s="7" t="s">
        <v>392</v>
      </c>
      <c r="H2078" s="7" t="s">
        <v>3263</v>
      </c>
      <c r="I2078" s="7" t="s">
        <v>518</v>
      </c>
      <c r="J2078" s="7" t="s">
        <v>634</v>
      </c>
      <c r="K2078" s="7" t="s">
        <v>69</v>
      </c>
      <c r="L2078" s="8">
        <v>60</v>
      </c>
      <c r="M2078" s="7" t="s">
        <v>23</v>
      </c>
      <c r="N2078" s="8">
        <v>106</v>
      </c>
      <c r="O2078" s="8">
        <v>1</v>
      </c>
      <c r="P2078" s="5">
        <v>13521.76</v>
      </c>
      <c r="Q2078" s="4">
        <v>45600</v>
      </c>
      <c r="R2078" s="9">
        <v>0.34037037037037038</v>
      </c>
      <c r="S2078" s="8">
        <v>17</v>
      </c>
      <c r="T2078" s="7" t="s">
        <v>4454</v>
      </c>
      <c r="U2078" s="7" t="s">
        <v>4455</v>
      </c>
      <c r="V20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79" spans="1:22" x14ac:dyDescent="0.35">
      <c r="A2079" s="7" t="s">
        <v>3979</v>
      </c>
      <c r="B2079" s="7" t="s">
        <v>1874</v>
      </c>
      <c r="C2079" s="5">
        <v>125.83</v>
      </c>
      <c r="D2079" s="2">
        <v>0.71809027777635492</v>
      </c>
      <c r="E2079" s="4">
        <v>45075</v>
      </c>
      <c r="F2079" s="7" t="s">
        <v>17</v>
      </c>
      <c r="G2079" s="7" t="s">
        <v>140</v>
      </c>
      <c r="H2079" s="7" t="s">
        <v>2359</v>
      </c>
      <c r="I2079" s="7" t="s">
        <v>2316</v>
      </c>
      <c r="J2079" s="7" t="s">
        <v>353</v>
      </c>
      <c r="K2079" s="7" t="s">
        <v>22</v>
      </c>
      <c r="L2079" s="8">
        <v>57</v>
      </c>
      <c r="M2079" s="7" t="s">
        <v>70</v>
      </c>
      <c r="N2079" s="8">
        <v>138</v>
      </c>
      <c r="O2079" s="8">
        <v>1</v>
      </c>
      <c r="P2079" s="5">
        <v>6109.86</v>
      </c>
      <c r="Q2079" s="4">
        <v>45600</v>
      </c>
      <c r="R2079" s="9">
        <v>0.34131944444444445</v>
      </c>
      <c r="S2079" s="8">
        <v>17</v>
      </c>
      <c r="T2079" s="7" t="s">
        <v>4454</v>
      </c>
      <c r="U2079" s="7" t="s">
        <v>4455</v>
      </c>
      <c r="V20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80" spans="1:22" x14ac:dyDescent="0.35">
      <c r="A2080" s="7" t="s">
        <v>3980</v>
      </c>
      <c r="B2080" s="7" t="s">
        <v>1655</v>
      </c>
      <c r="C2080" s="5">
        <v>506.83</v>
      </c>
      <c r="D2080" s="2">
        <v>0.72722222222364508</v>
      </c>
      <c r="E2080" s="4">
        <v>45040</v>
      </c>
      <c r="F2080" s="7" t="s">
        <v>17</v>
      </c>
      <c r="G2080" s="7" t="s">
        <v>65</v>
      </c>
      <c r="H2080" s="7" t="s">
        <v>385</v>
      </c>
      <c r="I2080" s="7" t="s">
        <v>2527</v>
      </c>
      <c r="J2080" s="7" t="s">
        <v>331</v>
      </c>
      <c r="K2080" s="7" t="s">
        <v>69</v>
      </c>
      <c r="L2080" s="8">
        <v>37</v>
      </c>
      <c r="M2080" s="7" t="s">
        <v>77</v>
      </c>
      <c r="N2080" s="8">
        <v>45</v>
      </c>
      <c r="O2080" s="8">
        <v>1</v>
      </c>
      <c r="P2080" s="5">
        <v>9975.7900000000009</v>
      </c>
      <c r="Q2080" s="4">
        <v>45600</v>
      </c>
      <c r="R2080" s="9">
        <v>0.33855324074074072</v>
      </c>
      <c r="S2080" s="8">
        <v>17</v>
      </c>
      <c r="T2080" s="7" t="s">
        <v>4457</v>
      </c>
      <c r="U2080" s="7" t="s">
        <v>4455</v>
      </c>
      <c r="V20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81" spans="1:22" x14ac:dyDescent="0.35">
      <c r="A2081" s="7" t="s">
        <v>3981</v>
      </c>
      <c r="B2081" s="7" t="s">
        <v>1631</v>
      </c>
      <c r="C2081" s="5">
        <v>738.94</v>
      </c>
      <c r="D2081" s="2">
        <v>0.78774305555270985</v>
      </c>
      <c r="E2081" s="4">
        <v>45208</v>
      </c>
      <c r="F2081" s="7" t="s">
        <v>17</v>
      </c>
      <c r="G2081" s="7" t="s">
        <v>243</v>
      </c>
      <c r="H2081" s="7" t="s">
        <v>1721</v>
      </c>
      <c r="I2081" s="7" t="s">
        <v>2186</v>
      </c>
      <c r="J2081" s="7" t="s">
        <v>674</v>
      </c>
      <c r="K2081" s="7" t="s">
        <v>69</v>
      </c>
      <c r="L2081" s="8">
        <v>41</v>
      </c>
      <c r="M2081" s="7" t="s">
        <v>23</v>
      </c>
      <c r="N2081" s="8">
        <v>173</v>
      </c>
      <c r="O2081" s="8">
        <v>1</v>
      </c>
      <c r="P2081" s="5">
        <v>13856.18</v>
      </c>
      <c r="Q2081" s="4">
        <v>45600</v>
      </c>
      <c r="R2081" s="9">
        <v>0.33947916666666667</v>
      </c>
      <c r="S2081" s="8">
        <v>18</v>
      </c>
      <c r="T2081" s="7" t="s">
        <v>4457</v>
      </c>
      <c r="U2081" s="7" t="s">
        <v>4455</v>
      </c>
      <c r="V20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82" spans="1:22" x14ac:dyDescent="0.35">
      <c r="A2082" s="7" t="s">
        <v>3982</v>
      </c>
      <c r="B2082" s="7" t="s">
        <v>720</v>
      </c>
      <c r="C2082" s="5">
        <v>180.36</v>
      </c>
      <c r="D2082" s="2">
        <v>0.67511574074160308</v>
      </c>
      <c r="E2082" s="4">
        <v>45076</v>
      </c>
      <c r="F2082" s="7" t="s">
        <v>46</v>
      </c>
      <c r="G2082" s="7" t="s">
        <v>53</v>
      </c>
      <c r="H2082" s="7" t="s">
        <v>1479</v>
      </c>
      <c r="I2082" s="7" t="s">
        <v>2353</v>
      </c>
      <c r="J2082" s="7" t="s">
        <v>1037</v>
      </c>
      <c r="K2082" s="7" t="s">
        <v>36</v>
      </c>
      <c r="L2082" s="8">
        <v>33</v>
      </c>
      <c r="M2082" s="7" t="s">
        <v>77</v>
      </c>
      <c r="N2082" s="8">
        <v>55</v>
      </c>
      <c r="O2082" s="8">
        <v>1</v>
      </c>
      <c r="P2082" s="5">
        <v>9905.23</v>
      </c>
      <c r="Q2082" s="4">
        <v>45600</v>
      </c>
      <c r="R2082" s="9">
        <v>0.33796296296296297</v>
      </c>
      <c r="S2082" s="8">
        <v>16</v>
      </c>
      <c r="T2082" s="7" t="s">
        <v>4456</v>
      </c>
      <c r="U2082" s="7" t="s">
        <v>4455</v>
      </c>
      <c r="V20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83" spans="1:22" x14ac:dyDescent="0.35">
      <c r="A2083" s="7" t="s">
        <v>3983</v>
      </c>
      <c r="B2083" s="7" t="s">
        <v>569</v>
      </c>
      <c r="C2083" s="5">
        <v>225.1</v>
      </c>
      <c r="D2083" s="2">
        <v>0.72828703703999054</v>
      </c>
      <c r="E2083" s="4">
        <v>45271</v>
      </c>
      <c r="F2083" s="7" t="s">
        <v>17</v>
      </c>
      <c r="G2083" s="7" t="s">
        <v>388</v>
      </c>
      <c r="H2083" s="7" t="s">
        <v>3399</v>
      </c>
      <c r="I2083" s="7" t="s">
        <v>2693</v>
      </c>
      <c r="J2083" s="7" t="s">
        <v>984</v>
      </c>
      <c r="K2083" s="7" t="s">
        <v>22</v>
      </c>
      <c r="L2083" s="8">
        <v>28</v>
      </c>
      <c r="M2083" s="7" t="s">
        <v>37</v>
      </c>
      <c r="N2083" s="8">
        <v>35</v>
      </c>
      <c r="O2083" s="8">
        <v>1</v>
      </c>
      <c r="P2083" s="5">
        <v>1547.71</v>
      </c>
      <c r="Q2083" s="4">
        <v>45600</v>
      </c>
      <c r="R2083" s="9">
        <v>0.33828703703703705</v>
      </c>
      <c r="S2083" s="8">
        <v>17</v>
      </c>
      <c r="T2083" s="7" t="s">
        <v>4456</v>
      </c>
      <c r="U2083" s="7" t="s">
        <v>4455</v>
      </c>
      <c r="V20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84" spans="1:22" x14ac:dyDescent="0.35">
      <c r="A2084" s="7" t="s">
        <v>3984</v>
      </c>
      <c r="B2084" s="7" t="s">
        <v>843</v>
      </c>
      <c r="C2084" s="5">
        <v>359.51</v>
      </c>
      <c r="D2084" s="2">
        <v>0.75600694444437977</v>
      </c>
      <c r="E2084" s="4">
        <v>45260</v>
      </c>
      <c r="F2084" s="7" t="s">
        <v>17</v>
      </c>
      <c r="G2084" s="7" t="s">
        <v>249</v>
      </c>
      <c r="H2084" s="7" t="s">
        <v>2851</v>
      </c>
      <c r="I2084" s="7" t="s">
        <v>82</v>
      </c>
      <c r="J2084" s="7" t="s">
        <v>752</v>
      </c>
      <c r="K2084" s="7" t="s">
        <v>36</v>
      </c>
      <c r="L2084" s="8">
        <v>79</v>
      </c>
      <c r="M2084" s="7" t="s">
        <v>70</v>
      </c>
      <c r="N2084" s="8">
        <v>157</v>
      </c>
      <c r="O2084" s="8">
        <v>1</v>
      </c>
      <c r="P2084" s="5">
        <v>7153.72</v>
      </c>
      <c r="Q2084" s="4">
        <v>45600</v>
      </c>
      <c r="R2084" s="9">
        <v>0.34179398148148149</v>
      </c>
      <c r="S2084" s="8">
        <v>18</v>
      </c>
      <c r="T2084" s="7" t="s">
        <v>4454</v>
      </c>
      <c r="U2084" s="7" t="s">
        <v>4455</v>
      </c>
      <c r="V20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85" spans="1:22" x14ac:dyDescent="0.35">
      <c r="A2085" s="7" t="s">
        <v>3985</v>
      </c>
      <c r="B2085" s="7" t="s">
        <v>2650</v>
      </c>
      <c r="C2085" s="5">
        <v>720.46</v>
      </c>
      <c r="D2085" s="2">
        <v>0.67407407407154096</v>
      </c>
      <c r="E2085" s="4">
        <v>45267</v>
      </c>
      <c r="F2085" s="7" t="s">
        <v>17</v>
      </c>
      <c r="G2085" s="7" t="s">
        <v>255</v>
      </c>
      <c r="H2085" s="7" t="s">
        <v>1269</v>
      </c>
      <c r="I2085" s="7" t="s">
        <v>2327</v>
      </c>
      <c r="J2085" s="7" t="s">
        <v>1524</v>
      </c>
      <c r="K2085" s="7" t="s">
        <v>69</v>
      </c>
      <c r="L2085" s="8">
        <v>54</v>
      </c>
      <c r="M2085" s="7" t="s">
        <v>70</v>
      </c>
      <c r="N2085" s="8">
        <v>44</v>
      </c>
      <c r="O2085" s="8">
        <v>1</v>
      </c>
      <c r="P2085" s="5">
        <v>3101.54</v>
      </c>
      <c r="Q2085" s="4">
        <v>45600</v>
      </c>
      <c r="R2085" s="9">
        <v>0.33929398148148149</v>
      </c>
      <c r="S2085" s="8">
        <v>16</v>
      </c>
      <c r="T2085" s="7" t="s">
        <v>4457</v>
      </c>
      <c r="U2085" s="7" t="s">
        <v>4455</v>
      </c>
      <c r="V20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86" spans="1:22" x14ac:dyDescent="0.35">
      <c r="A2086" s="7" t="s">
        <v>3986</v>
      </c>
      <c r="B2086" s="7" t="s">
        <v>2907</v>
      </c>
      <c r="C2086" s="5">
        <v>1116.57</v>
      </c>
      <c r="D2086" s="2">
        <v>0.70427083333197515</v>
      </c>
      <c r="E2086" s="4">
        <v>44980</v>
      </c>
      <c r="F2086" s="7" t="s">
        <v>17</v>
      </c>
      <c r="G2086" s="7" t="s">
        <v>255</v>
      </c>
      <c r="H2086" s="7" t="s">
        <v>3392</v>
      </c>
      <c r="I2086" s="7" t="s">
        <v>2150</v>
      </c>
      <c r="J2086" s="7" t="s">
        <v>262</v>
      </c>
      <c r="K2086" s="7" t="s">
        <v>22</v>
      </c>
      <c r="L2086" s="8">
        <v>56</v>
      </c>
      <c r="M2086" s="7" t="s">
        <v>70</v>
      </c>
      <c r="N2086" s="8">
        <v>104</v>
      </c>
      <c r="O2086" s="8">
        <v>1</v>
      </c>
      <c r="P2086" s="5">
        <v>1393.14</v>
      </c>
      <c r="Q2086" s="4">
        <v>45600</v>
      </c>
      <c r="R2086" s="9">
        <v>0.33835648148148151</v>
      </c>
      <c r="S2086" s="8">
        <v>16</v>
      </c>
      <c r="T2086" s="7" t="s">
        <v>4454</v>
      </c>
      <c r="U2086" s="7" t="s">
        <v>4455</v>
      </c>
      <c r="V20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87" spans="1:22" x14ac:dyDescent="0.35">
      <c r="A2087" s="7" t="s">
        <v>3987</v>
      </c>
      <c r="B2087" s="7" t="s">
        <v>31</v>
      </c>
      <c r="C2087" s="5">
        <v>291.45999999999998</v>
      </c>
      <c r="D2087" s="2">
        <v>0.68745370370015735</v>
      </c>
      <c r="E2087" s="4">
        <v>44965</v>
      </c>
      <c r="F2087" s="7" t="s">
        <v>17</v>
      </c>
      <c r="G2087" s="7" t="s">
        <v>172</v>
      </c>
      <c r="H2087" s="7" t="s">
        <v>1664</v>
      </c>
      <c r="I2087" s="7" t="s">
        <v>496</v>
      </c>
      <c r="J2087" s="7" t="s">
        <v>246</v>
      </c>
      <c r="K2087" s="7" t="s">
        <v>22</v>
      </c>
      <c r="L2087" s="8">
        <v>57</v>
      </c>
      <c r="M2087" s="7" t="s">
        <v>70</v>
      </c>
      <c r="N2087" s="8">
        <v>135</v>
      </c>
      <c r="O2087" s="8">
        <v>1</v>
      </c>
      <c r="P2087" s="5">
        <v>7142.53</v>
      </c>
      <c r="Q2087" s="4">
        <v>45600</v>
      </c>
      <c r="R2087" s="9">
        <v>0.34031250000000002</v>
      </c>
      <c r="S2087" s="8">
        <v>16</v>
      </c>
      <c r="T2087" s="7" t="s">
        <v>4454</v>
      </c>
      <c r="U2087" s="7" t="s">
        <v>4455</v>
      </c>
      <c r="V20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88" spans="1:22" x14ac:dyDescent="0.35">
      <c r="A2088" s="7" t="s">
        <v>3988</v>
      </c>
      <c r="B2088" s="7" t="s">
        <v>1311</v>
      </c>
      <c r="C2088" s="5">
        <v>1192.95</v>
      </c>
      <c r="D2088" s="2">
        <v>0.77083333333575865</v>
      </c>
      <c r="E2088" s="4">
        <v>45264</v>
      </c>
      <c r="F2088" s="7" t="s">
        <v>17</v>
      </c>
      <c r="G2088" s="7" t="s">
        <v>146</v>
      </c>
      <c r="H2088" s="7" t="s">
        <v>2247</v>
      </c>
      <c r="I2088" s="7" t="s">
        <v>3350</v>
      </c>
      <c r="J2088" s="7" t="s">
        <v>1524</v>
      </c>
      <c r="K2088" s="7" t="s">
        <v>69</v>
      </c>
      <c r="L2088" s="8">
        <v>23</v>
      </c>
      <c r="M2088" s="7" t="s">
        <v>37</v>
      </c>
      <c r="N2088" s="8">
        <v>73</v>
      </c>
      <c r="O2088" s="8">
        <v>1</v>
      </c>
      <c r="P2088" s="5">
        <v>325.14999999999998</v>
      </c>
      <c r="Q2088" s="4">
        <v>45600</v>
      </c>
      <c r="R2088" s="9">
        <v>0.33890046296296295</v>
      </c>
      <c r="S2088" s="8">
        <v>18</v>
      </c>
      <c r="T2088" s="7" t="s">
        <v>4456</v>
      </c>
      <c r="U2088" s="7" t="s">
        <v>4455</v>
      </c>
      <c r="V20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89" spans="1:22" x14ac:dyDescent="0.35">
      <c r="A2089" s="7" t="s">
        <v>3989</v>
      </c>
      <c r="B2089" s="7" t="s">
        <v>1878</v>
      </c>
      <c r="C2089" s="5">
        <v>98.24</v>
      </c>
      <c r="D2089" s="2">
        <v>0.74914351852203254</v>
      </c>
      <c r="E2089" s="4">
        <v>45026</v>
      </c>
      <c r="F2089" s="7" t="s">
        <v>17</v>
      </c>
      <c r="G2089" s="7" t="s">
        <v>32</v>
      </c>
      <c r="H2089" s="7" t="s">
        <v>2333</v>
      </c>
      <c r="I2089" s="7" t="s">
        <v>2523</v>
      </c>
      <c r="J2089" s="7" t="s">
        <v>1000</v>
      </c>
      <c r="K2089" s="7" t="s">
        <v>36</v>
      </c>
      <c r="L2089" s="8">
        <v>28</v>
      </c>
      <c r="M2089" s="7" t="s">
        <v>37</v>
      </c>
      <c r="N2089" s="8">
        <v>148</v>
      </c>
      <c r="O2089" s="8">
        <v>1</v>
      </c>
      <c r="P2089" s="5">
        <v>580.66</v>
      </c>
      <c r="Q2089" s="4">
        <v>45600</v>
      </c>
      <c r="R2089" s="9">
        <v>0.33956018518518516</v>
      </c>
      <c r="S2089" s="8">
        <v>17</v>
      </c>
      <c r="T2089" s="7" t="s">
        <v>4456</v>
      </c>
      <c r="U2089" s="7" t="s">
        <v>4455</v>
      </c>
      <c r="V20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90" spans="1:22" x14ac:dyDescent="0.35">
      <c r="A2090" s="7" t="s">
        <v>3990</v>
      </c>
      <c r="B2090" s="7" t="s">
        <v>1620</v>
      </c>
      <c r="C2090" s="5">
        <v>100.48</v>
      </c>
      <c r="D2090" s="2">
        <v>0.70376157407736173</v>
      </c>
      <c r="E2090" s="4">
        <v>44974</v>
      </c>
      <c r="F2090" s="7" t="s">
        <v>46</v>
      </c>
      <c r="G2090" s="7" t="s">
        <v>178</v>
      </c>
      <c r="H2090" s="7" t="s">
        <v>910</v>
      </c>
      <c r="I2090" s="7" t="s">
        <v>2416</v>
      </c>
      <c r="J2090" s="7" t="s">
        <v>740</v>
      </c>
      <c r="K2090" s="7" t="s">
        <v>69</v>
      </c>
      <c r="L2090" s="8">
        <v>18</v>
      </c>
      <c r="M2090" s="7" t="s">
        <v>37</v>
      </c>
      <c r="N2090" s="8">
        <v>104</v>
      </c>
      <c r="O2090" s="8">
        <v>1</v>
      </c>
      <c r="P2090" s="5">
        <v>6149.81</v>
      </c>
      <c r="Q2090" s="4">
        <v>45600</v>
      </c>
      <c r="R2090" s="9">
        <v>0.34180555555555553</v>
      </c>
      <c r="S2090" s="8">
        <v>16</v>
      </c>
      <c r="T2090" s="7" t="s">
        <v>4456</v>
      </c>
      <c r="U2090" s="7" t="s">
        <v>4455</v>
      </c>
      <c r="V20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91" spans="1:22" x14ac:dyDescent="0.35">
      <c r="A2091" s="7" t="s">
        <v>3991</v>
      </c>
      <c r="B2091" s="7" t="s">
        <v>993</v>
      </c>
      <c r="C2091" s="5">
        <v>45.9</v>
      </c>
      <c r="D2091" s="2">
        <v>0.78885416666889796</v>
      </c>
      <c r="E2091" s="4">
        <v>45111</v>
      </c>
      <c r="F2091" s="7" t="s">
        <v>17</v>
      </c>
      <c r="G2091" s="7" t="s">
        <v>125</v>
      </c>
      <c r="H2091" s="7" t="s">
        <v>2006</v>
      </c>
      <c r="I2091" s="7" t="s">
        <v>116</v>
      </c>
      <c r="J2091" s="7" t="s">
        <v>43</v>
      </c>
      <c r="K2091" s="7" t="s">
        <v>69</v>
      </c>
      <c r="L2091" s="8">
        <v>56</v>
      </c>
      <c r="M2091" s="7" t="s">
        <v>77</v>
      </c>
      <c r="N2091" s="8">
        <v>264</v>
      </c>
      <c r="O2091" s="8">
        <v>1</v>
      </c>
      <c r="P2091" s="5">
        <v>5698.25</v>
      </c>
      <c r="Q2091" s="4">
        <v>45600</v>
      </c>
      <c r="R2091" s="9">
        <v>0.33871527777777777</v>
      </c>
      <c r="S2091" s="8">
        <v>18</v>
      </c>
      <c r="T2091" s="7" t="s">
        <v>4454</v>
      </c>
      <c r="U2091" s="7" t="s">
        <v>4455</v>
      </c>
      <c r="V20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92" spans="1:22" x14ac:dyDescent="0.35">
      <c r="A2092" s="7" t="s">
        <v>3992</v>
      </c>
      <c r="B2092" s="7" t="s">
        <v>698</v>
      </c>
      <c r="C2092" s="5">
        <v>258.20999999999998</v>
      </c>
      <c r="D2092" s="2">
        <v>0.72188657407241408</v>
      </c>
      <c r="E2092" s="4">
        <v>45257</v>
      </c>
      <c r="F2092" s="7" t="s">
        <v>17</v>
      </c>
      <c r="G2092" s="7" t="s">
        <v>237</v>
      </c>
      <c r="H2092" s="7" t="s">
        <v>131</v>
      </c>
      <c r="I2092" s="7" t="s">
        <v>1850</v>
      </c>
      <c r="J2092" s="7" t="s">
        <v>240</v>
      </c>
      <c r="K2092" s="7" t="s">
        <v>36</v>
      </c>
      <c r="L2092" s="8">
        <v>39</v>
      </c>
      <c r="M2092" s="7" t="s">
        <v>23</v>
      </c>
      <c r="N2092" s="8">
        <v>225</v>
      </c>
      <c r="O2092" s="8">
        <v>1</v>
      </c>
      <c r="P2092" s="5">
        <v>9562.41</v>
      </c>
      <c r="Q2092" s="4">
        <v>45600</v>
      </c>
      <c r="R2092" s="9">
        <v>0.34040509259259261</v>
      </c>
      <c r="S2092" s="8">
        <v>17</v>
      </c>
      <c r="T2092" s="7" t="s">
        <v>4457</v>
      </c>
      <c r="U2092" s="7" t="s">
        <v>4455</v>
      </c>
      <c r="V20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93" spans="1:22" x14ac:dyDescent="0.35">
      <c r="A2093" s="7" t="s">
        <v>3993</v>
      </c>
      <c r="B2093" s="7" t="s">
        <v>2690</v>
      </c>
      <c r="C2093" s="5">
        <v>1079.1099999999999</v>
      </c>
      <c r="D2093" s="2">
        <v>0.69612268518540077</v>
      </c>
      <c r="E2093" s="4">
        <v>45051</v>
      </c>
      <c r="F2093" s="7" t="s">
        <v>17</v>
      </c>
      <c r="G2093" s="7" t="s">
        <v>146</v>
      </c>
      <c r="H2093" s="7" t="s">
        <v>928</v>
      </c>
      <c r="I2093" s="7" t="s">
        <v>3456</v>
      </c>
      <c r="J2093" s="7" t="s">
        <v>564</v>
      </c>
      <c r="K2093" s="7" t="s">
        <v>36</v>
      </c>
      <c r="L2093" s="8">
        <v>53</v>
      </c>
      <c r="M2093" s="7" t="s">
        <v>77</v>
      </c>
      <c r="N2093" s="8">
        <v>211</v>
      </c>
      <c r="O2093" s="8">
        <v>1</v>
      </c>
      <c r="P2093" s="5">
        <v>2038.31</v>
      </c>
      <c r="Q2093" s="4">
        <v>45600</v>
      </c>
      <c r="R2093" s="9">
        <v>0.3386689814814815</v>
      </c>
      <c r="S2093" s="8">
        <v>16</v>
      </c>
      <c r="T2093" s="7" t="s">
        <v>4457</v>
      </c>
      <c r="U2093" s="7" t="s">
        <v>4455</v>
      </c>
      <c r="V20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94" spans="1:22" x14ac:dyDescent="0.35">
      <c r="A2094" s="7" t="s">
        <v>3994</v>
      </c>
      <c r="B2094" s="7" t="s">
        <v>3402</v>
      </c>
      <c r="C2094" s="5">
        <v>287.51</v>
      </c>
      <c r="D2094" s="2">
        <v>0.70660879629576812</v>
      </c>
      <c r="E2094" s="4">
        <v>45068</v>
      </c>
      <c r="F2094" s="7" t="s">
        <v>17</v>
      </c>
      <c r="G2094" s="7" t="s">
        <v>506</v>
      </c>
      <c r="H2094" s="7" t="s">
        <v>3995</v>
      </c>
      <c r="I2094" s="7" t="s">
        <v>1399</v>
      </c>
      <c r="J2094" s="7" t="s">
        <v>1810</v>
      </c>
      <c r="K2094" s="7" t="s">
        <v>36</v>
      </c>
      <c r="L2094" s="8">
        <v>22</v>
      </c>
      <c r="M2094" s="7" t="s">
        <v>37</v>
      </c>
      <c r="N2094" s="8">
        <v>255</v>
      </c>
      <c r="O2094" s="8">
        <v>1</v>
      </c>
      <c r="P2094" s="5">
        <v>187.65</v>
      </c>
      <c r="Q2094" s="4">
        <v>45600</v>
      </c>
      <c r="R2094" s="9">
        <v>0.33910879629629631</v>
      </c>
      <c r="S2094" s="8">
        <v>16</v>
      </c>
      <c r="T2094" s="7" t="s">
        <v>4456</v>
      </c>
      <c r="U2094" s="7" t="s">
        <v>4455</v>
      </c>
      <c r="V20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95" spans="1:22" x14ac:dyDescent="0.35">
      <c r="A2095" s="7" t="s">
        <v>3996</v>
      </c>
      <c r="B2095" s="7" t="s">
        <v>691</v>
      </c>
      <c r="C2095" s="5">
        <v>501.3</v>
      </c>
      <c r="D2095" s="2">
        <v>0.76917824074189411</v>
      </c>
      <c r="E2095" s="4">
        <v>45068</v>
      </c>
      <c r="F2095" s="7" t="s">
        <v>46</v>
      </c>
      <c r="G2095" s="7" t="s">
        <v>237</v>
      </c>
      <c r="H2095" s="7" t="s">
        <v>448</v>
      </c>
      <c r="I2095" s="7" t="s">
        <v>1325</v>
      </c>
      <c r="J2095" s="7" t="s">
        <v>68</v>
      </c>
      <c r="K2095" s="7" t="s">
        <v>36</v>
      </c>
      <c r="L2095" s="8">
        <v>26</v>
      </c>
      <c r="M2095" s="7" t="s">
        <v>77</v>
      </c>
      <c r="N2095" s="8">
        <v>146</v>
      </c>
      <c r="O2095" s="8">
        <v>1</v>
      </c>
      <c r="P2095" s="5">
        <v>8520.08</v>
      </c>
      <c r="Q2095" s="4">
        <v>45600</v>
      </c>
      <c r="R2095" s="9">
        <v>0.3389699074074074</v>
      </c>
      <c r="S2095" s="8">
        <v>18</v>
      </c>
      <c r="T2095" s="7" t="s">
        <v>4456</v>
      </c>
      <c r="U2095" s="7" t="s">
        <v>4455</v>
      </c>
      <c r="V20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096" spans="1:22" x14ac:dyDescent="0.35">
      <c r="A2096" s="7" t="s">
        <v>3997</v>
      </c>
      <c r="B2096" s="7" t="s">
        <v>1327</v>
      </c>
      <c r="C2096" s="5">
        <v>26.1</v>
      </c>
      <c r="D2096" s="2">
        <v>0.68149305555562023</v>
      </c>
      <c r="E2096" s="4">
        <v>44974</v>
      </c>
      <c r="F2096" s="7" t="s">
        <v>17</v>
      </c>
      <c r="G2096" s="7" t="s">
        <v>32</v>
      </c>
      <c r="H2096" s="7" t="s">
        <v>1871</v>
      </c>
      <c r="I2096" s="7" t="s">
        <v>2434</v>
      </c>
      <c r="J2096" s="7" t="s">
        <v>353</v>
      </c>
      <c r="K2096" s="7" t="s">
        <v>22</v>
      </c>
      <c r="L2096" s="8">
        <v>27</v>
      </c>
      <c r="M2096" s="7" t="s">
        <v>37</v>
      </c>
      <c r="N2096" s="8">
        <v>32</v>
      </c>
      <c r="O2096" s="8">
        <v>1</v>
      </c>
      <c r="P2096" s="5">
        <v>1435.72</v>
      </c>
      <c r="Q2096" s="4">
        <v>45600</v>
      </c>
      <c r="R2096" s="9">
        <v>0.33829861111111109</v>
      </c>
      <c r="S2096" s="8">
        <v>16</v>
      </c>
      <c r="T2096" s="7" t="s">
        <v>4456</v>
      </c>
      <c r="U2096" s="7" t="s">
        <v>4455</v>
      </c>
      <c r="V20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97" spans="1:22" x14ac:dyDescent="0.35">
      <c r="A2097" s="7" t="s">
        <v>3998</v>
      </c>
      <c r="B2097" s="7" t="s">
        <v>2583</v>
      </c>
      <c r="C2097" s="5">
        <v>436.77</v>
      </c>
      <c r="D2097" s="2">
        <v>0.67695601852028631</v>
      </c>
      <c r="E2097" s="4">
        <v>45197</v>
      </c>
      <c r="F2097" s="7" t="s">
        <v>17</v>
      </c>
      <c r="G2097" s="7" t="s">
        <v>392</v>
      </c>
      <c r="H2097" s="7" t="s">
        <v>738</v>
      </c>
      <c r="I2097" s="7" t="s">
        <v>2609</v>
      </c>
      <c r="J2097" s="7" t="s">
        <v>326</v>
      </c>
      <c r="K2097" s="7" t="s">
        <v>22</v>
      </c>
      <c r="L2097" s="8">
        <v>20</v>
      </c>
      <c r="M2097" s="7" t="s">
        <v>37</v>
      </c>
      <c r="N2097" s="8">
        <v>176</v>
      </c>
      <c r="O2097" s="8">
        <v>1</v>
      </c>
      <c r="P2097" s="5">
        <v>825.69</v>
      </c>
      <c r="Q2097" s="4">
        <v>45600</v>
      </c>
      <c r="R2097" s="9">
        <v>0.33971064814814816</v>
      </c>
      <c r="S2097" s="8">
        <v>16</v>
      </c>
      <c r="T2097" s="7" t="s">
        <v>4456</v>
      </c>
      <c r="U2097" s="7" t="s">
        <v>4455</v>
      </c>
      <c r="V20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98" spans="1:22" x14ac:dyDescent="0.35">
      <c r="A2098" s="7" t="s">
        <v>3999</v>
      </c>
      <c r="B2098" s="7" t="s">
        <v>2930</v>
      </c>
      <c r="C2098" s="5">
        <v>292.38</v>
      </c>
      <c r="D2098" s="2">
        <v>0.70085648148233304</v>
      </c>
      <c r="E2098" s="4">
        <v>45061</v>
      </c>
      <c r="F2098" s="7" t="s">
        <v>17</v>
      </c>
      <c r="G2098" s="7" t="s">
        <v>197</v>
      </c>
      <c r="H2098" s="7" t="s">
        <v>614</v>
      </c>
      <c r="I2098" s="7" t="s">
        <v>3324</v>
      </c>
      <c r="J2098" s="7" t="s">
        <v>353</v>
      </c>
      <c r="K2098" s="7" t="s">
        <v>22</v>
      </c>
      <c r="L2098" s="8">
        <v>68</v>
      </c>
      <c r="M2098" s="7" t="s">
        <v>23</v>
      </c>
      <c r="N2098" s="8">
        <v>224</v>
      </c>
      <c r="O2098" s="8">
        <v>1</v>
      </c>
      <c r="P2098" s="5">
        <v>5803.89</v>
      </c>
      <c r="Q2098" s="4">
        <v>45600</v>
      </c>
      <c r="R2098" s="9">
        <v>0.34006944444444442</v>
      </c>
      <c r="S2098" s="8">
        <v>16</v>
      </c>
      <c r="T2098" s="7" t="s">
        <v>4454</v>
      </c>
      <c r="U2098" s="7" t="s">
        <v>4455</v>
      </c>
      <c r="V20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099" spans="1:22" x14ac:dyDescent="0.35">
      <c r="A2099" s="7" t="s">
        <v>4000</v>
      </c>
      <c r="B2099" s="7" t="s">
        <v>1422</v>
      </c>
      <c r="C2099" s="5">
        <v>1026.46</v>
      </c>
      <c r="D2099" s="2">
        <v>0.69464120370685123</v>
      </c>
      <c r="E2099" s="4">
        <v>45098</v>
      </c>
      <c r="F2099" s="7" t="s">
        <v>17</v>
      </c>
      <c r="G2099" s="7" t="s">
        <v>243</v>
      </c>
      <c r="H2099" s="7" t="s">
        <v>676</v>
      </c>
      <c r="I2099" s="7" t="s">
        <v>369</v>
      </c>
      <c r="J2099" s="7" t="s">
        <v>35</v>
      </c>
      <c r="K2099" s="7" t="s">
        <v>69</v>
      </c>
      <c r="L2099" s="8">
        <v>53</v>
      </c>
      <c r="M2099" s="7" t="s">
        <v>70</v>
      </c>
      <c r="N2099" s="8">
        <v>165</v>
      </c>
      <c r="O2099" s="8">
        <v>1</v>
      </c>
      <c r="P2099" s="5">
        <v>3134.47</v>
      </c>
      <c r="Q2099" s="4">
        <v>45600</v>
      </c>
      <c r="R2099" s="9">
        <v>0.33847222222222223</v>
      </c>
      <c r="S2099" s="8">
        <v>16</v>
      </c>
      <c r="T2099" s="7" t="s">
        <v>4457</v>
      </c>
      <c r="U2099" s="7" t="s">
        <v>4455</v>
      </c>
      <c r="V20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00" spans="1:22" x14ac:dyDescent="0.35">
      <c r="A2100" s="7" t="s">
        <v>4001</v>
      </c>
      <c r="B2100" s="7" t="s">
        <v>2225</v>
      </c>
      <c r="C2100" s="5">
        <v>25.29</v>
      </c>
      <c r="D2100" s="2">
        <v>0.77383101851592073</v>
      </c>
      <c r="E2100" s="4">
        <v>45134</v>
      </c>
      <c r="F2100" s="7" t="s">
        <v>17</v>
      </c>
      <c r="G2100" s="7" t="s">
        <v>172</v>
      </c>
      <c r="H2100" s="7" t="s">
        <v>207</v>
      </c>
      <c r="I2100" s="7" t="s">
        <v>2268</v>
      </c>
      <c r="J2100" s="7" t="s">
        <v>262</v>
      </c>
      <c r="K2100" s="7" t="s">
        <v>36</v>
      </c>
      <c r="L2100" s="8">
        <v>50</v>
      </c>
      <c r="M2100" s="7" t="s">
        <v>77</v>
      </c>
      <c r="N2100" s="8">
        <v>125</v>
      </c>
      <c r="O2100" s="8">
        <v>1</v>
      </c>
      <c r="P2100" s="5">
        <v>5374.69</v>
      </c>
      <c r="Q2100" s="4">
        <v>45600</v>
      </c>
      <c r="R2100" s="9">
        <v>0.33800925925925923</v>
      </c>
      <c r="S2100" s="8">
        <v>18</v>
      </c>
      <c r="T2100" s="7" t="s">
        <v>4457</v>
      </c>
      <c r="U2100" s="7" t="s">
        <v>4455</v>
      </c>
      <c r="V21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01" spans="1:22" x14ac:dyDescent="0.35">
      <c r="A2101" s="7" t="s">
        <v>4002</v>
      </c>
      <c r="B2101" s="7" t="s">
        <v>399</v>
      </c>
      <c r="C2101" s="5">
        <v>123.35</v>
      </c>
      <c r="D2101" s="2">
        <v>0.70898148148262408</v>
      </c>
      <c r="E2101" s="4">
        <v>45149</v>
      </c>
      <c r="F2101" s="7" t="s">
        <v>46</v>
      </c>
      <c r="G2101" s="7" t="s">
        <v>197</v>
      </c>
      <c r="H2101" s="7" t="s">
        <v>645</v>
      </c>
      <c r="I2101" s="7" t="s">
        <v>3182</v>
      </c>
      <c r="J2101" s="7" t="s">
        <v>272</v>
      </c>
      <c r="K2101" s="7" t="s">
        <v>36</v>
      </c>
      <c r="L2101" s="8">
        <v>31</v>
      </c>
      <c r="M2101" s="7" t="s">
        <v>23</v>
      </c>
      <c r="N2101" s="8">
        <v>10</v>
      </c>
      <c r="O2101" s="8">
        <v>1</v>
      </c>
      <c r="P2101" s="5">
        <v>6852.16</v>
      </c>
      <c r="Q2101" s="4">
        <v>45600</v>
      </c>
      <c r="R2101" s="9">
        <v>0.34025462962962966</v>
      </c>
      <c r="S2101" s="8">
        <v>17</v>
      </c>
      <c r="T2101" s="7" t="s">
        <v>4456</v>
      </c>
      <c r="U2101" s="7" t="s">
        <v>4455</v>
      </c>
      <c r="V21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02" spans="1:22" x14ac:dyDescent="0.35">
      <c r="A2102" s="7" t="s">
        <v>4003</v>
      </c>
      <c r="B2102" s="7" t="s">
        <v>986</v>
      </c>
      <c r="C2102" s="5">
        <v>139.52000000000001</v>
      </c>
      <c r="D2102" s="2">
        <v>0.75187500000174623</v>
      </c>
      <c r="E2102" s="4">
        <v>45191</v>
      </c>
      <c r="F2102" s="7" t="s">
        <v>17</v>
      </c>
      <c r="G2102" s="7" t="s">
        <v>595</v>
      </c>
      <c r="H2102" s="7" t="s">
        <v>1314</v>
      </c>
      <c r="I2102" s="7" t="s">
        <v>3334</v>
      </c>
      <c r="J2102" s="7" t="s">
        <v>105</v>
      </c>
      <c r="K2102" s="7" t="s">
        <v>69</v>
      </c>
      <c r="L2102" s="8">
        <v>23</v>
      </c>
      <c r="M2102" s="7" t="s">
        <v>37</v>
      </c>
      <c r="N2102" s="8">
        <v>31</v>
      </c>
      <c r="O2102" s="8">
        <v>1</v>
      </c>
      <c r="P2102" s="5">
        <v>1570.22</v>
      </c>
      <c r="Q2102" s="4">
        <v>45600</v>
      </c>
      <c r="R2102" s="9">
        <v>0.33888888888888891</v>
      </c>
      <c r="S2102" s="8">
        <v>18</v>
      </c>
      <c r="T2102" s="7" t="s">
        <v>4456</v>
      </c>
      <c r="U2102" s="7" t="s">
        <v>4455</v>
      </c>
      <c r="V21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03" spans="1:22" x14ac:dyDescent="0.35">
      <c r="A2103" s="7" t="s">
        <v>4004</v>
      </c>
      <c r="B2103" s="7" t="s">
        <v>314</v>
      </c>
      <c r="C2103" s="5">
        <v>51.2</v>
      </c>
      <c r="D2103" s="2">
        <v>0.78179398148495238</v>
      </c>
      <c r="E2103" s="4">
        <v>44998</v>
      </c>
      <c r="F2103" s="7" t="s">
        <v>17</v>
      </c>
      <c r="G2103" s="7" t="s">
        <v>255</v>
      </c>
      <c r="H2103" s="7" t="s">
        <v>2012</v>
      </c>
      <c r="I2103" s="7" t="s">
        <v>431</v>
      </c>
      <c r="J2103" s="7" t="s">
        <v>386</v>
      </c>
      <c r="K2103" s="7" t="s">
        <v>36</v>
      </c>
      <c r="L2103" s="8">
        <v>18</v>
      </c>
      <c r="M2103" s="7" t="s">
        <v>37</v>
      </c>
      <c r="N2103" s="8">
        <v>83</v>
      </c>
      <c r="O2103" s="8">
        <v>1</v>
      </c>
      <c r="P2103" s="5">
        <v>730.6</v>
      </c>
      <c r="Q2103" s="4">
        <v>45600</v>
      </c>
      <c r="R2103" s="9">
        <v>0.33800925925925923</v>
      </c>
      <c r="S2103" s="8">
        <v>18</v>
      </c>
      <c r="T2103" s="7" t="s">
        <v>4456</v>
      </c>
      <c r="U2103" s="7" t="s">
        <v>4455</v>
      </c>
      <c r="V21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04" spans="1:22" x14ac:dyDescent="0.35">
      <c r="A2104" s="7" t="s">
        <v>4005</v>
      </c>
      <c r="B2104" s="7" t="s">
        <v>1631</v>
      </c>
      <c r="C2104" s="5">
        <v>122.85</v>
      </c>
      <c r="D2104" s="2">
        <v>0.73533564814715646</v>
      </c>
      <c r="E2104" s="4">
        <v>45259</v>
      </c>
      <c r="F2104" s="7" t="s">
        <v>46</v>
      </c>
      <c r="G2104" s="7" t="s">
        <v>59</v>
      </c>
      <c r="H2104" s="7" t="s">
        <v>3813</v>
      </c>
      <c r="I2104" s="7" t="s">
        <v>99</v>
      </c>
      <c r="J2104" s="7" t="s">
        <v>853</v>
      </c>
      <c r="K2104" s="7" t="s">
        <v>36</v>
      </c>
      <c r="L2104" s="8">
        <v>47</v>
      </c>
      <c r="M2104" s="7" t="s">
        <v>23</v>
      </c>
      <c r="N2104" s="8">
        <v>127</v>
      </c>
      <c r="O2104" s="8">
        <v>3</v>
      </c>
      <c r="P2104" s="5">
        <v>13185.39</v>
      </c>
      <c r="Q2104" s="4">
        <v>45600</v>
      </c>
      <c r="R2104" s="9">
        <v>0.33819444444444446</v>
      </c>
      <c r="S2104" s="8">
        <v>17</v>
      </c>
      <c r="T2104" s="7" t="s">
        <v>4457</v>
      </c>
      <c r="U2104" s="7" t="s">
        <v>4458</v>
      </c>
      <c r="V21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05" spans="1:22" x14ac:dyDescent="0.35">
      <c r="A2105" s="7" t="s">
        <v>4006</v>
      </c>
      <c r="B2105" s="7" t="s">
        <v>2581</v>
      </c>
      <c r="C2105" s="5">
        <v>161.38</v>
      </c>
      <c r="D2105" s="2">
        <v>0.67103009259153623</v>
      </c>
      <c r="E2105" s="4">
        <v>45239</v>
      </c>
      <c r="F2105" s="7" t="s">
        <v>46</v>
      </c>
      <c r="G2105" s="7" t="s">
        <v>521</v>
      </c>
      <c r="H2105" s="7" t="s">
        <v>74</v>
      </c>
      <c r="I2105" s="7" t="s">
        <v>3350</v>
      </c>
      <c r="J2105" s="7" t="s">
        <v>62</v>
      </c>
      <c r="K2105" s="7" t="s">
        <v>36</v>
      </c>
      <c r="L2105" s="8">
        <v>24</v>
      </c>
      <c r="M2105" s="7" t="s">
        <v>37</v>
      </c>
      <c r="N2105" s="8">
        <v>101</v>
      </c>
      <c r="O2105" s="8">
        <v>1</v>
      </c>
      <c r="P2105" s="5">
        <v>3900.34</v>
      </c>
      <c r="Q2105" s="4">
        <v>45600</v>
      </c>
      <c r="R2105" s="9">
        <v>0.34091435185185187</v>
      </c>
      <c r="S2105" s="8">
        <v>16</v>
      </c>
      <c r="T2105" s="7" t="s">
        <v>4456</v>
      </c>
      <c r="U2105" s="7" t="s">
        <v>4455</v>
      </c>
      <c r="V21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06" spans="1:22" x14ac:dyDescent="0.35">
      <c r="A2106" s="7" t="s">
        <v>4007</v>
      </c>
      <c r="B2106" s="7" t="s">
        <v>438</v>
      </c>
      <c r="C2106" s="5">
        <v>2.5099999999999998</v>
      </c>
      <c r="D2106" s="2">
        <v>0.66968749999796273</v>
      </c>
      <c r="E2106" s="4">
        <v>45033</v>
      </c>
      <c r="F2106" s="7" t="s">
        <v>17</v>
      </c>
      <c r="G2106" s="7" t="s">
        <v>197</v>
      </c>
      <c r="H2106" s="7" t="s">
        <v>1434</v>
      </c>
      <c r="I2106" s="7" t="s">
        <v>374</v>
      </c>
      <c r="J2106" s="7" t="s">
        <v>514</v>
      </c>
      <c r="K2106" s="7" t="s">
        <v>36</v>
      </c>
      <c r="L2106" s="8">
        <v>63</v>
      </c>
      <c r="M2106" s="7" t="s">
        <v>70</v>
      </c>
      <c r="N2106" s="8">
        <v>32</v>
      </c>
      <c r="O2106" s="8">
        <v>1</v>
      </c>
      <c r="P2106" s="5">
        <v>4891.5600000000004</v>
      </c>
      <c r="Q2106" s="4">
        <v>45600</v>
      </c>
      <c r="R2106" s="9">
        <v>0.34122685185185186</v>
      </c>
      <c r="S2106" s="8">
        <v>16</v>
      </c>
      <c r="T2106" s="7" t="s">
        <v>4454</v>
      </c>
      <c r="U2106" s="7" t="s">
        <v>4455</v>
      </c>
      <c r="V21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07" spans="1:22" x14ac:dyDescent="0.35">
      <c r="A2107" s="7" t="s">
        <v>4008</v>
      </c>
      <c r="B2107" s="7" t="s">
        <v>1984</v>
      </c>
      <c r="C2107" s="5">
        <v>22.62</v>
      </c>
      <c r="D2107" s="2">
        <v>0.69099537037254777</v>
      </c>
      <c r="E2107" s="4">
        <v>45056</v>
      </c>
      <c r="F2107" s="7" t="s">
        <v>17</v>
      </c>
      <c r="G2107" s="7" t="s">
        <v>301</v>
      </c>
      <c r="H2107" s="7" t="s">
        <v>98</v>
      </c>
      <c r="I2107" s="7" t="s">
        <v>1325</v>
      </c>
      <c r="J2107" s="7" t="s">
        <v>326</v>
      </c>
      <c r="K2107" s="7" t="s">
        <v>22</v>
      </c>
      <c r="L2107" s="8">
        <v>64</v>
      </c>
      <c r="M2107" s="7" t="s">
        <v>23</v>
      </c>
      <c r="N2107" s="8">
        <v>102</v>
      </c>
      <c r="O2107" s="8">
        <v>1</v>
      </c>
      <c r="P2107" s="5">
        <v>7682</v>
      </c>
      <c r="Q2107" s="4">
        <v>45600</v>
      </c>
      <c r="R2107" s="9">
        <v>0.3411689814814815</v>
      </c>
      <c r="S2107" s="8">
        <v>16</v>
      </c>
      <c r="T2107" s="7" t="s">
        <v>4454</v>
      </c>
      <c r="U2107" s="7" t="s">
        <v>4455</v>
      </c>
      <c r="V21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08" spans="1:22" x14ac:dyDescent="0.35">
      <c r="A2108" s="7" t="s">
        <v>4009</v>
      </c>
      <c r="B2108" s="7" t="s">
        <v>594</v>
      </c>
      <c r="C2108" s="5">
        <v>126.83</v>
      </c>
      <c r="D2108" s="2">
        <v>0.69473379629926058</v>
      </c>
      <c r="E2108" s="4">
        <v>44977</v>
      </c>
      <c r="F2108" s="7" t="s">
        <v>17</v>
      </c>
      <c r="G2108" s="7" t="s">
        <v>119</v>
      </c>
      <c r="H2108" s="7" t="s">
        <v>1555</v>
      </c>
      <c r="I2108" s="7" t="s">
        <v>3452</v>
      </c>
      <c r="J2108" s="7" t="s">
        <v>83</v>
      </c>
      <c r="K2108" s="7" t="s">
        <v>69</v>
      </c>
      <c r="L2108" s="8">
        <v>57</v>
      </c>
      <c r="M2108" s="7" t="s">
        <v>70</v>
      </c>
      <c r="N2108" s="8">
        <v>39</v>
      </c>
      <c r="O2108" s="8">
        <v>1</v>
      </c>
      <c r="P2108" s="5">
        <v>6100.98</v>
      </c>
      <c r="Q2108" s="4">
        <v>45600</v>
      </c>
      <c r="R2108" s="9">
        <v>0.34063657407407405</v>
      </c>
      <c r="S2108" s="8">
        <v>16</v>
      </c>
      <c r="T2108" s="7" t="s">
        <v>4454</v>
      </c>
      <c r="U2108" s="7" t="s">
        <v>4455</v>
      </c>
      <c r="V21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09" spans="1:22" x14ac:dyDescent="0.35">
      <c r="A2109" s="7" t="s">
        <v>4010</v>
      </c>
      <c r="B2109" s="7" t="s">
        <v>2208</v>
      </c>
      <c r="C2109" s="5">
        <v>46.6</v>
      </c>
      <c r="D2109" s="2">
        <v>0.74646990740438923</v>
      </c>
      <c r="E2109" s="4">
        <v>45168</v>
      </c>
      <c r="F2109" s="7" t="s">
        <v>17</v>
      </c>
      <c r="G2109" s="7" t="s">
        <v>73</v>
      </c>
      <c r="H2109" s="7" t="s">
        <v>947</v>
      </c>
      <c r="I2109" s="7" t="s">
        <v>1505</v>
      </c>
      <c r="J2109" s="7" t="s">
        <v>406</v>
      </c>
      <c r="K2109" s="7" t="s">
        <v>36</v>
      </c>
      <c r="L2109" s="8">
        <v>55</v>
      </c>
      <c r="M2109" s="7" t="s">
        <v>23</v>
      </c>
      <c r="N2109" s="8">
        <v>68</v>
      </c>
      <c r="O2109" s="8">
        <v>1</v>
      </c>
      <c r="P2109" s="5">
        <v>1562.9</v>
      </c>
      <c r="Q2109" s="4">
        <v>45600</v>
      </c>
      <c r="R2109" s="9">
        <v>0.33776620370370369</v>
      </c>
      <c r="S2109" s="8">
        <v>17</v>
      </c>
      <c r="T2109" s="7" t="s">
        <v>4454</v>
      </c>
      <c r="U2109" s="7" t="s">
        <v>4455</v>
      </c>
      <c r="V21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10" spans="1:22" x14ac:dyDescent="0.35">
      <c r="A2110" s="7" t="s">
        <v>4011</v>
      </c>
      <c r="B2110" s="7" t="s">
        <v>872</v>
      </c>
      <c r="C2110" s="5">
        <v>243.8</v>
      </c>
      <c r="D2110" s="2">
        <v>0.69630787037021946</v>
      </c>
      <c r="E2110" s="4">
        <v>44929</v>
      </c>
      <c r="F2110" s="7" t="s">
        <v>17</v>
      </c>
      <c r="G2110" s="7" t="s">
        <v>212</v>
      </c>
      <c r="H2110" s="7" t="s">
        <v>2737</v>
      </c>
      <c r="I2110" s="7" t="s">
        <v>1772</v>
      </c>
      <c r="J2110" s="7" t="s">
        <v>1810</v>
      </c>
      <c r="K2110" s="7" t="s">
        <v>69</v>
      </c>
      <c r="L2110" s="8">
        <v>57</v>
      </c>
      <c r="M2110" s="7" t="s">
        <v>23</v>
      </c>
      <c r="N2110" s="8">
        <v>48</v>
      </c>
      <c r="O2110" s="8">
        <v>1</v>
      </c>
      <c r="P2110" s="5">
        <v>13732.81</v>
      </c>
      <c r="Q2110" s="4">
        <v>45600</v>
      </c>
      <c r="R2110" s="9">
        <v>0.34038194444444442</v>
      </c>
      <c r="S2110" s="8">
        <v>16</v>
      </c>
      <c r="T2110" s="7" t="s">
        <v>4454</v>
      </c>
      <c r="U2110" s="7" t="s">
        <v>4455</v>
      </c>
      <c r="V21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11" spans="1:22" x14ac:dyDescent="0.35">
      <c r="A2111" s="7" t="s">
        <v>4012</v>
      </c>
      <c r="B2111" s="7" t="s">
        <v>813</v>
      </c>
      <c r="C2111" s="5">
        <v>231.51</v>
      </c>
      <c r="D2111" s="2">
        <v>0.72379629629722331</v>
      </c>
      <c r="E2111" s="4">
        <v>45166</v>
      </c>
      <c r="F2111" s="7" t="s">
        <v>46</v>
      </c>
      <c r="G2111" s="7" t="s">
        <v>53</v>
      </c>
      <c r="H2111" s="7" t="s">
        <v>19</v>
      </c>
      <c r="I2111" s="7" t="s">
        <v>878</v>
      </c>
      <c r="J2111" s="7" t="s">
        <v>181</v>
      </c>
      <c r="K2111" s="7" t="s">
        <v>69</v>
      </c>
      <c r="L2111" s="8">
        <v>60</v>
      </c>
      <c r="M2111" s="7" t="s">
        <v>70</v>
      </c>
      <c r="N2111" s="8">
        <v>96</v>
      </c>
      <c r="O2111" s="8">
        <v>1</v>
      </c>
      <c r="P2111" s="5">
        <v>5790.7</v>
      </c>
      <c r="Q2111" s="4">
        <v>45600</v>
      </c>
      <c r="R2111" s="9">
        <v>0.34177083333333336</v>
      </c>
      <c r="S2111" s="8">
        <v>17</v>
      </c>
      <c r="T2111" s="7" t="s">
        <v>4454</v>
      </c>
      <c r="U2111" s="7" t="s">
        <v>4455</v>
      </c>
      <c r="V21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12" spans="1:22" x14ac:dyDescent="0.35">
      <c r="A2112" s="7" t="s">
        <v>4013</v>
      </c>
      <c r="B2112" s="7" t="s">
        <v>1023</v>
      </c>
      <c r="C2112" s="5">
        <v>175.05</v>
      </c>
      <c r="D2112" s="2">
        <v>0.71199074073956581</v>
      </c>
      <c r="E2112" s="4">
        <v>44928</v>
      </c>
      <c r="F2112" s="7" t="s">
        <v>17</v>
      </c>
      <c r="G2112" s="7" t="s">
        <v>212</v>
      </c>
      <c r="H2112" s="7" t="s">
        <v>2758</v>
      </c>
      <c r="I2112" s="7" t="s">
        <v>1910</v>
      </c>
      <c r="J2112" s="7" t="s">
        <v>1524</v>
      </c>
      <c r="K2112" s="7" t="s">
        <v>36</v>
      </c>
      <c r="L2112" s="8">
        <v>39</v>
      </c>
      <c r="M2112" s="7" t="s">
        <v>77</v>
      </c>
      <c r="N2112" s="8">
        <v>34</v>
      </c>
      <c r="O2112" s="8">
        <v>1</v>
      </c>
      <c r="P2112" s="5">
        <v>1447.35</v>
      </c>
      <c r="Q2112" s="4">
        <v>45600</v>
      </c>
      <c r="R2112" s="9">
        <v>0.33899305555555553</v>
      </c>
      <c r="S2112" s="8">
        <v>17</v>
      </c>
      <c r="T2112" s="7" t="s">
        <v>4457</v>
      </c>
      <c r="U2112" s="7" t="s">
        <v>4455</v>
      </c>
      <c r="V21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13" spans="1:22" x14ac:dyDescent="0.35">
      <c r="A2113" s="7" t="s">
        <v>4014</v>
      </c>
      <c r="B2113" s="7" t="s">
        <v>1394</v>
      </c>
      <c r="C2113" s="5">
        <v>762.74</v>
      </c>
      <c r="D2113" s="2">
        <v>0.72562499999912689</v>
      </c>
      <c r="E2113" s="4">
        <v>45048</v>
      </c>
      <c r="F2113" s="7" t="s">
        <v>17</v>
      </c>
      <c r="G2113" s="7" t="s">
        <v>140</v>
      </c>
      <c r="H2113" s="7" t="s">
        <v>1977</v>
      </c>
      <c r="I2113" s="7" t="s">
        <v>3152</v>
      </c>
      <c r="J2113" s="7" t="s">
        <v>200</v>
      </c>
      <c r="K2113" s="7" t="s">
        <v>22</v>
      </c>
      <c r="L2113" s="8">
        <v>64</v>
      </c>
      <c r="M2113" s="7" t="s">
        <v>23</v>
      </c>
      <c r="N2113" s="8">
        <v>244</v>
      </c>
      <c r="O2113" s="8">
        <v>1</v>
      </c>
      <c r="P2113" s="5">
        <v>207.1</v>
      </c>
      <c r="Q2113" s="4">
        <v>45600</v>
      </c>
      <c r="R2113" s="9">
        <v>0.33795138888888887</v>
      </c>
      <c r="S2113" s="8">
        <v>17</v>
      </c>
      <c r="T2113" s="7" t="s">
        <v>4454</v>
      </c>
      <c r="U2113" s="7" t="s">
        <v>4455</v>
      </c>
      <c r="V21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14" spans="1:22" x14ac:dyDescent="0.35">
      <c r="A2114" s="7" t="s">
        <v>4015</v>
      </c>
      <c r="B2114" s="7" t="s">
        <v>1696</v>
      </c>
      <c r="C2114" s="5">
        <v>34.03</v>
      </c>
      <c r="D2114" s="2">
        <v>0.7149305555576575</v>
      </c>
      <c r="E2114" s="4">
        <v>45068</v>
      </c>
      <c r="F2114" s="7" t="s">
        <v>17</v>
      </c>
      <c r="G2114" s="7" t="s">
        <v>140</v>
      </c>
      <c r="H2114" s="7" t="s">
        <v>2318</v>
      </c>
      <c r="I2114" s="7" t="s">
        <v>1605</v>
      </c>
      <c r="J2114" s="7" t="s">
        <v>1810</v>
      </c>
      <c r="K2114" s="7" t="s">
        <v>69</v>
      </c>
      <c r="L2114" s="8">
        <v>57</v>
      </c>
      <c r="M2114" s="7" t="s">
        <v>77</v>
      </c>
      <c r="N2114" s="8">
        <v>38</v>
      </c>
      <c r="O2114" s="8">
        <v>1</v>
      </c>
      <c r="P2114" s="5">
        <v>3077.2</v>
      </c>
      <c r="Q2114" s="4">
        <v>45600</v>
      </c>
      <c r="R2114" s="9">
        <v>0.3402662037037037</v>
      </c>
      <c r="S2114" s="8">
        <v>17</v>
      </c>
      <c r="T2114" s="7" t="s">
        <v>4454</v>
      </c>
      <c r="U2114" s="7" t="s">
        <v>4455</v>
      </c>
      <c r="V21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15" spans="1:22" x14ac:dyDescent="0.35">
      <c r="A2115" s="7" t="s">
        <v>4016</v>
      </c>
      <c r="B2115" s="7" t="s">
        <v>295</v>
      </c>
      <c r="C2115" s="5">
        <v>15.95</v>
      </c>
      <c r="D2115" s="2">
        <v>0.71527777778101154</v>
      </c>
      <c r="E2115" s="4">
        <v>44999</v>
      </c>
      <c r="F2115" s="7" t="s">
        <v>17</v>
      </c>
      <c r="G2115" s="7" t="s">
        <v>40</v>
      </c>
      <c r="H2115" s="7" t="s">
        <v>1952</v>
      </c>
      <c r="I2115" s="7" t="s">
        <v>2298</v>
      </c>
      <c r="J2115" s="7" t="s">
        <v>122</v>
      </c>
      <c r="K2115" s="7" t="s">
        <v>69</v>
      </c>
      <c r="L2115" s="8">
        <v>25</v>
      </c>
      <c r="M2115" s="7" t="s">
        <v>37</v>
      </c>
      <c r="N2115" s="8">
        <v>52</v>
      </c>
      <c r="O2115" s="8">
        <v>1</v>
      </c>
      <c r="P2115" s="5">
        <v>1983</v>
      </c>
      <c r="Q2115" s="4">
        <v>45600</v>
      </c>
      <c r="R2115" s="9">
        <v>0.34142361111111114</v>
      </c>
      <c r="S2115" s="8">
        <v>17</v>
      </c>
      <c r="T2115" s="7" t="s">
        <v>4456</v>
      </c>
      <c r="U2115" s="7" t="s">
        <v>4455</v>
      </c>
      <c r="V21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16" spans="1:22" x14ac:dyDescent="0.35">
      <c r="A2116" s="7" t="s">
        <v>4017</v>
      </c>
      <c r="B2116" s="7" t="s">
        <v>333</v>
      </c>
      <c r="C2116" s="5">
        <v>926.53</v>
      </c>
      <c r="D2116" s="2">
        <v>0.72527777777577285</v>
      </c>
      <c r="E2116" s="4">
        <v>45254</v>
      </c>
      <c r="F2116" s="7" t="s">
        <v>17</v>
      </c>
      <c r="G2116" s="7" t="s">
        <v>178</v>
      </c>
      <c r="H2116" s="7" t="s">
        <v>2503</v>
      </c>
      <c r="I2116" s="7" t="s">
        <v>1913</v>
      </c>
      <c r="J2116" s="7" t="s">
        <v>331</v>
      </c>
      <c r="K2116" s="7" t="s">
        <v>22</v>
      </c>
      <c r="L2116" s="8">
        <v>57</v>
      </c>
      <c r="M2116" s="7" t="s">
        <v>77</v>
      </c>
      <c r="N2116" s="8">
        <v>107</v>
      </c>
      <c r="O2116" s="8">
        <v>1</v>
      </c>
      <c r="P2116" s="5">
        <v>3120.1</v>
      </c>
      <c r="Q2116" s="4">
        <v>45600</v>
      </c>
      <c r="R2116" s="9">
        <v>0.33777777777777779</v>
      </c>
      <c r="S2116" s="8">
        <v>17</v>
      </c>
      <c r="T2116" s="7" t="s">
        <v>4454</v>
      </c>
      <c r="U2116" s="7" t="s">
        <v>4455</v>
      </c>
      <c r="V21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17" spans="1:22" x14ac:dyDescent="0.35">
      <c r="A2117" s="7" t="s">
        <v>4018</v>
      </c>
      <c r="B2117" s="7" t="s">
        <v>962</v>
      </c>
      <c r="C2117" s="5">
        <v>101.51</v>
      </c>
      <c r="D2117" s="2">
        <v>0.67906249999941792</v>
      </c>
      <c r="E2117" s="4">
        <v>45008</v>
      </c>
      <c r="F2117" s="7" t="s">
        <v>46</v>
      </c>
      <c r="G2117" s="7" t="s">
        <v>255</v>
      </c>
      <c r="H2117" s="7" t="s">
        <v>2406</v>
      </c>
      <c r="I2117" s="7" t="s">
        <v>921</v>
      </c>
      <c r="J2117" s="7" t="s">
        <v>564</v>
      </c>
      <c r="K2117" s="7" t="s">
        <v>36</v>
      </c>
      <c r="L2117" s="8">
        <v>46</v>
      </c>
      <c r="M2117" s="7" t="s">
        <v>77</v>
      </c>
      <c r="N2117" s="8">
        <v>199</v>
      </c>
      <c r="O2117" s="8">
        <v>1</v>
      </c>
      <c r="P2117" s="5">
        <v>3052.47</v>
      </c>
      <c r="Q2117" s="4">
        <v>45600</v>
      </c>
      <c r="R2117" s="9">
        <v>0.34159722222222222</v>
      </c>
      <c r="S2117" s="8">
        <v>16</v>
      </c>
      <c r="T2117" s="7" t="s">
        <v>4457</v>
      </c>
      <c r="U2117" s="7" t="s">
        <v>4455</v>
      </c>
      <c r="V21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18" spans="1:22" x14ac:dyDescent="0.35">
      <c r="A2118" s="7" t="s">
        <v>4019</v>
      </c>
      <c r="B2118" s="7" t="s">
        <v>1739</v>
      </c>
      <c r="C2118" s="5">
        <v>309.42</v>
      </c>
      <c r="D2118" s="2">
        <v>0.70244212963007158</v>
      </c>
      <c r="E2118" s="4">
        <v>45217</v>
      </c>
      <c r="F2118" s="7" t="s">
        <v>17</v>
      </c>
      <c r="G2118" s="7" t="s">
        <v>558</v>
      </c>
      <c r="H2118" s="7" t="s">
        <v>1162</v>
      </c>
      <c r="I2118" s="7" t="s">
        <v>2535</v>
      </c>
      <c r="J2118" s="7" t="s">
        <v>548</v>
      </c>
      <c r="K2118" s="7" t="s">
        <v>69</v>
      </c>
      <c r="L2118" s="8">
        <v>27</v>
      </c>
      <c r="M2118" s="7" t="s">
        <v>77</v>
      </c>
      <c r="N2118" s="8">
        <v>42</v>
      </c>
      <c r="O2118" s="8">
        <v>1</v>
      </c>
      <c r="P2118" s="5">
        <v>8564.4599999999991</v>
      </c>
      <c r="Q2118" s="4">
        <v>45600</v>
      </c>
      <c r="R2118" s="9">
        <v>0.34052083333333333</v>
      </c>
      <c r="S2118" s="8">
        <v>16</v>
      </c>
      <c r="T2118" s="7" t="s">
        <v>4456</v>
      </c>
      <c r="U2118" s="7" t="s">
        <v>4455</v>
      </c>
      <c r="V21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19" spans="1:22" x14ac:dyDescent="0.35">
      <c r="A2119" s="7" t="s">
        <v>4020</v>
      </c>
      <c r="B2119" s="7" t="s">
        <v>3924</v>
      </c>
      <c r="C2119" s="5">
        <v>257.60000000000002</v>
      </c>
      <c r="D2119" s="2">
        <v>0.68803240740817273</v>
      </c>
      <c r="E2119" s="4">
        <v>45278</v>
      </c>
      <c r="F2119" s="7" t="s">
        <v>46</v>
      </c>
      <c r="G2119" s="7" t="s">
        <v>157</v>
      </c>
      <c r="H2119" s="7" t="s">
        <v>1473</v>
      </c>
      <c r="I2119" s="7" t="s">
        <v>2041</v>
      </c>
      <c r="J2119" s="7" t="s">
        <v>432</v>
      </c>
      <c r="K2119" s="7" t="s">
        <v>36</v>
      </c>
      <c r="L2119" s="8">
        <v>59</v>
      </c>
      <c r="M2119" s="7" t="s">
        <v>70</v>
      </c>
      <c r="N2119" s="8">
        <v>293</v>
      </c>
      <c r="O2119" s="8">
        <v>1</v>
      </c>
      <c r="P2119" s="5">
        <v>7950.74</v>
      </c>
      <c r="Q2119" s="4">
        <v>45600</v>
      </c>
      <c r="R2119" s="9">
        <v>0.34024305555555556</v>
      </c>
      <c r="S2119" s="8">
        <v>16</v>
      </c>
      <c r="T2119" s="7" t="s">
        <v>4454</v>
      </c>
      <c r="U2119" s="7" t="s">
        <v>4455</v>
      </c>
      <c r="V21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20" spans="1:22" x14ac:dyDescent="0.35">
      <c r="A2120" s="7" t="s">
        <v>4021</v>
      </c>
      <c r="B2120" s="7" t="s">
        <v>1238</v>
      </c>
      <c r="C2120" s="5">
        <v>746.78</v>
      </c>
      <c r="D2120" s="2">
        <v>0.68699074073811062</v>
      </c>
      <c r="E2120" s="4">
        <v>45257</v>
      </c>
      <c r="F2120" s="7" t="s">
        <v>46</v>
      </c>
      <c r="G2120" s="7" t="s">
        <v>32</v>
      </c>
      <c r="H2120" s="7" t="s">
        <v>2976</v>
      </c>
      <c r="I2120" s="7" t="s">
        <v>4022</v>
      </c>
      <c r="J2120" s="7" t="s">
        <v>353</v>
      </c>
      <c r="K2120" s="7" t="s">
        <v>69</v>
      </c>
      <c r="L2120" s="8">
        <v>21</v>
      </c>
      <c r="M2120" s="7" t="s">
        <v>37</v>
      </c>
      <c r="N2120" s="8">
        <v>64</v>
      </c>
      <c r="O2120" s="8">
        <v>1</v>
      </c>
      <c r="P2120" s="5">
        <v>1699.81</v>
      </c>
      <c r="Q2120" s="4">
        <v>45600</v>
      </c>
      <c r="R2120" s="9">
        <v>0.33870370370370373</v>
      </c>
      <c r="S2120" s="8">
        <v>16</v>
      </c>
      <c r="T2120" s="7" t="s">
        <v>4456</v>
      </c>
      <c r="U2120" s="7" t="s">
        <v>4455</v>
      </c>
      <c r="V21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21" spans="1:22" x14ac:dyDescent="0.35">
      <c r="A2121" s="7" t="s">
        <v>4023</v>
      </c>
      <c r="B2121" s="7" t="s">
        <v>64</v>
      </c>
      <c r="C2121" s="5">
        <v>82.01</v>
      </c>
      <c r="D2121" s="2">
        <v>0.72774305555503815</v>
      </c>
      <c r="E2121" s="4">
        <v>45285</v>
      </c>
      <c r="F2121" s="7" t="s">
        <v>46</v>
      </c>
      <c r="G2121" s="7" t="s">
        <v>285</v>
      </c>
      <c r="H2121" s="7" t="s">
        <v>3546</v>
      </c>
      <c r="I2121" s="7" t="s">
        <v>99</v>
      </c>
      <c r="J2121" s="7" t="s">
        <v>348</v>
      </c>
      <c r="K2121" s="7" t="s">
        <v>69</v>
      </c>
      <c r="L2121" s="8">
        <v>23</v>
      </c>
      <c r="M2121" s="7" t="s">
        <v>37</v>
      </c>
      <c r="N2121" s="8">
        <v>156</v>
      </c>
      <c r="O2121" s="8">
        <v>1</v>
      </c>
      <c r="P2121" s="5">
        <v>287.45999999999998</v>
      </c>
      <c r="Q2121" s="4">
        <v>45600</v>
      </c>
      <c r="R2121" s="9">
        <v>0.33835648148148151</v>
      </c>
      <c r="S2121" s="8">
        <v>17</v>
      </c>
      <c r="T2121" s="7" t="s">
        <v>4456</v>
      </c>
      <c r="U2121" s="7" t="s">
        <v>4455</v>
      </c>
      <c r="V21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22" spans="1:22" x14ac:dyDescent="0.35">
      <c r="A2122" s="7" t="s">
        <v>4024</v>
      </c>
      <c r="B2122" s="7" t="s">
        <v>139</v>
      </c>
      <c r="C2122" s="5">
        <v>476.99</v>
      </c>
      <c r="D2122" s="2">
        <v>0.66703703703387873</v>
      </c>
      <c r="E2122" s="4">
        <v>44936</v>
      </c>
      <c r="F2122" s="7" t="s">
        <v>17</v>
      </c>
      <c r="G2122" s="7" t="s">
        <v>18</v>
      </c>
      <c r="H2122" s="7" t="s">
        <v>3480</v>
      </c>
      <c r="I2122" s="7" t="s">
        <v>2316</v>
      </c>
      <c r="J2122" s="7" t="s">
        <v>154</v>
      </c>
      <c r="K2122" s="7" t="s">
        <v>36</v>
      </c>
      <c r="L2122" s="8">
        <v>23</v>
      </c>
      <c r="M2122" s="7" t="s">
        <v>37</v>
      </c>
      <c r="N2122" s="8">
        <v>187</v>
      </c>
      <c r="O2122" s="8">
        <v>1</v>
      </c>
      <c r="P2122" s="5">
        <v>1154.48</v>
      </c>
      <c r="Q2122" s="4">
        <v>45600</v>
      </c>
      <c r="R2122" s="9">
        <v>0.34039351851851851</v>
      </c>
      <c r="S2122" s="8">
        <v>16</v>
      </c>
      <c r="T2122" s="7" t="s">
        <v>4456</v>
      </c>
      <c r="U2122" s="7" t="s">
        <v>4455</v>
      </c>
      <c r="V21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23" spans="1:22" x14ac:dyDescent="0.35">
      <c r="A2123" s="7" t="s">
        <v>4025</v>
      </c>
      <c r="B2123" s="7" t="s">
        <v>1405</v>
      </c>
      <c r="C2123" s="5">
        <v>320.11</v>
      </c>
      <c r="D2123" s="2">
        <v>0.68515046295942739</v>
      </c>
      <c r="E2123" s="4">
        <v>45169</v>
      </c>
      <c r="F2123" s="7" t="s">
        <v>17</v>
      </c>
      <c r="G2123" s="7" t="s">
        <v>506</v>
      </c>
      <c r="H2123" s="7" t="s">
        <v>2617</v>
      </c>
      <c r="I2123" s="7" t="s">
        <v>567</v>
      </c>
      <c r="J2123" s="7" t="s">
        <v>105</v>
      </c>
      <c r="K2123" s="7" t="s">
        <v>69</v>
      </c>
      <c r="L2123" s="8">
        <v>23</v>
      </c>
      <c r="M2123" s="7" t="s">
        <v>37</v>
      </c>
      <c r="N2123" s="8">
        <v>130</v>
      </c>
      <c r="O2123" s="8">
        <v>1</v>
      </c>
      <c r="P2123" s="5">
        <v>4076.48</v>
      </c>
      <c r="Q2123" s="4">
        <v>45600</v>
      </c>
      <c r="R2123" s="9">
        <v>0.33863425925925927</v>
      </c>
      <c r="S2123" s="8">
        <v>16</v>
      </c>
      <c r="T2123" s="7" t="s">
        <v>4456</v>
      </c>
      <c r="U2123" s="7" t="s">
        <v>4455</v>
      </c>
      <c r="V21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24" spans="1:22" x14ac:dyDescent="0.35">
      <c r="A2124" s="7" t="s">
        <v>4026</v>
      </c>
      <c r="B2124" s="7" t="s">
        <v>1418</v>
      </c>
      <c r="C2124" s="5">
        <v>333.39</v>
      </c>
      <c r="D2124" s="2">
        <v>0.69234953703562496</v>
      </c>
      <c r="E2124" s="4">
        <v>45180</v>
      </c>
      <c r="F2124" s="7" t="s">
        <v>17</v>
      </c>
      <c r="G2124" s="7" t="s">
        <v>243</v>
      </c>
      <c r="H2124" s="7" t="s">
        <v>1369</v>
      </c>
      <c r="I2124" s="7" t="s">
        <v>731</v>
      </c>
      <c r="J2124" s="7" t="s">
        <v>21</v>
      </c>
      <c r="K2124" s="7" t="s">
        <v>22</v>
      </c>
      <c r="L2124" s="8">
        <v>68</v>
      </c>
      <c r="M2124" s="7" t="s">
        <v>23</v>
      </c>
      <c r="N2124" s="8">
        <v>35</v>
      </c>
      <c r="O2124" s="8">
        <v>1</v>
      </c>
      <c r="P2124" s="5">
        <v>10628.59</v>
      </c>
      <c r="Q2124" s="4">
        <v>45600</v>
      </c>
      <c r="R2124" s="9">
        <v>0.33931712962962962</v>
      </c>
      <c r="S2124" s="8">
        <v>16</v>
      </c>
      <c r="T2124" s="7" t="s">
        <v>4454</v>
      </c>
      <c r="U2124" s="7" t="s">
        <v>4455</v>
      </c>
      <c r="V21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25" spans="1:22" x14ac:dyDescent="0.35">
      <c r="A2125" s="7" t="s">
        <v>4027</v>
      </c>
      <c r="B2125" s="7" t="s">
        <v>145</v>
      </c>
      <c r="C2125" s="5">
        <v>10.3</v>
      </c>
      <c r="D2125" s="2">
        <v>0.70770833333517658</v>
      </c>
      <c r="E2125" s="4">
        <v>45267</v>
      </c>
      <c r="F2125" s="7" t="s">
        <v>17</v>
      </c>
      <c r="G2125" s="7" t="s">
        <v>558</v>
      </c>
      <c r="H2125" s="7" t="s">
        <v>439</v>
      </c>
      <c r="I2125" s="7" t="s">
        <v>1032</v>
      </c>
      <c r="J2125" s="7" t="s">
        <v>154</v>
      </c>
      <c r="K2125" s="7" t="s">
        <v>22</v>
      </c>
      <c r="L2125" s="8">
        <v>47</v>
      </c>
      <c r="M2125" s="7" t="s">
        <v>77</v>
      </c>
      <c r="N2125" s="8">
        <v>197</v>
      </c>
      <c r="O2125" s="8">
        <v>1</v>
      </c>
      <c r="P2125" s="5">
        <v>7801.32</v>
      </c>
      <c r="Q2125" s="4">
        <v>45600</v>
      </c>
      <c r="R2125" s="9">
        <v>0.34041666666666665</v>
      </c>
      <c r="S2125" s="8">
        <v>16</v>
      </c>
      <c r="T2125" s="7" t="s">
        <v>4457</v>
      </c>
      <c r="U2125" s="7" t="s">
        <v>4455</v>
      </c>
      <c r="V21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26" spans="1:22" x14ac:dyDescent="0.35">
      <c r="A2126" s="7" t="s">
        <v>4028</v>
      </c>
      <c r="B2126" s="7" t="s">
        <v>1438</v>
      </c>
      <c r="C2126" s="5">
        <v>737.46</v>
      </c>
      <c r="D2126" s="2">
        <v>0.68614583333692281</v>
      </c>
      <c r="E2126" s="4">
        <v>44929</v>
      </c>
      <c r="F2126" s="7" t="s">
        <v>46</v>
      </c>
      <c r="G2126" s="7" t="s">
        <v>86</v>
      </c>
      <c r="H2126" s="7" t="s">
        <v>1187</v>
      </c>
      <c r="I2126" s="7" t="s">
        <v>677</v>
      </c>
      <c r="J2126" s="7" t="s">
        <v>980</v>
      </c>
      <c r="K2126" s="7" t="s">
        <v>69</v>
      </c>
      <c r="L2126" s="8">
        <v>53</v>
      </c>
      <c r="M2126" s="7" t="s">
        <v>23</v>
      </c>
      <c r="N2126" s="8">
        <v>75</v>
      </c>
      <c r="O2126" s="8">
        <v>4</v>
      </c>
      <c r="P2126" s="5">
        <v>634.16</v>
      </c>
      <c r="Q2126" s="4">
        <v>45600</v>
      </c>
      <c r="R2126" s="9">
        <v>0.33862268518518518</v>
      </c>
      <c r="S2126" s="8">
        <v>16</v>
      </c>
      <c r="T2126" s="7" t="s">
        <v>4457</v>
      </c>
      <c r="U2126" s="7" t="s">
        <v>4458</v>
      </c>
      <c r="V21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27" spans="1:22" x14ac:dyDescent="0.35">
      <c r="A2127" s="7" t="s">
        <v>4029</v>
      </c>
      <c r="B2127" s="7" t="s">
        <v>1394</v>
      </c>
      <c r="C2127" s="5">
        <v>416.55</v>
      </c>
      <c r="D2127" s="2">
        <v>0.73047453703475185</v>
      </c>
      <c r="E2127" s="4">
        <v>45051</v>
      </c>
      <c r="F2127" s="7" t="s">
        <v>17</v>
      </c>
      <c r="G2127" s="7" t="s">
        <v>53</v>
      </c>
      <c r="H2127" s="7" t="s">
        <v>1588</v>
      </c>
      <c r="I2127" s="7" t="s">
        <v>937</v>
      </c>
      <c r="J2127" s="7" t="s">
        <v>858</v>
      </c>
      <c r="K2127" s="7" t="s">
        <v>36</v>
      </c>
      <c r="L2127" s="8">
        <v>33</v>
      </c>
      <c r="M2127" s="7" t="s">
        <v>77</v>
      </c>
      <c r="N2127" s="8">
        <v>73</v>
      </c>
      <c r="O2127" s="8">
        <v>1</v>
      </c>
      <c r="P2127" s="5">
        <v>922.96</v>
      </c>
      <c r="Q2127" s="4">
        <v>45600</v>
      </c>
      <c r="R2127" s="9">
        <v>0.33842592592592591</v>
      </c>
      <c r="S2127" s="8">
        <v>17</v>
      </c>
      <c r="T2127" s="7" t="s">
        <v>4456</v>
      </c>
      <c r="U2127" s="7" t="s">
        <v>4455</v>
      </c>
      <c r="V21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28" spans="1:22" x14ac:dyDescent="0.35">
      <c r="A2128" s="7" t="s">
        <v>4030</v>
      </c>
      <c r="B2128" s="7" t="s">
        <v>130</v>
      </c>
      <c r="C2128" s="5">
        <v>84.91</v>
      </c>
      <c r="D2128" s="2">
        <v>0.77656250000291038</v>
      </c>
      <c r="E2128" s="4">
        <v>45215</v>
      </c>
      <c r="F2128" s="7" t="s">
        <v>17</v>
      </c>
      <c r="G2128" s="7" t="s">
        <v>40</v>
      </c>
      <c r="H2128" s="7" t="s">
        <v>1651</v>
      </c>
      <c r="I2128" s="7" t="s">
        <v>1581</v>
      </c>
      <c r="J2128" s="7" t="s">
        <v>639</v>
      </c>
      <c r="K2128" s="7" t="s">
        <v>36</v>
      </c>
      <c r="L2128" s="8">
        <v>18</v>
      </c>
      <c r="M2128" s="7" t="s">
        <v>37</v>
      </c>
      <c r="N2128" s="8">
        <v>68</v>
      </c>
      <c r="O2128" s="8">
        <v>1</v>
      </c>
      <c r="P2128" s="5">
        <v>1671.86</v>
      </c>
      <c r="Q2128" s="4">
        <v>45600</v>
      </c>
      <c r="R2128" s="9">
        <v>0.33818287037037037</v>
      </c>
      <c r="S2128" s="8">
        <v>18</v>
      </c>
      <c r="T2128" s="7" t="s">
        <v>4456</v>
      </c>
      <c r="U2128" s="7" t="s">
        <v>4455</v>
      </c>
      <c r="V21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29" spans="1:22" x14ac:dyDescent="0.35">
      <c r="A2129" s="7" t="s">
        <v>4031</v>
      </c>
      <c r="B2129" s="7" t="s">
        <v>1826</v>
      </c>
      <c r="C2129" s="5">
        <v>98.95</v>
      </c>
      <c r="D2129" s="2">
        <v>0.73445601851562969</v>
      </c>
      <c r="E2129" s="4">
        <v>45289</v>
      </c>
      <c r="F2129" s="7" t="s">
        <v>17</v>
      </c>
      <c r="G2129" s="7" t="s">
        <v>32</v>
      </c>
      <c r="H2129" s="7" t="s">
        <v>126</v>
      </c>
      <c r="I2129" s="7" t="s">
        <v>1459</v>
      </c>
      <c r="J2129" s="7" t="s">
        <v>820</v>
      </c>
      <c r="K2129" s="7" t="s">
        <v>69</v>
      </c>
      <c r="L2129" s="8">
        <v>75</v>
      </c>
      <c r="M2129" s="7" t="s">
        <v>70</v>
      </c>
      <c r="N2129" s="8">
        <v>73</v>
      </c>
      <c r="O2129" s="8">
        <v>1</v>
      </c>
      <c r="P2129" s="5">
        <v>5670.82</v>
      </c>
      <c r="Q2129" s="4">
        <v>45600</v>
      </c>
      <c r="R2129" s="9">
        <v>0.33879629629629632</v>
      </c>
      <c r="S2129" s="8">
        <v>17</v>
      </c>
      <c r="T2129" s="7" t="s">
        <v>4454</v>
      </c>
      <c r="U2129" s="7" t="s">
        <v>4455</v>
      </c>
      <c r="V21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30" spans="1:22" x14ac:dyDescent="0.35">
      <c r="A2130" s="7" t="s">
        <v>4032</v>
      </c>
      <c r="B2130" s="7" t="s">
        <v>2583</v>
      </c>
      <c r="C2130" s="5">
        <v>18.14</v>
      </c>
      <c r="D2130" s="2">
        <v>0.7826273148166365</v>
      </c>
      <c r="E2130" s="4">
        <v>44974</v>
      </c>
      <c r="F2130" s="7" t="s">
        <v>46</v>
      </c>
      <c r="G2130" s="7" t="s">
        <v>178</v>
      </c>
      <c r="H2130" s="7" t="s">
        <v>54</v>
      </c>
      <c r="I2130" s="7" t="s">
        <v>2010</v>
      </c>
      <c r="J2130" s="7" t="s">
        <v>348</v>
      </c>
      <c r="K2130" s="7" t="s">
        <v>22</v>
      </c>
      <c r="L2130" s="8">
        <v>58</v>
      </c>
      <c r="M2130" s="7" t="s">
        <v>70</v>
      </c>
      <c r="N2130" s="8">
        <v>48</v>
      </c>
      <c r="O2130" s="8">
        <v>1</v>
      </c>
      <c r="P2130" s="5">
        <v>6020.85</v>
      </c>
      <c r="Q2130" s="4">
        <v>45600</v>
      </c>
      <c r="R2130" s="9">
        <v>0.34106481481481482</v>
      </c>
      <c r="S2130" s="8">
        <v>18</v>
      </c>
      <c r="T2130" s="7" t="s">
        <v>4454</v>
      </c>
      <c r="U2130" s="7" t="s">
        <v>4455</v>
      </c>
      <c r="V21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31" spans="1:22" x14ac:dyDescent="0.35">
      <c r="A2131" s="7" t="s">
        <v>4033</v>
      </c>
      <c r="B2131" s="7" t="s">
        <v>1027</v>
      </c>
      <c r="C2131" s="5">
        <v>1154.79</v>
      </c>
      <c r="D2131" s="2">
        <v>0.74498842592583969</v>
      </c>
      <c r="E2131" s="4">
        <v>45140</v>
      </c>
      <c r="F2131" s="7" t="s">
        <v>17</v>
      </c>
      <c r="G2131" s="7" t="s">
        <v>125</v>
      </c>
      <c r="H2131" s="7" t="s">
        <v>1194</v>
      </c>
      <c r="I2131" s="7" t="s">
        <v>1470</v>
      </c>
      <c r="J2131" s="7" t="s">
        <v>598</v>
      </c>
      <c r="K2131" s="7" t="s">
        <v>22</v>
      </c>
      <c r="L2131" s="8">
        <v>51</v>
      </c>
      <c r="M2131" s="7" t="s">
        <v>23</v>
      </c>
      <c r="N2131" s="8">
        <v>108</v>
      </c>
      <c r="O2131" s="8">
        <v>1</v>
      </c>
      <c r="P2131" s="5">
        <v>6180.3</v>
      </c>
      <c r="Q2131" s="4">
        <v>45600</v>
      </c>
      <c r="R2131" s="9">
        <v>0.34151620370370372</v>
      </c>
      <c r="S2131" s="8">
        <v>17</v>
      </c>
      <c r="T2131" s="7" t="s">
        <v>4457</v>
      </c>
      <c r="U2131" s="7" t="s">
        <v>4455</v>
      </c>
      <c r="V21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32" spans="1:22" x14ac:dyDescent="0.35">
      <c r="A2132" s="7" t="s">
        <v>4034</v>
      </c>
      <c r="B2132" s="7" t="s">
        <v>442</v>
      </c>
      <c r="C2132" s="5">
        <v>215.13</v>
      </c>
      <c r="D2132" s="2">
        <v>0.66854166666598758</v>
      </c>
      <c r="E2132" s="4">
        <v>44931</v>
      </c>
      <c r="F2132" s="7" t="s">
        <v>17</v>
      </c>
      <c r="G2132" s="7" t="s">
        <v>249</v>
      </c>
      <c r="H2132" s="7" t="s">
        <v>750</v>
      </c>
      <c r="I2132" s="7" t="s">
        <v>735</v>
      </c>
      <c r="J2132" s="7" t="s">
        <v>1810</v>
      </c>
      <c r="K2132" s="7" t="s">
        <v>36</v>
      </c>
      <c r="L2132" s="8">
        <v>46</v>
      </c>
      <c r="M2132" s="7" t="s">
        <v>77</v>
      </c>
      <c r="N2132" s="8">
        <v>114</v>
      </c>
      <c r="O2132" s="8">
        <v>1</v>
      </c>
      <c r="P2132" s="5">
        <v>3956.69</v>
      </c>
      <c r="Q2132" s="4">
        <v>45600</v>
      </c>
      <c r="R2132" s="9">
        <v>0.33907407407407408</v>
      </c>
      <c r="S2132" s="8">
        <v>16</v>
      </c>
      <c r="T2132" s="7" t="s">
        <v>4457</v>
      </c>
      <c r="U2132" s="7" t="s">
        <v>4455</v>
      </c>
      <c r="V21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33" spans="1:22" x14ac:dyDescent="0.35">
      <c r="A2133" s="7" t="s">
        <v>4035</v>
      </c>
      <c r="B2133" s="7" t="s">
        <v>2053</v>
      </c>
      <c r="C2133" s="5">
        <v>218.57</v>
      </c>
      <c r="D2133" s="2">
        <v>0.68793981481576338</v>
      </c>
      <c r="E2133" s="4">
        <v>45215</v>
      </c>
      <c r="F2133" s="7" t="s">
        <v>46</v>
      </c>
      <c r="G2133" s="7" t="s">
        <v>92</v>
      </c>
      <c r="H2133" s="7" t="s">
        <v>1328</v>
      </c>
      <c r="I2133" s="7" t="s">
        <v>3538</v>
      </c>
      <c r="J2133" s="7" t="s">
        <v>432</v>
      </c>
      <c r="K2133" s="7" t="s">
        <v>69</v>
      </c>
      <c r="L2133" s="8">
        <v>62</v>
      </c>
      <c r="M2133" s="7" t="s">
        <v>23</v>
      </c>
      <c r="N2133" s="8">
        <v>102</v>
      </c>
      <c r="O2133" s="8">
        <v>1</v>
      </c>
      <c r="P2133" s="5">
        <v>13869.86</v>
      </c>
      <c r="Q2133" s="4">
        <v>45600</v>
      </c>
      <c r="R2133" s="9">
        <v>0.33910879629629631</v>
      </c>
      <c r="S2133" s="8">
        <v>16</v>
      </c>
      <c r="T2133" s="7" t="s">
        <v>4454</v>
      </c>
      <c r="U2133" s="7" t="s">
        <v>4455</v>
      </c>
      <c r="V21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34" spans="1:22" x14ac:dyDescent="0.35">
      <c r="A2134" s="7" t="s">
        <v>4036</v>
      </c>
      <c r="B2134" s="7" t="s">
        <v>1488</v>
      </c>
      <c r="C2134" s="5">
        <v>341.88</v>
      </c>
      <c r="D2134" s="2">
        <v>0.69077546296466608</v>
      </c>
      <c r="E2134" s="4">
        <v>45091</v>
      </c>
      <c r="F2134" s="7" t="s">
        <v>17</v>
      </c>
      <c r="G2134" s="7" t="s">
        <v>119</v>
      </c>
      <c r="H2134" s="7" t="s">
        <v>502</v>
      </c>
      <c r="I2134" s="7" t="s">
        <v>3324</v>
      </c>
      <c r="J2134" s="7" t="s">
        <v>200</v>
      </c>
      <c r="K2134" s="7" t="s">
        <v>22</v>
      </c>
      <c r="L2134" s="8">
        <v>43</v>
      </c>
      <c r="M2134" s="7" t="s">
        <v>77</v>
      </c>
      <c r="N2134" s="8">
        <v>89</v>
      </c>
      <c r="O2134" s="8">
        <v>1</v>
      </c>
      <c r="P2134" s="5">
        <v>4159.5200000000004</v>
      </c>
      <c r="Q2134" s="4">
        <v>45600</v>
      </c>
      <c r="R2134" s="9">
        <v>0.34097222222222223</v>
      </c>
      <c r="S2134" s="8">
        <v>16</v>
      </c>
      <c r="T2134" s="7" t="s">
        <v>4457</v>
      </c>
      <c r="U2134" s="7" t="s">
        <v>4455</v>
      </c>
      <c r="V21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35" spans="1:22" x14ac:dyDescent="0.35">
      <c r="A2135" s="7" t="s">
        <v>4037</v>
      </c>
      <c r="B2135" s="7" t="s">
        <v>1536</v>
      </c>
      <c r="C2135" s="5">
        <v>691.92</v>
      </c>
      <c r="D2135" s="2">
        <v>0.69256944444350665</v>
      </c>
      <c r="E2135" s="4">
        <v>45117</v>
      </c>
      <c r="F2135" s="7" t="s">
        <v>17</v>
      </c>
      <c r="G2135" s="7" t="s">
        <v>388</v>
      </c>
      <c r="H2135" s="7" t="s">
        <v>41</v>
      </c>
      <c r="I2135" s="7" t="s">
        <v>1597</v>
      </c>
      <c r="J2135" s="7" t="s">
        <v>752</v>
      </c>
      <c r="K2135" s="7" t="s">
        <v>36</v>
      </c>
      <c r="L2135" s="8">
        <v>19</v>
      </c>
      <c r="M2135" s="7" t="s">
        <v>37</v>
      </c>
      <c r="N2135" s="8">
        <v>61</v>
      </c>
      <c r="O2135" s="8">
        <v>1</v>
      </c>
      <c r="P2135" s="5">
        <v>1084.6500000000001</v>
      </c>
      <c r="Q2135" s="4">
        <v>45600</v>
      </c>
      <c r="R2135" s="9">
        <v>0.34181712962962962</v>
      </c>
      <c r="S2135" s="8">
        <v>16</v>
      </c>
      <c r="T2135" s="7" t="s">
        <v>4456</v>
      </c>
      <c r="U2135" s="7" t="s">
        <v>4455</v>
      </c>
      <c r="V21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36" spans="1:22" x14ac:dyDescent="0.35">
      <c r="A2136" s="7" t="s">
        <v>4038</v>
      </c>
      <c r="B2136" s="7" t="s">
        <v>3811</v>
      </c>
      <c r="C2136" s="5">
        <v>50.43</v>
      </c>
      <c r="D2136" s="2">
        <v>0.67115740740700858</v>
      </c>
      <c r="E2136" s="4">
        <v>45117</v>
      </c>
      <c r="F2136" s="7" t="s">
        <v>17</v>
      </c>
      <c r="G2136" s="7" t="s">
        <v>223</v>
      </c>
      <c r="H2136" s="7" t="s">
        <v>1184</v>
      </c>
      <c r="I2136" s="7" t="s">
        <v>3210</v>
      </c>
      <c r="J2136" s="7" t="s">
        <v>100</v>
      </c>
      <c r="K2136" s="7" t="s">
        <v>69</v>
      </c>
      <c r="L2136" s="8">
        <v>32</v>
      </c>
      <c r="M2136" s="7" t="s">
        <v>23</v>
      </c>
      <c r="N2136" s="8">
        <v>51</v>
      </c>
      <c r="O2136" s="8">
        <v>1</v>
      </c>
      <c r="P2136" s="5">
        <v>9794.26</v>
      </c>
      <c r="Q2136" s="4">
        <v>45600</v>
      </c>
      <c r="R2136" s="9">
        <v>0.33969907407407407</v>
      </c>
      <c r="S2136" s="8">
        <v>16</v>
      </c>
      <c r="T2136" s="7" t="s">
        <v>4456</v>
      </c>
      <c r="U2136" s="7" t="s">
        <v>4455</v>
      </c>
      <c r="V21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37" spans="1:22" x14ac:dyDescent="0.35">
      <c r="A2137" s="7" t="s">
        <v>4039</v>
      </c>
      <c r="B2137" s="7" t="s">
        <v>162</v>
      </c>
      <c r="C2137" s="5">
        <v>440.43</v>
      </c>
      <c r="D2137" s="2">
        <v>0.73719907407212304</v>
      </c>
      <c r="E2137" s="4">
        <v>45190</v>
      </c>
      <c r="F2137" s="7" t="s">
        <v>17</v>
      </c>
      <c r="G2137" s="7" t="s">
        <v>521</v>
      </c>
      <c r="H2137" s="7" t="s">
        <v>2617</v>
      </c>
      <c r="I2137" s="7" t="s">
        <v>518</v>
      </c>
      <c r="J2137" s="7" t="s">
        <v>21</v>
      </c>
      <c r="K2137" s="7" t="s">
        <v>69</v>
      </c>
      <c r="L2137" s="8">
        <v>78</v>
      </c>
      <c r="M2137" s="7" t="s">
        <v>70</v>
      </c>
      <c r="N2137" s="8">
        <v>23</v>
      </c>
      <c r="O2137" s="8">
        <v>1</v>
      </c>
      <c r="P2137" s="5">
        <v>5123.24</v>
      </c>
      <c r="Q2137" s="4">
        <v>45600</v>
      </c>
      <c r="R2137" s="9">
        <v>0.33879629629629632</v>
      </c>
      <c r="S2137" s="8">
        <v>17</v>
      </c>
      <c r="T2137" s="7" t="s">
        <v>4454</v>
      </c>
      <c r="U2137" s="7" t="s">
        <v>4455</v>
      </c>
      <c r="V21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38" spans="1:22" x14ac:dyDescent="0.35">
      <c r="A2138" s="7" t="s">
        <v>4040</v>
      </c>
      <c r="B2138" s="7" t="s">
        <v>305</v>
      </c>
      <c r="C2138" s="5">
        <v>299.02999999999997</v>
      </c>
      <c r="D2138" s="2">
        <v>0.72709490740817273</v>
      </c>
      <c r="E2138" s="4">
        <v>44945</v>
      </c>
      <c r="F2138" s="7" t="s">
        <v>17</v>
      </c>
      <c r="G2138" s="7" t="s">
        <v>125</v>
      </c>
      <c r="H2138" s="7" t="s">
        <v>1152</v>
      </c>
      <c r="I2138" s="7" t="s">
        <v>2044</v>
      </c>
      <c r="J2138" s="7" t="s">
        <v>762</v>
      </c>
      <c r="K2138" s="7" t="s">
        <v>69</v>
      </c>
      <c r="L2138" s="8">
        <v>39</v>
      </c>
      <c r="M2138" s="7" t="s">
        <v>77</v>
      </c>
      <c r="N2138" s="8">
        <v>52</v>
      </c>
      <c r="O2138" s="8">
        <v>1</v>
      </c>
      <c r="P2138" s="5">
        <v>1381.28</v>
      </c>
      <c r="Q2138" s="4">
        <v>45600</v>
      </c>
      <c r="R2138" s="9">
        <v>0.34030092592592592</v>
      </c>
      <c r="S2138" s="8">
        <v>17</v>
      </c>
      <c r="T2138" s="7" t="s">
        <v>4457</v>
      </c>
      <c r="U2138" s="7" t="s">
        <v>4455</v>
      </c>
      <c r="V21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39" spans="1:22" x14ac:dyDescent="0.35">
      <c r="A2139" s="7" t="s">
        <v>4041</v>
      </c>
      <c r="B2139" s="7" t="s">
        <v>997</v>
      </c>
      <c r="C2139" s="5">
        <v>1.98</v>
      </c>
      <c r="D2139" s="2">
        <v>0.73718750000261934</v>
      </c>
      <c r="E2139" s="4">
        <v>45285</v>
      </c>
      <c r="F2139" s="7" t="s">
        <v>17</v>
      </c>
      <c r="G2139" s="7" t="s">
        <v>59</v>
      </c>
      <c r="H2139" s="7" t="s">
        <v>74</v>
      </c>
      <c r="I2139" s="7" t="s">
        <v>1242</v>
      </c>
      <c r="J2139" s="7" t="s">
        <v>226</v>
      </c>
      <c r="K2139" s="7" t="s">
        <v>22</v>
      </c>
      <c r="L2139" s="8">
        <v>66</v>
      </c>
      <c r="M2139" s="7" t="s">
        <v>23</v>
      </c>
      <c r="N2139" s="8">
        <v>170</v>
      </c>
      <c r="O2139" s="8">
        <v>1</v>
      </c>
      <c r="P2139" s="5">
        <v>11619.1</v>
      </c>
      <c r="Q2139" s="4">
        <v>45600</v>
      </c>
      <c r="R2139" s="9">
        <v>0.34082175925925928</v>
      </c>
      <c r="S2139" s="8">
        <v>17</v>
      </c>
      <c r="T2139" s="7" t="s">
        <v>4454</v>
      </c>
      <c r="U2139" s="7" t="s">
        <v>4455</v>
      </c>
      <c r="V21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40" spans="1:22" x14ac:dyDescent="0.35">
      <c r="A2140" s="7" t="s">
        <v>4042</v>
      </c>
      <c r="B2140" s="7" t="s">
        <v>2220</v>
      </c>
      <c r="C2140" s="5">
        <v>173.45</v>
      </c>
      <c r="D2140" s="2">
        <v>0.68452546296612127</v>
      </c>
      <c r="E2140" s="4">
        <v>45285</v>
      </c>
      <c r="F2140" s="7" t="s">
        <v>17</v>
      </c>
      <c r="G2140" s="7" t="s">
        <v>243</v>
      </c>
      <c r="H2140" s="7" t="s">
        <v>1828</v>
      </c>
      <c r="I2140" s="7" t="s">
        <v>2614</v>
      </c>
      <c r="J2140" s="7" t="s">
        <v>386</v>
      </c>
      <c r="K2140" s="7" t="s">
        <v>22</v>
      </c>
      <c r="L2140" s="8">
        <v>31</v>
      </c>
      <c r="M2140" s="7" t="s">
        <v>77</v>
      </c>
      <c r="N2140" s="8">
        <v>161</v>
      </c>
      <c r="O2140" s="8">
        <v>1</v>
      </c>
      <c r="P2140" s="5">
        <v>9077.6200000000008</v>
      </c>
      <c r="Q2140" s="4">
        <v>45600</v>
      </c>
      <c r="R2140" s="9">
        <v>0.33832175925925928</v>
      </c>
      <c r="S2140" s="8">
        <v>16</v>
      </c>
      <c r="T2140" s="7" t="s">
        <v>4456</v>
      </c>
      <c r="U2140" s="7" t="s">
        <v>4455</v>
      </c>
      <c r="V21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41" spans="1:22" x14ac:dyDescent="0.35">
      <c r="A2141" s="7" t="s">
        <v>4043</v>
      </c>
      <c r="B2141" s="7" t="s">
        <v>350</v>
      </c>
      <c r="C2141" s="5">
        <v>438.76</v>
      </c>
      <c r="D2141" s="2">
        <v>0.700578703705105</v>
      </c>
      <c r="E2141" s="4">
        <v>44970</v>
      </c>
      <c r="F2141" s="7" t="s">
        <v>17</v>
      </c>
      <c r="G2141" s="7" t="s">
        <v>237</v>
      </c>
      <c r="H2141" s="7" t="s">
        <v>2428</v>
      </c>
      <c r="I2141" s="7" t="s">
        <v>2065</v>
      </c>
      <c r="J2141" s="7" t="s">
        <v>831</v>
      </c>
      <c r="K2141" s="7" t="s">
        <v>69</v>
      </c>
      <c r="L2141" s="8">
        <v>22</v>
      </c>
      <c r="M2141" s="7" t="s">
        <v>37</v>
      </c>
      <c r="N2141" s="8">
        <v>73</v>
      </c>
      <c r="O2141" s="8">
        <v>1</v>
      </c>
      <c r="P2141" s="5">
        <v>1824.19</v>
      </c>
      <c r="Q2141" s="4">
        <v>45600</v>
      </c>
      <c r="R2141" s="9">
        <v>0.34112268518518518</v>
      </c>
      <c r="S2141" s="8">
        <v>16</v>
      </c>
      <c r="T2141" s="7" t="s">
        <v>4456</v>
      </c>
      <c r="U2141" s="7" t="s">
        <v>4455</v>
      </c>
      <c r="V21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42" spans="1:22" x14ac:dyDescent="0.35">
      <c r="A2142" s="7" t="s">
        <v>4044</v>
      </c>
      <c r="B2142" s="7" t="s">
        <v>986</v>
      </c>
      <c r="C2142" s="5">
        <v>519.62</v>
      </c>
      <c r="D2142" s="2">
        <v>0.73762731481838273</v>
      </c>
      <c r="E2142" s="4">
        <v>45253</v>
      </c>
      <c r="F2142" s="7" t="s">
        <v>46</v>
      </c>
      <c r="G2142" s="7" t="s">
        <v>453</v>
      </c>
      <c r="H2142" s="7" t="s">
        <v>173</v>
      </c>
      <c r="I2142" s="7" t="s">
        <v>2849</v>
      </c>
      <c r="J2142" s="7" t="s">
        <v>607</v>
      </c>
      <c r="K2142" s="7" t="s">
        <v>36</v>
      </c>
      <c r="L2142" s="8">
        <v>71</v>
      </c>
      <c r="M2142" s="7" t="s">
        <v>70</v>
      </c>
      <c r="N2142" s="8">
        <v>40</v>
      </c>
      <c r="O2142" s="8">
        <v>1</v>
      </c>
      <c r="P2142" s="5">
        <v>4159.33</v>
      </c>
      <c r="Q2142" s="4">
        <v>45600</v>
      </c>
      <c r="R2142" s="9">
        <v>0.33792824074074074</v>
      </c>
      <c r="S2142" s="8">
        <v>17</v>
      </c>
      <c r="T2142" s="7" t="s">
        <v>4454</v>
      </c>
      <c r="U2142" s="7" t="s">
        <v>4455</v>
      </c>
      <c r="V21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43" spans="1:22" x14ac:dyDescent="0.35">
      <c r="A2143" s="7" t="s">
        <v>4045</v>
      </c>
      <c r="B2143" s="7" t="s">
        <v>1217</v>
      </c>
      <c r="C2143" s="5">
        <v>738.68</v>
      </c>
      <c r="D2143" s="2">
        <v>0.69175925925810589</v>
      </c>
      <c r="E2143" s="4">
        <v>44992</v>
      </c>
      <c r="F2143" s="7" t="s">
        <v>17</v>
      </c>
      <c r="G2143" s="7" t="s">
        <v>265</v>
      </c>
      <c r="H2143" s="7" t="s">
        <v>670</v>
      </c>
      <c r="I2143" s="7" t="s">
        <v>1852</v>
      </c>
      <c r="J2143" s="7" t="s">
        <v>1287</v>
      </c>
      <c r="K2143" s="7" t="s">
        <v>36</v>
      </c>
      <c r="L2143" s="8">
        <v>50</v>
      </c>
      <c r="M2143" s="7" t="s">
        <v>23</v>
      </c>
      <c r="N2143" s="8">
        <v>124</v>
      </c>
      <c r="O2143" s="8">
        <v>1</v>
      </c>
      <c r="P2143" s="5">
        <v>14352.33</v>
      </c>
      <c r="Q2143" s="4">
        <v>45600</v>
      </c>
      <c r="R2143" s="9">
        <v>0.34143518518518517</v>
      </c>
      <c r="S2143" s="8">
        <v>16</v>
      </c>
      <c r="T2143" s="7" t="s">
        <v>4457</v>
      </c>
      <c r="U2143" s="7" t="s">
        <v>4455</v>
      </c>
      <c r="V21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44" spans="1:22" x14ac:dyDescent="0.35">
      <c r="A2144" s="7" t="s">
        <v>4046</v>
      </c>
      <c r="B2144" s="7" t="s">
        <v>913</v>
      </c>
      <c r="C2144" s="5">
        <v>151.13999999999999</v>
      </c>
      <c r="D2144" s="2">
        <v>0.67973379629984265</v>
      </c>
      <c r="E2144" s="4">
        <v>45078</v>
      </c>
      <c r="F2144" s="7" t="s">
        <v>17</v>
      </c>
      <c r="G2144" s="7" t="s">
        <v>92</v>
      </c>
      <c r="H2144" s="7" t="s">
        <v>152</v>
      </c>
      <c r="I2144" s="7" t="s">
        <v>552</v>
      </c>
      <c r="J2144" s="7" t="s">
        <v>432</v>
      </c>
      <c r="K2144" s="7" t="s">
        <v>36</v>
      </c>
      <c r="L2144" s="8">
        <v>64</v>
      </c>
      <c r="M2144" s="7" t="s">
        <v>70</v>
      </c>
      <c r="N2144" s="8">
        <v>38</v>
      </c>
      <c r="O2144" s="8">
        <v>1</v>
      </c>
      <c r="P2144" s="5">
        <v>2156.54</v>
      </c>
      <c r="Q2144" s="4">
        <v>45600</v>
      </c>
      <c r="R2144" s="9">
        <v>0.34143518518518517</v>
      </c>
      <c r="S2144" s="8">
        <v>16</v>
      </c>
      <c r="T2144" s="7" t="s">
        <v>4454</v>
      </c>
      <c r="U2144" s="7" t="s">
        <v>4455</v>
      </c>
      <c r="V21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45" spans="1:22" x14ac:dyDescent="0.35">
      <c r="A2145" s="7" t="s">
        <v>4047</v>
      </c>
      <c r="B2145" s="7" t="s">
        <v>1808</v>
      </c>
      <c r="C2145" s="5">
        <v>75.77</v>
      </c>
      <c r="D2145" s="2">
        <v>0.74202546296146465</v>
      </c>
      <c r="E2145" s="4">
        <v>45145</v>
      </c>
      <c r="F2145" s="7" t="s">
        <v>17</v>
      </c>
      <c r="G2145" s="7" t="s">
        <v>249</v>
      </c>
      <c r="H2145" s="7" t="s">
        <v>1945</v>
      </c>
      <c r="I2145" s="7" t="s">
        <v>2259</v>
      </c>
      <c r="J2145" s="7" t="s">
        <v>277</v>
      </c>
      <c r="K2145" s="7" t="s">
        <v>69</v>
      </c>
      <c r="L2145" s="8">
        <v>51</v>
      </c>
      <c r="M2145" s="7" t="s">
        <v>77</v>
      </c>
      <c r="N2145" s="8">
        <v>148</v>
      </c>
      <c r="O2145" s="8">
        <v>1</v>
      </c>
      <c r="P2145" s="5">
        <v>8361.7000000000007</v>
      </c>
      <c r="Q2145" s="4">
        <v>45600</v>
      </c>
      <c r="R2145" s="9">
        <v>0.34012731481481484</v>
      </c>
      <c r="S2145" s="8">
        <v>17</v>
      </c>
      <c r="T2145" s="7" t="s">
        <v>4457</v>
      </c>
      <c r="U2145" s="7" t="s">
        <v>4455</v>
      </c>
      <c r="V21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46" spans="1:22" x14ac:dyDescent="0.35">
      <c r="A2146" s="7" t="s">
        <v>4048</v>
      </c>
      <c r="B2146" s="7" t="s">
        <v>804</v>
      </c>
      <c r="C2146" s="5">
        <v>444.52</v>
      </c>
      <c r="D2146" s="2">
        <v>0.67469907407212304</v>
      </c>
      <c r="E2146" s="4">
        <v>45020</v>
      </c>
      <c r="F2146" s="7" t="s">
        <v>17</v>
      </c>
      <c r="G2146" s="7" t="s">
        <v>108</v>
      </c>
      <c r="H2146" s="7" t="s">
        <v>1158</v>
      </c>
      <c r="I2146" s="7" t="s">
        <v>1637</v>
      </c>
      <c r="J2146" s="7" t="s">
        <v>607</v>
      </c>
      <c r="K2146" s="7" t="s">
        <v>36</v>
      </c>
      <c r="L2146" s="8">
        <v>27</v>
      </c>
      <c r="M2146" s="7" t="s">
        <v>77</v>
      </c>
      <c r="N2146" s="8">
        <v>17</v>
      </c>
      <c r="O2146" s="8">
        <v>1</v>
      </c>
      <c r="P2146" s="5">
        <v>5424.6</v>
      </c>
      <c r="Q2146" s="4">
        <v>45600</v>
      </c>
      <c r="R2146" s="9">
        <v>0.33817129629629628</v>
      </c>
      <c r="S2146" s="8">
        <v>16</v>
      </c>
      <c r="T2146" s="7" t="s">
        <v>4456</v>
      </c>
      <c r="U2146" s="7" t="s">
        <v>4455</v>
      </c>
      <c r="V21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47" spans="1:22" x14ac:dyDescent="0.35">
      <c r="A2147" s="7" t="s">
        <v>4049</v>
      </c>
      <c r="B2147" s="7" t="s">
        <v>1425</v>
      </c>
      <c r="C2147" s="5">
        <v>5.29</v>
      </c>
      <c r="D2147" s="2">
        <v>0.78607638888934162</v>
      </c>
      <c r="E2147" s="4">
        <v>44993</v>
      </c>
      <c r="F2147" s="7" t="s">
        <v>17</v>
      </c>
      <c r="G2147" s="7" t="s">
        <v>65</v>
      </c>
      <c r="H2147" s="7" t="s">
        <v>1771</v>
      </c>
      <c r="I2147" s="7" t="s">
        <v>681</v>
      </c>
      <c r="J2147" s="7" t="s">
        <v>619</v>
      </c>
      <c r="K2147" s="7" t="s">
        <v>36</v>
      </c>
      <c r="L2147" s="8">
        <v>52</v>
      </c>
      <c r="M2147" s="7" t="s">
        <v>23</v>
      </c>
      <c r="N2147" s="8">
        <v>276</v>
      </c>
      <c r="O2147" s="8">
        <v>1</v>
      </c>
      <c r="P2147" s="5">
        <v>11263.89</v>
      </c>
      <c r="Q2147" s="4">
        <v>45600</v>
      </c>
      <c r="R2147" s="9">
        <v>0.33974537037037039</v>
      </c>
      <c r="S2147" s="8">
        <v>18</v>
      </c>
      <c r="T2147" s="7" t="s">
        <v>4457</v>
      </c>
      <c r="U2147" s="7" t="s">
        <v>4455</v>
      </c>
      <c r="V21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48" spans="1:22" x14ac:dyDescent="0.35">
      <c r="A2148" s="7" t="s">
        <v>4050</v>
      </c>
      <c r="B2148" s="7" t="s">
        <v>1446</v>
      </c>
      <c r="C2148" s="5">
        <v>97.63</v>
      </c>
      <c r="D2148" s="2">
        <v>0.67020833333663177</v>
      </c>
      <c r="E2148" s="4">
        <v>45061</v>
      </c>
      <c r="F2148" s="7" t="s">
        <v>46</v>
      </c>
      <c r="G2148" s="7" t="s">
        <v>178</v>
      </c>
      <c r="H2148" s="7" t="s">
        <v>633</v>
      </c>
      <c r="I2148" s="7" t="s">
        <v>571</v>
      </c>
      <c r="J2148" s="7" t="s">
        <v>282</v>
      </c>
      <c r="K2148" s="7" t="s">
        <v>36</v>
      </c>
      <c r="L2148" s="8">
        <v>48</v>
      </c>
      <c r="M2148" s="7" t="s">
        <v>23</v>
      </c>
      <c r="N2148" s="8">
        <v>127</v>
      </c>
      <c r="O2148" s="8">
        <v>1</v>
      </c>
      <c r="P2148" s="5">
        <v>12467.31</v>
      </c>
      <c r="Q2148" s="4">
        <v>45600</v>
      </c>
      <c r="R2148" s="9">
        <v>0.34108796296296295</v>
      </c>
      <c r="S2148" s="8">
        <v>16</v>
      </c>
      <c r="T2148" s="7" t="s">
        <v>4457</v>
      </c>
      <c r="U2148" s="7" t="s">
        <v>4455</v>
      </c>
      <c r="V21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49" spans="1:22" x14ac:dyDescent="0.35">
      <c r="A2149" s="7" t="s">
        <v>4051</v>
      </c>
      <c r="B2149" s="7" t="s">
        <v>2169</v>
      </c>
      <c r="C2149" s="5">
        <v>256.95</v>
      </c>
      <c r="D2149" s="2">
        <v>0.69260416666656965</v>
      </c>
      <c r="E2149" s="4">
        <v>45050</v>
      </c>
      <c r="F2149" s="7" t="s">
        <v>17</v>
      </c>
      <c r="G2149" s="7" t="s">
        <v>18</v>
      </c>
      <c r="H2149" s="7" t="s">
        <v>1458</v>
      </c>
      <c r="I2149" s="7" t="s">
        <v>1515</v>
      </c>
      <c r="J2149" s="7" t="s">
        <v>478</v>
      </c>
      <c r="K2149" s="7" t="s">
        <v>69</v>
      </c>
      <c r="L2149" s="8">
        <v>26</v>
      </c>
      <c r="M2149" s="7" t="s">
        <v>77</v>
      </c>
      <c r="N2149" s="8">
        <v>71</v>
      </c>
      <c r="O2149" s="8">
        <v>1</v>
      </c>
      <c r="P2149" s="5">
        <v>2531.2399999999998</v>
      </c>
      <c r="Q2149" s="4">
        <v>45600</v>
      </c>
      <c r="R2149" s="9">
        <v>0.33900462962962963</v>
      </c>
      <c r="S2149" s="8">
        <v>16</v>
      </c>
      <c r="T2149" s="7" t="s">
        <v>4456</v>
      </c>
      <c r="U2149" s="7" t="s">
        <v>4455</v>
      </c>
      <c r="V21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50" spans="1:22" x14ac:dyDescent="0.35">
      <c r="A2150" s="7" t="s">
        <v>4052</v>
      </c>
      <c r="B2150" s="7" t="s">
        <v>1394</v>
      </c>
      <c r="C2150" s="5">
        <v>734.86</v>
      </c>
      <c r="D2150" s="2">
        <v>0.69201388888905058</v>
      </c>
      <c r="E2150" s="4">
        <v>45268</v>
      </c>
      <c r="F2150" s="7" t="s">
        <v>46</v>
      </c>
      <c r="G2150" s="7" t="s">
        <v>388</v>
      </c>
      <c r="H2150" s="7" t="s">
        <v>250</v>
      </c>
      <c r="I2150" s="7" t="s">
        <v>208</v>
      </c>
      <c r="J2150" s="7" t="s">
        <v>326</v>
      </c>
      <c r="K2150" s="7" t="s">
        <v>69</v>
      </c>
      <c r="L2150" s="8">
        <v>48</v>
      </c>
      <c r="M2150" s="7" t="s">
        <v>77</v>
      </c>
      <c r="N2150" s="8">
        <v>290</v>
      </c>
      <c r="O2150" s="8">
        <v>1</v>
      </c>
      <c r="P2150" s="5">
        <v>6242.03</v>
      </c>
      <c r="Q2150" s="4">
        <v>45600</v>
      </c>
      <c r="R2150" s="9">
        <v>0.33945601851851853</v>
      </c>
      <c r="S2150" s="8">
        <v>16</v>
      </c>
      <c r="T2150" s="7" t="s">
        <v>4457</v>
      </c>
      <c r="U2150" s="7" t="s">
        <v>4455</v>
      </c>
      <c r="V21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51" spans="1:22" x14ac:dyDescent="0.35">
      <c r="A2151" s="7" t="s">
        <v>4053</v>
      </c>
      <c r="B2151" s="7" t="s">
        <v>391</v>
      </c>
      <c r="C2151" s="5">
        <v>1250.94</v>
      </c>
      <c r="D2151" s="2">
        <v>0.73965277777460869</v>
      </c>
      <c r="E2151" s="4">
        <v>44985</v>
      </c>
      <c r="F2151" s="7" t="s">
        <v>17</v>
      </c>
      <c r="G2151" s="7" t="s">
        <v>125</v>
      </c>
      <c r="H2151" s="7" t="s">
        <v>198</v>
      </c>
      <c r="I2151" s="7" t="s">
        <v>194</v>
      </c>
      <c r="J2151" s="7" t="s">
        <v>56</v>
      </c>
      <c r="K2151" s="7" t="s">
        <v>22</v>
      </c>
      <c r="L2151" s="8">
        <v>36</v>
      </c>
      <c r="M2151" s="7" t="s">
        <v>23</v>
      </c>
      <c r="N2151" s="8">
        <v>107</v>
      </c>
      <c r="O2151" s="8">
        <v>2</v>
      </c>
      <c r="P2151" s="5">
        <v>11565.97</v>
      </c>
      <c r="Q2151" s="4">
        <v>45600</v>
      </c>
      <c r="R2151" s="9">
        <v>0.33927083333333335</v>
      </c>
      <c r="S2151" s="8">
        <v>17</v>
      </c>
      <c r="T2151" s="7" t="s">
        <v>4457</v>
      </c>
      <c r="U2151" s="7" t="s">
        <v>4458</v>
      </c>
      <c r="V21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52" spans="1:22" x14ac:dyDescent="0.35">
      <c r="A2152" s="7" t="s">
        <v>4054</v>
      </c>
      <c r="B2152" s="7" t="s">
        <v>604</v>
      </c>
      <c r="C2152" s="5">
        <v>84.28</v>
      </c>
      <c r="D2152" s="2">
        <v>0.71478009259590181</v>
      </c>
      <c r="E2152" s="4">
        <v>45089</v>
      </c>
      <c r="F2152" s="7" t="s">
        <v>17</v>
      </c>
      <c r="G2152" s="7" t="s">
        <v>92</v>
      </c>
      <c r="H2152" s="7" t="s">
        <v>692</v>
      </c>
      <c r="I2152" s="7" t="s">
        <v>1372</v>
      </c>
      <c r="J2152" s="7" t="s">
        <v>343</v>
      </c>
      <c r="K2152" s="7" t="s">
        <v>69</v>
      </c>
      <c r="L2152" s="8">
        <v>39</v>
      </c>
      <c r="M2152" s="7" t="s">
        <v>23</v>
      </c>
      <c r="N2152" s="8">
        <v>142</v>
      </c>
      <c r="O2152" s="8">
        <v>1</v>
      </c>
      <c r="P2152" s="5">
        <v>13586.06</v>
      </c>
      <c r="Q2152" s="4">
        <v>45600</v>
      </c>
      <c r="R2152" s="9">
        <v>0.33865740740740741</v>
      </c>
      <c r="S2152" s="8">
        <v>17</v>
      </c>
      <c r="T2152" s="7" t="s">
        <v>4457</v>
      </c>
      <c r="U2152" s="7" t="s">
        <v>4455</v>
      </c>
      <c r="V21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53" spans="1:22" x14ac:dyDescent="0.35">
      <c r="A2153" s="7" t="s">
        <v>4055</v>
      </c>
      <c r="B2153" s="7" t="s">
        <v>1710</v>
      </c>
      <c r="C2153" s="5">
        <v>927.45</v>
      </c>
      <c r="D2153" s="2">
        <v>0.78659722222073469</v>
      </c>
      <c r="E2153" s="4">
        <v>45145</v>
      </c>
      <c r="F2153" s="7" t="s">
        <v>17</v>
      </c>
      <c r="G2153" s="7" t="s">
        <v>119</v>
      </c>
      <c r="H2153" s="7" t="s">
        <v>1024</v>
      </c>
      <c r="I2153" s="7" t="s">
        <v>995</v>
      </c>
      <c r="J2153" s="7" t="s">
        <v>1562</v>
      </c>
      <c r="K2153" s="7" t="s">
        <v>22</v>
      </c>
      <c r="L2153" s="8">
        <v>24</v>
      </c>
      <c r="M2153" s="7" t="s">
        <v>37</v>
      </c>
      <c r="N2153" s="8">
        <v>95</v>
      </c>
      <c r="O2153" s="8">
        <v>1</v>
      </c>
      <c r="P2153" s="5">
        <v>1161.8399999999999</v>
      </c>
      <c r="Q2153" s="4">
        <v>45600</v>
      </c>
      <c r="R2153" s="9">
        <v>0.33834490740740741</v>
      </c>
      <c r="S2153" s="8">
        <v>18</v>
      </c>
      <c r="T2153" s="7" t="s">
        <v>4456</v>
      </c>
      <c r="U2153" s="7" t="s">
        <v>4455</v>
      </c>
      <c r="V21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54" spans="1:22" x14ac:dyDescent="0.35">
      <c r="A2154" s="7" t="s">
        <v>4056</v>
      </c>
      <c r="B2154" s="7" t="s">
        <v>2352</v>
      </c>
      <c r="C2154" s="5">
        <v>202.49</v>
      </c>
      <c r="D2154" s="2">
        <v>0.68787037036963739</v>
      </c>
      <c r="E2154" s="4">
        <v>45288</v>
      </c>
      <c r="F2154" s="7" t="s">
        <v>46</v>
      </c>
      <c r="G2154" s="7" t="s">
        <v>301</v>
      </c>
      <c r="H2154" s="7" t="s">
        <v>4057</v>
      </c>
      <c r="I2154" s="7" t="s">
        <v>783</v>
      </c>
      <c r="J2154" s="7" t="s">
        <v>1345</v>
      </c>
      <c r="K2154" s="7" t="s">
        <v>22</v>
      </c>
      <c r="L2154" s="8">
        <v>48</v>
      </c>
      <c r="M2154" s="7" t="s">
        <v>77</v>
      </c>
      <c r="N2154" s="8">
        <v>69</v>
      </c>
      <c r="O2154" s="8">
        <v>1</v>
      </c>
      <c r="P2154" s="5">
        <v>7447.1</v>
      </c>
      <c r="Q2154" s="4">
        <v>45600</v>
      </c>
      <c r="R2154" s="9">
        <v>0.33921296296296294</v>
      </c>
      <c r="S2154" s="8">
        <v>16</v>
      </c>
      <c r="T2154" s="7" t="s">
        <v>4457</v>
      </c>
      <c r="U2154" s="7" t="s">
        <v>4455</v>
      </c>
      <c r="V21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55" spans="1:22" x14ac:dyDescent="0.35">
      <c r="A2155" s="7" t="s">
        <v>4058</v>
      </c>
      <c r="B2155" s="7" t="s">
        <v>274</v>
      </c>
      <c r="C2155" s="5">
        <v>154.99</v>
      </c>
      <c r="D2155" s="2">
        <v>0.71328703704057261</v>
      </c>
      <c r="E2155" s="4">
        <v>45166</v>
      </c>
      <c r="F2155" s="7" t="s">
        <v>17</v>
      </c>
      <c r="G2155" s="7" t="s">
        <v>32</v>
      </c>
      <c r="H2155" s="7" t="s">
        <v>877</v>
      </c>
      <c r="I2155" s="7" t="s">
        <v>3352</v>
      </c>
      <c r="J2155" s="7" t="s">
        <v>105</v>
      </c>
      <c r="K2155" s="7" t="s">
        <v>69</v>
      </c>
      <c r="L2155" s="8">
        <v>25</v>
      </c>
      <c r="M2155" s="7" t="s">
        <v>37</v>
      </c>
      <c r="N2155" s="8">
        <v>53</v>
      </c>
      <c r="O2155" s="8">
        <v>1</v>
      </c>
      <c r="P2155" s="5">
        <v>1419.31</v>
      </c>
      <c r="Q2155" s="4">
        <v>45600</v>
      </c>
      <c r="R2155" s="9">
        <v>0.33895833333333331</v>
      </c>
      <c r="S2155" s="8">
        <v>17</v>
      </c>
      <c r="T2155" s="7" t="s">
        <v>4456</v>
      </c>
      <c r="U2155" s="7" t="s">
        <v>4455</v>
      </c>
      <c r="V21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56" spans="1:22" x14ac:dyDescent="0.35">
      <c r="A2156" s="7" t="s">
        <v>4059</v>
      </c>
      <c r="B2156" s="7" t="s">
        <v>2512</v>
      </c>
      <c r="C2156" s="5">
        <v>481.53</v>
      </c>
      <c r="D2156" s="2">
        <v>0.72347222222015262</v>
      </c>
      <c r="E2156" s="4">
        <v>45181</v>
      </c>
      <c r="F2156" s="7" t="s">
        <v>17</v>
      </c>
      <c r="G2156" s="7" t="s">
        <v>47</v>
      </c>
      <c r="H2156" s="7" t="s">
        <v>152</v>
      </c>
      <c r="I2156" s="7" t="s">
        <v>116</v>
      </c>
      <c r="J2156" s="7" t="s">
        <v>343</v>
      </c>
      <c r="K2156" s="7" t="s">
        <v>69</v>
      </c>
      <c r="L2156" s="8">
        <v>58</v>
      </c>
      <c r="M2156" s="7" t="s">
        <v>70</v>
      </c>
      <c r="N2156" s="8">
        <v>277</v>
      </c>
      <c r="O2156" s="8">
        <v>1</v>
      </c>
      <c r="P2156" s="5">
        <v>6142.54</v>
      </c>
      <c r="Q2156" s="4">
        <v>45600</v>
      </c>
      <c r="R2156" s="9">
        <v>0.34159722222222222</v>
      </c>
      <c r="S2156" s="8">
        <v>17</v>
      </c>
      <c r="T2156" s="7" t="s">
        <v>4454</v>
      </c>
      <c r="U2156" s="7" t="s">
        <v>4455</v>
      </c>
      <c r="V21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57" spans="1:22" x14ac:dyDescent="0.35">
      <c r="A2157" s="7" t="s">
        <v>4060</v>
      </c>
      <c r="B2157" s="7" t="s">
        <v>525</v>
      </c>
      <c r="C2157" s="5">
        <v>172.92</v>
      </c>
      <c r="D2157" s="2">
        <v>0.70561342592554865</v>
      </c>
      <c r="E2157" s="4">
        <v>45166</v>
      </c>
      <c r="F2157" s="7" t="s">
        <v>17</v>
      </c>
      <c r="G2157" s="7" t="s">
        <v>172</v>
      </c>
      <c r="H2157" s="7" t="s">
        <v>975</v>
      </c>
      <c r="I2157" s="7" t="s">
        <v>1637</v>
      </c>
      <c r="J2157" s="7" t="s">
        <v>29</v>
      </c>
      <c r="K2157" s="7" t="s">
        <v>36</v>
      </c>
      <c r="L2157" s="8">
        <v>20</v>
      </c>
      <c r="M2157" s="7" t="s">
        <v>37</v>
      </c>
      <c r="N2157" s="8">
        <v>212</v>
      </c>
      <c r="O2157" s="8">
        <v>1</v>
      </c>
      <c r="P2157" s="5">
        <v>416.37</v>
      </c>
      <c r="Q2157" s="4">
        <v>45600</v>
      </c>
      <c r="R2157" s="9">
        <v>0.33905092592592595</v>
      </c>
      <c r="S2157" s="8">
        <v>16</v>
      </c>
      <c r="T2157" s="7" t="s">
        <v>4456</v>
      </c>
      <c r="U2157" s="7" t="s">
        <v>4455</v>
      </c>
      <c r="V21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58" spans="1:22" x14ac:dyDescent="0.35">
      <c r="A2158" s="7" t="s">
        <v>4061</v>
      </c>
      <c r="B2158" s="7" t="s">
        <v>2539</v>
      </c>
      <c r="C2158" s="5">
        <v>275.58999999999997</v>
      </c>
      <c r="D2158" s="2">
        <v>0.70072916666686069</v>
      </c>
      <c r="E2158" s="4">
        <v>45209</v>
      </c>
      <c r="F2158" s="7" t="s">
        <v>46</v>
      </c>
      <c r="G2158" s="7" t="s">
        <v>243</v>
      </c>
      <c r="H2158" s="7" t="s">
        <v>2976</v>
      </c>
      <c r="I2158" s="7" t="s">
        <v>458</v>
      </c>
      <c r="J2158" s="7" t="s">
        <v>370</v>
      </c>
      <c r="K2158" s="7" t="s">
        <v>69</v>
      </c>
      <c r="L2158" s="8">
        <v>53</v>
      </c>
      <c r="M2158" s="7" t="s">
        <v>70</v>
      </c>
      <c r="N2158" s="8">
        <v>238</v>
      </c>
      <c r="O2158" s="8">
        <v>1</v>
      </c>
      <c r="P2158" s="5">
        <v>6313.22</v>
      </c>
      <c r="Q2158" s="4">
        <v>45600</v>
      </c>
      <c r="R2158" s="9">
        <v>0.34041666666666665</v>
      </c>
      <c r="S2158" s="8">
        <v>16</v>
      </c>
      <c r="T2158" s="7" t="s">
        <v>4457</v>
      </c>
      <c r="U2158" s="7" t="s">
        <v>4455</v>
      </c>
      <c r="V21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59" spans="1:22" x14ac:dyDescent="0.35">
      <c r="A2159" s="7" t="s">
        <v>4062</v>
      </c>
      <c r="B2159" s="7" t="s">
        <v>3465</v>
      </c>
      <c r="C2159" s="5">
        <v>207.2</v>
      </c>
      <c r="D2159" s="2">
        <v>0.67537037037254777</v>
      </c>
      <c r="E2159" s="4">
        <v>45292</v>
      </c>
      <c r="F2159" s="7" t="s">
        <v>17</v>
      </c>
      <c r="G2159" s="7" t="s">
        <v>125</v>
      </c>
      <c r="H2159" s="7" t="s">
        <v>1685</v>
      </c>
      <c r="I2159" s="7" t="s">
        <v>1344</v>
      </c>
      <c r="J2159" s="7" t="s">
        <v>165</v>
      </c>
      <c r="K2159" s="7" t="s">
        <v>36</v>
      </c>
      <c r="L2159" s="8">
        <v>60</v>
      </c>
      <c r="M2159" s="7" t="s">
        <v>77</v>
      </c>
      <c r="N2159" s="8">
        <v>133</v>
      </c>
      <c r="O2159" s="8">
        <v>1</v>
      </c>
      <c r="P2159" s="5">
        <v>8092.94</v>
      </c>
      <c r="Q2159" s="4">
        <v>45600</v>
      </c>
      <c r="R2159" s="9">
        <v>0.33776620370370369</v>
      </c>
      <c r="S2159" s="8">
        <v>16</v>
      </c>
      <c r="T2159" s="7" t="s">
        <v>4454</v>
      </c>
      <c r="U2159" s="7" t="s">
        <v>4455</v>
      </c>
      <c r="V21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60" spans="1:22" x14ac:dyDescent="0.35">
      <c r="A2160" s="7" t="s">
        <v>4063</v>
      </c>
      <c r="B2160" s="7" t="s">
        <v>2781</v>
      </c>
      <c r="C2160" s="5">
        <v>136.82</v>
      </c>
      <c r="D2160" s="2">
        <v>0.76673611110891216</v>
      </c>
      <c r="E2160" s="4">
        <v>45163</v>
      </c>
      <c r="F2160" s="7" t="s">
        <v>17</v>
      </c>
      <c r="G2160" s="7" t="s">
        <v>265</v>
      </c>
      <c r="H2160" s="7" t="s">
        <v>4064</v>
      </c>
      <c r="I2160" s="7" t="s">
        <v>2206</v>
      </c>
      <c r="J2160" s="7" t="s">
        <v>50</v>
      </c>
      <c r="K2160" s="7" t="s">
        <v>69</v>
      </c>
      <c r="L2160" s="8">
        <v>31</v>
      </c>
      <c r="M2160" s="7" t="s">
        <v>77</v>
      </c>
      <c r="N2160" s="8">
        <v>14</v>
      </c>
      <c r="O2160" s="8">
        <v>1</v>
      </c>
      <c r="P2160" s="5">
        <v>6229.13</v>
      </c>
      <c r="Q2160" s="4">
        <v>45600</v>
      </c>
      <c r="R2160" s="9">
        <v>0.33892361111111113</v>
      </c>
      <c r="S2160" s="8">
        <v>18</v>
      </c>
      <c r="T2160" s="7" t="s">
        <v>4456</v>
      </c>
      <c r="U2160" s="7" t="s">
        <v>4455</v>
      </c>
      <c r="V21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61" spans="1:22" x14ac:dyDescent="0.35">
      <c r="A2161" s="7" t="s">
        <v>4065</v>
      </c>
      <c r="B2161" s="7" t="s">
        <v>1821</v>
      </c>
      <c r="C2161" s="5">
        <v>624</v>
      </c>
      <c r="D2161" s="2">
        <v>0.73233796295971842</v>
      </c>
      <c r="E2161" s="4">
        <v>44973</v>
      </c>
      <c r="F2161" s="7" t="s">
        <v>17</v>
      </c>
      <c r="G2161" s="7" t="s">
        <v>26</v>
      </c>
      <c r="H2161" s="7" t="s">
        <v>1039</v>
      </c>
      <c r="I2161" s="7" t="s">
        <v>2316</v>
      </c>
      <c r="J2161" s="7" t="s">
        <v>348</v>
      </c>
      <c r="K2161" s="7" t="s">
        <v>69</v>
      </c>
      <c r="L2161" s="8">
        <v>26</v>
      </c>
      <c r="M2161" s="7" t="s">
        <v>77</v>
      </c>
      <c r="N2161" s="8">
        <v>132</v>
      </c>
      <c r="O2161" s="8">
        <v>5</v>
      </c>
      <c r="P2161" s="5">
        <v>4976.18</v>
      </c>
      <c r="Q2161" s="4">
        <v>45600</v>
      </c>
      <c r="R2161" s="9">
        <v>0.34145833333333331</v>
      </c>
      <c r="S2161" s="8">
        <v>17</v>
      </c>
      <c r="T2161" s="7" t="s">
        <v>4456</v>
      </c>
      <c r="U2161" s="7" t="s">
        <v>4458</v>
      </c>
      <c r="V21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62" spans="1:22" x14ac:dyDescent="0.35">
      <c r="A2162" s="7" t="s">
        <v>4066</v>
      </c>
      <c r="B2162" s="7" t="s">
        <v>2133</v>
      </c>
      <c r="C2162" s="5">
        <v>179.38</v>
      </c>
      <c r="D2162" s="2">
        <v>0.77152777777519077</v>
      </c>
      <c r="E2162" s="4">
        <v>45148</v>
      </c>
      <c r="F2162" s="7" t="s">
        <v>17</v>
      </c>
      <c r="G2162" s="7" t="s">
        <v>265</v>
      </c>
      <c r="H2162" s="7" t="s">
        <v>2282</v>
      </c>
      <c r="I2162" s="7" t="s">
        <v>1109</v>
      </c>
      <c r="J2162" s="7" t="s">
        <v>226</v>
      </c>
      <c r="K2162" s="7" t="s">
        <v>36</v>
      </c>
      <c r="L2162" s="8">
        <v>30</v>
      </c>
      <c r="M2162" s="7" t="s">
        <v>77</v>
      </c>
      <c r="N2162" s="8">
        <v>28</v>
      </c>
      <c r="O2162" s="8">
        <v>1</v>
      </c>
      <c r="P2162" s="5">
        <v>8741.51</v>
      </c>
      <c r="Q2162" s="4">
        <v>45600</v>
      </c>
      <c r="R2162" s="9">
        <v>0.33928240740740739</v>
      </c>
      <c r="S2162" s="8">
        <v>18</v>
      </c>
      <c r="T2162" s="7" t="s">
        <v>4456</v>
      </c>
      <c r="U2162" s="7" t="s">
        <v>4455</v>
      </c>
      <c r="V21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63" spans="1:22" x14ac:dyDescent="0.35">
      <c r="A2163" s="7" t="s">
        <v>4067</v>
      </c>
      <c r="B2163" s="7" t="s">
        <v>1998</v>
      </c>
      <c r="C2163" s="5">
        <v>10.15</v>
      </c>
      <c r="D2163" s="2">
        <v>0.70247685185313458</v>
      </c>
      <c r="E2163" s="4">
        <v>44980</v>
      </c>
      <c r="F2163" s="7" t="s">
        <v>17</v>
      </c>
      <c r="G2163" s="7" t="s">
        <v>119</v>
      </c>
      <c r="H2163" s="7" t="s">
        <v>902</v>
      </c>
      <c r="I2163" s="7" t="s">
        <v>1585</v>
      </c>
      <c r="J2163" s="7" t="s">
        <v>432</v>
      </c>
      <c r="K2163" s="7" t="s">
        <v>22</v>
      </c>
      <c r="L2163" s="8">
        <v>59</v>
      </c>
      <c r="M2163" s="7" t="s">
        <v>23</v>
      </c>
      <c r="N2163" s="8">
        <v>58</v>
      </c>
      <c r="O2163" s="8">
        <v>5</v>
      </c>
      <c r="P2163" s="5">
        <v>7155.04</v>
      </c>
      <c r="Q2163" s="4">
        <v>45600</v>
      </c>
      <c r="R2163" s="9">
        <v>0.34097222222222223</v>
      </c>
      <c r="S2163" s="8">
        <v>16</v>
      </c>
      <c r="T2163" s="7" t="s">
        <v>4454</v>
      </c>
      <c r="U2163" s="7" t="s">
        <v>4458</v>
      </c>
      <c r="V21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64" spans="1:22" x14ac:dyDescent="0.35">
      <c r="A2164" s="7" t="s">
        <v>4068</v>
      </c>
      <c r="B2164" s="7" t="s">
        <v>1858</v>
      </c>
      <c r="C2164" s="5">
        <v>26.3</v>
      </c>
      <c r="D2164" s="2">
        <v>0.70658564814948477</v>
      </c>
      <c r="E2164" s="4">
        <v>45272</v>
      </c>
      <c r="F2164" s="7" t="s">
        <v>17</v>
      </c>
      <c r="G2164" s="7" t="s">
        <v>301</v>
      </c>
      <c r="H2164" s="7" t="s">
        <v>1024</v>
      </c>
      <c r="I2164" s="7" t="s">
        <v>307</v>
      </c>
      <c r="J2164" s="7" t="s">
        <v>175</v>
      </c>
      <c r="K2164" s="7" t="s">
        <v>22</v>
      </c>
      <c r="L2164" s="8">
        <v>32</v>
      </c>
      <c r="M2164" s="7" t="s">
        <v>23</v>
      </c>
      <c r="N2164" s="8">
        <v>33</v>
      </c>
      <c r="O2164" s="8">
        <v>1</v>
      </c>
      <c r="P2164" s="5">
        <v>7473.73</v>
      </c>
      <c r="Q2164" s="4">
        <v>45600</v>
      </c>
      <c r="R2164" s="9">
        <v>0.33990740740740738</v>
      </c>
      <c r="S2164" s="8">
        <v>16</v>
      </c>
      <c r="T2164" s="7" t="s">
        <v>4456</v>
      </c>
      <c r="U2164" s="7" t="s">
        <v>4455</v>
      </c>
      <c r="V21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65" spans="1:22" x14ac:dyDescent="0.35">
      <c r="A2165" s="7" t="s">
        <v>4069</v>
      </c>
      <c r="B2165" s="7" t="s">
        <v>1151</v>
      </c>
      <c r="C2165" s="5">
        <v>319.5</v>
      </c>
      <c r="D2165" s="2">
        <v>0.66902777777431766</v>
      </c>
      <c r="E2165" s="4">
        <v>45086</v>
      </c>
      <c r="F2165" s="7" t="s">
        <v>46</v>
      </c>
      <c r="G2165" s="7" t="s">
        <v>301</v>
      </c>
      <c r="H2165" s="7" t="s">
        <v>2290</v>
      </c>
      <c r="I2165" s="7" t="s">
        <v>1683</v>
      </c>
      <c r="J2165" s="7" t="s">
        <v>427</v>
      </c>
      <c r="K2165" s="7" t="s">
        <v>69</v>
      </c>
      <c r="L2165" s="8">
        <v>29</v>
      </c>
      <c r="M2165" s="7" t="s">
        <v>77</v>
      </c>
      <c r="N2165" s="8">
        <v>69</v>
      </c>
      <c r="O2165" s="8">
        <v>1</v>
      </c>
      <c r="P2165" s="5">
        <v>2366.3000000000002</v>
      </c>
      <c r="Q2165" s="4">
        <v>45600</v>
      </c>
      <c r="R2165" s="9">
        <v>0.34079861111111109</v>
      </c>
      <c r="S2165" s="8">
        <v>16</v>
      </c>
      <c r="T2165" s="7" t="s">
        <v>4456</v>
      </c>
      <c r="U2165" s="7" t="s">
        <v>4455</v>
      </c>
      <c r="V21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66" spans="1:22" x14ac:dyDescent="0.35">
      <c r="A2166" s="7" t="s">
        <v>4070</v>
      </c>
      <c r="B2166" s="7" t="s">
        <v>3811</v>
      </c>
      <c r="C2166" s="5">
        <v>182.42</v>
      </c>
      <c r="D2166" s="2">
        <v>0.708287037035916</v>
      </c>
      <c r="E2166" s="4">
        <v>45007</v>
      </c>
      <c r="F2166" s="7" t="s">
        <v>17</v>
      </c>
      <c r="G2166" s="7" t="s">
        <v>291</v>
      </c>
      <c r="H2166" s="7" t="s">
        <v>2312</v>
      </c>
      <c r="I2166" s="7" t="s">
        <v>1686</v>
      </c>
      <c r="J2166" s="7" t="s">
        <v>1014</v>
      </c>
      <c r="K2166" s="7" t="s">
        <v>69</v>
      </c>
      <c r="L2166" s="8">
        <v>51</v>
      </c>
      <c r="M2166" s="7" t="s">
        <v>70</v>
      </c>
      <c r="N2166" s="8">
        <v>137</v>
      </c>
      <c r="O2166" s="8">
        <v>1</v>
      </c>
      <c r="P2166" s="5">
        <v>3051.29</v>
      </c>
      <c r="Q2166" s="4">
        <v>45600</v>
      </c>
      <c r="R2166" s="9">
        <v>0.34075231481481483</v>
      </c>
      <c r="S2166" s="8">
        <v>16</v>
      </c>
      <c r="T2166" s="7" t="s">
        <v>4457</v>
      </c>
      <c r="U2166" s="7" t="s">
        <v>4455</v>
      </c>
      <c r="V21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67" spans="1:22" x14ac:dyDescent="0.35">
      <c r="A2167" s="7" t="s">
        <v>4071</v>
      </c>
      <c r="B2167" s="7" t="s">
        <v>3092</v>
      </c>
      <c r="C2167" s="5">
        <v>716.62</v>
      </c>
      <c r="D2167" s="2">
        <v>0.66976851852086838</v>
      </c>
      <c r="E2167" s="4">
        <v>45026</v>
      </c>
      <c r="F2167" s="7" t="s">
        <v>17</v>
      </c>
      <c r="G2167" s="7" t="s">
        <v>47</v>
      </c>
      <c r="H2167" s="7" t="s">
        <v>179</v>
      </c>
      <c r="I2167" s="7" t="s">
        <v>2120</v>
      </c>
      <c r="J2167" s="7" t="s">
        <v>820</v>
      </c>
      <c r="K2167" s="7" t="s">
        <v>22</v>
      </c>
      <c r="L2167" s="8">
        <v>44</v>
      </c>
      <c r="M2167" s="7" t="s">
        <v>23</v>
      </c>
      <c r="N2167" s="8">
        <v>241</v>
      </c>
      <c r="O2167" s="8">
        <v>1</v>
      </c>
      <c r="P2167" s="5">
        <v>6987.4</v>
      </c>
      <c r="Q2167" s="4">
        <v>45600</v>
      </c>
      <c r="R2167" s="9">
        <v>0.34033564814814815</v>
      </c>
      <c r="S2167" s="8">
        <v>16</v>
      </c>
      <c r="T2167" s="7" t="s">
        <v>4457</v>
      </c>
      <c r="U2167" s="7" t="s">
        <v>4455</v>
      </c>
      <c r="V21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68" spans="1:22" x14ac:dyDescent="0.35">
      <c r="A2168" s="7" t="s">
        <v>4072</v>
      </c>
      <c r="B2168" s="7" t="s">
        <v>1057</v>
      </c>
      <c r="C2168" s="5">
        <v>222.96</v>
      </c>
      <c r="D2168" s="2">
        <v>0.72674768518481869</v>
      </c>
      <c r="E2168" s="4">
        <v>45008</v>
      </c>
      <c r="F2168" s="7" t="s">
        <v>46</v>
      </c>
      <c r="G2168" s="7" t="s">
        <v>558</v>
      </c>
      <c r="H2168" s="7" t="s">
        <v>3370</v>
      </c>
      <c r="I2168" s="7" t="s">
        <v>3141</v>
      </c>
      <c r="J2168" s="7" t="s">
        <v>89</v>
      </c>
      <c r="K2168" s="7" t="s">
        <v>22</v>
      </c>
      <c r="L2168" s="8">
        <v>65</v>
      </c>
      <c r="M2168" s="7" t="s">
        <v>23</v>
      </c>
      <c r="N2168" s="8">
        <v>150</v>
      </c>
      <c r="O2168" s="8">
        <v>1</v>
      </c>
      <c r="P2168" s="5">
        <v>7370.41</v>
      </c>
      <c r="Q2168" s="4">
        <v>45600</v>
      </c>
      <c r="R2168" s="9">
        <v>0.34190972222222221</v>
      </c>
      <c r="S2168" s="8">
        <v>17</v>
      </c>
      <c r="T2168" s="7" t="s">
        <v>4454</v>
      </c>
      <c r="U2168" s="7" t="s">
        <v>4455</v>
      </c>
      <c r="V21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69" spans="1:22" x14ac:dyDescent="0.35">
      <c r="A2169" s="7" t="s">
        <v>4073</v>
      </c>
      <c r="B2169" s="7" t="s">
        <v>2507</v>
      </c>
      <c r="C2169" s="5">
        <v>79.77</v>
      </c>
      <c r="D2169" s="2">
        <v>0.70202546296059154</v>
      </c>
      <c r="E2169" s="4">
        <v>44949</v>
      </c>
      <c r="F2169" s="7" t="s">
        <v>17</v>
      </c>
      <c r="G2169" s="7" t="s">
        <v>212</v>
      </c>
      <c r="H2169" s="7" t="s">
        <v>3940</v>
      </c>
      <c r="I2169" s="7" t="s">
        <v>2849</v>
      </c>
      <c r="J2169" s="7" t="s">
        <v>386</v>
      </c>
      <c r="K2169" s="7" t="s">
        <v>22</v>
      </c>
      <c r="L2169" s="8">
        <v>68</v>
      </c>
      <c r="M2169" s="7" t="s">
        <v>70</v>
      </c>
      <c r="N2169" s="8">
        <v>167</v>
      </c>
      <c r="O2169" s="8">
        <v>1</v>
      </c>
      <c r="P2169" s="5">
        <v>5010.3100000000004</v>
      </c>
      <c r="Q2169" s="4">
        <v>45600</v>
      </c>
      <c r="R2169" s="9">
        <v>0.33939814814814817</v>
      </c>
      <c r="S2169" s="8">
        <v>16</v>
      </c>
      <c r="T2169" s="7" t="s">
        <v>4454</v>
      </c>
      <c r="U2169" s="7" t="s">
        <v>4455</v>
      </c>
      <c r="V21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70" spans="1:22" x14ac:dyDescent="0.35">
      <c r="A2170" s="7" t="s">
        <v>4074</v>
      </c>
      <c r="B2170" s="7" t="s">
        <v>367</v>
      </c>
      <c r="C2170" s="5">
        <v>431.08</v>
      </c>
      <c r="D2170" s="2">
        <v>0.76684027777810115</v>
      </c>
      <c r="E2170" s="4">
        <v>45124</v>
      </c>
      <c r="F2170" s="7" t="s">
        <v>17</v>
      </c>
      <c r="G2170" s="7" t="s">
        <v>86</v>
      </c>
      <c r="H2170" s="7" t="s">
        <v>630</v>
      </c>
      <c r="I2170" s="7" t="s">
        <v>3347</v>
      </c>
      <c r="J2170" s="7" t="s">
        <v>759</v>
      </c>
      <c r="K2170" s="7" t="s">
        <v>69</v>
      </c>
      <c r="L2170" s="8">
        <v>59</v>
      </c>
      <c r="M2170" s="7" t="s">
        <v>70</v>
      </c>
      <c r="N2170" s="8">
        <v>25</v>
      </c>
      <c r="O2170" s="8">
        <v>1</v>
      </c>
      <c r="P2170" s="5">
        <v>6760.22</v>
      </c>
      <c r="Q2170" s="4">
        <v>45600</v>
      </c>
      <c r="R2170" s="9">
        <v>0.33810185185185188</v>
      </c>
      <c r="S2170" s="8">
        <v>18</v>
      </c>
      <c r="T2170" s="7" t="s">
        <v>4454</v>
      </c>
      <c r="U2170" s="7" t="s">
        <v>4455</v>
      </c>
      <c r="V21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71" spans="1:22" x14ac:dyDescent="0.35">
      <c r="A2171" s="7" t="s">
        <v>4075</v>
      </c>
      <c r="B2171" s="7" t="s">
        <v>876</v>
      </c>
      <c r="C2171" s="5">
        <v>592.24</v>
      </c>
      <c r="D2171" s="2">
        <v>0.70077546295942739</v>
      </c>
      <c r="E2171" s="4">
        <v>45215</v>
      </c>
      <c r="F2171" s="7" t="s">
        <v>17</v>
      </c>
      <c r="G2171" s="7" t="s">
        <v>255</v>
      </c>
      <c r="H2171" s="7" t="s">
        <v>381</v>
      </c>
      <c r="I2171" s="7" t="s">
        <v>2484</v>
      </c>
      <c r="J2171" s="7" t="s">
        <v>639</v>
      </c>
      <c r="K2171" s="7" t="s">
        <v>22</v>
      </c>
      <c r="L2171" s="8">
        <v>52</v>
      </c>
      <c r="M2171" s="7" t="s">
        <v>23</v>
      </c>
      <c r="N2171" s="8">
        <v>140</v>
      </c>
      <c r="O2171" s="8">
        <v>1</v>
      </c>
      <c r="P2171" s="5">
        <v>9817.0499999999993</v>
      </c>
      <c r="Q2171" s="4">
        <v>45600</v>
      </c>
      <c r="R2171" s="9">
        <v>0.33842592592592591</v>
      </c>
      <c r="S2171" s="8">
        <v>16</v>
      </c>
      <c r="T2171" s="7" t="s">
        <v>4457</v>
      </c>
      <c r="U2171" s="7" t="s">
        <v>4455</v>
      </c>
      <c r="V21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72" spans="1:22" x14ac:dyDescent="0.35">
      <c r="A2172" s="7" t="s">
        <v>4076</v>
      </c>
      <c r="B2172" s="7" t="s">
        <v>222</v>
      </c>
      <c r="C2172" s="5">
        <v>200.19</v>
      </c>
      <c r="D2172" s="2">
        <v>0.75810185185400769</v>
      </c>
      <c r="E2172" s="4">
        <v>45125</v>
      </c>
      <c r="F2172" s="7" t="s">
        <v>46</v>
      </c>
      <c r="G2172" s="7" t="s">
        <v>237</v>
      </c>
      <c r="H2172" s="7" t="s">
        <v>1273</v>
      </c>
      <c r="I2172" s="7" t="s">
        <v>2984</v>
      </c>
      <c r="J2172" s="7" t="s">
        <v>95</v>
      </c>
      <c r="K2172" s="7" t="s">
        <v>69</v>
      </c>
      <c r="L2172" s="8">
        <v>52</v>
      </c>
      <c r="M2172" s="7" t="s">
        <v>70</v>
      </c>
      <c r="N2172" s="8">
        <v>108</v>
      </c>
      <c r="O2172" s="8">
        <v>1</v>
      </c>
      <c r="P2172" s="5">
        <v>4389.96</v>
      </c>
      <c r="Q2172" s="4">
        <v>45600</v>
      </c>
      <c r="R2172" s="9">
        <v>0.34186342592592595</v>
      </c>
      <c r="S2172" s="8">
        <v>18</v>
      </c>
      <c r="T2172" s="7" t="s">
        <v>4457</v>
      </c>
      <c r="U2172" s="7" t="s">
        <v>4455</v>
      </c>
      <c r="V21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73" spans="1:22" x14ac:dyDescent="0.35">
      <c r="A2173" s="7" t="s">
        <v>4077</v>
      </c>
      <c r="B2173" s="7" t="s">
        <v>2019</v>
      </c>
      <c r="C2173" s="5">
        <v>297.5</v>
      </c>
      <c r="D2173" s="2">
        <v>0.7199189814782585</v>
      </c>
      <c r="E2173" s="4">
        <v>45012</v>
      </c>
      <c r="F2173" s="7" t="s">
        <v>46</v>
      </c>
      <c r="G2173" s="7" t="s">
        <v>291</v>
      </c>
      <c r="H2173" s="7" t="s">
        <v>1160</v>
      </c>
      <c r="I2173" s="7" t="s">
        <v>1083</v>
      </c>
      <c r="J2173" s="7" t="s">
        <v>358</v>
      </c>
      <c r="K2173" s="7" t="s">
        <v>69</v>
      </c>
      <c r="L2173" s="8">
        <v>73</v>
      </c>
      <c r="M2173" s="7" t="s">
        <v>70</v>
      </c>
      <c r="N2173" s="8">
        <v>80</v>
      </c>
      <c r="O2173" s="8">
        <v>1</v>
      </c>
      <c r="P2173" s="5">
        <v>6768.14</v>
      </c>
      <c r="Q2173" s="4">
        <v>45600</v>
      </c>
      <c r="R2173" s="9">
        <v>0.33876157407407409</v>
      </c>
      <c r="S2173" s="8">
        <v>17</v>
      </c>
      <c r="T2173" s="7" t="s">
        <v>4454</v>
      </c>
      <c r="U2173" s="7" t="s">
        <v>4455</v>
      </c>
      <c r="V21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74" spans="1:22" x14ac:dyDescent="0.35">
      <c r="A2174" s="7" t="s">
        <v>4078</v>
      </c>
      <c r="B2174" s="7" t="s">
        <v>1998</v>
      </c>
      <c r="C2174" s="5">
        <v>345.86</v>
      </c>
      <c r="D2174" s="2">
        <v>0.69564814814657439</v>
      </c>
      <c r="E2174" s="4">
        <v>45250</v>
      </c>
      <c r="F2174" s="7" t="s">
        <v>17</v>
      </c>
      <c r="G2174" s="7" t="s">
        <v>296</v>
      </c>
      <c r="H2174" s="7" t="s">
        <v>224</v>
      </c>
      <c r="I2174" s="7" t="s">
        <v>2383</v>
      </c>
      <c r="J2174" s="7" t="s">
        <v>853</v>
      </c>
      <c r="K2174" s="7" t="s">
        <v>22</v>
      </c>
      <c r="L2174" s="8">
        <v>51</v>
      </c>
      <c r="M2174" s="7" t="s">
        <v>70</v>
      </c>
      <c r="N2174" s="8">
        <v>145</v>
      </c>
      <c r="O2174" s="8">
        <v>1</v>
      </c>
      <c r="P2174" s="5">
        <v>1504.64</v>
      </c>
      <c r="Q2174" s="4">
        <v>45600</v>
      </c>
      <c r="R2174" s="9">
        <v>0.33988425925925925</v>
      </c>
      <c r="S2174" s="8">
        <v>16</v>
      </c>
      <c r="T2174" s="7" t="s">
        <v>4457</v>
      </c>
      <c r="U2174" s="7" t="s">
        <v>4455</v>
      </c>
      <c r="V21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75" spans="1:22" x14ac:dyDescent="0.35">
      <c r="A2175" s="7" t="s">
        <v>4079</v>
      </c>
      <c r="B2175" s="7" t="s">
        <v>1418</v>
      </c>
      <c r="C2175" s="5">
        <v>343.88</v>
      </c>
      <c r="D2175" s="2">
        <v>0.69259259258979</v>
      </c>
      <c r="E2175" s="4">
        <v>45271</v>
      </c>
      <c r="F2175" s="7" t="s">
        <v>17</v>
      </c>
      <c r="G2175" s="7" t="s">
        <v>80</v>
      </c>
      <c r="H2175" s="7" t="s">
        <v>2359</v>
      </c>
      <c r="I2175" s="7" t="s">
        <v>999</v>
      </c>
      <c r="J2175" s="7" t="s">
        <v>1524</v>
      </c>
      <c r="K2175" s="7" t="s">
        <v>36</v>
      </c>
      <c r="L2175" s="8">
        <v>63</v>
      </c>
      <c r="M2175" s="7" t="s">
        <v>70</v>
      </c>
      <c r="N2175" s="8">
        <v>97</v>
      </c>
      <c r="O2175" s="8">
        <v>1</v>
      </c>
      <c r="P2175" s="5">
        <v>6486.18</v>
      </c>
      <c r="Q2175" s="4">
        <v>45600</v>
      </c>
      <c r="R2175" s="9">
        <v>0.34167824074074077</v>
      </c>
      <c r="S2175" s="8">
        <v>16</v>
      </c>
      <c r="T2175" s="7" t="s">
        <v>4454</v>
      </c>
      <c r="U2175" s="7" t="s">
        <v>4455</v>
      </c>
      <c r="V21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76" spans="1:22" x14ac:dyDescent="0.35">
      <c r="A2176" s="7" t="s">
        <v>4080</v>
      </c>
      <c r="B2176" s="7" t="s">
        <v>2251</v>
      </c>
      <c r="C2176" s="5">
        <v>16.52</v>
      </c>
      <c r="D2176" s="2">
        <v>0.70900462962890742</v>
      </c>
      <c r="E2176" s="4">
        <v>44930</v>
      </c>
      <c r="F2176" s="7" t="s">
        <v>46</v>
      </c>
      <c r="G2176" s="7" t="s">
        <v>388</v>
      </c>
      <c r="H2176" s="7" t="s">
        <v>2068</v>
      </c>
      <c r="I2176" s="7" t="s">
        <v>2030</v>
      </c>
      <c r="J2176" s="7" t="s">
        <v>482</v>
      </c>
      <c r="K2176" s="7" t="s">
        <v>36</v>
      </c>
      <c r="L2176" s="8">
        <v>25</v>
      </c>
      <c r="M2176" s="7" t="s">
        <v>37</v>
      </c>
      <c r="N2176" s="8">
        <v>135</v>
      </c>
      <c r="O2176" s="8">
        <v>1</v>
      </c>
      <c r="P2176" s="5">
        <v>835.53</v>
      </c>
      <c r="Q2176" s="4">
        <v>45600</v>
      </c>
      <c r="R2176" s="9">
        <v>0.3385185185185185</v>
      </c>
      <c r="S2176" s="8">
        <v>17</v>
      </c>
      <c r="T2176" s="7" t="s">
        <v>4456</v>
      </c>
      <c r="U2176" s="7" t="s">
        <v>4455</v>
      </c>
      <c r="V21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77" spans="1:22" x14ac:dyDescent="0.35">
      <c r="A2177" s="7" t="s">
        <v>4081</v>
      </c>
      <c r="B2177" s="7" t="s">
        <v>215</v>
      </c>
      <c r="C2177" s="5">
        <v>162.1</v>
      </c>
      <c r="D2177" s="2">
        <v>0.73195601852057735</v>
      </c>
      <c r="E2177" s="4">
        <v>45266</v>
      </c>
      <c r="F2177" s="7" t="s">
        <v>17</v>
      </c>
      <c r="G2177" s="7" t="s">
        <v>178</v>
      </c>
      <c r="H2177" s="7" t="s">
        <v>1649</v>
      </c>
      <c r="I2177" s="7" t="s">
        <v>1427</v>
      </c>
      <c r="J2177" s="7" t="s">
        <v>303</v>
      </c>
      <c r="K2177" s="7" t="s">
        <v>69</v>
      </c>
      <c r="L2177" s="8">
        <v>41</v>
      </c>
      <c r="M2177" s="7" t="s">
        <v>77</v>
      </c>
      <c r="N2177" s="8">
        <v>151</v>
      </c>
      <c r="O2177" s="8">
        <v>1</v>
      </c>
      <c r="P2177" s="5">
        <v>8576.65</v>
      </c>
      <c r="Q2177" s="4">
        <v>45600</v>
      </c>
      <c r="R2177" s="9">
        <v>0.33899305555555553</v>
      </c>
      <c r="S2177" s="8">
        <v>17</v>
      </c>
      <c r="T2177" s="7" t="s">
        <v>4457</v>
      </c>
      <c r="U2177" s="7" t="s">
        <v>4455</v>
      </c>
      <c r="V21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78" spans="1:22" x14ac:dyDescent="0.35">
      <c r="A2178" s="7" t="s">
        <v>4082</v>
      </c>
      <c r="B2178" s="7" t="s">
        <v>931</v>
      </c>
      <c r="C2178" s="5">
        <v>36.119999999999997</v>
      </c>
      <c r="D2178" s="2">
        <v>0.74660879629664123</v>
      </c>
      <c r="E2178" s="4">
        <v>45259</v>
      </c>
      <c r="F2178" s="7" t="s">
        <v>17</v>
      </c>
      <c r="G2178" s="7" t="s">
        <v>26</v>
      </c>
      <c r="H2178" s="7" t="s">
        <v>1600</v>
      </c>
      <c r="I2178" s="7" t="s">
        <v>493</v>
      </c>
      <c r="J2178" s="7" t="s">
        <v>674</v>
      </c>
      <c r="K2178" s="7" t="s">
        <v>36</v>
      </c>
      <c r="L2178" s="8">
        <v>22</v>
      </c>
      <c r="M2178" s="7" t="s">
        <v>37</v>
      </c>
      <c r="N2178" s="8">
        <v>234</v>
      </c>
      <c r="O2178" s="8">
        <v>1</v>
      </c>
      <c r="P2178" s="5">
        <v>1593.03</v>
      </c>
      <c r="Q2178" s="4">
        <v>45600</v>
      </c>
      <c r="R2178" s="9">
        <v>0.33901620370370372</v>
      </c>
      <c r="S2178" s="8">
        <v>17</v>
      </c>
      <c r="T2178" s="7" t="s">
        <v>4456</v>
      </c>
      <c r="U2178" s="7" t="s">
        <v>4455</v>
      </c>
      <c r="V21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79" spans="1:22" x14ac:dyDescent="0.35">
      <c r="A2179" s="7" t="s">
        <v>4083</v>
      </c>
      <c r="B2179" s="7" t="s">
        <v>648</v>
      </c>
      <c r="C2179" s="5">
        <v>354.91</v>
      </c>
      <c r="D2179" s="2">
        <v>0.68966435184847796</v>
      </c>
      <c r="E2179" s="4">
        <v>45278</v>
      </c>
      <c r="F2179" s="7" t="s">
        <v>17</v>
      </c>
      <c r="G2179" s="7" t="s">
        <v>388</v>
      </c>
      <c r="H2179" s="7" t="s">
        <v>2911</v>
      </c>
      <c r="I2179" s="7" t="s">
        <v>3182</v>
      </c>
      <c r="J2179" s="7" t="s">
        <v>572</v>
      </c>
      <c r="K2179" s="7" t="s">
        <v>22</v>
      </c>
      <c r="L2179" s="8">
        <v>74</v>
      </c>
      <c r="M2179" s="7" t="s">
        <v>70</v>
      </c>
      <c r="N2179" s="8">
        <v>191</v>
      </c>
      <c r="O2179" s="8">
        <v>1</v>
      </c>
      <c r="P2179" s="5">
        <v>3872.55</v>
      </c>
      <c r="Q2179" s="4">
        <v>45600</v>
      </c>
      <c r="R2179" s="9">
        <v>0.33967592592592594</v>
      </c>
      <c r="S2179" s="8">
        <v>16</v>
      </c>
      <c r="T2179" s="7" t="s">
        <v>4454</v>
      </c>
      <c r="U2179" s="7" t="s">
        <v>4455</v>
      </c>
      <c r="V21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80" spans="1:22" x14ac:dyDescent="0.35">
      <c r="A2180" s="7" t="s">
        <v>4084</v>
      </c>
      <c r="B2180" s="7" t="s">
        <v>434</v>
      </c>
      <c r="C2180" s="5">
        <v>38.409999999999997</v>
      </c>
      <c r="D2180" s="2">
        <v>0.67106481481459923</v>
      </c>
      <c r="E2180" s="4">
        <v>45027</v>
      </c>
      <c r="F2180" s="7" t="s">
        <v>17</v>
      </c>
      <c r="G2180" s="7" t="s">
        <v>114</v>
      </c>
      <c r="H2180" s="7" t="s">
        <v>1903</v>
      </c>
      <c r="I2180" s="7" t="s">
        <v>1139</v>
      </c>
      <c r="J2180" s="7" t="s">
        <v>1524</v>
      </c>
      <c r="K2180" s="7" t="s">
        <v>22</v>
      </c>
      <c r="L2180" s="8">
        <v>40</v>
      </c>
      <c r="M2180" s="7" t="s">
        <v>23</v>
      </c>
      <c r="N2180" s="8">
        <v>117</v>
      </c>
      <c r="O2180" s="8">
        <v>1</v>
      </c>
      <c r="P2180" s="5">
        <v>9129.68</v>
      </c>
      <c r="Q2180" s="4">
        <v>45600</v>
      </c>
      <c r="R2180" s="9">
        <v>0.33850694444444446</v>
      </c>
      <c r="S2180" s="8">
        <v>16</v>
      </c>
      <c r="T2180" s="7" t="s">
        <v>4457</v>
      </c>
      <c r="U2180" s="7" t="s">
        <v>4455</v>
      </c>
      <c r="V21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81" spans="1:22" x14ac:dyDescent="0.35">
      <c r="A2181" s="7" t="s">
        <v>4085</v>
      </c>
      <c r="B2181" s="7" t="s">
        <v>2003</v>
      </c>
      <c r="C2181" s="5">
        <v>53.52</v>
      </c>
      <c r="D2181" s="2">
        <v>0.67959490740759065</v>
      </c>
      <c r="E2181" s="4">
        <v>45016</v>
      </c>
      <c r="F2181" s="7" t="s">
        <v>17</v>
      </c>
      <c r="G2181" s="7" t="s">
        <v>18</v>
      </c>
      <c r="H2181" s="7" t="s">
        <v>2063</v>
      </c>
      <c r="I2181" s="7" t="s">
        <v>3837</v>
      </c>
      <c r="J2181" s="7" t="s">
        <v>386</v>
      </c>
      <c r="K2181" s="7" t="s">
        <v>69</v>
      </c>
      <c r="L2181" s="8">
        <v>49</v>
      </c>
      <c r="M2181" s="7" t="s">
        <v>77</v>
      </c>
      <c r="N2181" s="8">
        <v>55</v>
      </c>
      <c r="O2181" s="8">
        <v>1</v>
      </c>
      <c r="P2181" s="5">
        <v>2227.4899999999998</v>
      </c>
      <c r="Q2181" s="4">
        <v>45600</v>
      </c>
      <c r="R2181" s="9">
        <v>0.33930555555555558</v>
      </c>
      <c r="S2181" s="8">
        <v>16</v>
      </c>
      <c r="T2181" s="7" t="s">
        <v>4457</v>
      </c>
      <c r="U2181" s="7" t="s">
        <v>4455</v>
      </c>
      <c r="V21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82" spans="1:22" x14ac:dyDescent="0.35">
      <c r="A2182" s="7" t="s">
        <v>4086</v>
      </c>
      <c r="B2182" s="7" t="s">
        <v>1934</v>
      </c>
      <c r="C2182" s="5">
        <v>498.59</v>
      </c>
      <c r="D2182" s="2">
        <v>0.77887731481314404</v>
      </c>
      <c r="E2182" s="4">
        <v>45222</v>
      </c>
      <c r="F2182" s="7" t="s">
        <v>17</v>
      </c>
      <c r="G2182" s="7" t="s">
        <v>243</v>
      </c>
      <c r="H2182" s="7" t="s">
        <v>654</v>
      </c>
      <c r="I2182" s="7" t="s">
        <v>552</v>
      </c>
      <c r="J2182" s="7" t="s">
        <v>406</v>
      </c>
      <c r="K2182" s="7" t="s">
        <v>36</v>
      </c>
      <c r="L2182" s="8">
        <v>57</v>
      </c>
      <c r="M2182" s="7" t="s">
        <v>70</v>
      </c>
      <c r="N2182" s="8">
        <v>138</v>
      </c>
      <c r="O2182" s="8">
        <v>1</v>
      </c>
      <c r="P2182" s="5">
        <v>2619.46</v>
      </c>
      <c r="Q2182" s="4">
        <v>45600</v>
      </c>
      <c r="R2182" s="9">
        <v>0.34109953703703705</v>
      </c>
      <c r="S2182" s="8">
        <v>18</v>
      </c>
      <c r="T2182" s="7" t="s">
        <v>4454</v>
      </c>
      <c r="U2182" s="7" t="s">
        <v>4455</v>
      </c>
      <c r="V21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83" spans="1:22" x14ac:dyDescent="0.35">
      <c r="A2183" s="7" t="s">
        <v>4087</v>
      </c>
      <c r="B2183" s="7" t="s">
        <v>1144</v>
      </c>
      <c r="C2183" s="5">
        <v>13.3</v>
      </c>
      <c r="D2183" s="2">
        <v>0.69201388888905058</v>
      </c>
      <c r="E2183" s="4">
        <v>45083</v>
      </c>
      <c r="F2183" s="7" t="s">
        <v>17</v>
      </c>
      <c r="G2183" s="7" t="s">
        <v>237</v>
      </c>
      <c r="H2183" s="7" t="s">
        <v>978</v>
      </c>
      <c r="I2183" s="7" t="s">
        <v>2925</v>
      </c>
      <c r="J2183" s="7" t="s">
        <v>35</v>
      </c>
      <c r="K2183" s="7" t="s">
        <v>22</v>
      </c>
      <c r="L2183" s="8">
        <v>23</v>
      </c>
      <c r="M2183" s="7" t="s">
        <v>37</v>
      </c>
      <c r="N2183" s="8">
        <v>63</v>
      </c>
      <c r="O2183" s="8">
        <v>1</v>
      </c>
      <c r="P2183" s="5">
        <v>213</v>
      </c>
      <c r="Q2183" s="4">
        <v>45600</v>
      </c>
      <c r="R2183" s="9">
        <v>0.33978009259259262</v>
      </c>
      <c r="S2183" s="8">
        <v>16</v>
      </c>
      <c r="T2183" s="7" t="s">
        <v>4456</v>
      </c>
      <c r="U2183" s="7" t="s">
        <v>4455</v>
      </c>
      <c r="V21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84" spans="1:22" x14ac:dyDescent="0.35">
      <c r="A2184" s="7" t="s">
        <v>4088</v>
      </c>
      <c r="B2184" s="7" t="s">
        <v>2637</v>
      </c>
      <c r="C2184" s="5">
        <v>189.65</v>
      </c>
      <c r="D2184" s="2">
        <v>0.68940972222480923</v>
      </c>
      <c r="E2184" s="4">
        <v>45194</v>
      </c>
      <c r="F2184" s="7" t="s">
        <v>17</v>
      </c>
      <c r="G2184" s="7" t="s">
        <v>249</v>
      </c>
      <c r="H2184" s="7" t="s">
        <v>2873</v>
      </c>
      <c r="I2184" s="7" t="s">
        <v>2054</v>
      </c>
      <c r="J2184" s="7" t="s">
        <v>740</v>
      </c>
      <c r="K2184" s="7" t="s">
        <v>22</v>
      </c>
      <c r="L2184" s="8">
        <v>21</v>
      </c>
      <c r="M2184" s="7" t="s">
        <v>37</v>
      </c>
      <c r="N2184" s="8">
        <v>60</v>
      </c>
      <c r="O2184" s="8">
        <v>1</v>
      </c>
      <c r="P2184" s="5">
        <v>8457.09</v>
      </c>
      <c r="Q2184" s="4">
        <v>45600</v>
      </c>
      <c r="R2184" s="9">
        <v>0.34098379629629627</v>
      </c>
      <c r="S2184" s="8">
        <v>16</v>
      </c>
      <c r="T2184" s="7" t="s">
        <v>4456</v>
      </c>
      <c r="U2184" s="7" t="s">
        <v>4455</v>
      </c>
      <c r="V21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85" spans="1:22" x14ac:dyDescent="0.35">
      <c r="A2185" s="7" t="s">
        <v>4089</v>
      </c>
      <c r="B2185" s="7" t="s">
        <v>2229</v>
      </c>
      <c r="C2185" s="5">
        <v>255.32</v>
      </c>
      <c r="D2185" s="2">
        <v>0.67643518518161727</v>
      </c>
      <c r="E2185" s="4">
        <v>45182</v>
      </c>
      <c r="F2185" s="7" t="s">
        <v>17</v>
      </c>
      <c r="G2185" s="7" t="s">
        <v>197</v>
      </c>
      <c r="H2185" s="7" t="s">
        <v>955</v>
      </c>
      <c r="I2185" s="7" t="s">
        <v>2273</v>
      </c>
      <c r="J2185" s="7" t="s">
        <v>762</v>
      </c>
      <c r="K2185" s="7" t="s">
        <v>22</v>
      </c>
      <c r="L2185" s="8">
        <v>80</v>
      </c>
      <c r="M2185" s="7" t="s">
        <v>70</v>
      </c>
      <c r="N2185" s="8">
        <v>27</v>
      </c>
      <c r="O2185" s="8">
        <v>1</v>
      </c>
      <c r="P2185" s="5">
        <v>6290.62</v>
      </c>
      <c r="Q2185" s="4">
        <v>45600</v>
      </c>
      <c r="R2185" s="9">
        <v>0.33853009259259259</v>
      </c>
      <c r="S2185" s="8">
        <v>16</v>
      </c>
      <c r="T2185" s="7" t="s">
        <v>4454</v>
      </c>
      <c r="U2185" s="7" t="s">
        <v>4455</v>
      </c>
      <c r="V21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86" spans="1:22" x14ac:dyDescent="0.35">
      <c r="A2186" s="7" t="s">
        <v>4090</v>
      </c>
      <c r="B2186" s="7" t="s">
        <v>290</v>
      </c>
      <c r="C2186" s="5">
        <v>230.51</v>
      </c>
      <c r="D2186" s="2">
        <v>0.75090277777781012</v>
      </c>
      <c r="E2186" s="4">
        <v>44974</v>
      </c>
      <c r="F2186" s="7" t="s">
        <v>46</v>
      </c>
      <c r="G2186" s="7" t="s">
        <v>92</v>
      </c>
      <c r="H2186" s="7" t="s">
        <v>1493</v>
      </c>
      <c r="I2186" s="7" t="s">
        <v>307</v>
      </c>
      <c r="J2186" s="7" t="s">
        <v>619</v>
      </c>
      <c r="K2186" s="7" t="s">
        <v>69</v>
      </c>
      <c r="L2186" s="8">
        <v>51</v>
      </c>
      <c r="M2186" s="7" t="s">
        <v>77</v>
      </c>
      <c r="N2186" s="8">
        <v>56</v>
      </c>
      <c r="O2186" s="8">
        <v>1</v>
      </c>
      <c r="P2186" s="5">
        <v>9522.3700000000008</v>
      </c>
      <c r="Q2186" s="4">
        <v>45600</v>
      </c>
      <c r="R2186" s="9">
        <v>0.34084490740740742</v>
      </c>
      <c r="S2186" s="8">
        <v>18</v>
      </c>
      <c r="T2186" s="7" t="s">
        <v>4457</v>
      </c>
      <c r="U2186" s="7" t="s">
        <v>4455</v>
      </c>
      <c r="V21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87" spans="1:22" x14ac:dyDescent="0.35">
      <c r="A2187" s="7" t="s">
        <v>4091</v>
      </c>
      <c r="B2187" s="7" t="s">
        <v>2056</v>
      </c>
      <c r="C2187" s="5">
        <v>237.74</v>
      </c>
      <c r="D2187" s="2">
        <v>0.78575231481227092</v>
      </c>
      <c r="E2187" s="4">
        <v>45089</v>
      </c>
      <c r="F2187" s="7" t="s">
        <v>17</v>
      </c>
      <c r="G2187" s="7" t="s">
        <v>255</v>
      </c>
      <c r="H2187" s="7" t="s">
        <v>4057</v>
      </c>
      <c r="I2187" s="7" t="s">
        <v>4092</v>
      </c>
      <c r="J2187" s="7" t="s">
        <v>154</v>
      </c>
      <c r="K2187" s="7" t="s">
        <v>22</v>
      </c>
      <c r="L2187" s="8">
        <v>61</v>
      </c>
      <c r="M2187" s="7" t="s">
        <v>23</v>
      </c>
      <c r="N2187" s="8">
        <v>152</v>
      </c>
      <c r="O2187" s="8">
        <v>1</v>
      </c>
      <c r="P2187" s="5">
        <v>11795.12</v>
      </c>
      <c r="Q2187" s="4">
        <v>45600</v>
      </c>
      <c r="R2187" s="9">
        <v>0.34057870370370369</v>
      </c>
      <c r="S2187" s="8">
        <v>18</v>
      </c>
      <c r="T2187" s="7" t="s">
        <v>4454</v>
      </c>
      <c r="U2187" s="7" t="s">
        <v>4455</v>
      </c>
      <c r="V21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88" spans="1:22" x14ac:dyDescent="0.35">
      <c r="A2188" s="7" t="s">
        <v>4093</v>
      </c>
      <c r="B2188" s="7" t="s">
        <v>729</v>
      </c>
      <c r="C2188" s="5">
        <v>512.76</v>
      </c>
      <c r="D2188" s="2">
        <v>0.69298611111298669</v>
      </c>
      <c r="E2188" s="4">
        <v>45027</v>
      </c>
      <c r="F2188" s="7" t="s">
        <v>17</v>
      </c>
      <c r="G2188" s="7" t="s">
        <v>558</v>
      </c>
      <c r="H2188" s="7" t="s">
        <v>717</v>
      </c>
      <c r="I2188" s="7" t="s">
        <v>2705</v>
      </c>
      <c r="J2188" s="7" t="s">
        <v>1014</v>
      </c>
      <c r="K2188" s="7" t="s">
        <v>22</v>
      </c>
      <c r="L2188" s="8">
        <v>52</v>
      </c>
      <c r="M2188" s="7" t="s">
        <v>23</v>
      </c>
      <c r="N2188" s="8">
        <v>26</v>
      </c>
      <c r="O2188" s="8">
        <v>1</v>
      </c>
      <c r="P2188" s="5">
        <v>5121.3599999999997</v>
      </c>
      <c r="Q2188" s="4">
        <v>45600</v>
      </c>
      <c r="R2188" s="9">
        <v>0.33826388888888886</v>
      </c>
      <c r="S2188" s="8">
        <v>16</v>
      </c>
      <c r="T2188" s="7" t="s">
        <v>4457</v>
      </c>
      <c r="U2188" s="7" t="s">
        <v>4455</v>
      </c>
      <c r="V21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89" spans="1:22" x14ac:dyDescent="0.35">
      <c r="A2189" s="7" t="s">
        <v>4094</v>
      </c>
      <c r="B2189" s="7" t="s">
        <v>1696</v>
      </c>
      <c r="C2189" s="5">
        <v>151.37</v>
      </c>
      <c r="D2189" s="2">
        <v>0.70510416666365927</v>
      </c>
      <c r="E2189" s="4">
        <v>45019</v>
      </c>
      <c r="F2189" s="7" t="s">
        <v>17</v>
      </c>
      <c r="G2189" s="7" t="s">
        <v>197</v>
      </c>
      <c r="H2189" s="7" t="s">
        <v>2870</v>
      </c>
      <c r="I2189" s="7" t="s">
        <v>1277</v>
      </c>
      <c r="J2189" s="7" t="s">
        <v>252</v>
      </c>
      <c r="K2189" s="7" t="s">
        <v>22</v>
      </c>
      <c r="L2189" s="8">
        <v>54</v>
      </c>
      <c r="M2189" s="7" t="s">
        <v>77</v>
      </c>
      <c r="N2189" s="8">
        <v>53</v>
      </c>
      <c r="O2189" s="8">
        <v>1</v>
      </c>
      <c r="P2189" s="5">
        <v>8356.08</v>
      </c>
      <c r="Q2189" s="4">
        <v>45600</v>
      </c>
      <c r="R2189" s="9">
        <v>0.33936342592592594</v>
      </c>
      <c r="S2189" s="8">
        <v>16</v>
      </c>
      <c r="T2189" s="7" t="s">
        <v>4457</v>
      </c>
      <c r="U2189" s="7" t="s">
        <v>4455</v>
      </c>
      <c r="V21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90" spans="1:22" x14ac:dyDescent="0.35">
      <c r="A2190" s="7" t="s">
        <v>4095</v>
      </c>
      <c r="B2190" s="7" t="s">
        <v>300</v>
      </c>
      <c r="C2190" s="5">
        <v>85.01</v>
      </c>
      <c r="D2190" s="2">
        <v>0.77480324073985685</v>
      </c>
      <c r="E2190" s="4">
        <v>44949</v>
      </c>
      <c r="F2190" s="7" t="s">
        <v>46</v>
      </c>
      <c r="G2190" s="7" t="s">
        <v>595</v>
      </c>
      <c r="H2190" s="7" t="s">
        <v>2302</v>
      </c>
      <c r="I2190" s="7" t="s">
        <v>1864</v>
      </c>
      <c r="J2190" s="7" t="s">
        <v>240</v>
      </c>
      <c r="K2190" s="7" t="s">
        <v>22</v>
      </c>
      <c r="L2190" s="8">
        <v>25</v>
      </c>
      <c r="M2190" s="7" t="s">
        <v>37</v>
      </c>
      <c r="N2190" s="8">
        <v>157</v>
      </c>
      <c r="O2190" s="8">
        <v>1</v>
      </c>
      <c r="P2190" s="5">
        <v>1299.4000000000001</v>
      </c>
      <c r="Q2190" s="4">
        <v>45600</v>
      </c>
      <c r="R2190" s="9">
        <v>0.33956018518518516</v>
      </c>
      <c r="S2190" s="8">
        <v>18</v>
      </c>
      <c r="T2190" s="7" t="s">
        <v>4456</v>
      </c>
      <c r="U2190" s="7" t="s">
        <v>4455</v>
      </c>
      <c r="V21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91" spans="1:22" x14ac:dyDescent="0.35">
      <c r="A2191" s="7" t="s">
        <v>4096</v>
      </c>
      <c r="B2191" s="7" t="s">
        <v>228</v>
      </c>
      <c r="C2191" s="5">
        <v>444.47</v>
      </c>
      <c r="D2191" s="2">
        <v>0.67774305555212777</v>
      </c>
      <c r="E2191" s="4">
        <v>44942</v>
      </c>
      <c r="F2191" s="7" t="s">
        <v>17</v>
      </c>
      <c r="G2191" s="7" t="s">
        <v>223</v>
      </c>
      <c r="H2191" s="7" t="s">
        <v>1573</v>
      </c>
      <c r="I2191" s="7" t="s">
        <v>2727</v>
      </c>
      <c r="J2191" s="7" t="s">
        <v>262</v>
      </c>
      <c r="K2191" s="7" t="s">
        <v>36</v>
      </c>
      <c r="L2191" s="8">
        <v>57</v>
      </c>
      <c r="M2191" s="7" t="s">
        <v>70</v>
      </c>
      <c r="N2191" s="8">
        <v>61</v>
      </c>
      <c r="O2191" s="8">
        <v>1</v>
      </c>
      <c r="P2191" s="5">
        <v>6062.94</v>
      </c>
      <c r="Q2191" s="4">
        <v>45600</v>
      </c>
      <c r="R2191" s="9">
        <v>0.34076388888888887</v>
      </c>
      <c r="S2191" s="8">
        <v>16</v>
      </c>
      <c r="T2191" s="7" t="s">
        <v>4454</v>
      </c>
      <c r="U2191" s="7" t="s">
        <v>4455</v>
      </c>
      <c r="V21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92" spans="1:22" x14ac:dyDescent="0.35">
      <c r="A2192" s="7" t="s">
        <v>4097</v>
      </c>
      <c r="B2192" s="7" t="s">
        <v>2056</v>
      </c>
      <c r="C2192" s="5">
        <v>184.19</v>
      </c>
      <c r="D2192" s="2">
        <v>0.68627314814511919</v>
      </c>
      <c r="E2192" s="4">
        <v>45040</v>
      </c>
      <c r="F2192" s="7" t="s">
        <v>17</v>
      </c>
      <c r="G2192" s="7" t="s">
        <v>65</v>
      </c>
      <c r="H2192" s="7" t="s">
        <v>3958</v>
      </c>
      <c r="I2192" s="7" t="s">
        <v>2555</v>
      </c>
      <c r="J2192" s="7" t="s">
        <v>76</v>
      </c>
      <c r="K2192" s="7" t="s">
        <v>22</v>
      </c>
      <c r="L2192" s="8">
        <v>67</v>
      </c>
      <c r="M2192" s="7" t="s">
        <v>70</v>
      </c>
      <c r="N2192" s="8">
        <v>58</v>
      </c>
      <c r="O2192" s="8">
        <v>1</v>
      </c>
      <c r="P2192" s="5">
        <v>7588.67</v>
      </c>
      <c r="Q2192" s="4">
        <v>45600</v>
      </c>
      <c r="R2192" s="9">
        <v>0.34060185185185188</v>
      </c>
      <c r="S2192" s="8">
        <v>16</v>
      </c>
      <c r="T2192" s="7" t="s">
        <v>4454</v>
      </c>
      <c r="U2192" s="7" t="s">
        <v>4455</v>
      </c>
      <c r="V21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93" spans="1:22" x14ac:dyDescent="0.35">
      <c r="A2193" s="7" t="s">
        <v>4098</v>
      </c>
      <c r="B2193" s="7" t="s">
        <v>1381</v>
      </c>
      <c r="C2193" s="5">
        <v>879.25</v>
      </c>
      <c r="D2193" s="2">
        <v>0.73902777778130258</v>
      </c>
      <c r="E2193" s="4">
        <v>45237</v>
      </c>
      <c r="F2193" s="7" t="s">
        <v>46</v>
      </c>
      <c r="G2193" s="7" t="s">
        <v>92</v>
      </c>
      <c r="H2193" s="7" t="s">
        <v>400</v>
      </c>
      <c r="I2193" s="7" t="s">
        <v>1943</v>
      </c>
      <c r="J2193" s="7" t="s">
        <v>572</v>
      </c>
      <c r="K2193" s="7" t="s">
        <v>36</v>
      </c>
      <c r="L2193" s="8">
        <v>24</v>
      </c>
      <c r="M2193" s="7" t="s">
        <v>37</v>
      </c>
      <c r="N2193" s="8">
        <v>137</v>
      </c>
      <c r="O2193" s="8">
        <v>1</v>
      </c>
      <c r="P2193" s="5">
        <v>125.85</v>
      </c>
      <c r="Q2193" s="4">
        <v>45600</v>
      </c>
      <c r="R2193" s="9">
        <v>0.33891203703703704</v>
      </c>
      <c r="S2193" s="8">
        <v>17</v>
      </c>
      <c r="T2193" s="7" t="s">
        <v>4456</v>
      </c>
      <c r="U2193" s="7" t="s">
        <v>4455</v>
      </c>
      <c r="V21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94" spans="1:22" x14ac:dyDescent="0.35">
      <c r="A2194" s="7" t="s">
        <v>4099</v>
      </c>
      <c r="B2194" s="7" t="s">
        <v>3207</v>
      </c>
      <c r="C2194" s="5">
        <v>55.98</v>
      </c>
      <c r="D2194" s="2">
        <v>0.69518518518452765</v>
      </c>
      <c r="E2194" s="4">
        <v>45194</v>
      </c>
      <c r="F2194" s="7" t="s">
        <v>46</v>
      </c>
      <c r="G2194" s="7" t="s">
        <v>291</v>
      </c>
      <c r="H2194" s="7" t="s">
        <v>960</v>
      </c>
      <c r="I2194" s="7" t="s">
        <v>1348</v>
      </c>
      <c r="J2194" s="7" t="s">
        <v>759</v>
      </c>
      <c r="K2194" s="7" t="s">
        <v>69</v>
      </c>
      <c r="L2194" s="8">
        <v>24</v>
      </c>
      <c r="M2194" s="7" t="s">
        <v>37</v>
      </c>
      <c r="N2194" s="8">
        <v>87</v>
      </c>
      <c r="O2194" s="8">
        <v>1</v>
      </c>
      <c r="P2194" s="5">
        <v>7047.04</v>
      </c>
      <c r="Q2194" s="4">
        <v>45600</v>
      </c>
      <c r="R2194" s="9">
        <v>0.34171296296296294</v>
      </c>
      <c r="S2194" s="8">
        <v>16</v>
      </c>
      <c r="T2194" s="7" t="s">
        <v>4456</v>
      </c>
      <c r="U2194" s="7" t="s">
        <v>4455</v>
      </c>
      <c r="V21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95" spans="1:22" x14ac:dyDescent="0.35">
      <c r="A2195" s="7" t="s">
        <v>4100</v>
      </c>
      <c r="B2195" s="7" t="s">
        <v>2070</v>
      </c>
      <c r="C2195" s="5">
        <v>54.91</v>
      </c>
      <c r="D2195" s="2">
        <v>0.67289351851650281</v>
      </c>
      <c r="E2195" s="4">
        <v>44970</v>
      </c>
      <c r="F2195" s="7" t="s">
        <v>46</v>
      </c>
      <c r="G2195" s="7" t="s">
        <v>125</v>
      </c>
      <c r="H2195" s="7" t="s">
        <v>818</v>
      </c>
      <c r="I2195" s="7" t="s">
        <v>1913</v>
      </c>
      <c r="J2195" s="7" t="s">
        <v>752</v>
      </c>
      <c r="K2195" s="7" t="s">
        <v>22</v>
      </c>
      <c r="L2195" s="8">
        <v>41</v>
      </c>
      <c r="M2195" s="7" t="s">
        <v>77</v>
      </c>
      <c r="N2195" s="8">
        <v>275</v>
      </c>
      <c r="O2195" s="8">
        <v>1</v>
      </c>
      <c r="P2195" s="5">
        <v>7927.27</v>
      </c>
      <c r="Q2195" s="4">
        <v>45600</v>
      </c>
      <c r="R2195" s="9">
        <v>0.33848379629629627</v>
      </c>
      <c r="S2195" s="8">
        <v>16</v>
      </c>
      <c r="T2195" s="7" t="s">
        <v>4457</v>
      </c>
      <c r="U2195" s="7" t="s">
        <v>4455</v>
      </c>
      <c r="V21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96" spans="1:22" x14ac:dyDescent="0.35">
      <c r="A2196" s="7" t="s">
        <v>4101</v>
      </c>
      <c r="B2196" s="7" t="s">
        <v>1264</v>
      </c>
      <c r="C2196" s="5">
        <v>1047.69</v>
      </c>
      <c r="D2196" s="2">
        <v>0.68924768518627388</v>
      </c>
      <c r="E2196" s="4">
        <v>45215</v>
      </c>
      <c r="F2196" s="7" t="s">
        <v>17</v>
      </c>
      <c r="G2196" s="7" t="s">
        <v>119</v>
      </c>
      <c r="H2196" s="7" t="s">
        <v>1429</v>
      </c>
      <c r="I2196" s="7" t="s">
        <v>1717</v>
      </c>
      <c r="J2196" s="7" t="s">
        <v>980</v>
      </c>
      <c r="K2196" s="7" t="s">
        <v>36</v>
      </c>
      <c r="L2196" s="8">
        <v>20</v>
      </c>
      <c r="M2196" s="7" t="s">
        <v>37</v>
      </c>
      <c r="N2196" s="8">
        <v>139</v>
      </c>
      <c r="O2196" s="8">
        <v>1</v>
      </c>
      <c r="P2196" s="5">
        <v>1889.78</v>
      </c>
      <c r="Q2196" s="4">
        <v>45600</v>
      </c>
      <c r="R2196" s="9">
        <v>0.34076388888888887</v>
      </c>
      <c r="S2196" s="8">
        <v>16</v>
      </c>
      <c r="T2196" s="7" t="s">
        <v>4456</v>
      </c>
      <c r="U2196" s="7" t="s">
        <v>4455</v>
      </c>
      <c r="V21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97" spans="1:22" x14ac:dyDescent="0.35">
      <c r="A2197" s="7" t="s">
        <v>4102</v>
      </c>
      <c r="B2197" s="7" t="s">
        <v>625</v>
      </c>
      <c r="C2197" s="5">
        <v>393.74</v>
      </c>
      <c r="D2197" s="2">
        <v>0.75828703703882638</v>
      </c>
      <c r="E2197" s="4">
        <v>45264</v>
      </c>
      <c r="F2197" s="7" t="s">
        <v>17</v>
      </c>
      <c r="G2197" s="7" t="s">
        <v>249</v>
      </c>
      <c r="H2197" s="7" t="s">
        <v>1145</v>
      </c>
      <c r="I2197" s="7" t="s">
        <v>940</v>
      </c>
      <c r="J2197" s="7" t="s">
        <v>514</v>
      </c>
      <c r="K2197" s="7" t="s">
        <v>36</v>
      </c>
      <c r="L2197" s="8">
        <v>26</v>
      </c>
      <c r="M2197" s="7" t="s">
        <v>37</v>
      </c>
      <c r="N2197" s="8">
        <v>90</v>
      </c>
      <c r="O2197" s="8">
        <v>1</v>
      </c>
      <c r="P2197" s="5">
        <v>1769.06</v>
      </c>
      <c r="Q2197" s="4">
        <v>45600</v>
      </c>
      <c r="R2197" s="9">
        <v>0.33810185185185188</v>
      </c>
      <c r="S2197" s="8">
        <v>18</v>
      </c>
      <c r="T2197" s="7" t="s">
        <v>4456</v>
      </c>
      <c r="U2197" s="7" t="s">
        <v>4455</v>
      </c>
      <c r="V21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198" spans="1:22" x14ac:dyDescent="0.35">
      <c r="A2198" s="7" t="s">
        <v>4103</v>
      </c>
      <c r="B2198" s="7" t="s">
        <v>2564</v>
      </c>
      <c r="C2198" s="5">
        <v>58.94</v>
      </c>
      <c r="D2198" s="2">
        <v>0.67826388889079681</v>
      </c>
      <c r="E2198" s="4">
        <v>44942</v>
      </c>
      <c r="F2198" s="7" t="s">
        <v>17</v>
      </c>
      <c r="G2198" s="7" t="s">
        <v>172</v>
      </c>
      <c r="H2198" s="7" t="s">
        <v>1334</v>
      </c>
      <c r="I2198" s="7" t="s">
        <v>1929</v>
      </c>
      <c r="J2198" s="7" t="s">
        <v>246</v>
      </c>
      <c r="K2198" s="7" t="s">
        <v>36</v>
      </c>
      <c r="L2198" s="8">
        <v>30</v>
      </c>
      <c r="M2198" s="7" t="s">
        <v>77</v>
      </c>
      <c r="N2198" s="8">
        <v>26</v>
      </c>
      <c r="O2198" s="8">
        <v>1</v>
      </c>
      <c r="P2198" s="5">
        <v>4575.9799999999996</v>
      </c>
      <c r="Q2198" s="4">
        <v>45600</v>
      </c>
      <c r="R2198" s="9">
        <v>0.33932870370370372</v>
      </c>
      <c r="S2198" s="8">
        <v>16</v>
      </c>
      <c r="T2198" s="7" t="s">
        <v>4456</v>
      </c>
      <c r="U2198" s="7" t="s">
        <v>4455</v>
      </c>
      <c r="V21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199" spans="1:22" x14ac:dyDescent="0.35">
      <c r="A2199" s="7" t="s">
        <v>4104</v>
      </c>
      <c r="B2199" s="7" t="s">
        <v>1446</v>
      </c>
      <c r="C2199" s="5">
        <v>515.57000000000005</v>
      </c>
      <c r="D2199" s="2">
        <v>0.72678240740788169</v>
      </c>
      <c r="E2199" s="4">
        <v>44928</v>
      </c>
      <c r="F2199" s="7" t="s">
        <v>17</v>
      </c>
      <c r="G2199" s="7" t="s">
        <v>125</v>
      </c>
      <c r="H2199" s="7" t="s">
        <v>1977</v>
      </c>
      <c r="I2199" s="7" t="s">
        <v>1505</v>
      </c>
      <c r="J2199" s="7" t="s">
        <v>1562</v>
      </c>
      <c r="K2199" s="7" t="s">
        <v>22</v>
      </c>
      <c r="L2199" s="8">
        <v>27</v>
      </c>
      <c r="M2199" s="7" t="s">
        <v>77</v>
      </c>
      <c r="N2199" s="8">
        <v>56</v>
      </c>
      <c r="O2199" s="8">
        <v>1</v>
      </c>
      <c r="P2199" s="5">
        <v>9269.67</v>
      </c>
      <c r="Q2199" s="4">
        <v>45600</v>
      </c>
      <c r="R2199" s="9">
        <v>0.33812500000000001</v>
      </c>
      <c r="S2199" s="8">
        <v>17</v>
      </c>
      <c r="T2199" s="7" t="s">
        <v>4456</v>
      </c>
      <c r="U2199" s="7" t="s">
        <v>4455</v>
      </c>
      <c r="V21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00" spans="1:22" x14ac:dyDescent="0.35">
      <c r="A2200" s="7" t="s">
        <v>4105</v>
      </c>
      <c r="B2200" s="7" t="s">
        <v>1381</v>
      </c>
      <c r="C2200" s="5">
        <v>332.15</v>
      </c>
      <c r="D2200" s="2">
        <v>0.71703703703678912</v>
      </c>
      <c r="E2200" s="4">
        <v>45215</v>
      </c>
      <c r="F2200" s="7" t="s">
        <v>17</v>
      </c>
      <c r="G2200" s="7" t="s">
        <v>323</v>
      </c>
      <c r="H2200" s="7" t="s">
        <v>1234</v>
      </c>
      <c r="I2200" s="7" t="s">
        <v>1450</v>
      </c>
      <c r="J2200" s="7" t="s">
        <v>95</v>
      </c>
      <c r="K2200" s="7" t="s">
        <v>22</v>
      </c>
      <c r="L2200" s="8">
        <v>59</v>
      </c>
      <c r="M2200" s="7" t="s">
        <v>23</v>
      </c>
      <c r="N2200" s="8">
        <v>105</v>
      </c>
      <c r="O2200" s="8">
        <v>1</v>
      </c>
      <c r="P2200" s="5">
        <v>9749.4599999999991</v>
      </c>
      <c r="Q2200" s="4">
        <v>45600</v>
      </c>
      <c r="R2200" s="9">
        <v>0.33837962962962964</v>
      </c>
      <c r="S2200" s="8">
        <v>17</v>
      </c>
      <c r="T2200" s="7" t="s">
        <v>4454</v>
      </c>
      <c r="U2200" s="7" t="s">
        <v>4455</v>
      </c>
      <c r="V22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01" spans="1:22" x14ac:dyDescent="0.35">
      <c r="A2201" s="7" t="s">
        <v>4106</v>
      </c>
      <c r="B2201" s="7" t="s">
        <v>2490</v>
      </c>
      <c r="C2201" s="5">
        <v>177.94</v>
      </c>
      <c r="D2201" s="2">
        <v>0.67251157407736173</v>
      </c>
      <c r="E2201" s="4">
        <v>45195</v>
      </c>
      <c r="F2201" s="7" t="s">
        <v>17</v>
      </c>
      <c r="G2201" s="7" t="s">
        <v>178</v>
      </c>
      <c r="H2201" s="7" t="s">
        <v>3995</v>
      </c>
      <c r="I2201" s="7" t="s">
        <v>3364</v>
      </c>
      <c r="J2201" s="7" t="s">
        <v>769</v>
      </c>
      <c r="K2201" s="7" t="s">
        <v>36</v>
      </c>
      <c r="L2201" s="8">
        <v>19</v>
      </c>
      <c r="M2201" s="7" t="s">
        <v>37</v>
      </c>
      <c r="N2201" s="8">
        <v>173</v>
      </c>
      <c r="O2201" s="8">
        <v>1</v>
      </c>
      <c r="P2201" s="5">
        <v>123.24</v>
      </c>
      <c r="Q2201" s="4">
        <v>45600</v>
      </c>
      <c r="R2201" s="9">
        <v>0.34130787037037036</v>
      </c>
      <c r="S2201" s="8">
        <v>16</v>
      </c>
      <c r="T2201" s="7" t="s">
        <v>4456</v>
      </c>
      <c r="U2201" s="7" t="s">
        <v>4455</v>
      </c>
      <c r="V22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02" spans="1:22" x14ac:dyDescent="0.35">
      <c r="A2202" s="7" t="s">
        <v>4107</v>
      </c>
      <c r="B2202" s="7" t="s">
        <v>1206</v>
      </c>
      <c r="C2202" s="5">
        <v>68.680000000000007</v>
      </c>
      <c r="D2202" s="2">
        <v>0.67730324074364034</v>
      </c>
      <c r="E2202" s="4">
        <v>45187</v>
      </c>
      <c r="F2202" s="7" t="s">
        <v>17</v>
      </c>
      <c r="G2202" s="7" t="s">
        <v>285</v>
      </c>
      <c r="H2202" s="7" t="s">
        <v>1891</v>
      </c>
      <c r="I2202" s="7" t="s">
        <v>606</v>
      </c>
      <c r="J2202" s="7" t="s">
        <v>209</v>
      </c>
      <c r="K2202" s="7" t="s">
        <v>36</v>
      </c>
      <c r="L2202" s="8">
        <v>49</v>
      </c>
      <c r="M2202" s="7" t="s">
        <v>77</v>
      </c>
      <c r="N2202" s="8">
        <v>141</v>
      </c>
      <c r="O2202" s="8">
        <v>1</v>
      </c>
      <c r="P2202" s="5">
        <v>4718.51</v>
      </c>
      <c r="Q2202" s="4">
        <v>45600</v>
      </c>
      <c r="R2202" s="9">
        <v>0.33781250000000002</v>
      </c>
      <c r="S2202" s="8">
        <v>16</v>
      </c>
      <c r="T2202" s="7" t="s">
        <v>4457</v>
      </c>
      <c r="U2202" s="7" t="s">
        <v>4455</v>
      </c>
      <c r="V22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03" spans="1:22" x14ac:dyDescent="0.35">
      <c r="A2203" s="7" t="s">
        <v>4108</v>
      </c>
      <c r="B2203" s="7" t="s">
        <v>79</v>
      </c>
      <c r="C2203" s="5">
        <v>1431.54</v>
      </c>
      <c r="D2203" s="2">
        <v>0.68332175925752381</v>
      </c>
      <c r="E2203" s="4">
        <v>45271</v>
      </c>
      <c r="F2203" s="7" t="s">
        <v>17</v>
      </c>
      <c r="G2203" s="7" t="s">
        <v>595</v>
      </c>
      <c r="H2203" s="7" t="s">
        <v>3801</v>
      </c>
      <c r="I2203" s="7" t="s">
        <v>1850</v>
      </c>
      <c r="J2203" s="7" t="s">
        <v>326</v>
      </c>
      <c r="K2203" s="7" t="s">
        <v>36</v>
      </c>
      <c r="L2203" s="8">
        <v>20</v>
      </c>
      <c r="M2203" s="7" t="s">
        <v>37</v>
      </c>
      <c r="N2203" s="8">
        <v>84</v>
      </c>
      <c r="O2203" s="8">
        <v>1</v>
      </c>
      <c r="P2203" s="5">
        <v>1171.98</v>
      </c>
      <c r="Q2203" s="4">
        <v>45600</v>
      </c>
      <c r="R2203" s="9">
        <v>0.33936342592592594</v>
      </c>
      <c r="S2203" s="8">
        <v>16</v>
      </c>
      <c r="T2203" s="7" t="s">
        <v>4456</v>
      </c>
      <c r="U2203" s="7" t="s">
        <v>4455</v>
      </c>
      <c r="V22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04" spans="1:22" x14ac:dyDescent="0.35">
      <c r="A2204" s="7" t="s">
        <v>4109</v>
      </c>
      <c r="B2204" s="7" t="s">
        <v>1111</v>
      </c>
      <c r="C2204" s="5">
        <v>240.03</v>
      </c>
      <c r="D2204" s="2">
        <v>0.72579861111444188</v>
      </c>
      <c r="E2204" s="4">
        <v>44984</v>
      </c>
      <c r="F2204" s="7" t="s">
        <v>17</v>
      </c>
      <c r="G2204" s="7" t="s">
        <v>47</v>
      </c>
      <c r="H2204" s="7" t="s">
        <v>3344</v>
      </c>
      <c r="I2204" s="7" t="s">
        <v>2131</v>
      </c>
      <c r="J2204" s="7" t="s">
        <v>1281</v>
      </c>
      <c r="K2204" s="7" t="s">
        <v>36</v>
      </c>
      <c r="L2204" s="8">
        <v>33</v>
      </c>
      <c r="M2204" s="7" t="s">
        <v>77</v>
      </c>
      <c r="N2204" s="8">
        <v>31</v>
      </c>
      <c r="O2204" s="8">
        <v>1</v>
      </c>
      <c r="P2204" s="5">
        <v>7807.73</v>
      </c>
      <c r="Q2204" s="4">
        <v>45600</v>
      </c>
      <c r="R2204" s="9">
        <v>0.34005787037037039</v>
      </c>
      <c r="S2204" s="8">
        <v>17</v>
      </c>
      <c r="T2204" s="7" t="s">
        <v>4456</v>
      </c>
      <c r="U2204" s="7" t="s">
        <v>4455</v>
      </c>
      <c r="V22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05" spans="1:22" x14ac:dyDescent="0.35">
      <c r="A2205" s="7" t="s">
        <v>4110</v>
      </c>
      <c r="B2205" s="7" t="s">
        <v>2000</v>
      </c>
      <c r="C2205" s="5">
        <v>168.34</v>
      </c>
      <c r="D2205" s="2">
        <v>0.76006944444088731</v>
      </c>
      <c r="E2205" s="4">
        <v>45104</v>
      </c>
      <c r="F2205" s="7" t="s">
        <v>17</v>
      </c>
      <c r="G2205" s="7" t="s">
        <v>425</v>
      </c>
      <c r="H2205" s="7" t="s">
        <v>2270</v>
      </c>
      <c r="I2205" s="7" t="s">
        <v>3386</v>
      </c>
      <c r="J2205" s="7" t="s">
        <v>1524</v>
      </c>
      <c r="K2205" s="7" t="s">
        <v>22</v>
      </c>
      <c r="L2205" s="8">
        <v>64</v>
      </c>
      <c r="M2205" s="7" t="s">
        <v>70</v>
      </c>
      <c r="N2205" s="8">
        <v>240</v>
      </c>
      <c r="O2205" s="8">
        <v>1</v>
      </c>
      <c r="P2205" s="5">
        <v>7483.01</v>
      </c>
      <c r="Q2205" s="4">
        <v>45600</v>
      </c>
      <c r="R2205" s="9">
        <v>0.34108796296296295</v>
      </c>
      <c r="S2205" s="8">
        <v>18</v>
      </c>
      <c r="T2205" s="7" t="s">
        <v>4454</v>
      </c>
      <c r="U2205" s="7" t="s">
        <v>4455</v>
      </c>
      <c r="V22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06" spans="1:22" x14ac:dyDescent="0.35">
      <c r="A2206" s="7" t="s">
        <v>4111</v>
      </c>
      <c r="B2206" s="7" t="s">
        <v>585</v>
      </c>
      <c r="C2206" s="5">
        <v>474.77</v>
      </c>
      <c r="D2206" s="2">
        <v>0.76857638888759539</v>
      </c>
      <c r="E2206" s="4">
        <v>45205</v>
      </c>
      <c r="F2206" s="7" t="s">
        <v>17</v>
      </c>
      <c r="G2206" s="7" t="s">
        <v>388</v>
      </c>
      <c r="H2206" s="7" t="s">
        <v>512</v>
      </c>
      <c r="I2206" s="7" t="s">
        <v>4112</v>
      </c>
      <c r="J2206" s="7" t="s">
        <v>858</v>
      </c>
      <c r="K2206" s="7" t="s">
        <v>36</v>
      </c>
      <c r="L2206" s="8">
        <v>46</v>
      </c>
      <c r="M2206" s="7" t="s">
        <v>77</v>
      </c>
      <c r="N2206" s="8">
        <v>284</v>
      </c>
      <c r="O2206" s="8">
        <v>1</v>
      </c>
      <c r="P2206" s="5">
        <v>8494.5300000000007</v>
      </c>
      <c r="Q2206" s="4">
        <v>45600</v>
      </c>
      <c r="R2206" s="9">
        <v>0.33777777777777779</v>
      </c>
      <c r="S2206" s="8">
        <v>18</v>
      </c>
      <c r="T2206" s="7" t="s">
        <v>4457</v>
      </c>
      <c r="U2206" s="7" t="s">
        <v>4455</v>
      </c>
      <c r="V22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07" spans="1:22" x14ac:dyDescent="0.35">
      <c r="A2207" s="7" t="s">
        <v>4113</v>
      </c>
      <c r="B2207" s="7" t="s">
        <v>310</v>
      </c>
      <c r="C2207" s="5">
        <v>451.7</v>
      </c>
      <c r="D2207" s="2">
        <v>0.70556712963298196</v>
      </c>
      <c r="E2207" s="4">
        <v>44986</v>
      </c>
      <c r="F2207" s="7" t="s">
        <v>17</v>
      </c>
      <c r="G2207" s="7" t="s">
        <v>265</v>
      </c>
      <c r="H2207" s="7" t="s">
        <v>220</v>
      </c>
      <c r="I2207" s="7" t="s">
        <v>714</v>
      </c>
      <c r="J2207" s="7" t="s">
        <v>111</v>
      </c>
      <c r="K2207" s="7" t="s">
        <v>36</v>
      </c>
      <c r="L2207" s="8">
        <v>29</v>
      </c>
      <c r="M2207" s="7" t="s">
        <v>77</v>
      </c>
      <c r="N2207" s="8">
        <v>103</v>
      </c>
      <c r="O2207" s="8">
        <v>1</v>
      </c>
      <c r="P2207" s="5">
        <v>8994.67</v>
      </c>
      <c r="Q2207" s="4">
        <v>45600</v>
      </c>
      <c r="R2207" s="9">
        <v>0.34086805555555555</v>
      </c>
      <c r="S2207" s="8">
        <v>16</v>
      </c>
      <c r="T2207" s="7" t="s">
        <v>4456</v>
      </c>
      <c r="U2207" s="7" t="s">
        <v>4455</v>
      </c>
      <c r="V22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08" spans="1:22" x14ac:dyDescent="0.35">
      <c r="A2208" s="7" t="s">
        <v>4114</v>
      </c>
      <c r="B2208" s="7" t="s">
        <v>412</v>
      </c>
      <c r="C2208" s="5">
        <v>243.85</v>
      </c>
      <c r="D2208" s="2">
        <v>0.69564814814657439</v>
      </c>
      <c r="E2208" s="4">
        <v>45280</v>
      </c>
      <c r="F2208" s="7" t="s">
        <v>17</v>
      </c>
      <c r="G2208" s="7" t="s">
        <v>296</v>
      </c>
      <c r="H2208" s="7" t="s">
        <v>2890</v>
      </c>
      <c r="I2208" s="7" t="s">
        <v>266</v>
      </c>
      <c r="J2208" s="7" t="s">
        <v>984</v>
      </c>
      <c r="K2208" s="7" t="s">
        <v>69</v>
      </c>
      <c r="L2208" s="8">
        <v>39</v>
      </c>
      <c r="M2208" s="7" t="s">
        <v>77</v>
      </c>
      <c r="N2208" s="8">
        <v>43</v>
      </c>
      <c r="O2208" s="8">
        <v>1</v>
      </c>
      <c r="P2208" s="5">
        <v>4576.78</v>
      </c>
      <c r="Q2208" s="4">
        <v>45600</v>
      </c>
      <c r="R2208" s="9">
        <v>0.3395023148148148</v>
      </c>
      <c r="S2208" s="8">
        <v>16</v>
      </c>
      <c r="T2208" s="7" t="s">
        <v>4457</v>
      </c>
      <c r="U2208" s="7" t="s">
        <v>4455</v>
      </c>
      <c r="V22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09" spans="1:22" x14ac:dyDescent="0.35">
      <c r="A2209" s="7" t="s">
        <v>4115</v>
      </c>
      <c r="B2209" s="7" t="s">
        <v>962</v>
      </c>
      <c r="C2209" s="5">
        <v>5.76</v>
      </c>
      <c r="D2209" s="2">
        <v>0.71796296296088258</v>
      </c>
      <c r="E2209" s="4">
        <v>45166</v>
      </c>
      <c r="F2209" s="7" t="s">
        <v>17</v>
      </c>
      <c r="G2209" s="7" t="s">
        <v>26</v>
      </c>
      <c r="H2209" s="7" t="s">
        <v>1406</v>
      </c>
      <c r="I2209" s="7" t="s">
        <v>361</v>
      </c>
      <c r="J2209" s="7" t="s">
        <v>272</v>
      </c>
      <c r="K2209" s="7" t="s">
        <v>69</v>
      </c>
      <c r="L2209" s="8">
        <v>38</v>
      </c>
      <c r="M2209" s="7" t="s">
        <v>77</v>
      </c>
      <c r="N2209" s="8">
        <v>164</v>
      </c>
      <c r="O2209" s="8">
        <v>1</v>
      </c>
      <c r="P2209" s="5">
        <v>5859.79</v>
      </c>
      <c r="Q2209" s="4">
        <v>45600</v>
      </c>
      <c r="R2209" s="9">
        <v>0.33982638888888889</v>
      </c>
      <c r="S2209" s="8">
        <v>17</v>
      </c>
      <c r="T2209" s="7" t="s">
        <v>4457</v>
      </c>
      <c r="U2209" s="7" t="s">
        <v>4455</v>
      </c>
      <c r="V22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10" spans="1:22" x14ac:dyDescent="0.35">
      <c r="A2210" s="7" t="s">
        <v>4116</v>
      </c>
      <c r="B2210" s="7" t="s">
        <v>2024</v>
      </c>
      <c r="C2210" s="5">
        <v>435.08</v>
      </c>
      <c r="D2210" s="2">
        <v>0.66767361111124046</v>
      </c>
      <c r="E2210" s="4">
        <v>45131</v>
      </c>
      <c r="F2210" s="7" t="s">
        <v>17</v>
      </c>
      <c r="G2210" s="7" t="s">
        <v>212</v>
      </c>
      <c r="H2210" s="7" t="s">
        <v>2290</v>
      </c>
      <c r="I2210" s="7" t="s">
        <v>4117</v>
      </c>
      <c r="J2210" s="7" t="s">
        <v>858</v>
      </c>
      <c r="K2210" s="7" t="s">
        <v>36</v>
      </c>
      <c r="L2210" s="8">
        <v>55</v>
      </c>
      <c r="M2210" s="7" t="s">
        <v>77</v>
      </c>
      <c r="N2210" s="8">
        <v>78</v>
      </c>
      <c r="O2210" s="8">
        <v>1</v>
      </c>
      <c r="P2210" s="5">
        <v>2103.41</v>
      </c>
      <c r="Q2210" s="4">
        <v>45600</v>
      </c>
      <c r="R2210" s="9">
        <v>0.34114583333333331</v>
      </c>
      <c r="S2210" s="8">
        <v>16</v>
      </c>
      <c r="T2210" s="7" t="s">
        <v>4454</v>
      </c>
      <c r="U2210" s="7" t="s">
        <v>4455</v>
      </c>
      <c r="V22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11" spans="1:22" x14ac:dyDescent="0.35">
      <c r="A2211" s="7" t="s">
        <v>4118</v>
      </c>
      <c r="B2211" s="7" t="s">
        <v>219</v>
      </c>
      <c r="C2211" s="5">
        <v>127.78</v>
      </c>
      <c r="D2211" s="2">
        <v>0.69550925926159834</v>
      </c>
      <c r="E2211" s="4">
        <v>45041</v>
      </c>
      <c r="F2211" s="7" t="s">
        <v>17</v>
      </c>
      <c r="G2211" s="7" t="s">
        <v>172</v>
      </c>
      <c r="H2211" s="7" t="s">
        <v>4119</v>
      </c>
      <c r="I2211" s="7" t="s">
        <v>1459</v>
      </c>
      <c r="J2211" s="7" t="s">
        <v>1345</v>
      </c>
      <c r="K2211" s="7" t="s">
        <v>22</v>
      </c>
      <c r="L2211" s="8">
        <v>20</v>
      </c>
      <c r="M2211" s="7" t="s">
        <v>37</v>
      </c>
      <c r="N2211" s="8">
        <v>170</v>
      </c>
      <c r="O2211" s="8">
        <v>1</v>
      </c>
      <c r="P2211" s="5">
        <v>1046.6600000000001</v>
      </c>
      <c r="Q2211" s="4">
        <v>45600</v>
      </c>
      <c r="R2211" s="9">
        <v>0.34057870370370369</v>
      </c>
      <c r="S2211" s="8">
        <v>16</v>
      </c>
      <c r="T2211" s="7" t="s">
        <v>4456</v>
      </c>
      <c r="U2211" s="7" t="s">
        <v>4455</v>
      </c>
      <c r="V22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12" spans="1:22" x14ac:dyDescent="0.35">
      <c r="A2212" s="7" t="s">
        <v>4120</v>
      </c>
      <c r="B2212" s="7" t="s">
        <v>636</v>
      </c>
      <c r="C2212" s="5">
        <v>23.14</v>
      </c>
      <c r="D2212" s="2">
        <v>0.72476851852115942</v>
      </c>
      <c r="E2212" s="4">
        <v>45245</v>
      </c>
      <c r="F2212" s="7" t="s">
        <v>46</v>
      </c>
      <c r="G2212" s="7" t="s">
        <v>32</v>
      </c>
      <c r="H2212" s="7" t="s">
        <v>4121</v>
      </c>
      <c r="I2212" s="7" t="s">
        <v>4122</v>
      </c>
      <c r="J2212" s="7" t="s">
        <v>331</v>
      </c>
      <c r="K2212" s="7" t="s">
        <v>36</v>
      </c>
      <c r="L2212" s="8">
        <v>47</v>
      </c>
      <c r="M2212" s="7" t="s">
        <v>23</v>
      </c>
      <c r="N2212" s="8">
        <v>93</v>
      </c>
      <c r="O2212" s="8">
        <v>1</v>
      </c>
      <c r="P2212" s="5">
        <v>10536.54</v>
      </c>
      <c r="Q2212" s="4">
        <v>45600</v>
      </c>
      <c r="R2212" s="9">
        <v>0.33982638888888889</v>
      </c>
      <c r="S2212" s="8">
        <v>17</v>
      </c>
      <c r="T2212" s="7" t="s">
        <v>4457</v>
      </c>
      <c r="U2212" s="7" t="s">
        <v>4455</v>
      </c>
      <c r="V22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13" spans="1:22" x14ac:dyDescent="0.35">
      <c r="A2213" s="7" t="s">
        <v>4123</v>
      </c>
      <c r="B2213" s="7" t="s">
        <v>520</v>
      </c>
      <c r="C2213" s="5">
        <v>545.87</v>
      </c>
      <c r="D2213" s="2">
        <v>0.68851851851650281</v>
      </c>
      <c r="E2213" s="4">
        <v>44928</v>
      </c>
      <c r="F2213" s="7" t="s">
        <v>17</v>
      </c>
      <c r="G2213" s="7" t="s">
        <v>172</v>
      </c>
      <c r="H2213" s="7" t="s">
        <v>924</v>
      </c>
      <c r="I2213" s="7" t="s">
        <v>1130</v>
      </c>
      <c r="J2213" s="7" t="s">
        <v>607</v>
      </c>
      <c r="K2213" s="7" t="s">
        <v>69</v>
      </c>
      <c r="L2213" s="8">
        <v>27</v>
      </c>
      <c r="M2213" s="7" t="s">
        <v>77</v>
      </c>
      <c r="N2213" s="8">
        <v>41</v>
      </c>
      <c r="O2213" s="8">
        <v>1</v>
      </c>
      <c r="P2213" s="5">
        <v>4860.01</v>
      </c>
      <c r="Q2213" s="4">
        <v>45600</v>
      </c>
      <c r="R2213" s="9">
        <v>0.34009259259259261</v>
      </c>
      <c r="S2213" s="8">
        <v>16</v>
      </c>
      <c r="T2213" s="7" t="s">
        <v>4456</v>
      </c>
      <c r="U2213" s="7" t="s">
        <v>4455</v>
      </c>
      <c r="V22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14" spans="1:22" x14ac:dyDescent="0.35">
      <c r="A2214" s="7" t="s">
        <v>4124</v>
      </c>
      <c r="B2214" s="7" t="s">
        <v>2690</v>
      </c>
      <c r="C2214" s="5">
        <v>21.21</v>
      </c>
      <c r="D2214" s="2">
        <v>0.68074074073956581</v>
      </c>
      <c r="E2214" s="4">
        <v>45264</v>
      </c>
      <c r="F2214" s="7" t="s">
        <v>17</v>
      </c>
      <c r="G2214" s="7" t="s">
        <v>80</v>
      </c>
      <c r="H2214" s="7" t="s">
        <v>3818</v>
      </c>
      <c r="I2214" s="7" t="s">
        <v>2346</v>
      </c>
      <c r="J2214" s="7" t="s">
        <v>370</v>
      </c>
      <c r="K2214" s="7" t="s">
        <v>36</v>
      </c>
      <c r="L2214" s="8">
        <v>55</v>
      </c>
      <c r="M2214" s="7" t="s">
        <v>77</v>
      </c>
      <c r="N2214" s="8">
        <v>37</v>
      </c>
      <c r="O2214" s="8">
        <v>1</v>
      </c>
      <c r="P2214" s="5">
        <v>9575.42</v>
      </c>
      <c r="Q2214" s="4">
        <v>45600</v>
      </c>
      <c r="R2214" s="9">
        <v>0.33840277777777777</v>
      </c>
      <c r="S2214" s="8">
        <v>16</v>
      </c>
      <c r="T2214" s="7" t="s">
        <v>4454</v>
      </c>
      <c r="U2214" s="7" t="s">
        <v>4455</v>
      </c>
      <c r="V22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15" spans="1:22" x14ac:dyDescent="0.35">
      <c r="A2215" s="7" t="s">
        <v>4125</v>
      </c>
      <c r="B2215" s="7" t="s">
        <v>2671</v>
      </c>
      <c r="C2215" s="5">
        <v>423.53</v>
      </c>
      <c r="D2215" s="2">
        <v>0.71449074074189411</v>
      </c>
      <c r="E2215" s="4">
        <v>45148</v>
      </c>
      <c r="F2215" s="7" t="s">
        <v>46</v>
      </c>
      <c r="G2215" s="7" t="s">
        <v>291</v>
      </c>
      <c r="H2215" s="7" t="s">
        <v>3025</v>
      </c>
      <c r="I2215" s="7" t="s">
        <v>1518</v>
      </c>
      <c r="J2215" s="7" t="s">
        <v>105</v>
      </c>
      <c r="K2215" s="7" t="s">
        <v>69</v>
      </c>
      <c r="L2215" s="8">
        <v>50</v>
      </c>
      <c r="M2215" s="7" t="s">
        <v>23</v>
      </c>
      <c r="N2215" s="8">
        <v>81</v>
      </c>
      <c r="O2215" s="8">
        <v>1</v>
      </c>
      <c r="P2215" s="5">
        <v>5453.4</v>
      </c>
      <c r="Q2215" s="4">
        <v>45600</v>
      </c>
      <c r="R2215" s="9">
        <v>0.33846064814814814</v>
      </c>
      <c r="S2215" s="8">
        <v>17</v>
      </c>
      <c r="T2215" s="7" t="s">
        <v>4457</v>
      </c>
      <c r="U2215" s="7" t="s">
        <v>4455</v>
      </c>
      <c r="V22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16" spans="1:22" x14ac:dyDescent="0.35">
      <c r="A2216" s="7" t="s">
        <v>4126</v>
      </c>
      <c r="B2216" s="7" t="s">
        <v>2083</v>
      </c>
      <c r="C2216" s="5">
        <v>142.1</v>
      </c>
      <c r="D2216" s="2">
        <v>0.71395833333372138</v>
      </c>
      <c r="E2216" s="4">
        <v>45085</v>
      </c>
      <c r="F2216" s="7" t="s">
        <v>46</v>
      </c>
      <c r="G2216" s="7" t="s">
        <v>212</v>
      </c>
      <c r="H2216" s="7" t="s">
        <v>1369</v>
      </c>
      <c r="I2216" s="7" t="s">
        <v>3074</v>
      </c>
      <c r="J2216" s="7" t="s">
        <v>682</v>
      </c>
      <c r="K2216" s="7" t="s">
        <v>36</v>
      </c>
      <c r="L2216" s="8">
        <v>18</v>
      </c>
      <c r="M2216" s="7" t="s">
        <v>37</v>
      </c>
      <c r="N2216" s="8">
        <v>109</v>
      </c>
      <c r="O2216" s="8">
        <v>1</v>
      </c>
      <c r="P2216" s="5">
        <v>1545.64</v>
      </c>
      <c r="Q2216" s="4">
        <v>45600</v>
      </c>
      <c r="R2216" s="9">
        <v>0.34162037037037035</v>
      </c>
      <c r="S2216" s="8">
        <v>17</v>
      </c>
      <c r="T2216" s="7" t="s">
        <v>4456</v>
      </c>
      <c r="U2216" s="7" t="s">
        <v>4455</v>
      </c>
      <c r="V22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17" spans="1:22" x14ac:dyDescent="0.35">
      <c r="A2217" s="7" t="s">
        <v>4127</v>
      </c>
      <c r="B2217" s="7" t="s">
        <v>1587</v>
      </c>
      <c r="C2217" s="5">
        <v>1413.24</v>
      </c>
      <c r="D2217" s="2">
        <v>0.79125000000203727</v>
      </c>
      <c r="E2217" s="4">
        <v>45236</v>
      </c>
      <c r="F2217" s="7" t="s">
        <v>17</v>
      </c>
      <c r="G2217" s="7" t="s">
        <v>203</v>
      </c>
      <c r="H2217" s="7" t="s">
        <v>2397</v>
      </c>
      <c r="I2217" s="7" t="s">
        <v>1571</v>
      </c>
      <c r="J2217" s="7" t="s">
        <v>1810</v>
      </c>
      <c r="K2217" s="7" t="s">
        <v>22</v>
      </c>
      <c r="L2217" s="8">
        <v>58</v>
      </c>
      <c r="M2217" s="7" t="s">
        <v>77</v>
      </c>
      <c r="N2217" s="8">
        <v>199</v>
      </c>
      <c r="O2217" s="8">
        <v>1</v>
      </c>
      <c r="P2217" s="5">
        <v>7272.01</v>
      </c>
      <c r="Q2217" s="4">
        <v>45600</v>
      </c>
      <c r="R2217" s="9">
        <v>0.34127314814814813</v>
      </c>
      <c r="S2217" s="8">
        <v>18</v>
      </c>
      <c r="T2217" s="7" t="s">
        <v>4454</v>
      </c>
      <c r="U2217" s="7" t="s">
        <v>4455</v>
      </c>
      <c r="V22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18" spans="1:22" x14ac:dyDescent="0.35">
      <c r="A2218" s="7" t="s">
        <v>4128</v>
      </c>
      <c r="B2218" s="7" t="s">
        <v>3136</v>
      </c>
      <c r="C2218" s="5">
        <v>114.15</v>
      </c>
      <c r="D2218" s="2">
        <v>0.69993055555823958</v>
      </c>
      <c r="E2218" s="4">
        <v>44978</v>
      </c>
      <c r="F2218" s="7" t="s">
        <v>17</v>
      </c>
      <c r="G2218" s="7" t="s">
        <v>47</v>
      </c>
      <c r="H2218" s="7" t="s">
        <v>1162</v>
      </c>
      <c r="I2218" s="7" t="s">
        <v>230</v>
      </c>
      <c r="J2218" s="7" t="s">
        <v>353</v>
      </c>
      <c r="K2218" s="7" t="s">
        <v>22</v>
      </c>
      <c r="L2218" s="8">
        <v>19</v>
      </c>
      <c r="M2218" s="7" t="s">
        <v>37</v>
      </c>
      <c r="N2218" s="8">
        <v>52</v>
      </c>
      <c r="O2218" s="8">
        <v>1</v>
      </c>
      <c r="P2218" s="5">
        <v>1612.4</v>
      </c>
      <c r="Q2218" s="4">
        <v>45600</v>
      </c>
      <c r="R2218" s="9">
        <v>0.33932870370370372</v>
      </c>
      <c r="S2218" s="8">
        <v>16</v>
      </c>
      <c r="T2218" s="7" t="s">
        <v>4456</v>
      </c>
      <c r="U2218" s="7" t="s">
        <v>4455</v>
      </c>
      <c r="V22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19" spans="1:22" x14ac:dyDescent="0.35">
      <c r="A2219" s="7" t="s">
        <v>4129</v>
      </c>
      <c r="B2219" s="7" t="s">
        <v>629</v>
      </c>
      <c r="C2219" s="5">
        <v>275.98</v>
      </c>
      <c r="D2219" s="2">
        <v>0.66967592592845904</v>
      </c>
      <c r="E2219" s="4">
        <v>45275</v>
      </c>
      <c r="F2219" s="7" t="s">
        <v>46</v>
      </c>
      <c r="G2219" s="7" t="s">
        <v>453</v>
      </c>
      <c r="H2219" s="7" t="s">
        <v>955</v>
      </c>
      <c r="I2219" s="7" t="s">
        <v>3486</v>
      </c>
      <c r="J2219" s="7" t="s">
        <v>200</v>
      </c>
      <c r="K2219" s="7" t="s">
        <v>36</v>
      </c>
      <c r="L2219" s="8">
        <v>72</v>
      </c>
      <c r="M2219" s="7" t="s">
        <v>70</v>
      </c>
      <c r="N2219" s="8">
        <v>67</v>
      </c>
      <c r="O2219" s="8">
        <v>1</v>
      </c>
      <c r="P2219" s="5">
        <v>6151.05</v>
      </c>
      <c r="Q2219" s="4">
        <v>45600</v>
      </c>
      <c r="R2219" s="9">
        <v>0.33837962962962964</v>
      </c>
      <c r="S2219" s="8">
        <v>16</v>
      </c>
      <c r="T2219" s="7" t="s">
        <v>4454</v>
      </c>
      <c r="U2219" s="7" t="s">
        <v>4455</v>
      </c>
      <c r="V22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0" spans="1:22" x14ac:dyDescent="0.35">
      <c r="A2220" s="7" t="s">
        <v>4130</v>
      </c>
      <c r="B2220" s="7" t="s">
        <v>1238</v>
      </c>
      <c r="C2220" s="5">
        <v>590.67999999999995</v>
      </c>
      <c r="D2220" s="2">
        <v>0.70579861111036735</v>
      </c>
      <c r="E2220" s="4">
        <v>45194</v>
      </c>
      <c r="F2220" s="7" t="s">
        <v>17</v>
      </c>
      <c r="G2220" s="7" t="s">
        <v>453</v>
      </c>
      <c r="H2220" s="7" t="s">
        <v>1126</v>
      </c>
      <c r="I2220" s="7" t="s">
        <v>298</v>
      </c>
      <c r="J2220" s="7" t="s">
        <v>980</v>
      </c>
      <c r="K2220" s="7" t="s">
        <v>69</v>
      </c>
      <c r="L2220" s="8">
        <v>27</v>
      </c>
      <c r="M2220" s="7" t="s">
        <v>37</v>
      </c>
      <c r="N2220" s="8">
        <v>23</v>
      </c>
      <c r="O2220" s="8">
        <v>1</v>
      </c>
      <c r="P2220" s="5">
        <v>852.2</v>
      </c>
      <c r="Q2220" s="4">
        <v>45600</v>
      </c>
      <c r="R2220" s="9">
        <v>0.33975694444444443</v>
      </c>
      <c r="S2220" s="8">
        <v>16</v>
      </c>
      <c r="T2220" s="7" t="s">
        <v>4456</v>
      </c>
      <c r="U2220" s="7" t="s">
        <v>4455</v>
      </c>
      <c r="V22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1" spans="1:22" x14ac:dyDescent="0.35">
      <c r="A2221" s="7" t="s">
        <v>4131</v>
      </c>
      <c r="B2221" s="7" t="s">
        <v>438</v>
      </c>
      <c r="C2221" s="5">
        <v>152.41999999999999</v>
      </c>
      <c r="D2221" s="2">
        <v>0.69834490741050104</v>
      </c>
      <c r="E2221" s="4">
        <v>45222</v>
      </c>
      <c r="F2221" s="7" t="s">
        <v>17</v>
      </c>
      <c r="G2221" s="7" t="s">
        <v>223</v>
      </c>
      <c r="H2221" s="7" t="s">
        <v>512</v>
      </c>
      <c r="I2221" s="7" t="s">
        <v>1879</v>
      </c>
      <c r="J2221" s="7" t="s">
        <v>100</v>
      </c>
      <c r="K2221" s="7" t="s">
        <v>22</v>
      </c>
      <c r="L2221" s="8">
        <v>42</v>
      </c>
      <c r="M2221" s="7" t="s">
        <v>23</v>
      </c>
      <c r="N2221" s="8">
        <v>176</v>
      </c>
      <c r="O2221" s="8">
        <v>1</v>
      </c>
      <c r="P2221" s="5">
        <v>9141.7900000000009</v>
      </c>
      <c r="Q2221" s="4">
        <v>45600</v>
      </c>
      <c r="R2221" s="9">
        <v>0.34187499999999998</v>
      </c>
      <c r="S2221" s="8">
        <v>16</v>
      </c>
      <c r="T2221" s="7" t="s">
        <v>4457</v>
      </c>
      <c r="U2221" s="7" t="s">
        <v>4455</v>
      </c>
      <c r="V22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2" spans="1:22" x14ac:dyDescent="0.35">
      <c r="A2222" s="7" t="s">
        <v>4132</v>
      </c>
      <c r="B2222" s="7" t="s">
        <v>151</v>
      </c>
      <c r="C2222" s="5">
        <v>395.77</v>
      </c>
      <c r="D2222" s="2">
        <v>0.68346064814977581</v>
      </c>
      <c r="E2222" s="4">
        <v>44984</v>
      </c>
      <c r="F2222" s="7" t="s">
        <v>46</v>
      </c>
      <c r="G2222" s="7" t="s">
        <v>506</v>
      </c>
      <c r="H2222" s="7" t="s">
        <v>738</v>
      </c>
      <c r="I2222" s="7" t="s">
        <v>4133</v>
      </c>
      <c r="J2222" s="7" t="s">
        <v>312</v>
      </c>
      <c r="K2222" s="7" t="s">
        <v>69</v>
      </c>
      <c r="L2222" s="8">
        <v>43</v>
      </c>
      <c r="M2222" s="7" t="s">
        <v>23</v>
      </c>
      <c r="N2222" s="8">
        <v>118</v>
      </c>
      <c r="O2222" s="8">
        <v>1</v>
      </c>
      <c r="P2222" s="5">
        <v>6425.99</v>
      </c>
      <c r="Q2222" s="4">
        <v>45600</v>
      </c>
      <c r="R2222" s="9">
        <v>0.33908564814814812</v>
      </c>
      <c r="S2222" s="8">
        <v>16</v>
      </c>
      <c r="T2222" s="7" t="s">
        <v>4457</v>
      </c>
      <c r="U2222" s="7" t="s">
        <v>4455</v>
      </c>
      <c r="V22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3" spans="1:22" x14ac:dyDescent="0.35">
      <c r="A2223" s="7" t="s">
        <v>4134</v>
      </c>
      <c r="B2223" s="7" t="s">
        <v>801</v>
      </c>
      <c r="C2223" s="5">
        <v>615.16</v>
      </c>
      <c r="D2223" s="2">
        <v>0.69475694444554392</v>
      </c>
      <c r="E2223" s="4">
        <v>44963</v>
      </c>
      <c r="F2223" s="7" t="s">
        <v>17</v>
      </c>
      <c r="G2223" s="7" t="s">
        <v>388</v>
      </c>
      <c r="H2223" s="7" t="s">
        <v>1355</v>
      </c>
      <c r="I2223" s="7" t="s">
        <v>940</v>
      </c>
      <c r="J2223" s="7" t="s">
        <v>1014</v>
      </c>
      <c r="K2223" s="7" t="s">
        <v>36</v>
      </c>
      <c r="L2223" s="8">
        <v>26</v>
      </c>
      <c r="M2223" s="7" t="s">
        <v>37</v>
      </c>
      <c r="N2223" s="8">
        <v>140</v>
      </c>
      <c r="O2223" s="8">
        <v>1</v>
      </c>
      <c r="P2223" s="5">
        <v>214.61</v>
      </c>
      <c r="Q2223" s="4">
        <v>45600</v>
      </c>
      <c r="R2223" s="9">
        <v>0.33792824074074074</v>
      </c>
      <c r="S2223" s="8">
        <v>16</v>
      </c>
      <c r="T2223" s="7" t="s">
        <v>4456</v>
      </c>
      <c r="U2223" s="7" t="s">
        <v>4455</v>
      </c>
      <c r="V22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4" spans="1:22" x14ac:dyDescent="0.35">
      <c r="A2224" s="7" t="s">
        <v>4135</v>
      </c>
      <c r="B2224" s="7" t="s">
        <v>424</v>
      </c>
      <c r="C2224" s="5">
        <v>207.82</v>
      </c>
      <c r="D2224" s="2">
        <v>0.69079861111094942</v>
      </c>
      <c r="E2224" s="4">
        <v>44985</v>
      </c>
      <c r="F2224" s="7" t="s">
        <v>46</v>
      </c>
      <c r="G2224" s="7" t="s">
        <v>146</v>
      </c>
      <c r="H2224" s="7" t="s">
        <v>1615</v>
      </c>
      <c r="I2224" s="7" t="s">
        <v>1518</v>
      </c>
      <c r="J2224" s="7" t="s">
        <v>303</v>
      </c>
      <c r="K2224" s="7" t="s">
        <v>36</v>
      </c>
      <c r="L2224" s="8">
        <v>19</v>
      </c>
      <c r="M2224" s="7" t="s">
        <v>37</v>
      </c>
      <c r="N2224" s="8">
        <v>30</v>
      </c>
      <c r="O2224" s="8">
        <v>1</v>
      </c>
      <c r="P2224" s="5">
        <v>229.02</v>
      </c>
      <c r="Q2224" s="4">
        <v>45600</v>
      </c>
      <c r="R2224" s="9">
        <v>0.3382175925925926</v>
      </c>
      <c r="S2224" s="8">
        <v>16</v>
      </c>
      <c r="T2224" s="7" t="s">
        <v>4456</v>
      </c>
      <c r="U2224" s="7" t="s">
        <v>4455</v>
      </c>
      <c r="V22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5" spans="1:22" x14ac:dyDescent="0.35">
      <c r="A2225" s="7" t="s">
        <v>4136</v>
      </c>
      <c r="B2225" s="7" t="s">
        <v>79</v>
      </c>
      <c r="C2225" s="5">
        <v>220.52</v>
      </c>
      <c r="D2225" s="2">
        <v>0.67178240740759065</v>
      </c>
      <c r="E2225" s="4">
        <v>45084</v>
      </c>
      <c r="F2225" s="7" t="s">
        <v>17</v>
      </c>
      <c r="G2225" s="7" t="s">
        <v>59</v>
      </c>
      <c r="H2225" s="7" t="s">
        <v>4137</v>
      </c>
      <c r="I2225" s="7" t="s">
        <v>1291</v>
      </c>
      <c r="J2225" s="7" t="s">
        <v>56</v>
      </c>
      <c r="K2225" s="7" t="s">
        <v>22</v>
      </c>
      <c r="L2225" s="8">
        <v>57</v>
      </c>
      <c r="M2225" s="7" t="s">
        <v>70</v>
      </c>
      <c r="N2225" s="8">
        <v>152</v>
      </c>
      <c r="O2225" s="8">
        <v>1</v>
      </c>
      <c r="P2225" s="5">
        <v>1793.09</v>
      </c>
      <c r="Q2225" s="4">
        <v>45600</v>
      </c>
      <c r="R2225" s="9">
        <v>0.33841435185185187</v>
      </c>
      <c r="S2225" s="8">
        <v>16</v>
      </c>
      <c r="T2225" s="7" t="s">
        <v>4454</v>
      </c>
      <c r="U2225" s="7" t="s">
        <v>4455</v>
      </c>
      <c r="V22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6" spans="1:22" x14ac:dyDescent="0.35">
      <c r="A2226" s="7" t="s">
        <v>4138</v>
      </c>
      <c r="B2226" s="7" t="s">
        <v>328</v>
      </c>
      <c r="C2226" s="5">
        <v>281.47000000000003</v>
      </c>
      <c r="D2226" s="2">
        <v>0.70989583332993789</v>
      </c>
      <c r="E2226" s="4">
        <v>45156</v>
      </c>
      <c r="F2226" s="7" t="s">
        <v>17</v>
      </c>
      <c r="G2226" s="7" t="s">
        <v>243</v>
      </c>
      <c r="H2226" s="7" t="s">
        <v>538</v>
      </c>
      <c r="I2226" s="7" t="s">
        <v>1725</v>
      </c>
      <c r="J2226" s="7" t="s">
        <v>175</v>
      </c>
      <c r="K2226" s="7" t="s">
        <v>22</v>
      </c>
      <c r="L2226" s="8">
        <v>34</v>
      </c>
      <c r="M2226" s="7" t="s">
        <v>77</v>
      </c>
      <c r="N2226" s="8">
        <v>142</v>
      </c>
      <c r="O2226" s="8">
        <v>1</v>
      </c>
      <c r="P2226" s="5">
        <v>4437.4799999999996</v>
      </c>
      <c r="Q2226" s="4">
        <v>45600</v>
      </c>
      <c r="R2226" s="9">
        <v>0.34112268518518518</v>
      </c>
      <c r="S2226" s="8">
        <v>17</v>
      </c>
      <c r="T2226" s="7" t="s">
        <v>4456</v>
      </c>
      <c r="U2226" s="7" t="s">
        <v>4455</v>
      </c>
      <c r="V22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27" spans="1:22" x14ac:dyDescent="0.35">
      <c r="A2227" s="7" t="s">
        <v>4139</v>
      </c>
      <c r="B2227" s="7" t="s">
        <v>1057</v>
      </c>
      <c r="C2227" s="5">
        <v>57.91</v>
      </c>
      <c r="D2227" s="2">
        <v>0.69800925925665069</v>
      </c>
      <c r="E2227" s="4">
        <v>45258</v>
      </c>
      <c r="F2227" s="7" t="s">
        <v>46</v>
      </c>
      <c r="G2227" s="7" t="s">
        <v>285</v>
      </c>
      <c r="H2227" s="7" t="s">
        <v>1323</v>
      </c>
      <c r="I2227" s="7" t="s">
        <v>2673</v>
      </c>
      <c r="J2227" s="7" t="s">
        <v>1281</v>
      </c>
      <c r="K2227" s="7" t="s">
        <v>69</v>
      </c>
      <c r="L2227" s="8">
        <v>58</v>
      </c>
      <c r="M2227" s="7" t="s">
        <v>77</v>
      </c>
      <c r="N2227" s="8">
        <v>97</v>
      </c>
      <c r="O2227" s="8">
        <v>1</v>
      </c>
      <c r="P2227" s="5">
        <v>3641.06</v>
      </c>
      <c r="Q2227" s="4">
        <v>45600</v>
      </c>
      <c r="R2227" s="9">
        <v>0.33822916666666669</v>
      </c>
      <c r="S2227" s="8">
        <v>16</v>
      </c>
      <c r="T2227" s="7" t="s">
        <v>4454</v>
      </c>
      <c r="U2227" s="7" t="s">
        <v>4455</v>
      </c>
      <c r="V22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8" spans="1:22" x14ac:dyDescent="0.35">
      <c r="A2228" s="7" t="s">
        <v>4140</v>
      </c>
      <c r="B2228" s="7" t="s">
        <v>785</v>
      </c>
      <c r="C2228" s="5">
        <v>30.48</v>
      </c>
      <c r="D2228" s="2">
        <v>0.68554398148262408</v>
      </c>
      <c r="E2228" s="4">
        <v>45264</v>
      </c>
      <c r="F2228" s="7" t="s">
        <v>46</v>
      </c>
      <c r="G2228" s="7" t="s">
        <v>59</v>
      </c>
      <c r="H2228" s="7" t="s">
        <v>468</v>
      </c>
      <c r="I2228" s="7" t="s">
        <v>234</v>
      </c>
      <c r="J2228" s="7" t="s">
        <v>89</v>
      </c>
      <c r="K2228" s="7" t="s">
        <v>69</v>
      </c>
      <c r="L2228" s="8">
        <v>32</v>
      </c>
      <c r="M2228" s="7" t="s">
        <v>23</v>
      </c>
      <c r="N2228" s="8">
        <v>78</v>
      </c>
      <c r="O2228" s="8">
        <v>1</v>
      </c>
      <c r="P2228" s="5">
        <v>11481.85</v>
      </c>
      <c r="Q2228" s="4">
        <v>45600</v>
      </c>
      <c r="R2228" s="9">
        <v>0.33863425925925927</v>
      </c>
      <c r="S2228" s="8">
        <v>16</v>
      </c>
      <c r="T2228" s="7" t="s">
        <v>4456</v>
      </c>
      <c r="U2228" s="7" t="s">
        <v>4455</v>
      </c>
      <c r="V22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29" spans="1:22" x14ac:dyDescent="0.35">
      <c r="A2229" s="7" t="s">
        <v>4141</v>
      </c>
      <c r="B2229" s="7" t="s">
        <v>196</v>
      </c>
      <c r="C2229" s="5">
        <v>1152.58</v>
      </c>
      <c r="D2229" s="2">
        <v>0.7487962962986785</v>
      </c>
      <c r="E2229" s="4">
        <v>45182</v>
      </c>
      <c r="F2229" s="7" t="s">
        <v>17</v>
      </c>
      <c r="G2229" s="7" t="s">
        <v>119</v>
      </c>
      <c r="H2229" s="7" t="s">
        <v>2160</v>
      </c>
      <c r="I2229" s="7" t="s">
        <v>266</v>
      </c>
      <c r="J2229" s="7" t="s">
        <v>68</v>
      </c>
      <c r="K2229" s="7" t="s">
        <v>69</v>
      </c>
      <c r="L2229" s="8">
        <v>65</v>
      </c>
      <c r="M2229" s="7" t="s">
        <v>70</v>
      </c>
      <c r="N2229" s="8">
        <v>180</v>
      </c>
      <c r="O2229" s="8">
        <v>1</v>
      </c>
      <c r="P2229" s="5">
        <v>7567.17</v>
      </c>
      <c r="Q2229" s="4">
        <v>45600</v>
      </c>
      <c r="R2229" s="9">
        <v>0.34149305555555554</v>
      </c>
      <c r="S2229" s="8">
        <v>17</v>
      </c>
      <c r="T2229" s="7" t="s">
        <v>4454</v>
      </c>
      <c r="U2229" s="7" t="s">
        <v>4455</v>
      </c>
      <c r="V22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30" spans="1:22" x14ac:dyDescent="0.35">
      <c r="A2230" s="7" t="s">
        <v>4142</v>
      </c>
      <c r="B2230" s="7" t="s">
        <v>1016</v>
      </c>
      <c r="C2230" s="5">
        <v>453.09</v>
      </c>
      <c r="D2230" s="2">
        <v>0.68358796296524815</v>
      </c>
      <c r="E2230" s="4">
        <v>45082</v>
      </c>
      <c r="F2230" s="7" t="s">
        <v>17</v>
      </c>
      <c r="G2230" s="7" t="s">
        <v>223</v>
      </c>
      <c r="H2230" s="7" t="s">
        <v>1045</v>
      </c>
      <c r="I2230" s="7" t="s">
        <v>3386</v>
      </c>
      <c r="J2230" s="7" t="s">
        <v>769</v>
      </c>
      <c r="K2230" s="7" t="s">
        <v>69</v>
      </c>
      <c r="L2230" s="8">
        <v>48</v>
      </c>
      <c r="M2230" s="7" t="s">
        <v>23</v>
      </c>
      <c r="N2230" s="8">
        <v>97</v>
      </c>
      <c r="O2230" s="8">
        <v>1</v>
      </c>
      <c r="P2230" s="5">
        <v>6708.65</v>
      </c>
      <c r="Q2230" s="4">
        <v>45600</v>
      </c>
      <c r="R2230" s="9">
        <v>0.33902777777777776</v>
      </c>
      <c r="S2230" s="8">
        <v>16</v>
      </c>
      <c r="T2230" s="7" t="s">
        <v>4457</v>
      </c>
      <c r="U2230" s="7" t="s">
        <v>4455</v>
      </c>
      <c r="V22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31" spans="1:22" x14ac:dyDescent="0.35">
      <c r="A2231" s="7" t="s">
        <v>4143</v>
      </c>
      <c r="B2231" s="7" t="s">
        <v>749</v>
      </c>
      <c r="C2231" s="5">
        <v>424.47</v>
      </c>
      <c r="D2231" s="2">
        <v>0.67054398148320615</v>
      </c>
      <c r="E2231" s="4">
        <v>44984</v>
      </c>
      <c r="F2231" s="7" t="s">
        <v>17</v>
      </c>
      <c r="G2231" s="7" t="s">
        <v>53</v>
      </c>
      <c r="H2231" s="7" t="s">
        <v>990</v>
      </c>
      <c r="I2231" s="7" t="s">
        <v>1689</v>
      </c>
      <c r="J2231" s="7" t="s">
        <v>1345</v>
      </c>
      <c r="K2231" s="7" t="s">
        <v>36</v>
      </c>
      <c r="L2231" s="8">
        <v>22</v>
      </c>
      <c r="M2231" s="7" t="s">
        <v>37</v>
      </c>
      <c r="N2231" s="8">
        <v>116</v>
      </c>
      <c r="O2231" s="8">
        <v>1</v>
      </c>
      <c r="P2231" s="5">
        <v>5491.55</v>
      </c>
      <c r="Q2231" s="4">
        <v>45600</v>
      </c>
      <c r="R2231" s="9">
        <v>0.33938657407407408</v>
      </c>
      <c r="S2231" s="8">
        <v>16</v>
      </c>
      <c r="T2231" s="7" t="s">
        <v>4456</v>
      </c>
      <c r="U2231" s="7" t="s">
        <v>4455</v>
      </c>
      <c r="V22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32" spans="1:22" x14ac:dyDescent="0.35">
      <c r="A2232" s="7" t="s">
        <v>4144</v>
      </c>
      <c r="B2232" s="7" t="s">
        <v>1313</v>
      </c>
      <c r="C2232" s="5">
        <v>228.4</v>
      </c>
      <c r="D2232" s="2">
        <v>0.68208333333313931</v>
      </c>
      <c r="E2232" s="4">
        <v>44931</v>
      </c>
      <c r="F2232" s="7" t="s">
        <v>17</v>
      </c>
      <c r="G2232" s="7" t="s">
        <v>296</v>
      </c>
      <c r="H2232" s="7" t="s">
        <v>943</v>
      </c>
      <c r="I2232" s="7" t="s">
        <v>3941</v>
      </c>
      <c r="J2232" s="7" t="s">
        <v>406</v>
      </c>
      <c r="K2232" s="7" t="s">
        <v>22</v>
      </c>
      <c r="L2232" s="8">
        <v>67</v>
      </c>
      <c r="M2232" s="7" t="s">
        <v>23</v>
      </c>
      <c r="N2232" s="8">
        <v>116</v>
      </c>
      <c r="O2232" s="8">
        <v>1</v>
      </c>
      <c r="P2232" s="5">
        <v>9598.43</v>
      </c>
      <c r="Q2232" s="4">
        <v>45600</v>
      </c>
      <c r="R2232" s="9">
        <v>0.34</v>
      </c>
      <c r="S2232" s="8">
        <v>16</v>
      </c>
      <c r="T2232" s="7" t="s">
        <v>4454</v>
      </c>
      <c r="U2232" s="7" t="s">
        <v>4455</v>
      </c>
      <c r="V22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33" spans="1:22" x14ac:dyDescent="0.35">
      <c r="A2233" s="7" t="s">
        <v>4145</v>
      </c>
      <c r="B2233" s="7" t="s">
        <v>2707</v>
      </c>
      <c r="C2233" s="5">
        <v>67.17</v>
      </c>
      <c r="D2233" s="2">
        <v>0.75263888888730435</v>
      </c>
      <c r="E2233" s="4">
        <v>45110</v>
      </c>
      <c r="F2233" s="7" t="s">
        <v>17</v>
      </c>
      <c r="G2233" s="7" t="s">
        <v>59</v>
      </c>
      <c r="H2233" s="7" t="s">
        <v>1347</v>
      </c>
      <c r="I2233" s="7" t="s">
        <v>465</v>
      </c>
      <c r="J2233" s="7" t="s">
        <v>639</v>
      </c>
      <c r="K2233" s="7" t="s">
        <v>36</v>
      </c>
      <c r="L2233" s="8">
        <v>63</v>
      </c>
      <c r="M2233" s="7" t="s">
        <v>23</v>
      </c>
      <c r="N2233" s="8">
        <v>48</v>
      </c>
      <c r="O2233" s="8">
        <v>1</v>
      </c>
      <c r="P2233" s="5">
        <v>14410.44</v>
      </c>
      <c r="Q2233" s="4">
        <v>45600</v>
      </c>
      <c r="R2233" s="9">
        <v>0.33952546296296299</v>
      </c>
      <c r="S2233" s="8">
        <v>18</v>
      </c>
      <c r="T2233" s="7" t="s">
        <v>4454</v>
      </c>
      <c r="U2233" s="7" t="s">
        <v>4455</v>
      </c>
      <c r="V22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34" spans="1:22" x14ac:dyDescent="0.35">
      <c r="A2234" s="7" t="s">
        <v>4146</v>
      </c>
      <c r="B2234" s="7" t="s">
        <v>2986</v>
      </c>
      <c r="C2234" s="5">
        <v>284.89</v>
      </c>
      <c r="D2234" s="2">
        <v>0.74517361111065838</v>
      </c>
      <c r="E2234" s="4">
        <v>45278</v>
      </c>
      <c r="F2234" s="7" t="s">
        <v>17</v>
      </c>
      <c r="G2234" s="7" t="s">
        <v>47</v>
      </c>
      <c r="H2234" s="7" t="s">
        <v>135</v>
      </c>
      <c r="I2234" s="7" t="s">
        <v>2181</v>
      </c>
      <c r="J2234" s="7" t="s">
        <v>564</v>
      </c>
      <c r="K2234" s="7" t="s">
        <v>36</v>
      </c>
      <c r="L2234" s="8">
        <v>53</v>
      </c>
      <c r="M2234" s="7" t="s">
        <v>23</v>
      </c>
      <c r="N2234" s="8">
        <v>115</v>
      </c>
      <c r="O2234" s="8">
        <v>1</v>
      </c>
      <c r="P2234" s="5">
        <v>9738.6</v>
      </c>
      <c r="Q2234" s="4">
        <v>45600</v>
      </c>
      <c r="R2234" s="9">
        <v>0.33809027777777778</v>
      </c>
      <c r="S2234" s="8">
        <v>17</v>
      </c>
      <c r="T2234" s="7" t="s">
        <v>4457</v>
      </c>
      <c r="U2234" s="7" t="s">
        <v>4455</v>
      </c>
      <c r="V22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35" spans="1:22" x14ac:dyDescent="0.35">
      <c r="A2235" s="7" t="s">
        <v>4147</v>
      </c>
      <c r="B2235" s="7" t="s">
        <v>2102</v>
      </c>
      <c r="C2235" s="5">
        <v>118.69</v>
      </c>
      <c r="D2235" s="2">
        <v>0.77524305555562023</v>
      </c>
      <c r="E2235" s="4">
        <v>44970</v>
      </c>
      <c r="F2235" s="7" t="s">
        <v>17</v>
      </c>
      <c r="G2235" s="7" t="s">
        <v>296</v>
      </c>
      <c r="H2235" s="7" t="s">
        <v>1103</v>
      </c>
      <c r="I2235" s="7" t="s">
        <v>394</v>
      </c>
      <c r="J2235" s="7" t="s">
        <v>175</v>
      </c>
      <c r="K2235" s="7" t="s">
        <v>36</v>
      </c>
      <c r="L2235" s="8">
        <v>33</v>
      </c>
      <c r="M2235" s="7" t="s">
        <v>23</v>
      </c>
      <c r="N2235" s="8">
        <v>296</v>
      </c>
      <c r="O2235" s="8">
        <v>1</v>
      </c>
      <c r="P2235" s="5">
        <v>749.34</v>
      </c>
      <c r="Q2235" s="4">
        <v>45600</v>
      </c>
      <c r="R2235" s="9">
        <v>0.34027777777777779</v>
      </c>
      <c r="S2235" s="8">
        <v>18</v>
      </c>
      <c r="T2235" s="7" t="s">
        <v>4456</v>
      </c>
      <c r="U2235" s="7" t="s">
        <v>4455</v>
      </c>
      <c r="V22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36" spans="1:22" x14ac:dyDescent="0.35">
      <c r="A2236" s="7" t="s">
        <v>4148</v>
      </c>
      <c r="B2236" s="7" t="s">
        <v>1796</v>
      </c>
      <c r="C2236" s="5">
        <v>221.33</v>
      </c>
      <c r="D2236" s="2">
        <v>0.76186342592700385</v>
      </c>
      <c r="E2236" s="4">
        <v>45217</v>
      </c>
      <c r="F2236" s="7" t="s">
        <v>17</v>
      </c>
      <c r="G2236" s="7" t="s">
        <v>108</v>
      </c>
      <c r="H2236" s="7" t="s">
        <v>1152</v>
      </c>
      <c r="I2236" s="7" t="s">
        <v>542</v>
      </c>
      <c r="J2236" s="7" t="s">
        <v>21</v>
      </c>
      <c r="K2236" s="7" t="s">
        <v>22</v>
      </c>
      <c r="L2236" s="8">
        <v>27</v>
      </c>
      <c r="M2236" s="7" t="s">
        <v>37</v>
      </c>
      <c r="N2236" s="8">
        <v>276</v>
      </c>
      <c r="O2236" s="8">
        <v>1</v>
      </c>
      <c r="P2236" s="5">
        <v>1185.43</v>
      </c>
      <c r="Q2236" s="4">
        <v>45600</v>
      </c>
      <c r="R2236" s="9">
        <v>0.34017361111111111</v>
      </c>
      <c r="S2236" s="8">
        <v>18</v>
      </c>
      <c r="T2236" s="7" t="s">
        <v>4456</v>
      </c>
      <c r="U2236" s="7" t="s">
        <v>4455</v>
      </c>
      <c r="V22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37" spans="1:22" x14ac:dyDescent="0.35">
      <c r="A2237" s="7" t="s">
        <v>4149</v>
      </c>
      <c r="B2237" s="7" t="s">
        <v>1858</v>
      </c>
      <c r="C2237" s="5">
        <v>252.31</v>
      </c>
      <c r="D2237" s="2">
        <v>0.67399305555591127</v>
      </c>
      <c r="E2237" s="4">
        <v>45014</v>
      </c>
      <c r="F2237" s="7" t="s">
        <v>46</v>
      </c>
      <c r="G2237" s="7" t="s">
        <v>59</v>
      </c>
      <c r="H2237" s="7" t="s">
        <v>990</v>
      </c>
      <c r="I2237" s="7" t="s">
        <v>2273</v>
      </c>
      <c r="J2237" s="7" t="s">
        <v>980</v>
      </c>
      <c r="K2237" s="7" t="s">
        <v>22</v>
      </c>
      <c r="L2237" s="8">
        <v>26</v>
      </c>
      <c r="M2237" s="7" t="s">
        <v>37</v>
      </c>
      <c r="N2237" s="8">
        <v>172</v>
      </c>
      <c r="O2237" s="8">
        <v>1</v>
      </c>
      <c r="P2237" s="5">
        <v>1584.6</v>
      </c>
      <c r="Q2237" s="4">
        <v>45600</v>
      </c>
      <c r="R2237" s="9">
        <v>0.34174768518518517</v>
      </c>
      <c r="S2237" s="8">
        <v>16</v>
      </c>
      <c r="T2237" s="7" t="s">
        <v>4456</v>
      </c>
      <c r="U2237" s="7" t="s">
        <v>4455</v>
      </c>
      <c r="V22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38" spans="1:22" x14ac:dyDescent="0.35">
      <c r="A2238" s="7" t="s">
        <v>4150</v>
      </c>
      <c r="B2238" s="7" t="s">
        <v>795</v>
      </c>
      <c r="C2238" s="5">
        <v>58.85</v>
      </c>
      <c r="D2238" s="2">
        <v>0.71903935185400769</v>
      </c>
      <c r="E2238" s="4">
        <v>45061</v>
      </c>
      <c r="F2238" s="7" t="s">
        <v>46</v>
      </c>
      <c r="G2238" s="7" t="s">
        <v>178</v>
      </c>
      <c r="H2238" s="7" t="s">
        <v>914</v>
      </c>
      <c r="I2238" s="7" t="s">
        <v>116</v>
      </c>
      <c r="J2238" s="7" t="s">
        <v>576</v>
      </c>
      <c r="K2238" s="7" t="s">
        <v>36</v>
      </c>
      <c r="L2238" s="8">
        <v>71</v>
      </c>
      <c r="M2238" s="7" t="s">
        <v>70</v>
      </c>
      <c r="N2238" s="8">
        <v>115</v>
      </c>
      <c r="O2238" s="8">
        <v>1</v>
      </c>
      <c r="P2238" s="5">
        <v>1789.8</v>
      </c>
      <c r="Q2238" s="4">
        <v>45600</v>
      </c>
      <c r="R2238" s="9">
        <v>0.33789351851851851</v>
      </c>
      <c r="S2238" s="8">
        <v>17</v>
      </c>
      <c r="T2238" s="7" t="s">
        <v>4454</v>
      </c>
      <c r="U2238" s="7" t="s">
        <v>4455</v>
      </c>
      <c r="V22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39" spans="1:22" x14ac:dyDescent="0.35">
      <c r="A2239" s="7" t="s">
        <v>4151</v>
      </c>
      <c r="B2239" s="7" t="s">
        <v>725</v>
      </c>
      <c r="C2239" s="5">
        <v>194.68</v>
      </c>
      <c r="D2239" s="2">
        <v>0.68944444444787223</v>
      </c>
      <c r="E2239" s="4">
        <v>45040</v>
      </c>
      <c r="F2239" s="7" t="s">
        <v>17</v>
      </c>
      <c r="G2239" s="7" t="s">
        <v>92</v>
      </c>
      <c r="H2239" s="7" t="s">
        <v>468</v>
      </c>
      <c r="I2239" s="7" t="s">
        <v>863</v>
      </c>
      <c r="J2239" s="7" t="s">
        <v>43</v>
      </c>
      <c r="K2239" s="7" t="s">
        <v>36</v>
      </c>
      <c r="L2239" s="8">
        <v>32</v>
      </c>
      <c r="M2239" s="7" t="s">
        <v>23</v>
      </c>
      <c r="N2239" s="8">
        <v>165</v>
      </c>
      <c r="O2239" s="8">
        <v>1</v>
      </c>
      <c r="P2239" s="5">
        <v>14494.18</v>
      </c>
      <c r="Q2239" s="4">
        <v>45600</v>
      </c>
      <c r="R2239" s="9">
        <v>0.34159722222222222</v>
      </c>
      <c r="S2239" s="8">
        <v>16</v>
      </c>
      <c r="T2239" s="7" t="s">
        <v>4456</v>
      </c>
      <c r="U2239" s="7" t="s">
        <v>4455</v>
      </c>
      <c r="V22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40" spans="1:22" x14ac:dyDescent="0.35">
      <c r="A2240" s="7" t="s">
        <v>4152</v>
      </c>
      <c r="B2240" s="7" t="s">
        <v>1422</v>
      </c>
      <c r="C2240" s="5">
        <v>433.53</v>
      </c>
      <c r="D2240" s="2">
        <v>0.71315972222510027</v>
      </c>
      <c r="E2240" s="4">
        <v>45218</v>
      </c>
      <c r="F2240" s="7" t="s">
        <v>17</v>
      </c>
      <c r="G2240" s="7" t="s">
        <v>243</v>
      </c>
      <c r="H2240" s="7" t="s">
        <v>1453</v>
      </c>
      <c r="I2240" s="7" t="s">
        <v>1819</v>
      </c>
      <c r="J2240" s="7" t="s">
        <v>634</v>
      </c>
      <c r="K2240" s="7" t="s">
        <v>69</v>
      </c>
      <c r="L2240" s="8">
        <v>38</v>
      </c>
      <c r="M2240" s="7" t="s">
        <v>23</v>
      </c>
      <c r="N2240" s="8">
        <v>231</v>
      </c>
      <c r="O2240" s="8">
        <v>1</v>
      </c>
      <c r="P2240" s="5">
        <v>6368.32</v>
      </c>
      <c r="Q2240" s="4">
        <v>45600</v>
      </c>
      <c r="R2240" s="9">
        <v>0.33967592592592594</v>
      </c>
      <c r="S2240" s="8">
        <v>17</v>
      </c>
      <c r="T2240" s="7" t="s">
        <v>4457</v>
      </c>
      <c r="U2240" s="7" t="s">
        <v>4455</v>
      </c>
      <c r="V22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41" spans="1:22" x14ac:dyDescent="0.35">
      <c r="A2241" s="7" t="s">
        <v>4153</v>
      </c>
      <c r="B2241" s="7" t="s">
        <v>771</v>
      </c>
      <c r="C2241" s="5">
        <v>178.26</v>
      </c>
      <c r="D2241" s="2">
        <v>0.70554398147942265</v>
      </c>
      <c r="E2241" s="4">
        <v>45215</v>
      </c>
      <c r="F2241" s="7" t="s">
        <v>17</v>
      </c>
      <c r="G2241" s="7" t="s">
        <v>53</v>
      </c>
      <c r="H2241" s="7" t="s">
        <v>3454</v>
      </c>
      <c r="I2241" s="7" t="s">
        <v>4154</v>
      </c>
      <c r="J2241" s="7" t="s">
        <v>362</v>
      </c>
      <c r="K2241" s="7" t="s">
        <v>22</v>
      </c>
      <c r="L2241" s="8">
        <v>59</v>
      </c>
      <c r="M2241" s="7" t="s">
        <v>70</v>
      </c>
      <c r="N2241" s="8">
        <v>59</v>
      </c>
      <c r="O2241" s="8">
        <v>1</v>
      </c>
      <c r="P2241" s="5">
        <v>1137.1300000000001</v>
      </c>
      <c r="Q2241" s="4">
        <v>45600</v>
      </c>
      <c r="R2241" s="9">
        <v>0.33947916666666667</v>
      </c>
      <c r="S2241" s="8">
        <v>16</v>
      </c>
      <c r="T2241" s="7" t="s">
        <v>4454</v>
      </c>
      <c r="U2241" s="7" t="s">
        <v>4455</v>
      </c>
      <c r="V22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42" spans="1:22" x14ac:dyDescent="0.35">
      <c r="A2242" s="7" t="s">
        <v>4155</v>
      </c>
      <c r="B2242" s="7" t="s">
        <v>3154</v>
      </c>
      <c r="C2242" s="5">
        <v>207.65</v>
      </c>
      <c r="D2242" s="2">
        <v>0.703020833330811</v>
      </c>
      <c r="E2242" s="4">
        <v>45180</v>
      </c>
      <c r="F2242" s="7" t="s">
        <v>17</v>
      </c>
      <c r="G2242" s="7" t="s">
        <v>212</v>
      </c>
      <c r="H2242" s="7" t="s">
        <v>1207</v>
      </c>
      <c r="I2242" s="7" t="s">
        <v>185</v>
      </c>
      <c r="J2242" s="7" t="s">
        <v>386</v>
      </c>
      <c r="K2242" s="7" t="s">
        <v>36</v>
      </c>
      <c r="L2242" s="8">
        <v>34</v>
      </c>
      <c r="M2242" s="7" t="s">
        <v>77</v>
      </c>
      <c r="N2242" s="8">
        <v>98</v>
      </c>
      <c r="O2242" s="8">
        <v>1</v>
      </c>
      <c r="P2242" s="5">
        <v>5143.8</v>
      </c>
      <c r="Q2242" s="4">
        <v>45600</v>
      </c>
      <c r="R2242" s="9">
        <v>0.33991898148148147</v>
      </c>
      <c r="S2242" s="8">
        <v>16</v>
      </c>
      <c r="T2242" s="7" t="s">
        <v>4456</v>
      </c>
      <c r="U2242" s="7" t="s">
        <v>4455</v>
      </c>
      <c r="V22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43" spans="1:22" x14ac:dyDescent="0.35">
      <c r="A2243" s="7" t="s">
        <v>4156</v>
      </c>
      <c r="B2243" s="7" t="s">
        <v>1452</v>
      </c>
      <c r="C2243" s="5">
        <v>237</v>
      </c>
      <c r="D2243" s="2">
        <v>0.70150462962919846</v>
      </c>
      <c r="E2243" s="4">
        <v>44967</v>
      </c>
      <c r="F2243" s="7" t="s">
        <v>17</v>
      </c>
      <c r="G2243" s="7" t="s">
        <v>255</v>
      </c>
      <c r="H2243" s="7" t="s">
        <v>1406</v>
      </c>
      <c r="I2243" s="7" t="s">
        <v>4157</v>
      </c>
      <c r="J2243" s="7" t="s">
        <v>592</v>
      </c>
      <c r="K2243" s="7" t="s">
        <v>36</v>
      </c>
      <c r="L2243" s="8">
        <v>49</v>
      </c>
      <c r="M2243" s="7" t="s">
        <v>23</v>
      </c>
      <c r="N2243" s="8">
        <v>115</v>
      </c>
      <c r="O2243" s="8">
        <v>1</v>
      </c>
      <c r="P2243" s="5">
        <v>14021.4</v>
      </c>
      <c r="Q2243" s="4">
        <v>45600</v>
      </c>
      <c r="R2243" s="9">
        <v>0.33903935185185186</v>
      </c>
      <c r="S2243" s="8">
        <v>16</v>
      </c>
      <c r="T2243" s="7" t="s">
        <v>4457</v>
      </c>
      <c r="U2243" s="7" t="s">
        <v>4455</v>
      </c>
      <c r="V22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44" spans="1:22" x14ac:dyDescent="0.35">
      <c r="A2244" s="7" t="s">
        <v>4158</v>
      </c>
      <c r="B2244" s="7" t="s">
        <v>3905</v>
      </c>
      <c r="C2244" s="5">
        <v>1169.5899999999999</v>
      </c>
      <c r="D2244" s="2">
        <v>0.71690972222131677</v>
      </c>
      <c r="E2244" s="4">
        <v>45285</v>
      </c>
      <c r="F2244" s="7" t="s">
        <v>17</v>
      </c>
      <c r="G2244" s="7" t="s">
        <v>203</v>
      </c>
      <c r="H2244" s="7" t="s">
        <v>1115</v>
      </c>
      <c r="I2244" s="7" t="s">
        <v>1641</v>
      </c>
      <c r="J2244" s="7" t="s">
        <v>652</v>
      </c>
      <c r="K2244" s="7" t="s">
        <v>36</v>
      </c>
      <c r="L2244" s="8">
        <v>28</v>
      </c>
      <c r="M2244" s="7" t="s">
        <v>37</v>
      </c>
      <c r="N2244" s="8">
        <v>114</v>
      </c>
      <c r="O2244" s="8">
        <v>1</v>
      </c>
      <c r="P2244" s="5">
        <v>5946.45</v>
      </c>
      <c r="Q2244" s="4">
        <v>45600</v>
      </c>
      <c r="R2244" s="9">
        <v>0.34135416666666668</v>
      </c>
      <c r="S2244" s="8">
        <v>17</v>
      </c>
      <c r="T2244" s="7" t="s">
        <v>4456</v>
      </c>
      <c r="U2244" s="7" t="s">
        <v>4455</v>
      </c>
      <c r="V22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45" spans="1:22" x14ac:dyDescent="0.35">
      <c r="A2245" s="7" t="s">
        <v>4159</v>
      </c>
      <c r="B2245" s="7" t="s">
        <v>1004</v>
      </c>
      <c r="C2245" s="5">
        <v>347.63</v>
      </c>
      <c r="D2245" s="2">
        <v>0.69528935185371665</v>
      </c>
      <c r="E2245" s="4">
        <v>45273</v>
      </c>
      <c r="F2245" s="7" t="s">
        <v>46</v>
      </c>
      <c r="G2245" s="7" t="s">
        <v>265</v>
      </c>
      <c r="H2245" s="7" t="s">
        <v>413</v>
      </c>
      <c r="I2245" s="7" t="s">
        <v>1819</v>
      </c>
      <c r="J2245" s="7" t="s">
        <v>105</v>
      </c>
      <c r="K2245" s="7" t="s">
        <v>36</v>
      </c>
      <c r="L2245" s="8">
        <v>25</v>
      </c>
      <c r="M2245" s="7" t="s">
        <v>37</v>
      </c>
      <c r="N2245" s="8">
        <v>272</v>
      </c>
      <c r="O2245" s="8">
        <v>1</v>
      </c>
      <c r="P2245" s="5">
        <v>1400.04</v>
      </c>
      <c r="Q2245" s="4">
        <v>45600</v>
      </c>
      <c r="R2245" s="9">
        <v>0.33934027777777775</v>
      </c>
      <c r="S2245" s="8">
        <v>16</v>
      </c>
      <c r="T2245" s="7" t="s">
        <v>4456</v>
      </c>
      <c r="U2245" s="7" t="s">
        <v>4455</v>
      </c>
      <c r="V22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46" spans="1:22" x14ac:dyDescent="0.35">
      <c r="A2246" s="7" t="s">
        <v>4160</v>
      </c>
      <c r="B2246" s="7" t="s">
        <v>625</v>
      </c>
      <c r="C2246" s="5">
        <v>517.67999999999995</v>
      </c>
      <c r="D2246" s="2">
        <v>0.74472222222539131</v>
      </c>
      <c r="E2246" s="4">
        <v>45021</v>
      </c>
      <c r="F2246" s="7" t="s">
        <v>17</v>
      </c>
      <c r="G2246" s="7" t="s">
        <v>296</v>
      </c>
      <c r="H2246" s="7" t="s">
        <v>726</v>
      </c>
      <c r="I2246" s="7" t="s">
        <v>217</v>
      </c>
      <c r="J2246" s="7" t="s">
        <v>386</v>
      </c>
      <c r="K2246" s="7" t="s">
        <v>22</v>
      </c>
      <c r="L2246" s="8">
        <v>31</v>
      </c>
      <c r="M2246" s="7" t="s">
        <v>23</v>
      </c>
      <c r="N2246" s="8">
        <v>24</v>
      </c>
      <c r="O2246" s="8">
        <v>1</v>
      </c>
      <c r="P2246" s="5">
        <v>11305.81</v>
      </c>
      <c r="Q2246" s="4">
        <v>45600</v>
      </c>
      <c r="R2246" s="9">
        <v>0.33895833333333331</v>
      </c>
      <c r="S2246" s="8">
        <v>17</v>
      </c>
      <c r="T2246" s="7" t="s">
        <v>4456</v>
      </c>
      <c r="U2246" s="7" t="s">
        <v>4455</v>
      </c>
      <c r="V22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47" spans="1:22" x14ac:dyDescent="0.35">
      <c r="A2247" s="7" t="s">
        <v>4161</v>
      </c>
      <c r="B2247" s="7" t="s">
        <v>1391</v>
      </c>
      <c r="C2247" s="5">
        <v>36.25</v>
      </c>
      <c r="D2247" s="2">
        <v>0.77010416666598758</v>
      </c>
      <c r="E2247" s="4">
        <v>45257</v>
      </c>
      <c r="F2247" s="7" t="s">
        <v>17</v>
      </c>
      <c r="G2247" s="7" t="s">
        <v>255</v>
      </c>
      <c r="H2247" s="7" t="s">
        <v>280</v>
      </c>
      <c r="I2247" s="7" t="s">
        <v>937</v>
      </c>
      <c r="J2247" s="7" t="s">
        <v>128</v>
      </c>
      <c r="K2247" s="7" t="s">
        <v>69</v>
      </c>
      <c r="L2247" s="8">
        <v>52</v>
      </c>
      <c r="M2247" s="7" t="s">
        <v>23</v>
      </c>
      <c r="N2247" s="8">
        <v>76</v>
      </c>
      <c r="O2247" s="8">
        <v>1</v>
      </c>
      <c r="P2247" s="5">
        <v>193.06</v>
      </c>
      <c r="Q2247" s="4">
        <v>45600</v>
      </c>
      <c r="R2247" s="9">
        <v>0.34038194444444442</v>
      </c>
      <c r="S2247" s="8">
        <v>18</v>
      </c>
      <c r="T2247" s="7" t="s">
        <v>4457</v>
      </c>
      <c r="U2247" s="7" t="s">
        <v>4455</v>
      </c>
      <c r="V22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48" spans="1:22" x14ac:dyDescent="0.35">
      <c r="A2248" s="7" t="s">
        <v>4162</v>
      </c>
      <c r="B2248" s="7" t="s">
        <v>1125</v>
      </c>
      <c r="C2248" s="5">
        <v>46.53</v>
      </c>
      <c r="D2248" s="2">
        <v>0.72766203703940846</v>
      </c>
      <c r="E2248" s="4">
        <v>45099</v>
      </c>
      <c r="F2248" s="7" t="s">
        <v>17</v>
      </c>
      <c r="G2248" s="7" t="s">
        <v>212</v>
      </c>
      <c r="H2248" s="7" t="s">
        <v>1441</v>
      </c>
      <c r="I2248" s="7" t="s">
        <v>205</v>
      </c>
      <c r="J2248" s="7" t="s">
        <v>984</v>
      </c>
      <c r="K2248" s="7" t="s">
        <v>22</v>
      </c>
      <c r="L2248" s="8">
        <v>42</v>
      </c>
      <c r="M2248" s="7" t="s">
        <v>77</v>
      </c>
      <c r="N2248" s="8">
        <v>34</v>
      </c>
      <c r="O2248" s="8">
        <v>1</v>
      </c>
      <c r="P2248" s="5">
        <v>4468.12</v>
      </c>
      <c r="Q2248" s="4">
        <v>45600</v>
      </c>
      <c r="R2248" s="9">
        <v>0.3384490740740741</v>
      </c>
      <c r="S2248" s="8">
        <v>17</v>
      </c>
      <c r="T2248" s="7" t="s">
        <v>4457</v>
      </c>
      <c r="U2248" s="7" t="s">
        <v>4455</v>
      </c>
      <c r="V22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49" spans="1:22" x14ac:dyDescent="0.35">
      <c r="A2249" s="7" t="s">
        <v>4163</v>
      </c>
      <c r="B2249" s="7" t="s">
        <v>3702</v>
      </c>
      <c r="C2249" s="5">
        <v>207.47</v>
      </c>
      <c r="D2249" s="2">
        <v>0.78980324073927477</v>
      </c>
      <c r="E2249" s="4">
        <v>45201</v>
      </c>
      <c r="F2249" s="7" t="s">
        <v>17</v>
      </c>
      <c r="G2249" s="7" t="s">
        <v>172</v>
      </c>
      <c r="H2249" s="7" t="s">
        <v>1937</v>
      </c>
      <c r="I2249" s="7" t="s">
        <v>623</v>
      </c>
      <c r="J2249" s="7" t="s">
        <v>414</v>
      </c>
      <c r="K2249" s="7" t="s">
        <v>22</v>
      </c>
      <c r="L2249" s="8">
        <v>53</v>
      </c>
      <c r="M2249" s="7" t="s">
        <v>23</v>
      </c>
      <c r="N2249" s="8">
        <v>12</v>
      </c>
      <c r="O2249" s="8">
        <v>1</v>
      </c>
      <c r="P2249" s="5">
        <v>1688.9</v>
      </c>
      <c r="Q2249" s="4">
        <v>45600</v>
      </c>
      <c r="R2249" s="9">
        <v>0.3382060185185185</v>
      </c>
      <c r="S2249" s="8">
        <v>18</v>
      </c>
      <c r="T2249" s="7" t="s">
        <v>4457</v>
      </c>
      <c r="U2249" s="7" t="s">
        <v>4455</v>
      </c>
      <c r="V22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50" spans="1:22" x14ac:dyDescent="0.35">
      <c r="A2250" s="7" t="s">
        <v>4164</v>
      </c>
      <c r="B2250" s="7" t="s">
        <v>1870</v>
      </c>
      <c r="C2250" s="5">
        <v>199.7</v>
      </c>
      <c r="D2250" s="2">
        <v>0.77913194444408873</v>
      </c>
      <c r="E2250" s="4">
        <v>45019</v>
      </c>
      <c r="F2250" s="7" t="s">
        <v>17</v>
      </c>
      <c r="G2250" s="7" t="s">
        <v>65</v>
      </c>
      <c r="H2250" s="7" t="s">
        <v>2944</v>
      </c>
      <c r="I2250" s="7" t="s">
        <v>3111</v>
      </c>
      <c r="J2250" s="7" t="s">
        <v>820</v>
      </c>
      <c r="K2250" s="7" t="s">
        <v>22</v>
      </c>
      <c r="L2250" s="8">
        <v>43</v>
      </c>
      <c r="M2250" s="7" t="s">
        <v>77</v>
      </c>
      <c r="N2250" s="8">
        <v>285</v>
      </c>
      <c r="O2250" s="8">
        <v>1</v>
      </c>
      <c r="P2250" s="5">
        <v>7574.45</v>
      </c>
      <c r="Q2250" s="4">
        <v>45600</v>
      </c>
      <c r="R2250" s="9">
        <v>0.33956018518518516</v>
      </c>
      <c r="S2250" s="8">
        <v>18</v>
      </c>
      <c r="T2250" s="7" t="s">
        <v>4457</v>
      </c>
      <c r="U2250" s="7" t="s">
        <v>4455</v>
      </c>
      <c r="V22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51" spans="1:22" x14ac:dyDescent="0.35">
      <c r="A2251" s="7" t="s">
        <v>4165</v>
      </c>
      <c r="B2251" s="7" t="s">
        <v>1169</v>
      </c>
      <c r="C2251" s="5">
        <v>307.89</v>
      </c>
      <c r="D2251" s="2">
        <v>0.69077546296466608</v>
      </c>
      <c r="E2251" s="4">
        <v>45117</v>
      </c>
      <c r="F2251" s="7" t="s">
        <v>46</v>
      </c>
      <c r="G2251" s="7" t="s">
        <v>80</v>
      </c>
      <c r="H2251" s="7" t="s">
        <v>3692</v>
      </c>
      <c r="I2251" s="7" t="s">
        <v>2614</v>
      </c>
      <c r="J2251" s="7" t="s">
        <v>418</v>
      </c>
      <c r="K2251" s="7" t="s">
        <v>36</v>
      </c>
      <c r="L2251" s="8">
        <v>62</v>
      </c>
      <c r="M2251" s="7" t="s">
        <v>70</v>
      </c>
      <c r="N2251" s="8">
        <v>90</v>
      </c>
      <c r="O2251" s="8">
        <v>1</v>
      </c>
      <c r="P2251" s="5">
        <v>2637.55</v>
      </c>
      <c r="Q2251" s="4">
        <v>45600</v>
      </c>
      <c r="R2251" s="9">
        <v>0.34136574074074072</v>
      </c>
      <c r="S2251" s="8">
        <v>16</v>
      </c>
      <c r="T2251" s="7" t="s">
        <v>4454</v>
      </c>
      <c r="U2251" s="7" t="s">
        <v>4455</v>
      </c>
      <c r="V22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52" spans="1:22" x14ac:dyDescent="0.35">
      <c r="A2252" s="7" t="s">
        <v>4166</v>
      </c>
      <c r="B2252" s="7" t="s">
        <v>350</v>
      </c>
      <c r="C2252" s="5">
        <v>403.63</v>
      </c>
      <c r="D2252" s="2">
        <v>0.705740740741021</v>
      </c>
      <c r="E2252" s="4">
        <v>45085</v>
      </c>
      <c r="F2252" s="7" t="s">
        <v>17</v>
      </c>
      <c r="G2252" s="7" t="s">
        <v>146</v>
      </c>
      <c r="H2252" s="7" t="s">
        <v>1453</v>
      </c>
      <c r="I2252" s="7" t="s">
        <v>2383</v>
      </c>
      <c r="J2252" s="7" t="s">
        <v>564</v>
      </c>
      <c r="K2252" s="7" t="s">
        <v>69</v>
      </c>
      <c r="L2252" s="8">
        <v>31</v>
      </c>
      <c r="M2252" s="7" t="s">
        <v>77</v>
      </c>
      <c r="N2252" s="8">
        <v>167</v>
      </c>
      <c r="O2252" s="8">
        <v>3</v>
      </c>
      <c r="P2252" s="5">
        <v>3304.02</v>
      </c>
      <c r="Q2252" s="4">
        <v>45600</v>
      </c>
      <c r="R2252" s="9">
        <v>0.33886574074074072</v>
      </c>
      <c r="S2252" s="8">
        <v>16</v>
      </c>
      <c r="T2252" s="7" t="s">
        <v>4456</v>
      </c>
      <c r="U2252" s="7" t="s">
        <v>4458</v>
      </c>
      <c r="V22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53" spans="1:22" x14ac:dyDescent="0.35">
      <c r="A2253" s="7" t="s">
        <v>4167</v>
      </c>
      <c r="B2253" s="7" t="s">
        <v>124</v>
      </c>
      <c r="C2253" s="5">
        <v>20.059999999999999</v>
      </c>
      <c r="D2253" s="2">
        <v>0.695451388892252</v>
      </c>
      <c r="E2253" s="4">
        <v>45035</v>
      </c>
      <c r="F2253" s="7" t="s">
        <v>17</v>
      </c>
      <c r="G2253" s="7" t="s">
        <v>92</v>
      </c>
      <c r="H2253" s="7" t="s">
        <v>2032</v>
      </c>
      <c r="I2253" s="7" t="s">
        <v>3494</v>
      </c>
      <c r="J2253" s="7" t="s">
        <v>111</v>
      </c>
      <c r="K2253" s="7" t="s">
        <v>22</v>
      </c>
      <c r="L2253" s="8">
        <v>27</v>
      </c>
      <c r="M2253" s="7" t="s">
        <v>37</v>
      </c>
      <c r="N2253" s="8">
        <v>144</v>
      </c>
      <c r="O2253" s="8">
        <v>1</v>
      </c>
      <c r="P2253" s="5">
        <v>445.21</v>
      </c>
      <c r="Q2253" s="4">
        <v>45600</v>
      </c>
      <c r="R2253" s="9">
        <v>0.34028935185185183</v>
      </c>
      <c r="S2253" s="8">
        <v>16</v>
      </c>
      <c r="T2253" s="7" t="s">
        <v>4456</v>
      </c>
      <c r="U2253" s="7" t="s">
        <v>4455</v>
      </c>
      <c r="V22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54" spans="1:22" x14ac:dyDescent="0.35">
      <c r="A2254" s="7" t="s">
        <v>4168</v>
      </c>
      <c r="B2254" s="7" t="s">
        <v>228</v>
      </c>
      <c r="C2254" s="5">
        <v>236.57</v>
      </c>
      <c r="D2254" s="2">
        <v>0.74414351851737592</v>
      </c>
      <c r="E2254" s="4">
        <v>45170</v>
      </c>
      <c r="F2254" s="7" t="s">
        <v>17</v>
      </c>
      <c r="G2254" s="7" t="s">
        <v>285</v>
      </c>
      <c r="H2254" s="7" t="s">
        <v>3938</v>
      </c>
      <c r="I2254" s="7" t="s">
        <v>257</v>
      </c>
      <c r="J2254" s="7" t="s">
        <v>282</v>
      </c>
      <c r="K2254" s="7" t="s">
        <v>22</v>
      </c>
      <c r="L2254" s="8">
        <v>79</v>
      </c>
      <c r="M2254" s="7" t="s">
        <v>70</v>
      </c>
      <c r="N2254" s="8">
        <v>112</v>
      </c>
      <c r="O2254" s="8">
        <v>1</v>
      </c>
      <c r="P2254" s="5">
        <v>3488.77</v>
      </c>
      <c r="Q2254" s="4">
        <v>45600</v>
      </c>
      <c r="R2254" s="9">
        <v>0.33785879629629628</v>
      </c>
      <c r="S2254" s="8">
        <v>17</v>
      </c>
      <c r="T2254" s="7" t="s">
        <v>4454</v>
      </c>
      <c r="U2254" s="7" t="s">
        <v>4455</v>
      </c>
      <c r="V22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55" spans="1:22" x14ac:dyDescent="0.35">
      <c r="A2255" s="7" t="s">
        <v>4169</v>
      </c>
      <c r="B2255" s="7" t="s">
        <v>429</v>
      </c>
      <c r="C2255" s="5">
        <v>0.32</v>
      </c>
      <c r="D2255" s="2">
        <v>0.73930555555853061</v>
      </c>
      <c r="E2255" s="4">
        <v>45142</v>
      </c>
      <c r="F2255" s="7" t="s">
        <v>17</v>
      </c>
      <c r="G2255" s="7" t="s">
        <v>388</v>
      </c>
      <c r="H2255" s="7" t="s">
        <v>865</v>
      </c>
      <c r="I2255" s="7" t="s">
        <v>257</v>
      </c>
      <c r="J2255" s="7" t="s">
        <v>450</v>
      </c>
      <c r="K2255" s="7" t="s">
        <v>22</v>
      </c>
      <c r="L2255" s="8">
        <v>39</v>
      </c>
      <c r="M2255" s="7" t="s">
        <v>77</v>
      </c>
      <c r="N2255" s="8">
        <v>136</v>
      </c>
      <c r="O2255" s="8">
        <v>1</v>
      </c>
      <c r="P2255" s="5">
        <v>7158.58</v>
      </c>
      <c r="Q2255" s="4">
        <v>45600</v>
      </c>
      <c r="R2255" s="9">
        <v>0.34024305555555556</v>
      </c>
      <c r="S2255" s="8">
        <v>17</v>
      </c>
      <c r="T2255" s="7" t="s">
        <v>4457</v>
      </c>
      <c r="U2255" s="7" t="s">
        <v>4455</v>
      </c>
      <c r="V22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56" spans="1:22" x14ac:dyDescent="0.35">
      <c r="A2256" s="7" t="s">
        <v>4170</v>
      </c>
      <c r="B2256" s="7" t="s">
        <v>107</v>
      </c>
      <c r="C2256" s="5">
        <v>14.28</v>
      </c>
      <c r="D2256" s="2">
        <v>0.71092592592322035</v>
      </c>
      <c r="E2256" s="4">
        <v>45184</v>
      </c>
      <c r="F2256" s="7" t="s">
        <v>17</v>
      </c>
      <c r="G2256" s="7" t="s">
        <v>425</v>
      </c>
      <c r="H2256" s="7" t="s">
        <v>2413</v>
      </c>
      <c r="I2256" s="7" t="s">
        <v>1414</v>
      </c>
      <c r="J2256" s="7" t="s">
        <v>128</v>
      </c>
      <c r="K2256" s="7" t="s">
        <v>22</v>
      </c>
      <c r="L2256" s="8">
        <v>23</v>
      </c>
      <c r="M2256" s="7" t="s">
        <v>37</v>
      </c>
      <c r="N2256" s="8">
        <v>81</v>
      </c>
      <c r="O2256" s="8">
        <v>1</v>
      </c>
      <c r="P2256" s="5">
        <v>1597.51</v>
      </c>
      <c r="Q2256" s="4">
        <v>45600</v>
      </c>
      <c r="R2256" s="9">
        <v>0.33846064814814814</v>
      </c>
      <c r="S2256" s="8">
        <v>17</v>
      </c>
      <c r="T2256" s="7" t="s">
        <v>4456</v>
      </c>
      <c r="U2256" s="7" t="s">
        <v>4455</v>
      </c>
      <c r="V22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57" spans="1:22" x14ac:dyDescent="0.35">
      <c r="A2257" s="7" t="s">
        <v>4171</v>
      </c>
      <c r="B2257" s="7" t="s">
        <v>636</v>
      </c>
      <c r="C2257" s="5">
        <v>232.35</v>
      </c>
      <c r="D2257" s="2">
        <v>0.67664351851999527</v>
      </c>
      <c r="E2257" s="4">
        <v>45058</v>
      </c>
      <c r="F2257" s="7" t="s">
        <v>46</v>
      </c>
      <c r="G2257" s="7" t="s">
        <v>47</v>
      </c>
      <c r="H2257" s="7" t="s">
        <v>2272</v>
      </c>
      <c r="I2257" s="7" t="s">
        <v>747</v>
      </c>
      <c r="J2257" s="7" t="s">
        <v>122</v>
      </c>
      <c r="K2257" s="7" t="s">
        <v>69</v>
      </c>
      <c r="L2257" s="8">
        <v>33</v>
      </c>
      <c r="M2257" s="7" t="s">
        <v>77</v>
      </c>
      <c r="N2257" s="8">
        <v>153</v>
      </c>
      <c r="O2257" s="8">
        <v>1</v>
      </c>
      <c r="P2257" s="5">
        <v>4186.25</v>
      </c>
      <c r="Q2257" s="4">
        <v>45600</v>
      </c>
      <c r="R2257" s="9">
        <v>0.33914351851851854</v>
      </c>
      <c r="S2257" s="8">
        <v>16</v>
      </c>
      <c r="T2257" s="7" t="s">
        <v>4456</v>
      </c>
      <c r="U2257" s="7" t="s">
        <v>4455</v>
      </c>
      <c r="V22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58" spans="1:22" x14ac:dyDescent="0.35">
      <c r="A2258" s="7" t="s">
        <v>4172</v>
      </c>
      <c r="B2258" s="7" t="s">
        <v>946</v>
      </c>
      <c r="C2258" s="5">
        <v>317.52999999999997</v>
      </c>
      <c r="D2258" s="2">
        <v>0.76775462963269092</v>
      </c>
      <c r="E2258" s="4">
        <v>44981</v>
      </c>
      <c r="F2258" s="7" t="s">
        <v>17</v>
      </c>
      <c r="G2258" s="7" t="s">
        <v>172</v>
      </c>
      <c r="H2258" s="7" t="s">
        <v>1749</v>
      </c>
      <c r="I2258" s="7" t="s">
        <v>2465</v>
      </c>
      <c r="J2258" s="7" t="s">
        <v>272</v>
      </c>
      <c r="K2258" s="7" t="s">
        <v>36</v>
      </c>
      <c r="L2258" s="8">
        <v>44</v>
      </c>
      <c r="M2258" s="7" t="s">
        <v>77</v>
      </c>
      <c r="N2258" s="8">
        <v>104</v>
      </c>
      <c r="O2258" s="8">
        <v>1</v>
      </c>
      <c r="P2258" s="5">
        <v>6237.68</v>
      </c>
      <c r="Q2258" s="4">
        <v>45600</v>
      </c>
      <c r="R2258" s="9">
        <v>0.33795138888888887</v>
      </c>
      <c r="S2258" s="8">
        <v>18</v>
      </c>
      <c r="T2258" s="7" t="s">
        <v>4457</v>
      </c>
      <c r="U2258" s="7" t="s">
        <v>4455</v>
      </c>
      <c r="V22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59" spans="1:22" x14ac:dyDescent="0.35">
      <c r="A2259" s="7" t="s">
        <v>4173</v>
      </c>
      <c r="B2259" s="7" t="s">
        <v>2000</v>
      </c>
      <c r="C2259" s="5">
        <v>74.67</v>
      </c>
      <c r="D2259" s="2">
        <v>0.73439814814628335</v>
      </c>
      <c r="E2259" s="4">
        <v>45061</v>
      </c>
      <c r="F2259" s="7" t="s">
        <v>17</v>
      </c>
      <c r="G2259" s="7" t="s">
        <v>65</v>
      </c>
      <c r="H2259" s="7" t="s">
        <v>1651</v>
      </c>
      <c r="I2259" s="7" t="s">
        <v>449</v>
      </c>
      <c r="J2259" s="7" t="s">
        <v>226</v>
      </c>
      <c r="K2259" s="7" t="s">
        <v>22</v>
      </c>
      <c r="L2259" s="8">
        <v>43</v>
      </c>
      <c r="M2259" s="7" t="s">
        <v>77</v>
      </c>
      <c r="N2259" s="8">
        <v>283</v>
      </c>
      <c r="O2259" s="8">
        <v>1</v>
      </c>
      <c r="P2259" s="5">
        <v>3449.35</v>
      </c>
      <c r="Q2259" s="4">
        <v>45600</v>
      </c>
      <c r="R2259" s="9">
        <v>0.34098379629629627</v>
      </c>
      <c r="S2259" s="8">
        <v>17</v>
      </c>
      <c r="T2259" s="7" t="s">
        <v>4457</v>
      </c>
      <c r="U2259" s="7" t="s">
        <v>4455</v>
      </c>
      <c r="V22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60" spans="1:22" x14ac:dyDescent="0.35">
      <c r="A2260" s="7" t="s">
        <v>4174</v>
      </c>
      <c r="B2260" s="7" t="s">
        <v>2251</v>
      </c>
      <c r="C2260" s="5">
        <v>65.010000000000005</v>
      </c>
      <c r="D2260" s="2">
        <v>0.72798611110920319</v>
      </c>
      <c r="E2260" s="4">
        <v>45223</v>
      </c>
      <c r="F2260" s="7" t="s">
        <v>46</v>
      </c>
      <c r="G2260" s="7" t="s">
        <v>119</v>
      </c>
      <c r="H2260" s="7" t="s">
        <v>1633</v>
      </c>
      <c r="I2260" s="7" t="s">
        <v>4092</v>
      </c>
      <c r="J2260" s="7" t="s">
        <v>432</v>
      </c>
      <c r="K2260" s="7" t="s">
        <v>36</v>
      </c>
      <c r="L2260" s="8">
        <v>29</v>
      </c>
      <c r="M2260" s="7" t="s">
        <v>23</v>
      </c>
      <c r="N2260" s="8">
        <v>67</v>
      </c>
      <c r="O2260" s="8">
        <v>1</v>
      </c>
      <c r="P2260" s="5">
        <v>10235.19</v>
      </c>
      <c r="Q2260" s="4">
        <v>45600</v>
      </c>
      <c r="R2260" s="9">
        <v>0.33988425925925925</v>
      </c>
      <c r="S2260" s="8">
        <v>17</v>
      </c>
      <c r="T2260" s="7" t="s">
        <v>4456</v>
      </c>
      <c r="U2260" s="7" t="s">
        <v>4455</v>
      </c>
      <c r="V22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61" spans="1:22" x14ac:dyDescent="0.35">
      <c r="A2261" s="7" t="s">
        <v>4175</v>
      </c>
      <c r="B2261" s="7" t="s">
        <v>2229</v>
      </c>
      <c r="C2261" s="5">
        <v>0.45</v>
      </c>
      <c r="D2261" s="2">
        <v>0.72875000000203727</v>
      </c>
      <c r="E2261" s="4">
        <v>45133</v>
      </c>
      <c r="F2261" s="7" t="s">
        <v>17</v>
      </c>
      <c r="G2261" s="7" t="s">
        <v>291</v>
      </c>
      <c r="H2261" s="7" t="s">
        <v>2387</v>
      </c>
      <c r="I2261" s="7" t="s">
        <v>2325</v>
      </c>
      <c r="J2261" s="7" t="s">
        <v>303</v>
      </c>
      <c r="K2261" s="7" t="s">
        <v>69</v>
      </c>
      <c r="L2261" s="8">
        <v>34</v>
      </c>
      <c r="M2261" s="7" t="s">
        <v>77</v>
      </c>
      <c r="N2261" s="8">
        <v>172</v>
      </c>
      <c r="O2261" s="8">
        <v>1</v>
      </c>
      <c r="P2261" s="5">
        <v>8670.23</v>
      </c>
      <c r="Q2261" s="4">
        <v>45600</v>
      </c>
      <c r="R2261" s="9">
        <v>0.34038194444444442</v>
      </c>
      <c r="S2261" s="8">
        <v>17</v>
      </c>
      <c r="T2261" s="7" t="s">
        <v>4456</v>
      </c>
      <c r="U2261" s="7" t="s">
        <v>4455</v>
      </c>
      <c r="V22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62" spans="1:22" x14ac:dyDescent="0.35">
      <c r="A2262" s="7" t="s">
        <v>4176</v>
      </c>
      <c r="B2262" s="7" t="s">
        <v>151</v>
      </c>
      <c r="C2262" s="5">
        <v>364.13</v>
      </c>
      <c r="D2262" s="2">
        <v>0.67083333332993789</v>
      </c>
      <c r="E2262" s="4">
        <v>44960</v>
      </c>
      <c r="F2262" s="7" t="s">
        <v>17</v>
      </c>
      <c r="G2262" s="7" t="s">
        <v>157</v>
      </c>
      <c r="H2262" s="7" t="s">
        <v>3126</v>
      </c>
      <c r="I2262" s="7" t="s">
        <v>28</v>
      </c>
      <c r="J2262" s="7" t="s">
        <v>272</v>
      </c>
      <c r="K2262" s="7" t="s">
        <v>22</v>
      </c>
      <c r="L2262" s="8">
        <v>63</v>
      </c>
      <c r="M2262" s="7" t="s">
        <v>23</v>
      </c>
      <c r="N2262" s="8">
        <v>61</v>
      </c>
      <c r="O2262" s="8">
        <v>1</v>
      </c>
      <c r="P2262" s="5">
        <v>8198</v>
      </c>
      <c r="Q2262" s="4">
        <v>45600</v>
      </c>
      <c r="R2262" s="9">
        <v>0.34054398148148146</v>
      </c>
      <c r="S2262" s="8">
        <v>16</v>
      </c>
      <c r="T2262" s="7" t="s">
        <v>4454</v>
      </c>
      <c r="U2262" s="7" t="s">
        <v>4455</v>
      </c>
      <c r="V22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63" spans="1:22" x14ac:dyDescent="0.35">
      <c r="A2263" s="7" t="s">
        <v>4177</v>
      </c>
      <c r="B2263" s="7" t="s">
        <v>1802</v>
      </c>
      <c r="C2263" s="5">
        <v>340.13</v>
      </c>
      <c r="D2263" s="2">
        <v>0.72490740740613546</v>
      </c>
      <c r="E2263" s="4">
        <v>44963</v>
      </c>
      <c r="F2263" s="7" t="s">
        <v>17</v>
      </c>
      <c r="G2263" s="7" t="s">
        <v>32</v>
      </c>
      <c r="H2263" s="7" t="s">
        <v>928</v>
      </c>
      <c r="I2263" s="7" t="s">
        <v>2030</v>
      </c>
      <c r="J2263" s="7" t="s">
        <v>175</v>
      </c>
      <c r="K2263" s="7" t="s">
        <v>69</v>
      </c>
      <c r="L2263" s="8">
        <v>24</v>
      </c>
      <c r="M2263" s="7" t="s">
        <v>37</v>
      </c>
      <c r="N2263" s="8">
        <v>32</v>
      </c>
      <c r="O2263" s="8">
        <v>3</v>
      </c>
      <c r="P2263" s="5">
        <v>1149.74</v>
      </c>
      <c r="Q2263" s="4">
        <v>45600</v>
      </c>
      <c r="R2263" s="9">
        <v>0.34152777777777776</v>
      </c>
      <c r="S2263" s="8">
        <v>17</v>
      </c>
      <c r="T2263" s="7" t="s">
        <v>4456</v>
      </c>
      <c r="U2263" s="7" t="s">
        <v>4458</v>
      </c>
      <c r="V22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64" spans="1:22" x14ac:dyDescent="0.35">
      <c r="A2264" s="7" t="s">
        <v>4178</v>
      </c>
      <c r="B2264" s="7" t="s">
        <v>687</v>
      </c>
      <c r="C2264" s="5">
        <v>15.81</v>
      </c>
      <c r="D2264" s="2">
        <v>0.77563657407154096</v>
      </c>
      <c r="E2264" s="4">
        <v>44987</v>
      </c>
      <c r="F2264" s="7" t="s">
        <v>17</v>
      </c>
      <c r="G2264" s="7" t="s">
        <v>53</v>
      </c>
      <c r="H2264" s="7" t="s">
        <v>750</v>
      </c>
      <c r="I2264" s="7" t="s">
        <v>1763</v>
      </c>
      <c r="J2264" s="7" t="s">
        <v>762</v>
      </c>
      <c r="K2264" s="7" t="s">
        <v>69</v>
      </c>
      <c r="L2264" s="8">
        <v>69</v>
      </c>
      <c r="M2264" s="7" t="s">
        <v>23</v>
      </c>
      <c r="N2264" s="8">
        <v>11</v>
      </c>
      <c r="O2264" s="8">
        <v>4</v>
      </c>
      <c r="P2264" s="5">
        <v>8384.85</v>
      </c>
      <c r="Q2264" s="4">
        <v>45600</v>
      </c>
      <c r="R2264" s="9">
        <v>0.34173611111111113</v>
      </c>
      <c r="S2264" s="8">
        <v>18</v>
      </c>
      <c r="T2264" s="7" t="s">
        <v>4454</v>
      </c>
      <c r="U2264" s="7" t="s">
        <v>4458</v>
      </c>
      <c r="V22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65" spans="1:22" x14ac:dyDescent="0.35">
      <c r="A2265" s="7" t="s">
        <v>4179</v>
      </c>
      <c r="B2265" s="7" t="s">
        <v>1183</v>
      </c>
      <c r="C2265" s="5">
        <v>222.66</v>
      </c>
      <c r="D2265" s="2">
        <v>0.67035879629838746</v>
      </c>
      <c r="E2265" s="4">
        <v>45105</v>
      </c>
      <c r="F2265" s="7" t="s">
        <v>17</v>
      </c>
      <c r="G2265" s="7" t="s">
        <v>73</v>
      </c>
      <c r="H2265" s="7" t="s">
        <v>1395</v>
      </c>
      <c r="I2265" s="7" t="s">
        <v>194</v>
      </c>
      <c r="J2265" s="7" t="s">
        <v>858</v>
      </c>
      <c r="K2265" s="7" t="s">
        <v>36</v>
      </c>
      <c r="L2265" s="8">
        <v>39</v>
      </c>
      <c r="M2265" s="7" t="s">
        <v>23</v>
      </c>
      <c r="N2265" s="8">
        <v>88</v>
      </c>
      <c r="O2265" s="8">
        <v>1</v>
      </c>
      <c r="P2265" s="5">
        <v>14466.38</v>
      </c>
      <c r="Q2265" s="4">
        <v>45600</v>
      </c>
      <c r="R2265" s="9">
        <v>0.34085648148148145</v>
      </c>
      <c r="S2265" s="8">
        <v>16</v>
      </c>
      <c r="T2265" s="7" t="s">
        <v>4457</v>
      </c>
      <c r="U2265" s="7" t="s">
        <v>4455</v>
      </c>
      <c r="V22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66" spans="1:22" x14ac:dyDescent="0.35">
      <c r="A2266" s="7" t="s">
        <v>4180</v>
      </c>
      <c r="B2266" s="7" t="s">
        <v>1753</v>
      </c>
      <c r="C2266" s="5">
        <v>638.24</v>
      </c>
      <c r="D2266" s="2">
        <v>0.75314814814919373</v>
      </c>
      <c r="E2266" s="4">
        <v>44994</v>
      </c>
      <c r="F2266" s="7" t="s">
        <v>17</v>
      </c>
      <c r="G2266" s="7" t="s">
        <v>425</v>
      </c>
      <c r="H2266" s="7" t="s">
        <v>1861</v>
      </c>
      <c r="I2266" s="7" t="s">
        <v>1013</v>
      </c>
      <c r="J2266" s="7" t="s">
        <v>478</v>
      </c>
      <c r="K2266" s="7" t="s">
        <v>69</v>
      </c>
      <c r="L2266" s="8">
        <v>48</v>
      </c>
      <c r="M2266" s="7" t="s">
        <v>77</v>
      </c>
      <c r="N2266" s="8">
        <v>64</v>
      </c>
      <c r="O2266" s="8">
        <v>1</v>
      </c>
      <c r="P2266" s="5">
        <v>5695.78</v>
      </c>
      <c r="Q2266" s="4">
        <v>45600</v>
      </c>
      <c r="R2266" s="9">
        <v>0.34153935185185186</v>
      </c>
      <c r="S2266" s="8">
        <v>18</v>
      </c>
      <c r="T2266" s="7" t="s">
        <v>4457</v>
      </c>
      <c r="U2266" s="7" t="s">
        <v>4455</v>
      </c>
      <c r="V22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67" spans="1:22" x14ac:dyDescent="0.35">
      <c r="A2267" s="7" t="s">
        <v>4181</v>
      </c>
      <c r="B2267" s="7" t="s">
        <v>2707</v>
      </c>
      <c r="C2267" s="5">
        <v>241.21</v>
      </c>
      <c r="D2267" s="2">
        <v>0.69240740740497131</v>
      </c>
      <c r="E2267" s="4">
        <v>45194</v>
      </c>
      <c r="F2267" s="7" t="s">
        <v>17</v>
      </c>
      <c r="G2267" s="7" t="s">
        <v>296</v>
      </c>
      <c r="H2267" s="7" t="s">
        <v>1548</v>
      </c>
      <c r="I2267" s="7" t="s">
        <v>1321</v>
      </c>
      <c r="J2267" s="7" t="s">
        <v>980</v>
      </c>
      <c r="K2267" s="7" t="s">
        <v>22</v>
      </c>
      <c r="L2267" s="8">
        <v>31</v>
      </c>
      <c r="M2267" s="7" t="s">
        <v>77</v>
      </c>
      <c r="N2267" s="8">
        <v>108</v>
      </c>
      <c r="O2267" s="8">
        <v>1</v>
      </c>
      <c r="P2267" s="5">
        <v>1220.8599999999999</v>
      </c>
      <c r="Q2267" s="4">
        <v>45600</v>
      </c>
      <c r="R2267" s="9">
        <v>0.33976851851851853</v>
      </c>
      <c r="S2267" s="8">
        <v>16</v>
      </c>
      <c r="T2267" s="7" t="s">
        <v>4456</v>
      </c>
      <c r="U2267" s="7" t="s">
        <v>4455</v>
      </c>
      <c r="V22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68" spans="1:22" x14ac:dyDescent="0.35">
      <c r="A2268" s="7" t="s">
        <v>4182</v>
      </c>
      <c r="B2268" s="7" t="s">
        <v>777</v>
      </c>
      <c r="C2268" s="5">
        <v>171.16</v>
      </c>
      <c r="D2268" s="2">
        <v>0.68967592592525762</v>
      </c>
      <c r="E2268" s="4">
        <v>45197</v>
      </c>
      <c r="F2268" s="7" t="s">
        <v>17</v>
      </c>
      <c r="G2268" s="7" t="s">
        <v>203</v>
      </c>
      <c r="H2268" s="7" t="s">
        <v>4183</v>
      </c>
      <c r="I2268" s="7" t="s">
        <v>828</v>
      </c>
      <c r="J2268" s="7" t="s">
        <v>707</v>
      </c>
      <c r="K2268" s="7" t="s">
        <v>36</v>
      </c>
      <c r="L2268" s="8">
        <v>51</v>
      </c>
      <c r="M2268" s="7" t="s">
        <v>70</v>
      </c>
      <c r="N2268" s="8">
        <v>42</v>
      </c>
      <c r="O2268" s="8">
        <v>1</v>
      </c>
      <c r="P2268" s="5">
        <v>6126.5</v>
      </c>
      <c r="Q2268" s="4">
        <v>45600</v>
      </c>
      <c r="R2268" s="9">
        <v>0.34099537037037037</v>
      </c>
      <c r="S2268" s="8">
        <v>16</v>
      </c>
      <c r="T2268" s="7" t="s">
        <v>4457</v>
      </c>
      <c r="U2268" s="7" t="s">
        <v>4455</v>
      </c>
      <c r="V22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69" spans="1:22" x14ac:dyDescent="0.35">
      <c r="A2269" s="7" t="s">
        <v>4184</v>
      </c>
      <c r="B2269" s="7" t="s">
        <v>1982</v>
      </c>
      <c r="C2269" s="5">
        <v>1360.67</v>
      </c>
      <c r="D2269" s="2">
        <v>0.69353009259066312</v>
      </c>
      <c r="E2269" s="4">
        <v>45035</v>
      </c>
      <c r="F2269" s="7" t="s">
        <v>17</v>
      </c>
      <c r="G2269" s="7" t="s">
        <v>40</v>
      </c>
      <c r="H2269" s="7" t="s">
        <v>2870</v>
      </c>
      <c r="I2269" s="7" t="s">
        <v>1104</v>
      </c>
      <c r="J2269" s="7" t="s">
        <v>186</v>
      </c>
      <c r="K2269" s="7" t="s">
        <v>69</v>
      </c>
      <c r="L2269" s="8">
        <v>29</v>
      </c>
      <c r="M2269" s="7" t="s">
        <v>77</v>
      </c>
      <c r="N2269" s="8">
        <v>118</v>
      </c>
      <c r="O2269" s="8">
        <v>1</v>
      </c>
      <c r="P2269" s="5">
        <v>2861.65</v>
      </c>
      <c r="Q2269" s="4">
        <v>45600</v>
      </c>
      <c r="R2269" s="9">
        <v>0.33781250000000002</v>
      </c>
      <c r="S2269" s="8">
        <v>16</v>
      </c>
      <c r="T2269" s="7" t="s">
        <v>4456</v>
      </c>
      <c r="U2269" s="7" t="s">
        <v>4455</v>
      </c>
      <c r="V22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70" spans="1:22" x14ac:dyDescent="0.35">
      <c r="A2270" s="7" t="s">
        <v>4185</v>
      </c>
      <c r="B2270" s="7" t="s">
        <v>2000</v>
      </c>
      <c r="C2270" s="5">
        <v>37.65</v>
      </c>
      <c r="D2270" s="2">
        <v>0.72848379629431292</v>
      </c>
      <c r="E2270" s="4">
        <v>45194</v>
      </c>
      <c r="F2270" s="7" t="s">
        <v>46</v>
      </c>
      <c r="G2270" s="7" t="s">
        <v>223</v>
      </c>
      <c r="H2270" s="7" t="s">
        <v>2548</v>
      </c>
      <c r="I2270" s="7" t="s">
        <v>2635</v>
      </c>
      <c r="J2270" s="7" t="s">
        <v>619</v>
      </c>
      <c r="K2270" s="7" t="s">
        <v>36</v>
      </c>
      <c r="L2270" s="8">
        <v>27</v>
      </c>
      <c r="M2270" s="7" t="s">
        <v>37</v>
      </c>
      <c r="N2270" s="8">
        <v>109</v>
      </c>
      <c r="O2270" s="8">
        <v>1</v>
      </c>
      <c r="P2270" s="5">
        <v>411.78</v>
      </c>
      <c r="Q2270" s="4">
        <v>45600</v>
      </c>
      <c r="R2270" s="9">
        <v>0.34099537037037037</v>
      </c>
      <c r="S2270" s="8">
        <v>17</v>
      </c>
      <c r="T2270" s="7" t="s">
        <v>4456</v>
      </c>
      <c r="U2270" s="7" t="s">
        <v>4455</v>
      </c>
      <c r="V22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71" spans="1:22" x14ac:dyDescent="0.35">
      <c r="A2271" s="7" t="s">
        <v>4186</v>
      </c>
      <c r="B2271" s="7" t="s">
        <v>3556</v>
      </c>
      <c r="C2271" s="5">
        <v>25.77</v>
      </c>
      <c r="D2271" s="2">
        <v>0.68924768518627388</v>
      </c>
      <c r="E2271" s="4">
        <v>45201</v>
      </c>
      <c r="F2271" s="7" t="s">
        <v>17</v>
      </c>
      <c r="G2271" s="7" t="s">
        <v>92</v>
      </c>
      <c r="H2271" s="7" t="s">
        <v>448</v>
      </c>
      <c r="I2271" s="7" t="s">
        <v>972</v>
      </c>
      <c r="J2271" s="7" t="s">
        <v>56</v>
      </c>
      <c r="K2271" s="7" t="s">
        <v>36</v>
      </c>
      <c r="L2271" s="8">
        <v>68</v>
      </c>
      <c r="M2271" s="7" t="s">
        <v>70</v>
      </c>
      <c r="N2271" s="8">
        <v>18</v>
      </c>
      <c r="O2271" s="8">
        <v>1</v>
      </c>
      <c r="P2271" s="5">
        <v>4331.54</v>
      </c>
      <c r="Q2271" s="4">
        <v>45600</v>
      </c>
      <c r="R2271" s="9">
        <v>0.33796296296296297</v>
      </c>
      <c r="S2271" s="8">
        <v>16</v>
      </c>
      <c r="T2271" s="7" t="s">
        <v>4454</v>
      </c>
      <c r="U2271" s="7" t="s">
        <v>4455</v>
      </c>
      <c r="V22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72" spans="1:22" x14ac:dyDescent="0.35">
      <c r="A2272" s="7" t="s">
        <v>4187</v>
      </c>
      <c r="B2272" s="7" t="s">
        <v>550</v>
      </c>
      <c r="C2272" s="5">
        <v>789.8</v>
      </c>
      <c r="D2272" s="2">
        <v>0.66989583333634073</v>
      </c>
      <c r="E2272" s="4">
        <v>45117</v>
      </c>
      <c r="F2272" s="7" t="s">
        <v>17</v>
      </c>
      <c r="G2272" s="7" t="s">
        <v>392</v>
      </c>
      <c r="H2272" s="7" t="s">
        <v>1508</v>
      </c>
      <c r="I2272" s="7" t="s">
        <v>3054</v>
      </c>
      <c r="J2272" s="7" t="s">
        <v>858</v>
      </c>
      <c r="K2272" s="7" t="s">
        <v>22</v>
      </c>
      <c r="L2272" s="8">
        <v>40</v>
      </c>
      <c r="M2272" s="7" t="s">
        <v>23</v>
      </c>
      <c r="N2272" s="8">
        <v>94</v>
      </c>
      <c r="O2272" s="8">
        <v>1</v>
      </c>
      <c r="P2272" s="5">
        <v>13948.09</v>
      </c>
      <c r="Q2272" s="4">
        <v>45600</v>
      </c>
      <c r="R2272" s="9">
        <v>0.33856481481481482</v>
      </c>
      <c r="S2272" s="8">
        <v>16</v>
      </c>
      <c r="T2272" s="7" t="s">
        <v>4457</v>
      </c>
      <c r="U2272" s="7" t="s">
        <v>4455</v>
      </c>
      <c r="V22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73" spans="1:22" x14ac:dyDescent="0.35">
      <c r="A2273" s="7" t="s">
        <v>4188</v>
      </c>
      <c r="B2273" s="7" t="s">
        <v>581</v>
      </c>
      <c r="C2273" s="5">
        <v>308.85000000000002</v>
      </c>
      <c r="D2273" s="2">
        <v>0.752615740741021</v>
      </c>
      <c r="E2273" s="4">
        <v>45259</v>
      </c>
      <c r="F2273" s="7" t="s">
        <v>46</v>
      </c>
      <c r="G2273" s="7" t="s">
        <v>140</v>
      </c>
      <c r="H2273" s="7" t="s">
        <v>4189</v>
      </c>
      <c r="I2273" s="7" t="s">
        <v>2527</v>
      </c>
      <c r="J2273" s="7" t="s">
        <v>95</v>
      </c>
      <c r="K2273" s="7" t="s">
        <v>69</v>
      </c>
      <c r="L2273" s="8">
        <v>20</v>
      </c>
      <c r="M2273" s="7" t="s">
        <v>37</v>
      </c>
      <c r="N2273" s="8">
        <v>33</v>
      </c>
      <c r="O2273" s="8">
        <v>2</v>
      </c>
      <c r="P2273" s="5">
        <v>333.19</v>
      </c>
      <c r="Q2273" s="4">
        <v>45600</v>
      </c>
      <c r="R2273" s="9">
        <v>0.33906249999999999</v>
      </c>
      <c r="S2273" s="8">
        <v>18</v>
      </c>
      <c r="T2273" s="7" t="s">
        <v>4456</v>
      </c>
      <c r="U2273" s="7" t="s">
        <v>4458</v>
      </c>
      <c r="V22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74" spans="1:22" x14ac:dyDescent="0.35">
      <c r="A2274" s="7" t="s">
        <v>4190</v>
      </c>
      <c r="B2274" s="7" t="s">
        <v>764</v>
      </c>
      <c r="C2274" s="5">
        <v>1454.52</v>
      </c>
      <c r="D2274" s="2">
        <v>0.6757638888884685</v>
      </c>
      <c r="E2274" s="4">
        <v>45191</v>
      </c>
      <c r="F2274" s="7" t="s">
        <v>17</v>
      </c>
      <c r="G2274" s="7" t="s">
        <v>172</v>
      </c>
      <c r="H2274" s="7" t="s">
        <v>297</v>
      </c>
      <c r="I2274" s="7" t="s">
        <v>907</v>
      </c>
      <c r="J2274" s="7" t="s">
        <v>769</v>
      </c>
      <c r="K2274" s="7" t="s">
        <v>22</v>
      </c>
      <c r="L2274" s="8">
        <v>27</v>
      </c>
      <c r="M2274" s="7" t="s">
        <v>37</v>
      </c>
      <c r="N2274" s="8">
        <v>20</v>
      </c>
      <c r="O2274" s="8">
        <v>1</v>
      </c>
      <c r="P2274" s="5">
        <v>1189.03</v>
      </c>
      <c r="Q2274" s="4">
        <v>45600</v>
      </c>
      <c r="R2274" s="9">
        <v>0.33840277777777777</v>
      </c>
      <c r="S2274" s="8">
        <v>16</v>
      </c>
      <c r="T2274" s="7" t="s">
        <v>4456</v>
      </c>
      <c r="U2274" s="7" t="s">
        <v>4455</v>
      </c>
      <c r="V22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75" spans="1:22" x14ac:dyDescent="0.35">
      <c r="A2275" s="7" t="s">
        <v>4191</v>
      </c>
      <c r="B2275" s="7" t="s">
        <v>1517</v>
      </c>
      <c r="C2275" s="5">
        <v>806.97</v>
      </c>
      <c r="D2275" s="2">
        <v>0.74172453703795327</v>
      </c>
      <c r="E2275" s="4">
        <v>44992</v>
      </c>
      <c r="F2275" s="7" t="s">
        <v>17</v>
      </c>
      <c r="G2275" s="7" t="s">
        <v>59</v>
      </c>
      <c r="H2275" s="7" t="s">
        <v>3360</v>
      </c>
      <c r="I2275" s="7" t="s">
        <v>2044</v>
      </c>
      <c r="J2275" s="7" t="s">
        <v>165</v>
      </c>
      <c r="K2275" s="7" t="s">
        <v>36</v>
      </c>
      <c r="L2275" s="8">
        <v>25</v>
      </c>
      <c r="M2275" s="7" t="s">
        <v>37</v>
      </c>
      <c r="N2275" s="8">
        <v>11</v>
      </c>
      <c r="O2275" s="8">
        <v>1</v>
      </c>
      <c r="P2275" s="5">
        <v>102.2</v>
      </c>
      <c r="Q2275" s="4">
        <v>45600</v>
      </c>
      <c r="R2275" s="9">
        <v>0.3395023148148148</v>
      </c>
      <c r="S2275" s="8">
        <v>17</v>
      </c>
      <c r="T2275" s="7" t="s">
        <v>4456</v>
      </c>
      <c r="U2275" s="7" t="s">
        <v>4455</v>
      </c>
      <c r="V22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76" spans="1:22" x14ac:dyDescent="0.35">
      <c r="A2276" s="7" t="s">
        <v>4192</v>
      </c>
      <c r="B2276" s="7" t="s">
        <v>1507</v>
      </c>
      <c r="C2276" s="5">
        <v>364.81</v>
      </c>
      <c r="D2276" s="2">
        <v>0.73194444444379769</v>
      </c>
      <c r="E2276" s="4">
        <v>45103</v>
      </c>
      <c r="F2276" s="7" t="s">
        <v>17</v>
      </c>
      <c r="G2276" s="7" t="s">
        <v>249</v>
      </c>
      <c r="H2276" s="7" t="s">
        <v>1575</v>
      </c>
      <c r="I2276" s="7" t="s">
        <v>1705</v>
      </c>
      <c r="J2276" s="7" t="s">
        <v>1562</v>
      </c>
      <c r="K2276" s="7" t="s">
        <v>36</v>
      </c>
      <c r="L2276" s="8">
        <v>25</v>
      </c>
      <c r="M2276" s="7" t="s">
        <v>37</v>
      </c>
      <c r="N2276" s="8">
        <v>53</v>
      </c>
      <c r="O2276" s="8">
        <v>1</v>
      </c>
      <c r="P2276" s="5">
        <v>1145.23</v>
      </c>
      <c r="Q2276" s="4">
        <v>45600</v>
      </c>
      <c r="R2276" s="9">
        <v>0.33841435185185187</v>
      </c>
      <c r="S2276" s="8">
        <v>17</v>
      </c>
      <c r="T2276" s="7" t="s">
        <v>4456</v>
      </c>
      <c r="U2276" s="7" t="s">
        <v>4455</v>
      </c>
      <c r="V22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77" spans="1:22" x14ac:dyDescent="0.35">
      <c r="A2277" s="7" t="s">
        <v>4193</v>
      </c>
      <c r="B2277" s="7" t="s">
        <v>192</v>
      </c>
      <c r="C2277" s="5">
        <v>490.82</v>
      </c>
      <c r="D2277" s="2">
        <v>0.75318287037225673</v>
      </c>
      <c r="E2277" s="4">
        <v>45078</v>
      </c>
      <c r="F2277" s="7" t="s">
        <v>17</v>
      </c>
      <c r="G2277" s="7" t="s">
        <v>291</v>
      </c>
      <c r="H2277" s="7" t="s">
        <v>1453</v>
      </c>
      <c r="I2277" s="7" t="s">
        <v>3069</v>
      </c>
      <c r="J2277" s="7" t="s">
        <v>175</v>
      </c>
      <c r="K2277" s="7" t="s">
        <v>22</v>
      </c>
      <c r="L2277" s="8">
        <v>26</v>
      </c>
      <c r="M2277" s="7" t="s">
        <v>77</v>
      </c>
      <c r="N2277" s="8">
        <v>114</v>
      </c>
      <c r="O2277" s="8">
        <v>1</v>
      </c>
      <c r="P2277" s="5">
        <v>8704.27</v>
      </c>
      <c r="Q2277" s="4">
        <v>45600</v>
      </c>
      <c r="R2277" s="9">
        <v>0.34005787037037039</v>
      </c>
      <c r="S2277" s="8">
        <v>18</v>
      </c>
      <c r="T2277" s="7" t="s">
        <v>4456</v>
      </c>
      <c r="U2277" s="7" t="s">
        <v>4455</v>
      </c>
      <c r="V22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78" spans="1:22" x14ac:dyDescent="0.35">
      <c r="A2278" s="7" t="s">
        <v>4194</v>
      </c>
      <c r="B2278" s="7" t="s">
        <v>1137</v>
      </c>
      <c r="C2278" s="5">
        <v>1021.38</v>
      </c>
      <c r="D2278" s="2">
        <v>0.79146990740991896</v>
      </c>
      <c r="E2278" s="4">
        <v>44953</v>
      </c>
      <c r="F2278" s="7" t="s">
        <v>17</v>
      </c>
      <c r="G2278" s="7" t="s">
        <v>73</v>
      </c>
      <c r="H2278" s="7" t="s">
        <v>570</v>
      </c>
      <c r="I2278" s="7" t="s">
        <v>493</v>
      </c>
      <c r="J2278" s="7" t="s">
        <v>759</v>
      </c>
      <c r="K2278" s="7" t="s">
        <v>69</v>
      </c>
      <c r="L2278" s="8">
        <v>61</v>
      </c>
      <c r="M2278" s="7" t="s">
        <v>23</v>
      </c>
      <c r="N2278" s="8">
        <v>125</v>
      </c>
      <c r="O2278" s="8">
        <v>1</v>
      </c>
      <c r="P2278" s="5">
        <v>6223.26</v>
      </c>
      <c r="Q2278" s="4">
        <v>45600</v>
      </c>
      <c r="R2278" s="9">
        <v>0.3394212962962963</v>
      </c>
      <c r="S2278" s="8">
        <v>18</v>
      </c>
      <c r="T2278" s="7" t="s">
        <v>4454</v>
      </c>
      <c r="U2278" s="7" t="s">
        <v>4455</v>
      </c>
      <c r="V22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79" spans="1:22" x14ac:dyDescent="0.35">
      <c r="A2279" s="7" t="s">
        <v>4195</v>
      </c>
      <c r="B2279" s="7" t="s">
        <v>641</v>
      </c>
      <c r="C2279" s="5">
        <v>311.27999999999997</v>
      </c>
      <c r="D2279" s="2">
        <v>0.695277777776937</v>
      </c>
      <c r="E2279" s="4">
        <v>45068</v>
      </c>
      <c r="F2279" s="7" t="s">
        <v>17</v>
      </c>
      <c r="G2279" s="7" t="s">
        <v>47</v>
      </c>
      <c r="H2279" s="7" t="s">
        <v>2312</v>
      </c>
      <c r="I2279" s="7" t="s">
        <v>937</v>
      </c>
      <c r="J2279" s="7" t="s">
        <v>414</v>
      </c>
      <c r="K2279" s="7" t="s">
        <v>69</v>
      </c>
      <c r="L2279" s="8">
        <v>49</v>
      </c>
      <c r="M2279" s="7" t="s">
        <v>23</v>
      </c>
      <c r="N2279" s="8">
        <v>198</v>
      </c>
      <c r="O2279" s="8">
        <v>1</v>
      </c>
      <c r="P2279" s="5">
        <v>135.96</v>
      </c>
      <c r="Q2279" s="4">
        <v>45600</v>
      </c>
      <c r="R2279" s="9">
        <v>0.3397337962962963</v>
      </c>
      <c r="S2279" s="8">
        <v>16</v>
      </c>
      <c r="T2279" s="7" t="s">
        <v>4457</v>
      </c>
      <c r="U2279" s="7" t="s">
        <v>4455</v>
      </c>
      <c r="V22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80" spans="1:22" x14ac:dyDescent="0.35">
      <c r="A2280" s="7" t="s">
        <v>4196</v>
      </c>
      <c r="B2280" s="7" t="s">
        <v>3215</v>
      </c>
      <c r="C2280" s="5">
        <v>85.03</v>
      </c>
      <c r="D2280" s="2">
        <v>0.70336805555416504</v>
      </c>
      <c r="E2280" s="4">
        <v>45026</v>
      </c>
      <c r="F2280" s="7" t="s">
        <v>17</v>
      </c>
      <c r="G2280" s="7" t="s">
        <v>18</v>
      </c>
      <c r="H2280" s="7" t="s">
        <v>680</v>
      </c>
      <c r="I2280" s="7" t="s">
        <v>2140</v>
      </c>
      <c r="J2280" s="7" t="s">
        <v>68</v>
      </c>
      <c r="K2280" s="7" t="s">
        <v>22</v>
      </c>
      <c r="L2280" s="8">
        <v>51</v>
      </c>
      <c r="M2280" s="7" t="s">
        <v>70</v>
      </c>
      <c r="N2280" s="8">
        <v>48</v>
      </c>
      <c r="O2280" s="8">
        <v>1</v>
      </c>
      <c r="P2280" s="5">
        <v>4597.57</v>
      </c>
      <c r="Q2280" s="4">
        <v>45600</v>
      </c>
      <c r="R2280" s="9">
        <v>0.33818287037037037</v>
      </c>
      <c r="S2280" s="8">
        <v>16</v>
      </c>
      <c r="T2280" s="7" t="s">
        <v>4457</v>
      </c>
      <c r="U2280" s="7" t="s">
        <v>4455</v>
      </c>
      <c r="V22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81" spans="1:22" x14ac:dyDescent="0.35">
      <c r="A2281" s="7" t="s">
        <v>4197</v>
      </c>
      <c r="B2281" s="7" t="s">
        <v>1770</v>
      </c>
      <c r="C2281" s="5">
        <v>307.75</v>
      </c>
      <c r="D2281" s="2">
        <v>0.74637731481197989</v>
      </c>
      <c r="E2281" s="4">
        <v>45028</v>
      </c>
      <c r="F2281" s="7" t="s">
        <v>17</v>
      </c>
      <c r="G2281" s="7" t="s">
        <v>73</v>
      </c>
      <c r="H2281" s="7" t="s">
        <v>2784</v>
      </c>
      <c r="I2281" s="7" t="s">
        <v>2367</v>
      </c>
      <c r="J2281" s="7" t="s">
        <v>674</v>
      </c>
      <c r="K2281" s="7" t="s">
        <v>69</v>
      </c>
      <c r="L2281" s="8">
        <v>64</v>
      </c>
      <c r="M2281" s="7" t="s">
        <v>23</v>
      </c>
      <c r="N2281" s="8">
        <v>63</v>
      </c>
      <c r="O2281" s="8">
        <v>1</v>
      </c>
      <c r="P2281" s="5">
        <v>1061.58</v>
      </c>
      <c r="Q2281" s="4">
        <v>45600</v>
      </c>
      <c r="R2281" s="9">
        <v>0.34031250000000002</v>
      </c>
      <c r="S2281" s="8">
        <v>17</v>
      </c>
      <c r="T2281" s="7" t="s">
        <v>4454</v>
      </c>
      <c r="U2281" s="7" t="s">
        <v>4455</v>
      </c>
      <c r="V22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82" spans="1:22" x14ac:dyDescent="0.35">
      <c r="A2282" s="7" t="s">
        <v>4198</v>
      </c>
      <c r="B2282" s="7" t="s">
        <v>2118</v>
      </c>
      <c r="C2282" s="5">
        <v>333.67</v>
      </c>
      <c r="D2282" s="2">
        <v>0.75631944444467081</v>
      </c>
      <c r="E2282" s="4">
        <v>45113</v>
      </c>
      <c r="F2282" s="7" t="s">
        <v>17</v>
      </c>
      <c r="G2282" s="7" t="s">
        <v>157</v>
      </c>
      <c r="H2282" s="7" t="s">
        <v>2126</v>
      </c>
      <c r="I2282" s="7" t="s">
        <v>3609</v>
      </c>
      <c r="J2282" s="7" t="s">
        <v>980</v>
      </c>
      <c r="K2282" s="7" t="s">
        <v>36</v>
      </c>
      <c r="L2282" s="8">
        <v>36</v>
      </c>
      <c r="M2282" s="7" t="s">
        <v>77</v>
      </c>
      <c r="N2282" s="8">
        <v>68</v>
      </c>
      <c r="O2282" s="8">
        <v>1</v>
      </c>
      <c r="P2282" s="5">
        <v>9238.08</v>
      </c>
      <c r="Q2282" s="4">
        <v>45600</v>
      </c>
      <c r="R2282" s="9">
        <v>0.33939814814814817</v>
      </c>
      <c r="S2282" s="8">
        <v>18</v>
      </c>
      <c r="T2282" s="7" t="s">
        <v>4457</v>
      </c>
      <c r="U2282" s="7" t="s">
        <v>4455</v>
      </c>
      <c r="V22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83" spans="1:22" x14ac:dyDescent="0.35">
      <c r="A2283" s="7" t="s">
        <v>4199</v>
      </c>
      <c r="B2283" s="7" t="s">
        <v>801</v>
      </c>
      <c r="C2283" s="5">
        <v>589.89</v>
      </c>
      <c r="D2283" s="2">
        <v>0.68731481481518131</v>
      </c>
      <c r="E2283" s="4">
        <v>45219</v>
      </c>
      <c r="F2283" s="7" t="s">
        <v>17</v>
      </c>
      <c r="G2283" s="7" t="s">
        <v>392</v>
      </c>
      <c r="H2283" s="7" t="s">
        <v>4200</v>
      </c>
      <c r="I2283" s="7" t="s">
        <v>2477</v>
      </c>
      <c r="J2283" s="7" t="s">
        <v>165</v>
      </c>
      <c r="K2283" s="7" t="s">
        <v>69</v>
      </c>
      <c r="L2283" s="8">
        <v>56</v>
      </c>
      <c r="M2283" s="7" t="s">
        <v>77</v>
      </c>
      <c r="N2283" s="8">
        <v>213</v>
      </c>
      <c r="O2283" s="8">
        <v>3</v>
      </c>
      <c r="P2283" s="5">
        <v>9404.6299999999992</v>
      </c>
      <c r="Q2283" s="4">
        <v>45600</v>
      </c>
      <c r="R2283" s="9">
        <v>0.3417013888888889</v>
      </c>
      <c r="S2283" s="8">
        <v>16</v>
      </c>
      <c r="T2283" s="7" t="s">
        <v>4454</v>
      </c>
      <c r="U2283" s="7" t="s">
        <v>4458</v>
      </c>
      <c r="V22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84" spans="1:22" x14ac:dyDescent="0.35">
      <c r="A2284" s="7" t="s">
        <v>4201</v>
      </c>
      <c r="B2284" s="7" t="s">
        <v>2701</v>
      </c>
      <c r="C2284" s="5">
        <v>372.08</v>
      </c>
      <c r="D2284" s="2">
        <v>0.692627314812853</v>
      </c>
      <c r="E2284" s="4">
        <v>44991</v>
      </c>
      <c r="F2284" s="7" t="s">
        <v>17</v>
      </c>
      <c r="G2284" s="7" t="s">
        <v>26</v>
      </c>
      <c r="H2284" s="7" t="s">
        <v>1082</v>
      </c>
      <c r="I2284" s="7" t="s">
        <v>4202</v>
      </c>
      <c r="J2284" s="7" t="s">
        <v>418</v>
      </c>
      <c r="K2284" s="7" t="s">
        <v>69</v>
      </c>
      <c r="L2284" s="8">
        <v>66</v>
      </c>
      <c r="M2284" s="7" t="s">
        <v>23</v>
      </c>
      <c r="N2284" s="8">
        <v>63</v>
      </c>
      <c r="O2284" s="8">
        <v>1</v>
      </c>
      <c r="P2284" s="5">
        <v>13330.74</v>
      </c>
      <c r="Q2284" s="4">
        <v>45600</v>
      </c>
      <c r="R2284" s="9">
        <v>0.34184027777777776</v>
      </c>
      <c r="S2284" s="8">
        <v>16</v>
      </c>
      <c r="T2284" s="7" t="s">
        <v>4454</v>
      </c>
      <c r="U2284" s="7" t="s">
        <v>4455</v>
      </c>
      <c r="V22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85" spans="1:22" x14ac:dyDescent="0.35">
      <c r="A2285" s="7" t="s">
        <v>4203</v>
      </c>
      <c r="B2285" s="7" t="s">
        <v>452</v>
      </c>
      <c r="C2285" s="5">
        <v>502.9</v>
      </c>
      <c r="D2285" s="2">
        <v>0.71773148148349719</v>
      </c>
      <c r="E2285" s="4">
        <v>45187</v>
      </c>
      <c r="F2285" s="7" t="s">
        <v>46</v>
      </c>
      <c r="G2285" s="7" t="s">
        <v>558</v>
      </c>
      <c r="H2285" s="7" t="s">
        <v>2142</v>
      </c>
      <c r="I2285" s="7" t="s">
        <v>2150</v>
      </c>
      <c r="J2285" s="7" t="s">
        <v>353</v>
      </c>
      <c r="K2285" s="7" t="s">
        <v>36</v>
      </c>
      <c r="L2285" s="8">
        <v>26</v>
      </c>
      <c r="M2285" s="7" t="s">
        <v>37</v>
      </c>
      <c r="N2285" s="8">
        <v>141</v>
      </c>
      <c r="O2285" s="8">
        <v>1</v>
      </c>
      <c r="P2285" s="5">
        <v>341.24</v>
      </c>
      <c r="Q2285" s="4">
        <v>45600</v>
      </c>
      <c r="R2285" s="9">
        <v>0.33935185185185185</v>
      </c>
      <c r="S2285" s="8">
        <v>17</v>
      </c>
      <c r="T2285" s="7" t="s">
        <v>4456</v>
      </c>
      <c r="U2285" s="7" t="s">
        <v>4455</v>
      </c>
      <c r="V22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86" spans="1:22" x14ac:dyDescent="0.35">
      <c r="A2286" s="7" t="s">
        <v>4204</v>
      </c>
      <c r="B2286" s="7" t="s">
        <v>1703</v>
      </c>
      <c r="C2286" s="5">
        <v>103.81</v>
      </c>
      <c r="D2286" s="2">
        <v>0.69418981481430819</v>
      </c>
      <c r="E2286" s="4">
        <v>45196</v>
      </c>
      <c r="F2286" s="7" t="s">
        <v>17</v>
      </c>
      <c r="G2286" s="7" t="s">
        <v>53</v>
      </c>
      <c r="H2286" s="7" t="s">
        <v>1302</v>
      </c>
      <c r="I2286" s="7" t="s">
        <v>2535</v>
      </c>
      <c r="J2286" s="7" t="s">
        <v>634</v>
      </c>
      <c r="K2286" s="7" t="s">
        <v>22</v>
      </c>
      <c r="L2286" s="8">
        <v>36</v>
      </c>
      <c r="M2286" s="7" t="s">
        <v>23</v>
      </c>
      <c r="N2286" s="8">
        <v>34</v>
      </c>
      <c r="O2286" s="8">
        <v>1</v>
      </c>
      <c r="P2286" s="5">
        <v>7044.63</v>
      </c>
      <c r="Q2286" s="4">
        <v>45600</v>
      </c>
      <c r="R2286" s="9">
        <v>0.34159722222222222</v>
      </c>
      <c r="S2286" s="8">
        <v>16</v>
      </c>
      <c r="T2286" s="7" t="s">
        <v>4457</v>
      </c>
      <c r="U2286" s="7" t="s">
        <v>4455</v>
      </c>
      <c r="V22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87" spans="1:22" x14ac:dyDescent="0.35">
      <c r="A2287" s="7" t="s">
        <v>4205</v>
      </c>
      <c r="B2287" s="7" t="s">
        <v>471</v>
      </c>
      <c r="C2287" s="5">
        <v>69.430000000000007</v>
      </c>
      <c r="D2287" s="2">
        <v>0.73533564814715646</v>
      </c>
      <c r="E2287" s="4">
        <v>44963</v>
      </c>
      <c r="F2287" s="7" t="s">
        <v>17</v>
      </c>
      <c r="G2287" s="7" t="s">
        <v>146</v>
      </c>
      <c r="H2287" s="7" t="s">
        <v>2361</v>
      </c>
      <c r="I2287" s="7" t="s">
        <v>1094</v>
      </c>
      <c r="J2287" s="7" t="s">
        <v>362</v>
      </c>
      <c r="K2287" s="7" t="s">
        <v>22</v>
      </c>
      <c r="L2287" s="8">
        <v>30</v>
      </c>
      <c r="M2287" s="7" t="s">
        <v>77</v>
      </c>
      <c r="N2287" s="8">
        <v>162</v>
      </c>
      <c r="O2287" s="8">
        <v>1</v>
      </c>
      <c r="P2287" s="5">
        <v>9281.85</v>
      </c>
      <c r="Q2287" s="4">
        <v>45600</v>
      </c>
      <c r="R2287" s="9">
        <v>0.33924768518518517</v>
      </c>
      <c r="S2287" s="8">
        <v>17</v>
      </c>
      <c r="T2287" s="7" t="s">
        <v>4456</v>
      </c>
      <c r="U2287" s="7" t="s">
        <v>4455</v>
      </c>
      <c r="V22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88" spans="1:22" x14ac:dyDescent="0.35">
      <c r="A2288" s="7" t="s">
        <v>4206</v>
      </c>
      <c r="B2288" s="7" t="s">
        <v>156</v>
      </c>
      <c r="C2288" s="5">
        <v>110.4</v>
      </c>
      <c r="D2288" s="2">
        <v>0.702986111107748</v>
      </c>
      <c r="E2288" s="4">
        <v>45190</v>
      </c>
      <c r="F2288" s="7" t="s">
        <v>46</v>
      </c>
      <c r="G2288" s="7" t="s">
        <v>18</v>
      </c>
      <c r="H2288" s="7" t="s">
        <v>1956</v>
      </c>
      <c r="I2288" s="7" t="s">
        <v>473</v>
      </c>
      <c r="J2288" s="7" t="s">
        <v>450</v>
      </c>
      <c r="K2288" s="7" t="s">
        <v>22</v>
      </c>
      <c r="L2288" s="8">
        <v>56</v>
      </c>
      <c r="M2288" s="7" t="s">
        <v>23</v>
      </c>
      <c r="N2288" s="8">
        <v>62</v>
      </c>
      <c r="O2288" s="8">
        <v>1</v>
      </c>
      <c r="P2288" s="5">
        <v>8639.36</v>
      </c>
      <c r="Q2288" s="4">
        <v>45600</v>
      </c>
      <c r="R2288" s="9">
        <v>0.33927083333333335</v>
      </c>
      <c r="S2288" s="8">
        <v>16</v>
      </c>
      <c r="T2288" s="7" t="s">
        <v>4454</v>
      </c>
      <c r="U2288" s="7" t="s">
        <v>4455</v>
      </c>
      <c r="V22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89" spans="1:22" x14ac:dyDescent="0.35">
      <c r="A2289" s="7" t="s">
        <v>4207</v>
      </c>
      <c r="B2289" s="7" t="s">
        <v>1020</v>
      </c>
      <c r="C2289" s="5">
        <v>275.64999999999998</v>
      </c>
      <c r="D2289" s="2">
        <v>0.70314814814628335</v>
      </c>
      <c r="E2289" s="4">
        <v>45152</v>
      </c>
      <c r="F2289" s="7" t="s">
        <v>46</v>
      </c>
      <c r="G2289" s="7" t="s">
        <v>47</v>
      </c>
      <c r="H2289" s="7" t="s">
        <v>60</v>
      </c>
      <c r="I2289" s="7" t="s">
        <v>1048</v>
      </c>
      <c r="J2289" s="7" t="s">
        <v>759</v>
      </c>
      <c r="K2289" s="7" t="s">
        <v>69</v>
      </c>
      <c r="L2289" s="8">
        <v>28</v>
      </c>
      <c r="M2289" s="7" t="s">
        <v>77</v>
      </c>
      <c r="N2289" s="8">
        <v>14</v>
      </c>
      <c r="O2289" s="8">
        <v>1</v>
      </c>
      <c r="P2289" s="5">
        <v>4957.57</v>
      </c>
      <c r="Q2289" s="4">
        <v>45600</v>
      </c>
      <c r="R2289" s="9">
        <v>0.33909722222222222</v>
      </c>
      <c r="S2289" s="8">
        <v>16</v>
      </c>
      <c r="T2289" s="7" t="s">
        <v>4456</v>
      </c>
      <c r="U2289" s="7" t="s">
        <v>4455</v>
      </c>
      <c r="V22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90" spans="1:22" x14ac:dyDescent="0.35">
      <c r="A2290" s="7" t="s">
        <v>4208</v>
      </c>
      <c r="B2290" s="7" t="s">
        <v>471</v>
      </c>
      <c r="C2290" s="5">
        <v>336.01</v>
      </c>
      <c r="D2290" s="2">
        <v>0.78136574073869269</v>
      </c>
      <c r="E2290" s="4">
        <v>45239</v>
      </c>
      <c r="F2290" s="7" t="s">
        <v>17</v>
      </c>
      <c r="G2290" s="7" t="s">
        <v>521</v>
      </c>
      <c r="H2290" s="7" t="s">
        <v>1680</v>
      </c>
      <c r="I2290" s="7" t="s">
        <v>3588</v>
      </c>
      <c r="J2290" s="7" t="s">
        <v>169</v>
      </c>
      <c r="K2290" s="7" t="s">
        <v>36</v>
      </c>
      <c r="L2290" s="8">
        <v>63</v>
      </c>
      <c r="M2290" s="7" t="s">
        <v>23</v>
      </c>
      <c r="N2290" s="8">
        <v>121</v>
      </c>
      <c r="O2290" s="8">
        <v>4</v>
      </c>
      <c r="P2290" s="5">
        <v>9938.2000000000007</v>
      </c>
      <c r="Q2290" s="4">
        <v>45600</v>
      </c>
      <c r="R2290" s="9">
        <v>0.33947916666666667</v>
      </c>
      <c r="S2290" s="8">
        <v>18</v>
      </c>
      <c r="T2290" s="7" t="s">
        <v>4454</v>
      </c>
      <c r="U2290" s="7" t="s">
        <v>4458</v>
      </c>
      <c r="V22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91" spans="1:22" x14ac:dyDescent="0.35">
      <c r="A2291" s="7" t="s">
        <v>4209</v>
      </c>
      <c r="B2291" s="7" t="s">
        <v>124</v>
      </c>
      <c r="C2291" s="5">
        <v>251.8</v>
      </c>
      <c r="D2291" s="2">
        <v>0.67678240740497131</v>
      </c>
      <c r="E2291" s="4">
        <v>45019</v>
      </c>
      <c r="F2291" s="7" t="s">
        <v>17</v>
      </c>
      <c r="G2291" s="7" t="s">
        <v>32</v>
      </c>
      <c r="H2291" s="7" t="s">
        <v>881</v>
      </c>
      <c r="I2291" s="7" t="s">
        <v>1306</v>
      </c>
      <c r="J2291" s="7" t="s">
        <v>68</v>
      </c>
      <c r="K2291" s="7" t="s">
        <v>22</v>
      </c>
      <c r="L2291" s="8">
        <v>62</v>
      </c>
      <c r="M2291" s="7" t="s">
        <v>23</v>
      </c>
      <c r="N2291" s="8">
        <v>102</v>
      </c>
      <c r="O2291" s="8">
        <v>1</v>
      </c>
      <c r="P2291" s="5">
        <v>11796.66</v>
      </c>
      <c r="Q2291" s="4">
        <v>45600</v>
      </c>
      <c r="R2291" s="9">
        <v>0.34045138888888887</v>
      </c>
      <c r="S2291" s="8">
        <v>16</v>
      </c>
      <c r="T2291" s="7" t="s">
        <v>4454</v>
      </c>
      <c r="U2291" s="7" t="s">
        <v>4455</v>
      </c>
      <c r="V22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92" spans="1:22" x14ac:dyDescent="0.35">
      <c r="A2292" s="7" t="s">
        <v>4210</v>
      </c>
      <c r="B2292" s="7" t="s">
        <v>2309</v>
      </c>
      <c r="C2292" s="5">
        <v>334.07</v>
      </c>
      <c r="D2292" s="2">
        <v>0.72726851851621177</v>
      </c>
      <c r="E2292" s="4">
        <v>45149</v>
      </c>
      <c r="F2292" s="7" t="s">
        <v>17</v>
      </c>
      <c r="G2292" s="7" t="s">
        <v>203</v>
      </c>
      <c r="H2292" s="7" t="s">
        <v>951</v>
      </c>
      <c r="I2292" s="7" t="s">
        <v>651</v>
      </c>
      <c r="J2292" s="7" t="s">
        <v>56</v>
      </c>
      <c r="K2292" s="7" t="s">
        <v>69</v>
      </c>
      <c r="L2292" s="8">
        <v>59</v>
      </c>
      <c r="M2292" s="7" t="s">
        <v>77</v>
      </c>
      <c r="N2292" s="8">
        <v>200</v>
      </c>
      <c r="O2292" s="8">
        <v>1</v>
      </c>
      <c r="P2292" s="5">
        <v>7306.79</v>
      </c>
      <c r="Q2292" s="4">
        <v>45600</v>
      </c>
      <c r="R2292" s="9">
        <v>0.34060185185185188</v>
      </c>
      <c r="S2292" s="8">
        <v>17</v>
      </c>
      <c r="T2292" s="7" t="s">
        <v>4454</v>
      </c>
      <c r="U2292" s="7" t="s">
        <v>4455</v>
      </c>
      <c r="V22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93" spans="1:22" x14ac:dyDescent="0.35">
      <c r="A2293" s="7" t="s">
        <v>4211</v>
      </c>
      <c r="B2293" s="7" t="s">
        <v>1631</v>
      </c>
      <c r="C2293" s="5">
        <v>52.44</v>
      </c>
      <c r="D2293" s="2">
        <v>0.789166666669189</v>
      </c>
      <c r="E2293" s="4">
        <v>45175</v>
      </c>
      <c r="F2293" s="7" t="s">
        <v>17</v>
      </c>
      <c r="G2293" s="7" t="s">
        <v>40</v>
      </c>
      <c r="H2293" s="7" t="s">
        <v>1251</v>
      </c>
      <c r="I2293" s="7" t="s">
        <v>465</v>
      </c>
      <c r="J2293" s="7" t="s">
        <v>246</v>
      </c>
      <c r="K2293" s="7" t="s">
        <v>36</v>
      </c>
      <c r="L2293" s="8">
        <v>27</v>
      </c>
      <c r="M2293" s="7" t="s">
        <v>37</v>
      </c>
      <c r="N2293" s="8">
        <v>87</v>
      </c>
      <c r="O2293" s="8">
        <v>1</v>
      </c>
      <c r="P2293" s="5">
        <v>3157.75</v>
      </c>
      <c r="Q2293" s="4">
        <v>45600</v>
      </c>
      <c r="R2293" s="9">
        <v>0.33994212962962961</v>
      </c>
      <c r="S2293" s="8">
        <v>18</v>
      </c>
      <c r="T2293" s="7" t="s">
        <v>4456</v>
      </c>
      <c r="U2293" s="7" t="s">
        <v>4455</v>
      </c>
      <c r="V22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94" spans="1:22" x14ac:dyDescent="0.35">
      <c r="A2294" s="7" t="s">
        <v>4212</v>
      </c>
      <c r="B2294" s="7" t="s">
        <v>3890</v>
      </c>
      <c r="C2294" s="5">
        <v>1030.8499999999999</v>
      </c>
      <c r="D2294" s="2">
        <v>0.72388888888963265</v>
      </c>
      <c r="E2294" s="4">
        <v>45173</v>
      </c>
      <c r="F2294" s="7" t="s">
        <v>17</v>
      </c>
      <c r="G2294" s="7" t="s">
        <v>18</v>
      </c>
      <c r="H2294" s="7" t="s">
        <v>476</v>
      </c>
      <c r="I2294" s="7" t="s">
        <v>662</v>
      </c>
      <c r="J2294" s="7" t="s">
        <v>406</v>
      </c>
      <c r="K2294" s="7" t="s">
        <v>22</v>
      </c>
      <c r="L2294" s="8">
        <v>25</v>
      </c>
      <c r="M2294" s="7" t="s">
        <v>37</v>
      </c>
      <c r="N2294" s="8">
        <v>39</v>
      </c>
      <c r="O2294" s="8">
        <v>1</v>
      </c>
      <c r="P2294" s="5">
        <v>1941.8</v>
      </c>
      <c r="Q2294" s="4">
        <v>45600</v>
      </c>
      <c r="R2294" s="9">
        <v>0.34098379629629627</v>
      </c>
      <c r="S2294" s="8">
        <v>17</v>
      </c>
      <c r="T2294" s="7" t="s">
        <v>4456</v>
      </c>
      <c r="U2294" s="7" t="s">
        <v>4455</v>
      </c>
      <c r="V22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295" spans="1:22" x14ac:dyDescent="0.35">
      <c r="A2295" s="7" t="s">
        <v>4213</v>
      </c>
      <c r="B2295" s="7" t="s">
        <v>1368</v>
      </c>
      <c r="C2295" s="5">
        <v>141.37</v>
      </c>
      <c r="D2295" s="2">
        <v>0.70428240740875481</v>
      </c>
      <c r="E2295" s="4">
        <v>45128</v>
      </c>
      <c r="F2295" s="7" t="s">
        <v>17</v>
      </c>
      <c r="G2295" s="7" t="s">
        <v>114</v>
      </c>
      <c r="H2295" s="7" t="s">
        <v>1809</v>
      </c>
      <c r="I2295" s="7" t="s">
        <v>1036</v>
      </c>
      <c r="J2295" s="7" t="s">
        <v>607</v>
      </c>
      <c r="K2295" s="7" t="s">
        <v>36</v>
      </c>
      <c r="L2295" s="8">
        <v>46</v>
      </c>
      <c r="M2295" s="7" t="s">
        <v>77</v>
      </c>
      <c r="N2295" s="8">
        <v>77</v>
      </c>
      <c r="O2295" s="8">
        <v>1</v>
      </c>
      <c r="P2295" s="5">
        <v>1019.77</v>
      </c>
      <c r="Q2295" s="4">
        <v>45600</v>
      </c>
      <c r="R2295" s="9">
        <v>0.34144675925925927</v>
      </c>
      <c r="S2295" s="8">
        <v>16</v>
      </c>
      <c r="T2295" s="7" t="s">
        <v>4457</v>
      </c>
      <c r="U2295" s="7" t="s">
        <v>4455</v>
      </c>
      <c r="V22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96" spans="1:22" x14ac:dyDescent="0.35">
      <c r="A2296" s="7" t="s">
        <v>4214</v>
      </c>
      <c r="B2296" s="7" t="s">
        <v>438</v>
      </c>
      <c r="C2296" s="5">
        <v>211.7</v>
      </c>
      <c r="D2296" s="2">
        <v>0.70716435185022419</v>
      </c>
      <c r="E2296" s="4">
        <v>45243</v>
      </c>
      <c r="F2296" s="7" t="s">
        <v>46</v>
      </c>
      <c r="G2296" s="7" t="s">
        <v>265</v>
      </c>
      <c r="H2296" s="7" t="s">
        <v>2990</v>
      </c>
      <c r="I2296" s="7" t="s">
        <v>1523</v>
      </c>
      <c r="J2296" s="7" t="s">
        <v>331</v>
      </c>
      <c r="K2296" s="7" t="s">
        <v>36</v>
      </c>
      <c r="L2296" s="8">
        <v>50</v>
      </c>
      <c r="M2296" s="7" t="s">
        <v>23</v>
      </c>
      <c r="N2296" s="8">
        <v>205</v>
      </c>
      <c r="O2296" s="8">
        <v>1</v>
      </c>
      <c r="P2296" s="5">
        <v>12272.78</v>
      </c>
      <c r="Q2296" s="4">
        <v>45600</v>
      </c>
      <c r="R2296" s="9">
        <v>0.33828703703703705</v>
      </c>
      <c r="S2296" s="8">
        <v>16</v>
      </c>
      <c r="T2296" s="7" t="s">
        <v>4457</v>
      </c>
      <c r="U2296" s="7" t="s">
        <v>4455</v>
      </c>
      <c r="V22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97" spans="1:22" x14ac:dyDescent="0.35">
      <c r="A2297" s="7" t="s">
        <v>4215</v>
      </c>
      <c r="B2297" s="7" t="s">
        <v>3016</v>
      </c>
      <c r="C2297" s="5">
        <v>61.4</v>
      </c>
      <c r="D2297" s="2">
        <v>0.69804398147971369</v>
      </c>
      <c r="E2297" s="4">
        <v>44956</v>
      </c>
      <c r="F2297" s="7" t="s">
        <v>17</v>
      </c>
      <c r="G2297" s="7" t="s">
        <v>223</v>
      </c>
      <c r="H2297" s="7" t="s">
        <v>1493</v>
      </c>
      <c r="I2297" s="7" t="s">
        <v>2091</v>
      </c>
      <c r="J2297" s="7" t="s">
        <v>89</v>
      </c>
      <c r="K2297" s="7" t="s">
        <v>69</v>
      </c>
      <c r="L2297" s="8">
        <v>41</v>
      </c>
      <c r="M2297" s="7" t="s">
        <v>77</v>
      </c>
      <c r="N2297" s="8">
        <v>20</v>
      </c>
      <c r="O2297" s="8">
        <v>2</v>
      </c>
      <c r="P2297" s="5">
        <v>7892.87</v>
      </c>
      <c r="Q2297" s="4">
        <v>45600</v>
      </c>
      <c r="R2297" s="9">
        <v>0.3392013888888889</v>
      </c>
      <c r="S2297" s="8">
        <v>16</v>
      </c>
      <c r="T2297" s="7" t="s">
        <v>4457</v>
      </c>
      <c r="U2297" s="7" t="s">
        <v>4458</v>
      </c>
      <c r="V22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98" spans="1:22" x14ac:dyDescent="0.35">
      <c r="A2298" s="7" t="s">
        <v>4216</v>
      </c>
      <c r="B2298" s="7" t="s">
        <v>3586</v>
      </c>
      <c r="C2298" s="5">
        <v>308.23</v>
      </c>
      <c r="D2298" s="2">
        <v>0.67525462962657912</v>
      </c>
      <c r="E2298" s="4">
        <v>45033</v>
      </c>
      <c r="F2298" s="7" t="s">
        <v>17</v>
      </c>
      <c r="G2298" s="7" t="s">
        <v>146</v>
      </c>
      <c r="H2298" s="7" t="s">
        <v>1429</v>
      </c>
      <c r="I2298" s="7" t="s">
        <v>325</v>
      </c>
      <c r="J2298" s="7" t="s">
        <v>707</v>
      </c>
      <c r="K2298" s="7" t="s">
        <v>22</v>
      </c>
      <c r="L2298" s="8">
        <v>60</v>
      </c>
      <c r="M2298" s="7" t="s">
        <v>70</v>
      </c>
      <c r="N2298" s="8">
        <v>23</v>
      </c>
      <c r="O2298" s="8">
        <v>1</v>
      </c>
      <c r="P2298" s="5">
        <v>4150.63</v>
      </c>
      <c r="Q2298" s="4">
        <v>45600</v>
      </c>
      <c r="R2298" s="9">
        <v>0.34137731481481481</v>
      </c>
      <c r="S2298" s="8">
        <v>16</v>
      </c>
      <c r="T2298" s="7" t="s">
        <v>4454</v>
      </c>
      <c r="U2298" s="7" t="s">
        <v>4455</v>
      </c>
      <c r="V22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299" spans="1:22" x14ac:dyDescent="0.35">
      <c r="A2299" s="7" t="s">
        <v>4217</v>
      </c>
      <c r="B2299" s="7" t="s">
        <v>1206</v>
      </c>
      <c r="C2299" s="5">
        <v>111.41</v>
      </c>
      <c r="D2299" s="2">
        <v>0.72103009259444661</v>
      </c>
      <c r="E2299" s="4">
        <v>45287</v>
      </c>
      <c r="F2299" s="7" t="s">
        <v>17</v>
      </c>
      <c r="G2299" s="7" t="s">
        <v>265</v>
      </c>
      <c r="H2299" s="7" t="s">
        <v>158</v>
      </c>
      <c r="I2299" s="7" t="s">
        <v>503</v>
      </c>
      <c r="J2299" s="7" t="s">
        <v>1281</v>
      </c>
      <c r="K2299" s="7" t="s">
        <v>69</v>
      </c>
      <c r="L2299" s="8">
        <v>21</v>
      </c>
      <c r="M2299" s="7" t="s">
        <v>37</v>
      </c>
      <c r="N2299" s="8">
        <v>181</v>
      </c>
      <c r="O2299" s="8">
        <v>1</v>
      </c>
      <c r="P2299" s="5">
        <v>1204.1099999999999</v>
      </c>
      <c r="Q2299" s="4">
        <v>45600</v>
      </c>
      <c r="R2299" s="9">
        <v>0.34078703703703705</v>
      </c>
      <c r="S2299" s="8">
        <v>17</v>
      </c>
      <c r="T2299" s="7" t="s">
        <v>4456</v>
      </c>
      <c r="U2299" s="7" t="s">
        <v>4455</v>
      </c>
      <c r="V22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00" spans="1:22" x14ac:dyDescent="0.35">
      <c r="A2300" s="7" t="s">
        <v>4218</v>
      </c>
      <c r="B2300" s="7" t="s">
        <v>889</v>
      </c>
      <c r="C2300" s="5">
        <v>675.49</v>
      </c>
      <c r="D2300" s="2">
        <v>0.67839120370626915</v>
      </c>
      <c r="E2300" s="4">
        <v>45000</v>
      </c>
      <c r="F2300" s="7" t="s">
        <v>17</v>
      </c>
      <c r="G2300" s="7" t="s">
        <v>249</v>
      </c>
      <c r="H2300" s="7" t="s">
        <v>1989</v>
      </c>
      <c r="I2300" s="7" t="s">
        <v>963</v>
      </c>
      <c r="J2300" s="7" t="s">
        <v>149</v>
      </c>
      <c r="K2300" s="7" t="s">
        <v>22</v>
      </c>
      <c r="L2300" s="8">
        <v>61</v>
      </c>
      <c r="M2300" s="7" t="s">
        <v>70</v>
      </c>
      <c r="N2300" s="8">
        <v>159</v>
      </c>
      <c r="O2300" s="8">
        <v>1</v>
      </c>
      <c r="P2300" s="5">
        <v>1893</v>
      </c>
      <c r="Q2300" s="4">
        <v>45600</v>
      </c>
      <c r="R2300" s="9">
        <v>0.34082175925925928</v>
      </c>
      <c r="S2300" s="8">
        <v>16</v>
      </c>
      <c r="T2300" s="7" t="s">
        <v>4454</v>
      </c>
      <c r="U2300" s="7" t="s">
        <v>4455</v>
      </c>
      <c r="V23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01" spans="1:22" x14ac:dyDescent="0.35">
      <c r="A2301" s="7" t="s">
        <v>4219</v>
      </c>
      <c r="B2301" s="7" t="s">
        <v>2507</v>
      </c>
      <c r="C2301" s="5">
        <v>29.72</v>
      </c>
      <c r="D2301" s="2">
        <v>0.71965277777781012</v>
      </c>
      <c r="E2301" s="4">
        <v>45126</v>
      </c>
      <c r="F2301" s="7" t="s">
        <v>17</v>
      </c>
      <c r="G2301" s="7" t="s">
        <v>237</v>
      </c>
      <c r="H2301" s="7" t="s">
        <v>3490</v>
      </c>
      <c r="I2301" s="7" t="s">
        <v>627</v>
      </c>
      <c r="J2301" s="7" t="s">
        <v>820</v>
      </c>
      <c r="K2301" s="7" t="s">
        <v>22</v>
      </c>
      <c r="L2301" s="8">
        <v>26</v>
      </c>
      <c r="M2301" s="7" t="s">
        <v>37</v>
      </c>
      <c r="N2301" s="8">
        <v>38</v>
      </c>
      <c r="O2301" s="8">
        <v>1</v>
      </c>
      <c r="P2301" s="5">
        <v>1059.6199999999999</v>
      </c>
      <c r="Q2301" s="4">
        <v>45600</v>
      </c>
      <c r="R2301" s="9">
        <v>0.33877314814814813</v>
      </c>
      <c r="S2301" s="8">
        <v>17</v>
      </c>
      <c r="T2301" s="7" t="s">
        <v>4456</v>
      </c>
      <c r="U2301" s="7" t="s">
        <v>4455</v>
      </c>
      <c r="V23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02" spans="1:22" x14ac:dyDescent="0.35">
      <c r="A2302" s="7" t="s">
        <v>4220</v>
      </c>
      <c r="B2302" s="7" t="s">
        <v>4221</v>
      </c>
      <c r="C2302" s="5">
        <v>301.73</v>
      </c>
      <c r="D2302" s="2">
        <v>0.69511574073840166</v>
      </c>
      <c r="E2302" s="4">
        <v>45104</v>
      </c>
      <c r="F2302" s="7" t="s">
        <v>17</v>
      </c>
      <c r="G2302" s="7" t="s">
        <v>255</v>
      </c>
      <c r="H2302" s="7" t="s">
        <v>1838</v>
      </c>
      <c r="I2302" s="7" t="s">
        <v>3857</v>
      </c>
      <c r="J2302" s="7" t="s">
        <v>252</v>
      </c>
      <c r="K2302" s="7" t="s">
        <v>36</v>
      </c>
      <c r="L2302" s="8">
        <v>67</v>
      </c>
      <c r="M2302" s="7" t="s">
        <v>23</v>
      </c>
      <c r="N2302" s="8">
        <v>163</v>
      </c>
      <c r="O2302" s="8">
        <v>1</v>
      </c>
      <c r="P2302" s="5">
        <v>990.74</v>
      </c>
      <c r="Q2302" s="4">
        <v>45600</v>
      </c>
      <c r="R2302" s="9">
        <v>0.33831018518518519</v>
      </c>
      <c r="S2302" s="8">
        <v>16</v>
      </c>
      <c r="T2302" s="7" t="s">
        <v>4454</v>
      </c>
      <c r="U2302" s="7" t="s">
        <v>4455</v>
      </c>
      <c r="V23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03" spans="1:22" x14ac:dyDescent="0.35">
      <c r="A2303" s="7" t="s">
        <v>4222</v>
      </c>
      <c r="B2303" s="7" t="s">
        <v>1121</v>
      </c>
      <c r="C2303" s="5">
        <v>294.61</v>
      </c>
      <c r="D2303" s="2">
        <v>0.78682870370539604</v>
      </c>
      <c r="E2303" s="4">
        <v>45197</v>
      </c>
      <c r="F2303" s="7" t="s">
        <v>17</v>
      </c>
      <c r="G2303" s="7" t="s">
        <v>296</v>
      </c>
      <c r="H2303" s="7" t="s">
        <v>955</v>
      </c>
      <c r="I2303" s="7" t="s">
        <v>696</v>
      </c>
      <c r="J2303" s="7" t="s">
        <v>246</v>
      </c>
      <c r="K2303" s="7" t="s">
        <v>69</v>
      </c>
      <c r="L2303" s="8">
        <v>60</v>
      </c>
      <c r="M2303" s="7" t="s">
        <v>70</v>
      </c>
      <c r="N2303" s="8">
        <v>74</v>
      </c>
      <c r="O2303" s="8">
        <v>1</v>
      </c>
      <c r="P2303" s="5">
        <v>7375.59</v>
      </c>
      <c r="Q2303" s="4">
        <v>45600</v>
      </c>
      <c r="R2303" s="9">
        <v>0.33857638888888891</v>
      </c>
      <c r="S2303" s="8">
        <v>18</v>
      </c>
      <c r="T2303" s="7" t="s">
        <v>4454</v>
      </c>
      <c r="U2303" s="7" t="s">
        <v>4455</v>
      </c>
      <c r="V23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04" spans="1:22" x14ac:dyDescent="0.35">
      <c r="A2304" s="7" t="s">
        <v>4223</v>
      </c>
      <c r="B2304" s="7" t="s">
        <v>1023</v>
      </c>
      <c r="C2304" s="5">
        <v>106.43</v>
      </c>
      <c r="D2304" s="2">
        <v>0.73069444444263354</v>
      </c>
      <c r="E2304" s="4">
        <v>45033</v>
      </c>
      <c r="F2304" s="7" t="s">
        <v>46</v>
      </c>
      <c r="G2304" s="7" t="s">
        <v>425</v>
      </c>
      <c r="H2304" s="7" t="s">
        <v>2029</v>
      </c>
      <c r="I2304" s="7" t="s">
        <v>1370</v>
      </c>
      <c r="J2304" s="7" t="s">
        <v>370</v>
      </c>
      <c r="K2304" s="7" t="s">
        <v>22</v>
      </c>
      <c r="L2304" s="8">
        <v>52</v>
      </c>
      <c r="M2304" s="7" t="s">
        <v>77</v>
      </c>
      <c r="N2304" s="8">
        <v>164</v>
      </c>
      <c r="O2304" s="8">
        <v>1</v>
      </c>
      <c r="P2304" s="5">
        <v>9403.1200000000008</v>
      </c>
      <c r="Q2304" s="4">
        <v>45600</v>
      </c>
      <c r="R2304" s="9">
        <v>0.34068287037037037</v>
      </c>
      <c r="S2304" s="8">
        <v>17</v>
      </c>
      <c r="T2304" s="7" t="s">
        <v>4457</v>
      </c>
      <c r="U2304" s="7" t="s">
        <v>4455</v>
      </c>
      <c r="V23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05" spans="1:22" x14ac:dyDescent="0.35">
      <c r="A2305" s="7" t="s">
        <v>4224</v>
      </c>
      <c r="B2305" s="7" t="s">
        <v>3465</v>
      </c>
      <c r="C2305" s="5">
        <v>381.52</v>
      </c>
      <c r="D2305" s="2">
        <v>0.69597222222364508</v>
      </c>
      <c r="E2305" s="4">
        <v>45250</v>
      </c>
      <c r="F2305" s="7" t="s">
        <v>17</v>
      </c>
      <c r="G2305" s="7" t="s">
        <v>59</v>
      </c>
      <c r="H2305" s="7" t="s">
        <v>4225</v>
      </c>
      <c r="I2305" s="7" t="s">
        <v>110</v>
      </c>
      <c r="J2305" s="7" t="s">
        <v>29</v>
      </c>
      <c r="K2305" s="7" t="s">
        <v>36</v>
      </c>
      <c r="L2305" s="8">
        <v>36</v>
      </c>
      <c r="M2305" s="7" t="s">
        <v>23</v>
      </c>
      <c r="N2305" s="8">
        <v>79</v>
      </c>
      <c r="O2305" s="8">
        <v>1</v>
      </c>
      <c r="P2305" s="5">
        <v>5798.92</v>
      </c>
      <c r="Q2305" s="4">
        <v>45600</v>
      </c>
      <c r="R2305" s="9">
        <v>0.34105324074074073</v>
      </c>
      <c r="S2305" s="8">
        <v>16</v>
      </c>
      <c r="T2305" s="7" t="s">
        <v>4457</v>
      </c>
      <c r="U2305" s="7" t="s">
        <v>4455</v>
      </c>
      <c r="V23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06" spans="1:22" x14ac:dyDescent="0.35">
      <c r="A2306" s="7" t="s">
        <v>4226</v>
      </c>
      <c r="B2306" s="7" t="s">
        <v>2949</v>
      </c>
      <c r="C2306" s="5">
        <v>1142.76</v>
      </c>
      <c r="D2306" s="2">
        <v>0.71541666666598758</v>
      </c>
      <c r="E2306" s="4">
        <v>45000</v>
      </c>
      <c r="F2306" s="7" t="s">
        <v>46</v>
      </c>
      <c r="G2306" s="7" t="s">
        <v>26</v>
      </c>
      <c r="H2306" s="7" t="s">
        <v>2034</v>
      </c>
      <c r="I2306" s="7" t="s">
        <v>361</v>
      </c>
      <c r="J2306" s="7" t="s">
        <v>707</v>
      </c>
      <c r="K2306" s="7" t="s">
        <v>36</v>
      </c>
      <c r="L2306" s="8">
        <v>25</v>
      </c>
      <c r="M2306" s="7" t="s">
        <v>37</v>
      </c>
      <c r="N2306" s="8">
        <v>71</v>
      </c>
      <c r="O2306" s="8">
        <v>1</v>
      </c>
      <c r="P2306" s="5">
        <v>1498.93</v>
      </c>
      <c r="Q2306" s="4">
        <v>45600</v>
      </c>
      <c r="R2306" s="9">
        <v>0.34031250000000002</v>
      </c>
      <c r="S2306" s="8">
        <v>17</v>
      </c>
      <c r="T2306" s="7" t="s">
        <v>4456</v>
      </c>
      <c r="U2306" s="7" t="s">
        <v>4455</v>
      </c>
      <c r="V23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07" spans="1:22" x14ac:dyDescent="0.35">
      <c r="A2307" s="7" t="s">
        <v>4227</v>
      </c>
      <c r="B2307" s="7" t="s">
        <v>222</v>
      </c>
      <c r="C2307" s="5">
        <v>5.66</v>
      </c>
      <c r="D2307" s="2">
        <v>0.78028935185284354</v>
      </c>
      <c r="E2307" s="4">
        <v>45264</v>
      </c>
      <c r="F2307" s="7" t="s">
        <v>17</v>
      </c>
      <c r="G2307" s="7" t="s">
        <v>558</v>
      </c>
      <c r="H2307" s="7" t="s">
        <v>852</v>
      </c>
      <c r="I2307" s="7" t="s">
        <v>257</v>
      </c>
      <c r="J2307" s="7" t="s">
        <v>175</v>
      </c>
      <c r="K2307" s="7" t="s">
        <v>69</v>
      </c>
      <c r="L2307" s="8">
        <v>40</v>
      </c>
      <c r="M2307" s="7" t="s">
        <v>77</v>
      </c>
      <c r="N2307" s="8">
        <v>33</v>
      </c>
      <c r="O2307" s="8">
        <v>1</v>
      </c>
      <c r="P2307" s="5">
        <v>5434.64</v>
      </c>
      <c r="Q2307" s="4">
        <v>45600</v>
      </c>
      <c r="R2307" s="9">
        <v>0.3414699074074074</v>
      </c>
      <c r="S2307" s="8">
        <v>18</v>
      </c>
      <c r="T2307" s="7" t="s">
        <v>4457</v>
      </c>
      <c r="U2307" s="7" t="s">
        <v>4455</v>
      </c>
      <c r="V23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08" spans="1:22" x14ac:dyDescent="0.35">
      <c r="A2308" s="7" t="s">
        <v>4228</v>
      </c>
      <c r="B2308" s="7" t="s">
        <v>1176</v>
      </c>
      <c r="C2308" s="5">
        <v>209.09</v>
      </c>
      <c r="D2308" s="2">
        <v>0.78108796296146465</v>
      </c>
      <c r="E2308" s="4">
        <v>45237</v>
      </c>
      <c r="F2308" s="7" t="s">
        <v>17</v>
      </c>
      <c r="G2308" s="7" t="s">
        <v>301</v>
      </c>
      <c r="H2308" s="7" t="s">
        <v>1967</v>
      </c>
      <c r="I2308" s="7" t="s">
        <v>765</v>
      </c>
      <c r="J2308" s="7" t="s">
        <v>50</v>
      </c>
      <c r="K2308" s="7" t="s">
        <v>22</v>
      </c>
      <c r="L2308" s="8">
        <v>48</v>
      </c>
      <c r="M2308" s="7" t="s">
        <v>23</v>
      </c>
      <c r="N2308" s="8">
        <v>203</v>
      </c>
      <c r="O2308" s="8">
        <v>1</v>
      </c>
      <c r="P2308" s="5">
        <v>9100.81</v>
      </c>
      <c r="Q2308" s="4">
        <v>45600</v>
      </c>
      <c r="R2308" s="9">
        <v>0.33785879629629628</v>
      </c>
      <c r="S2308" s="8">
        <v>18</v>
      </c>
      <c r="T2308" s="7" t="s">
        <v>4457</v>
      </c>
      <c r="U2308" s="7" t="s">
        <v>4455</v>
      </c>
      <c r="V23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09" spans="1:22" x14ac:dyDescent="0.35">
      <c r="A2309" s="7" t="s">
        <v>4229</v>
      </c>
      <c r="B2309" s="7" t="s">
        <v>1854</v>
      </c>
      <c r="C2309" s="5">
        <v>521.80999999999995</v>
      </c>
      <c r="D2309" s="2">
        <v>0.72681712963094469</v>
      </c>
      <c r="E2309" s="4">
        <v>45246</v>
      </c>
      <c r="F2309" s="7" t="s">
        <v>17</v>
      </c>
      <c r="G2309" s="7" t="s">
        <v>301</v>
      </c>
      <c r="H2309" s="7" t="s">
        <v>4230</v>
      </c>
      <c r="I2309" s="7" t="s">
        <v>99</v>
      </c>
      <c r="J2309" s="7" t="s">
        <v>707</v>
      </c>
      <c r="K2309" s="7" t="s">
        <v>22</v>
      </c>
      <c r="L2309" s="8">
        <v>47</v>
      </c>
      <c r="M2309" s="7" t="s">
        <v>77</v>
      </c>
      <c r="N2309" s="8">
        <v>34</v>
      </c>
      <c r="O2309" s="8">
        <v>1</v>
      </c>
      <c r="P2309" s="5">
        <v>4750.96</v>
      </c>
      <c r="Q2309" s="4">
        <v>45600</v>
      </c>
      <c r="R2309" s="9">
        <v>0.33850694444444446</v>
      </c>
      <c r="S2309" s="8">
        <v>17</v>
      </c>
      <c r="T2309" s="7" t="s">
        <v>4457</v>
      </c>
      <c r="U2309" s="7" t="s">
        <v>4455</v>
      </c>
      <c r="V23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10" spans="1:22" x14ac:dyDescent="0.35">
      <c r="A2310" s="7" t="s">
        <v>4231</v>
      </c>
      <c r="B2310" s="7" t="s">
        <v>2616</v>
      </c>
      <c r="C2310" s="5">
        <v>588.36</v>
      </c>
      <c r="D2310" s="2">
        <v>0.67273148147796746</v>
      </c>
      <c r="E2310" s="4">
        <v>44935</v>
      </c>
      <c r="F2310" s="7" t="s">
        <v>17</v>
      </c>
      <c r="G2310" s="7" t="s">
        <v>249</v>
      </c>
      <c r="H2310" s="7" t="s">
        <v>2397</v>
      </c>
      <c r="I2310" s="7" t="s">
        <v>3352</v>
      </c>
      <c r="J2310" s="7" t="s">
        <v>1524</v>
      </c>
      <c r="K2310" s="7" t="s">
        <v>36</v>
      </c>
      <c r="L2310" s="8">
        <v>33</v>
      </c>
      <c r="M2310" s="7" t="s">
        <v>77</v>
      </c>
      <c r="N2310" s="8">
        <v>134</v>
      </c>
      <c r="O2310" s="8">
        <v>1</v>
      </c>
      <c r="P2310" s="5">
        <v>8434.99</v>
      </c>
      <c r="Q2310" s="4">
        <v>45600</v>
      </c>
      <c r="R2310" s="9">
        <v>0.34053240740740742</v>
      </c>
      <c r="S2310" s="8">
        <v>16</v>
      </c>
      <c r="T2310" s="7" t="s">
        <v>4456</v>
      </c>
      <c r="U2310" s="7" t="s">
        <v>4455</v>
      </c>
      <c r="V23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11" spans="1:22" x14ac:dyDescent="0.35">
      <c r="A2311" s="7" t="s">
        <v>4232</v>
      </c>
      <c r="B2311" s="7" t="s">
        <v>756</v>
      </c>
      <c r="C2311" s="5">
        <v>146.66999999999999</v>
      </c>
      <c r="D2311" s="2">
        <v>0.67013888889050577</v>
      </c>
      <c r="E2311" s="4">
        <v>45230</v>
      </c>
      <c r="F2311" s="7" t="s">
        <v>17</v>
      </c>
      <c r="G2311" s="7" t="s">
        <v>86</v>
      </c>
      <c r="H2311" s="7" t="s">
        <v>1031</v>
      </c>
      <c r="I2311" s="7" t="s">
        <v>2353</v>
      </c>
      <c r="J2311" s="7" t="s">
        <v>105</v>
      </c>
      <c r="K2311" s="7" t="s">
        <v>36</v>
      </c>
      <c r="L2311" s="8">
        <v>20</v>
      </c>
      <c r="M2311" s="7" t="s">
        <v>37</v>
      </c>
      <c r="N2311" s="8">
        <v>273</v>
      </c>
      <c r="O2311" s="8">
        <v>1</v>
      </c>
      <c r="P2311" s="5">
        <v>1569.75</v>
      </c>
      <c r="Q2311" s="4">
        <v>45600</v>
      </c>
      <c r="R2311" s="9">
        <v>0.34104166666666669</v>
      </c>
      <c r="S2311" s="8">
        <v>16</v>
      </c>
      <c r="T2311" s="7" t="s">
        <v>4456</v>
      </c>
      <c r="U2311" s="7" t="s">
        <v>4455</v>
      </c>
      <c r="V23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12" spans="1:22" x14ac:dyDescent="0.35">
      <c r="A2312" s="7" t="s">
        <v>4233</v>
      </c>
      <c r="B2312" s="7" t="s">
        <v>2530</v>
      </c>
      <c r="C2312" s="5">
        <v>176.52</v>
      </c>
      <c r="D2312" s="2">
        <v>0.71270833333255723</v>
      </c>
      <c r="E2312" s="4">
        <v>44999</v>
      </c>
      <c r="F2312" s="7" t="s">
        <v>46</v>
      </c>
      <c r="G2312" s="7" t="s">
        <v>18</v>
      </c>
      <c r="H2312" s="7" t="s">
        <v>3318</v>
      </c>
      <c r="I2312" s="7" t="s">
        <v>799</v>
      </c>
      <c r="J2312" s="7" t="s">
        <v>154</v>
      </c>
      <c r="K2312" s="7" t="s">
        <v>36</v>
      </c>
      <c r="L2312" s="8">
        <v>73</v>
      </c>
      <c r="M2312" s="7" t="s">
        <v>70</v>
      </c>
      <c r="N2312" s="8">
        <v>94</v>
      </c>
      <c r="O2312" s="8">
        <v>5</v>
      </c>
      <c r="P2312" s="5">
        <v>7132.08</v>
      </c>
      <c r="Q2312" s="4">
        <v>45600</v>
      </c>
      <c r="R2312" s="9">
        <v>0.33936342592592594</v>
      </c>
      <c r="S2312" s="8">
        <v>17</v>
      </c>
      <c r="T2312" s="7" t="s">
        <v>4454</v>
      </c>
      <c r="U2312" s="7" t="s">
        <v>4458</v>
      </c>
      <c r="V23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13" spans="1:22" x14ac:dyDescent="0.35">
      <c r="A2313" s="7" t="s">
        <v>4234</v>
      </c>
      <c r="B2313" s="7" t="s">
        <v>594</v>
      </c>
      <c r="C2313" s="5">
        <v>57.34</v>
      </c>
      <c r="D2313" s="2">
        <v>0.66931712962832535</v>
      </c>
      <c r="E2313" s="4">
        <v>45222</v>
      </c>
      <c r="F2313" s="7" t="s">
        <v>17</v>
      </c>
      <c r="G2313" s="7" t="s">
        <v>47</v>
      </c>
      <c r="H2313" s="7" t="s">
        <v>4235</v>
      </c>
      <c r="I2313" s="7" t="s">
        <v>3721</v>
      </c>
      <c r="J2313" s="7" t="s">
        <v>548</v>
      </c>
      <c r="K2313" s="7" t="s">
        <v>36</v>
      </c>
      <c r="L2313" s="8">
        <v>27</v>
      </c>
      <c r="M2313" s="7" t="s">
        <v>37</v>
      </c>
      <c r="N2313" s="8">
        <v>81</v>
      </c>
      <c r="O2313" s="8">
        <v>1</v>
      </c>
      <c r="P2313" s="5">
        <v>1100.6400000000001</v>
      </c>
      <c r="Q2313" s="4">
        <v>45600</v>
      </c>
      <c r="R2313" s="9">
        <v>0.34053240740740742</v>
      </c>
      <c r="S2313" s="8">
        <v>16</v>
      </c>
      <c r="T2313" s="7" t="s">
        <v>4456</v>
      </c>
      <c r="U2313" s="7" t="s">
        <v>4455</v>
      </c>
      <c r="V23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14" spans="1:22" x14ac:dyDescent="0.35">
      <c r="A2314" s="7" t="s">
        <v>4236</v>
      </c>
      <c r="B2314" s="7" t="s">
        <v>1659</v>
      </c>
      <c r="C2314" s="5">
        <v>294.77</v>
      </c>
      <c r="D2314" s="2">
        <v>0.7201273148166365</v>
      </c>
      <c r="E2314" s="4">
        <v>45209</v>
      </c>
      <c r="F2314" s="7" t="s">
        <v>17</v>
      </c>
      <c r="G2314" s="7" t="s">
        <v>243</v>
      </c>
      <c r="H2314" s="7" t="s">
        <v>1479</v>
      </c>
      <c r="I2314" s="7" t="s">
        <v>3364</v>
      </c>
      <c r="J2314" s="7" t="s">
        <v>343</v>
      </c>
      <c r="K2314" s="7" t="s">
        <v>36</v>
      </c>
      <c r="L2314" s="8">
        <v>77</v>
      </c>
      <c r="M2314" s="7" t="s">
        <v>70</v>
      </c>
      <c r="N2314" s="8">
        <v>101</v>
      </c>
      <c r="O2314" s="8">
        <v>1</v>
      </c>
      <c r="P2314" s="5">
        <v>2272.17</v>
      </c>
      <c r="Q2314" s="4">
        <v>45600</v>
      </c>
      <c r="R2314" s="9">
        <v>0.34030092592592592</v>
      </c>
      <c r="S2314" s="8">
        <v>17</v>
      </c>
      <c r="T2314" s="7" t="s">
        <v>4454</v>
      </c>
      <c r="U2314" s="7" t="s">
        <v>4455</v>
      </c>
      <c r="V23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15" spans="1:22" x14ac:dyDescent="0.35">
      <c r="A2315" s="7" t="s">
        <v>4237</v>
      </c>
      <c r="B2315" s="7" t="s">
        <v>2179</v>
      </c>
      <c r="C2315" s="5">
        <v>881.32</v>
      </c>
      <c r="D2315" s="2">
        <v>0.72850694444787223</v>
      </c>
      <c r="E2315" s="4">
        <v>45169</v>
      </c>
      <c r="F2315" s="7" t="s">
        <v>17</v>
      </c>
      <c r="G2315" s="7" t="s">
        <v>506</v>
      </c>
      <c r="H2315" s="7" t="s">
        <v>1734</v>
      </c>
      <c r="I2315" s="7" t="s">
        <v>3526</v>
      </c>
      <c r="J2315" s="7" t="s">
        <v>21</v>
      </c>
      <c r="K2315" s="7" t="s">
        <v>36</v>
      </c>
      <c r="L2315" s="8">
        <v>31</v>
      </c>
      <c r="M2315" s="7" t="s">
        <v>77</v>
      </c>
      <c r="N2315" s="8">
        <v>59</v>
      </c>
      <c r="O2315" s="8">
        <v>1</v>
      </c>
      <c r="P2315" s="5">
        <v>2287.9299999999998</v>
      </c>
      <c r="Q2315" s="4">
        <v>45600</v>
      </c>
      <c r="R2315" s="9">
        <v>0.33810185185185188</v>
      </c>
      <c r="S2315" s="8">
        <v>17</v>
      </c>
      <c r="T2315" s="7" t="s">
        <v>4456</v>
      </c>
      <c r="U2315" s="7" t="s">
        <v>4455</v>
      </c>
      <c r="V23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16" spans="1:22" x14ac:dyDescent="0.35">
      <c r="A2316" s="7" t="s">
        <v>4238</v>
      </c>
      <c r="B2316" s="7" t="s">
        <v>843</v>
      </c>
      <c r="C2316" s="5">
        <v>162.59</v>
      </c>
      <c r="D2316" s="2">
        <v>0.67953703703824431</v>
      </c>
      <c r="E2316" s="4">
        <v>44979</v>
      </c>
      <c r="F2316" s="7" t="s">
        <v>17</v>
      </c>
      <c r="G2316" s="7" t="s">
        <v>65</v>
      </c>
      <c r="H2316" s="7" t="s">
        <v>1777</v>
      </c>
      <c r="I2316" s="7" t="s">
        <v>1953</v>
      </c>
      <c r="J2316" s="7" t="s">
        <v>634</v>
      </c>
      <c r="K2316" s="7" t="s">
        <v>69</v>
      </c>
      <c r="L2316" s="8">
        <v>64</v>
      </c>
      <c r="M2316" s="7" t="s">
        <v>70</v>
      </c>
      <c r="N2316" s="8">
        <v>19</v>
      </c>
      <c r="O2316" s="8">
        <v>1</v>
      </c>
      <c r="P2316" s="5">
        <v>7104.83</v>
      </c>
      <c r="Q2316" s="4">
        <v>45600</v>
      </c>
      <c r="R2316" s="9">
        <v>0.3394212962962963</v>
      </c>
      <c r="S2316" s="8">
        <v>16</v>
      </c>
      <c r="T2316" s="7" t="s">
        <v>4454</v>
      </c>
      <c r="U2316" s="7" t="s">
        <v>4455</v>
      </c>
      <c r="V23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17" spans="1:22" x14ac:dyDescent="0.35">
      <c r="A2317" s="7" t="s">
        <v>4239</v>
      </c>
      <c r="B2317" s="7" t="s">
        <v>2701</v>
      </c>
      <c r="C2317" s="5">
        <v>56.15</v>
      </c>
      <c r="D2317" s="2">
        <v>0.78714120370568708</v>
      </c>
      <c r="E2317" s="4">
        <v>45288</v>
      </c>
      <c r="F2317" s="7" t="s">
        <v>17</v>
      </c>
      <c r="G2317" s="7" t="s">
        <v>80</v>
      </c>
      <c r="H2317" s="7" t="s">
        <v>4240</v>
      </c>
      <c r="I2317" s="7" t="s">
        <v>3334</v>
      </c>
      <c r="J2317" s="7" t="s">
        <v>548</v>
      </c>
      <c r="K2317" s="7" t="s">
        <v>69</v>
      </c>
      <c r="L2317" s="8">
        <v>31</v>
      </c>
      <c r="M2317" s="7" t="s">
        <v>23</v>
      </c>
      <c r="N2317" s="8">
        <v>77</v>
      </c>
      <c r="O2317" s="8">
        <v>1</v>
      </c>
      <c r="P2317" s="5">
        <v>13265.92</v>
      </c>
      <c r="Q2317" s="4">
        <v>45600</v>
      </c>
      <c r="R2317" s="9">
        <v>0.33961805555555558</v>
      </c>
      <c r="S2317" s="8">
        <v>18</v>
      </c>
      <c r="T2317" s="7" t="s">
        <v>4456</v>
      </c>
      <c r="U2317" s="7" t="s">
        <v>4455</v>
      </c>
      <c r="V23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18" spans="1:22" x14ac:dyDescent="0.35">
      <c r="A2318" s="7" t="s">
        <v>4241</v>
      </c>
      <c r="B2318" s="7" t="s">
        <v>1520</v>
      </c>
      <c r="C2318" s="5">
        <v>524.54999999999995</v>
      </c>
      <c r="D2318" s="2">
        <v>0.68888888888614019</v>
      </c>
      <c r="E2318" s="4">
        <v>45188</v>
      </c>
      <c r="F2318" s="7" t="s">
        <v>17</v>
      </c>
      <c r="G2318" s="7" t="s">
        <v>506</v>
      </c>
      <c r="H2318" s="7" t="s">
        <v>2698</v>
      </c>
      <c r="I2318" s="7" t="s">
        <v>1309</v>
      </c>
      <c r="J2318" s="7" t="s">
        <v>137</v>
      </c>
      <c r="K2318" s="7" t="s">
        <v>22</v>
      </c>
      <c r="L2318" s="8">
        <v>39</v>
      </c>
      <c r="M2318" s="7" t="s">
        <v>23</v>
      </c>
      <c r="N2318" s="8">
        <v>175</v>
      </c>
      <c r="O2318" s="8">
        <v>1</v>
      </c>
      <c r="P2318" s="5">
        <v>8292.75</v>
      </c>
      <c r="Q2318" s="4">
        <v>45600</v>
      </c>
      <c r="R2318" s="9">
        <v>0.33819444444444446</v>
      </c>
      <c r="S2318" s="8">
        <v>16</v>
      </c>
      <c r="T2318" s="7" t="s">
        <v>4457</v>
      </c>
      <c r="U2318" s="7" t="s">
        <v>4455</v>
      </c>
      <c r="V23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19" spans="1:22" x14ac:dyDescent="0.35">
      <c r="A2319" s="7" t="s">
        <v>4242</v>
      </c>
      <c r="B2319" s="7" t="s">
        <v>913</v>
      </c>
      <c r="C2319" s="5">
        <v>535.4</v>
      </c>
      <c r="D2319" s="2">
        <v>0.77651620370306773</v>
      </c>
      <c r="E2319" s="4">
        <v>45058</v>
      </c>
      <c r="F2319" s="7" t="s">
        <v>17</v>
      </c>
      <c r="G2319" s="7" t="s">
        <v>18</v>
      </c>
      <c r="H2319" s="7" t="s">
        <v>457</v>
      </c>
      <c r="I2319" s="7" t="s">
        <v>230</v>
      </c>
      <c r="J2319" s="7" t="s">
        <v>282</v>
      </c>
      <c r="K2319" s="7" t="s">
        <v>69</v>
      </c>
      <c r="L2319" s="8">
        <v>23</v>
      </c>
      <c r="M2319" s="7" t="s">
        <v>37</v>
      </c>
      <c r="N2319" s="8">
        <v>110</v>
      </c>
      <c r="O2319" s="8">
        <v>1</v>
      </c>
      <c r="P2319" s="5">
        <v>651.84</v>
      </c>
      <c r="Q2319" s="4">
        <v>45600</v>
      </c>
      <c r="R2319" s="9">
        <v>0.33946759259259257</v>
      </c>
      <c r="S2319" s="8">
        <v>18</v>
      </c>
      <c r="T2319" s="7" t="s">
        <v>4456</v>
      </c>
      <c r="U2319" s="7" t="s">
        <v>4455</v>
      </c>
      <c r="V23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20" spans="1:22" x14ac:dyDescent="0.35">
      <c r="A2320" s="7" t="s">
        <v>4243</v>
      </c>
      <c r="B2320" s="7" t="s">
        <v>801</v>
      </c>
      <c r="C2320" s="5">
        <v>56.84</v>
      </c>
      <c r="D2320" s="2">
        <v>0.72881944444088731</v>
      </c>
      <c r="E2320" s="4">
        <v>45152</v>
      </c>
      <c r="F2320" s="7" t="s">
        <v>17</v>
      </c>
      <c r="G2320" s="7" t="s">
        <v>40</v>
      </c>
      <c r="H2320" s="7" t="s">
        <v>3845</v>
      </c>
      <c r="I2320" s="7" t="s">
        <v>1202</v>
      </c>
      <c r="J2320" s="7" t="s">
        <v>769</v>
      </c>
      <c r="K2320" s="7" t="s">
        <v>22</v>
      </c>
      <c r="L2320" s="8">
        <v>45</v>
      </c>
      <c r="M2320" s="7" t="s">
        <v>77</v>
      </c>
      <c r="N2320" s="8">
        <v>185</v>
      </c>
      <c r="O2320" s="8">
        <v>1</v>
      </c>
      <c r="P2320" s="5">
        <v>7977.78</v>
      </c>
      <c r="Q2320" s="4">
        <v>45600</v>
      </c>
      <c r="R2320" s="9">
        <v>0.34019675925925924</v>
      </c>
      <c r="S2320" s="8">
        <v>17</v>
      </c>
      <c r="T2320" s="7" t="s">
        <v>4457</v>
      </c>
      <c r="U2320" s="7" t="s">
        <v>4455</v>
      </c>
      <c r="V23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21" spans="1:22" x14ac:dyDescent="0.35">
      <c r="A2321" s="7" t="s">
        <v>4244</v>
      </c>
      <c r="B2321" s="7" t="s">
        <v>3136</v>
      </c>
      <c r="C2321" s="5">
        <v>135.94</v>
      </c>
      <c r="D2321" s="2">
        <v>0.70037037037400296</v>
      </c>
      <c r="E2321" s="4">
        <v>44944</v>
      </c>
      <c r="F2321" s="7" t="s">
        <v>17</v>
      </c>
      <c r="G2321" s="7" t="s">
        <v>26</v>
      </c>
      <c r="H2321" s="7" t="s">
        <v>582</v>
      </c>
      <c r="I2321" s="7" t="s">
        <v>2775</v>
      </c>
      <c r="J2321" s="7" t="s">
        <v>68</v>
      </c>
      <c r="K2321" s="7" t="s">
        <v>69</v>
      </c>
      <c r="L2321" s="8">
        <v>71</v>
      </c>
      <c r="M2321" s="7" t="s">
        <v>70</v>
      </c>
      <c r="N2321" s="8">
        <v>258</v>
      </c>
      <c r="O2321" s="8">
        <v>1</v>
      </c>
      <c r="P2321" s="5">
        <v>4710.21</v>
      </c>
      <c r="Q2321" s="4">
        <v>45600</v>
      </c>
      <c r="R2321" s="9">
        <v>0.34030092592592592</v>
      </c>
      <c r="S2321" s="8">
        <v>16</v>
      </c>
      <c r="T2321" s="7" t="s">
        <v>4454</v>
      </c>
      <c r="U2321" s="7" t="s">
        <v>4455</v>
      </c>
      <c r="V23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22" spans="1:22" x14ac:dyDescent="0.35">
      <c r="A2322" s="7" t="s">
        <v>4245</v>
      </c>
      <c r="B2322" s="7" t="s">
        <v>367</v>
      </c>
      <c r="C2322" s="5">
        <v>47.1</v>
      </c>
      <c r="D2322" s="2">
        <v>0.72695601851592073</v>
      </c>
      <c r="E2322" s="4">
        <v>45110</v>
      </c>
      <c r="F2322" s="7" t="s">
        <v>46</v>
      </c>
      <c r="G2322" s="7" t="s">
        <v>453</v>
      </c>
      <c r="H2322" s="7" t="s">
        <v>2944</v>
      </c>
      <c r="I2322" s="7" t="s">
        <v>894</v>
      </c>
      <c r="J2322" s="7" t="s">
        <v>1037</v>
      </c>
      <c r="K2322" s="7" t="s">
        <v>69</v>
      </c>
      <c r="L2322" s="8">
        <v>42</v>
      </c>
      <c r="M2322" s="7" t="s">
        <v>23</v>
      </c>
      <c r="N2322" s="8">
        <v>178</v>
      </c>
      <c r="O2322" s="8">
        <v>1</v>
      </c>
      <c r="P2322" s="5">
        <v>6308.07</v>
      </c>
      <c r="Q2322" s="4">
        <v>45600</v>
      </c>
      <c r="R2322" s="9">
        <v>0.34004629629629629</v>
      </c>
      <c r="S2322" s="8">
        <v>17</v>
      </c>
      <c r="T2322" s="7" t="s">
        <v>4457</v>
      </c>
      <c r="U2322" s="7" t="s">
        <v>4455</v>
      </c>
      <c r="V23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23" spans="1:22" x14ac:dyDescent="0.35">
      <c r="A2323" s="7" t="s">
        <v>4246</v>
      </c>
      <c r="B2323" s="7" t="s">
        <v>1854</v>
      </c>
      <c r="C2323" s="5">
        <v>124.05</v>
      </c>
      <c r="D2323" s="2">
        <v>0.70141203703678912</v>
      </c>
      <c r="E2323" s="4">
        <v>45224</v>
      </c>
      <c r="F2323" s="7" t="s">
        <v>46</v>
      </c>
      <c r="G2323" s="7" t="s">
        <v>86</v>
      </c>
      <c r="H2323" s="7" t="s">
        <v>955</v>
      </c>
      <c r="I2323" s="7" t="s">
        <v>870</v>
      </c>
      <c r="J2323" s="7" t="s">
        <v>1000</v>
      </c>
      <c r="K2323" s="7" t="s">
        <v>69</v>
      </c>
      <c r="L2323" s="8">
        <v>61</v>
      </c>
      <c r="M2323" s="7" t="s">
        <v>23</v>
      </c>
      <c r="N2323" s="8">
        <v>220</v>
      </c>
      <c r="O2323" s="8">
        <v>1</v>
      </c>
      <c r="P2323" s="5">
        <v>7009.54</v>
      </c>
      <c r="Q2323" s="4">
        <v>45600</v>
      </c>
      <c r="R2323" s="9">
        <v>0.34177083333333336</v>
      </c>
      <c r="S2323" s="8">
        <v>16</v>
      </c>
      <c r="T2323" s="7" t="s">
        <v>4454</v>
      </c>
      <c r="U2323" s="7" t="s">
        <v>4455</v>
      </c>
      <c r="V23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24" spans="1:22" x14ac:dyDescent="0.35">
      <c r="A2324" s="7" t="s">
        <v>4247</v>
      </c>
      <c r="B2324" s="7" t="s">
        <v>1368</v>
      </c>
      <c r="C2324" s="5">
        <v>802.89</v>
      </c>
      <c r="D2324" s="2">
        <v>0.77222222222189885</v>
      </c>
      <c r="E2324" s="4">
        <v>45166</v>
      </c>
      <c r="F2324" s="7" t="s">
        <v>17</v>
      </c>
      <c r="G2324" s="7" t="s">
        <v>265</v>
      </c>
      <c r="H2324" s="7" t="s">
        <v>2947</v>
      </c>
      <c r="I2324" s="7" t="s">
        <v>293</v>
      </c>
      <c r="J2324" s="7" t="s">
        <v>980</v>
      </c>
      <c r="K2324" s="7" t="s">
        <v>22</v>
      </c>
      <c r="L2324" s="8">
        <v>19</v>
      </c>
      <c r="M2324" s="7" t="s">
        <v>37</v>
      </c>
      <c r="N2324" s="8">
        <v>175</v>
      </c>
      <c r="O2324" s="8">
        <v>1</v>
      </c>
      <c r="P2324" s="5">
        <v>1973.63</v>
      </c>
      <c r="Q2324" s="4">
        <v>45600</v>
      </c>
      <c r="R2324" s="9">
        <v>0.3411689814814815</v>
      </c>
      <c r="S2324" s="8">
        <v>18</v>
      </c>
      <c r="T2324" s="7" t="s">
        <v>4456</v>
      </c>
      <c r="U2324" s="7" t="s">
        <v>4455</v>
      </c>
      <c r="V23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25" spans="1:22" x14ac:dyDescent="0.35">
      <c r="A2325" s="7" t="s">
        <v>4248</v>
      </c>
      <c r="B2325" s="7" t="s">
        <v>2073</v>
      </c>
      <c r="C2325" s="5">
        <v>193.16</v>
      </c>
      <c r="D2325" s="2">
        <v>0.69549768518481869</v>
      </c>
      <c r="E2325" s="4">
        <v>45022</v>
      </c>
      <c r="F2325" s="7" t="s">
        <v>17</v>
      </c>
      <c r="G2325" s="7" t="s">
        <v>249</v>
      </c>
      <c r="H2325" s="7" t="s">
        <v>393</v>
      </c>
      <c r="I2325" s="7" t="s">
        <v>1387</v>
      </c>
      <c r="J2325" s="7" t="s">
        <v>740</v>
      </c>
      <c r="K2325" s="7" t="s">
        <v>22</v>
      </c>
      <c r="L2325" s="8">
        <v>64</v>
      </c>
      <c r="M2325" s="7" t="s">
        <v>70</v>
      </c>
      <c r="N2325" s="8">
        <v>109</v>
      </c>
      <c r="O2325" s="8">
        <v>1</v>
      </c>
      <c r="P2325" s="5">
        <v>2304.56</v>
      </c>
      <c r="Q2325" s="4">
        <v>45600</v>
      </c>
      <c r="R2325" s="9">
        <v>0.33834490740740741</v>
      </c>
      <c r="S2325" s="8">
        <v>16</v>
      </c>
      <c r="T2325" s="7" t="s">
        <v>4454</v>
      </c>
      <c r="U2325" s="7" t="s">
        <v>4455</v>
      </c>
      <c r="V23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26" spans="1:22" x14ac:dyDescent="0.35">
      <c r="A2326" s="7" t="s">
        <v>4249</v>
      </c>
      <c r="B2326" s="7" t="s">
        <v>1016</v>
      </c>
      <c r="C2326" s="5">
        <v>541.52</v>
      </c>
      <c r="D2326" s="2">
        <v>0.74114583332993789</v>
      </c>
      <c r="E2326" s="4">
        <v>45105</v>
      </c>
      <c r="F2326" s="7" t="s">
        <v>46</v>
      </c>
      <c r="G2326" s="7" t="s">
        <v>65</v>
      </c>
      <c r="H2326" s="7" t="s">
        <v>4240</v>
      </c>
      <c r="I2326" s="7" t="s">
        <v>2140</v>
      </c>
      <c r="J2326" s="7" t="s">
        <v>209</v>
      </c>
      <c r="K2326" s="7" t="s">
        <v>69</v>
      </c>
      <c r="L2326" s="8">
        <v>48</v>
      </c>
      <c r="M2326" s="7" t="s">
        <v>77</v>
      </c>
      <c r="N2326" s="8">
        <v>161</v>
      </c>
      <c r="O2326" s="8">
        <v>1</v>
      </c>
      <c r="P2326" s="5">
        <v>6087.24</v>
      </c>
      <c r="Q2326" s="4">
        <v>45600</v>
      </c>
      <c r="R2326" s="9">
        <v>0.33930555555555558</v>
      </c>
      <c r="S2326" s="8">
        <v>17</v>
      </c>
      <c r="T2326" s="7" t="s">
        <v>4457</v>
      </c>
      <c r="U2326" s="7" t="s">
        <v>4455</v>
      </c>
      <c r="V23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27" spans="1:22" x14ac:dyDescent="0.35">
      <c r="A2327" s="7" t="s">
        <v>4250</v>
      </c>
      <c r="B2327" s="7" t="s">
        <v>3702</v>
      </c>
      <c r="C2327" s="5">
        <v>20.170000000000002</v>
      </c>
      <c r="D2327" s="2">
        <v>0.69797453703358769</v>
      </c>
      <c r="E2327" s="4">
        <v>44928</v>
      </c>
      <c r="F2327" s="7" t="s">
        <v>17</v>
      </c>
      <c r="G2327" s="7" t="s">
        <v>237</v>
      </c>
      <c r="H2327" s="7" t="s">
        <v>1441</v>
      </c>
      <c r="I2327" s="7" t="s">
        <v>1884</v>
      </c>
      <c r="J2327" s="7" t="s">
        <v>769</v>
      </c>
      <c r="K2327" s="7" t="s">
        <v>22</v>
      </c>
      <c r="L2327" s="8">
        <v>77</v>
      </c>
      <c r="M2327" s="7" t="s">
        <v>70</v>
      </c>
      <c r="N2327" s="8">
        <v>86</v>
      </c>
      <c r="O2327" s="8">
        <v>1</v>
      </c>
      <c r="P2327" s="5">
        <v>3869.37</v>
      </c>
      <c r="Q2327" s="4">
        <v>45600</v>
      </c>
      <c r="R2327" s="9">
        <v>0.33934027777777775</v>
      </c>
      <c r="S2327" s="8">
        <v>16</v>
      </c>
      <c r="T2327" s="7" t="s">
        <v>4454</v>
      </c>
      <c r="U2327" s="7" t="s">
        <v>4455</v>
      </c>
      <c r="V23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28" spans="1:22" x14ac:dyDescent="0.35">
      <c r="A2328" s="7" t="s">
        <v>4251</v>
      </c>
      <c r="B2328" s="7" t="s">
        <v>3654</v>
      </c>
      <c r="C2328" s="5">
        <v>35.979999999999997</v>
      </c>
      <c r="D2328" s="2">
        <v>0.67693287037400296</v>
      </c>
      <c r="E2328" s="4">
        <v>45155</v>
      </c>
      <c r="F2328" s="7" t="s">
        <v>46</v>
      </c>
      <c r="G2328" s="7" t="s">
        <v>80</v>
      </c>
      <c r="H2328" s="7" t="s">
        <v>4252</v>
      </c>
      <c r="I2328" s="7" t="s">
        <v>3767</v>
      </c>
      <c r="J2328" s="7" t="s">
        <v>432</v>
      </c>
      <c r="K2328" s="7" t="s">
        <v>69</v>
      </c>
      <c r="L2328" s="8">
        <v>40</v>
      </c>
      <c r="M2328" s="7" t="s">
        <v>23</v>
      </c>
      <c r="N2328" s="8">
        <v>133</v>
      </c>
      <c r="O2328" s="8">
        <v>1</v>
      </c>
      <c r="P2328" s="5">
        <v>11147.34</v>
      </c>
      <c r="Q2328" s="4">
        <v>45600</v>
      </c>
      <c r="R2328" s="9">
        <v>0.33818287037037037</v>
      </c>
      <c r="S2328" s="8">
        <v>16</v>
      </c>
      <c r="T2328" s="7" t="s">
        <v>4457</v>
      </c>
      <c r="U2328" s="7" t="s">
        <v>4455</v>
      </c>
      <c r="V23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29" spans="1:22" x14ac:dyDescent="0.35">
      <c r="A2329" s="7" t="s">
        <v>4253</v>
      </c>
      <c r="B2329" s="7" t="s">
        <v>935</v>
      </c>
      <c r="C2329" s="5">
        <v>273.24</v>
      </c>
      <c r="D2329" s="2">
        <v>0.70576388888730435</v>
      </c>
      <c r="E2329" s="4">
        <v>45272</v>
      </c>
      <c r="F2329" s="7" t="s">
        <v>17</v>
      </c>
      <c r="G2329" s="7" t="s">
        <v>558</v>
      </c>
      <c r="H2329" s="7" t="s">
        <v>807</v>
      </c>
      <c r="I2329" s="7" t="s">
        <v>2131</v>
      </c>
      <c r="J2329" s="7" t="s">
        <v>1349</v>
      </c>
      <c r="K2329" s="7" t="s">
        <v>69</v>
      </c>
      <c r="L2329" s="8">
        <v>51</v>
      </c>
      <c r="M2329" s="7" t="s">
        <v>70</v>
      </c>
      <c r="N2329" s="8">
        <v>173</v>
      </c>
      <c r="O2329" s="8">
        <v>1</v>
      </c>
      <c r="P2329" s="5">
        <v>2202.21</v>
      </c>
      <c r="Q2329" s="4">
        <v>45600</v>
      </c>
      <c r="R2329" s="9">
        <v>0.34033564814814815</v>
      </c>
      <c r="S2329" s="8">
        <v>16</v>
      </c>
      <c r="T2329" s="7" t="s">
        <v>4457</v>
      </c>
      <c r="U2329" s="7" t="s">
        <v>4455</v>
      </c>
      <c r="V23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30" spans="1:22" x14ac:dyDescent="0.35">
      <c r="A2330" s="7" t="s">
        <v>4254</v>
      </c>
      <c r="B2330" s="7" t="s">
        <v>1200</v>
      </c>
      <c r="C2330" s="5">
        <v>663.45</v>
      </c>
      <c r="D2330" s="2">
        <v>0.72275462962716119</v>
      </c>
      <c r="E2330" s="4">
        <v>45272</v>
      </c>
      <c r="F2330" s="7" t="s">
        <v>17</v>
      </c>
      <c r="G2330" s="7" t="s">
        <v>86</v>
      </c>
      <c r="H2330" s="7" t="s">
        <v>1347</v>
      </c>
      <c r="I2330" s="7" t="s">
        <v>2501</v>
      </c>
      <c r="J2330" s="7" t="s">
        <v>592</v>
      </c>
      <c r="K2330" s="7" t="s">
        <v>22</v>
      </c>
      <c r="L2330" s="8">
        <v>67</v>
      </c>
      <c r="M2330" s="7" t="s">
        <v>70</v>
      </c>
      <c r="N2330" s="8">
        <v>147</v>
      </c>
      <c r="O2330" s="8">
        <v>1</v>
      </c>
      <c r="P2330" s="5">
        <v>5897.29</v>
      </c>
      <c r="Q2330" s="4">
        <v>45600</v>
      </c>
      <c r="R2330" s="9">
        <v>0.34143518518518517</v>
      </c>
      <c r="S2330" s="8">
        <v>17</v>
      </c>
      <c r="T2330" s="7" t="s">
        <v>4454</v>
      </c>
      <c r="U2330" s="7" t="s">
        <v>4455</v>
      </c>
      <c r="V23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31" spans="1:22" x14ac:dyDescent="0.35">
      <c r="A2331" s="7" t="s">
        <v>4255</v>
      </c>
      <c r="B2331" s="7" t="s">
        <v>1267</v>
      </c>
      <c r="C2331" s="5">
        <v>343.86</v>
      </c>
      <c r="D2331" s="2">
        <v>0.69781250000232831</v>
      </c>
      <c r="E2331" s="4">
        <v>44970</v>
      </c>
      <c r="F2331" s="7" t="s">
        <v>17</v>
      </c>
      <c r="G2331" s="7" t="s">
        <v>249</v>
      </c>
      <c r="H2331" s="7" t="s">
        <v>2020</v>
      </c>
      <c r="I2331" s="7" t="s">
        <v>1953</v>
      </c>
      <c r="J2331" s="7" t="s">
        <v>707</v>
      </c>
      <c r="K2331" s="7" t="s">
        <v>69</v>
      </c>
      <c r="L2331" s="8">
        <v>57</v>
      </c>
      <c r="M2331" s="7" t="s">
        <v>77</v>
      </c>
      <c r="N2331" s="8">
        <v>70</v>
      </c>
      <c r="O2331" s="8">
        <v>1</v>
      </c>
      <c r="P2331" s="5">
        <v>3278.65</v>
      </c>
      <c r="Q2331" s="4">
        <v>45600</v>
      </c>
      <c r="R2331" s="9">
        <v>0.34013888888888888</v>
      </c>
      <c r="S2331" s="8">
        <v>16</v>
      </c>
      <c r="T2331" s="7" t="s">
        <v>4454</v>
      </c>
      <c r="U2331" s="7" t="s">
        <v>4455</v>
      </c>
      <c r="V23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32" spans="1:22" x14ac:dyDescent="0.35">
      <c r="A2332" s="7" t="s">
        <v>4256</v>
      </c>
      <c r="B2332" s="7" t="s">
        <v>1012</v>
      </c>
      <c r="C2332" s="5">
        <v>69.38</v>
      </c>
      <c r="D2332" s="2">
        <v>0.67333333333226619</v>
      </c>
      <c r="E2332" s="4">
        <v>44937</v>
      </c>
      <c r="F2332" s="7" t="s">
        <v>17</v>
      </c>
      <c r="G2332" s="7" t="s">
        <v>73</v>
      </c>
      <c r="H2332" s="7" t="s">
        <v>1005</v>
      </c>
      <c r="I2332" s="7" t="s">
        <v>4257</v>
      </c>
      <c r="J2332" s="7" t="s">
        <v>564</v>
      </c>
      <c r="K2332" s="7" t="s">
        <v>69</v>
      </c>
      <c r="L2332" s="8">
        <v>69</v>
      </c>
      <c r="M2332" s="7" t="s">
        <v>23</v>
      </c>
      <c r="N2332" s="8">
        <v>280</v>
      </c>
      <c r="O2332" s="8">
        <v>2</v>
      </c>
      <c r="P2332" s="5">
        <v>12072.11</v>
      </c>
      <c r="Q2332" s="4">
        <v>45600</v>
      </c>
      <c r="R2332" s="9">
        <v>0.34111111111111109</v>
      </c>
      <c r="S2332" s="8">
        <v>16</v>
      </c>
      <c r="T2332" s="7" t="s">
        <v>4454</v>
      </c>
      <c r="U2332" s="7" t="s">
        <v>4458</v>
      </c>
      <c r="V23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33" spans="1:22" x14ac:dyDescent="0.35">
      <c r="A2333" s="7" t="s">
        <v>4258</v>
      </c>
      <c r="B2333" s="7" t="s">
        <v>3154</v>
      </c>
      <c r="C2333" s="5">
        <v>75.430000000000007</v>
      </c>
      <c r="D2333" s="2">
        <v>0.6680208333345945</v>
      </c>
      <c r="E2333" s="4">
        <v>45152</v>
      </c>
      <c r="F2333" s="7" t="s">
        <v>17</v>
      </c>
      <c r="G2333" s="7" t="s">
        <v>558</v>
      </c>
      <c r="H2333" s="7" t="s">
        <v>1269</v>
      </c>
      <c r="I2333" s="7" t="s">
        <v>2325</v>
      </c>
      <c r="J2333" s="7" t="s">
        <v>1287</v>
      </c>
      <c r="K2333" s="7" t="s">
        <v>22</v>
      </c>
      <c r="L2333" s="8">
        <v>77</v>
      </c>
      <c r="M2333" s="7" t="s">
        <v>70</v>
      </c>
      <c r="N2333" s="8">
        <v>266</v>
      </c>
      <c r="O2333" s="8">
        <v>1</v>
      </c>
      <c r="P2333" s="5">
        <v>1441.86</v>
      </c>
      <c r="Q2333" s="4">
        <v>45600</v>
      </c>
      <c r="R2333" s="9">
        <v>0.34119212962962964</v>
      </c>
      <c r="S2333" s="8">
        <v>16</v>
      </c>
      <c r="T2333" s="7" t="s">
        <v>4454</v>
      </c>
      <c r="U2333" s="7" t="s">
        <v>4455</v>
      </c>
      <c r="V23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34" spans="1:22" x14ac:dyDescent="0.35">
      <c r="A2334" s="7" t="s">
        <v>4259</v>
      </c>
      <c r="B2334" s="7" t="s">
        <v>2133</v>
      </c>
      <c r="C2334" s="5">
        <v>414.64</v>
      </c>
      <c r="D2334" s="2">
        <v>0.68569444444437977</v>
      </c>
      <c r="E2334" s="4">
        <v>45019</v>
      </c>
      <c r="F2334" s="7" t="s">
        <v>17</v>
      </c>
      <c r="G2334" s="7" t="s">
        <v>32</v>
      </c>
      <c r="H2334" s="7" t="s">
        <v>3995</v>
      </c>
      <c r="I2334" s="7" t="s">
        <v>3074</v>
      </c>
      <c r="J2334" s="7" t="s">
        <v>406</v>
      </c>
      <c r="K2334" s="7" t="s">
        <v>69</v>
      </c>
      <c r="L2334" s="8">
        <v>32</v>
      </c>
      <c r="M2334" s="7" t="s">
        <v>23</v>
      </c>
      <c r="N2334" s="8">
        <v>74</v>
      </c>
      <c r="O2334" s="8">
        <v>1</v>
      </c>
      <c r="P2334" s="5">
        <v>7253.22</v>
      </c>
      <c r="Q2334" s="4">
        <v>45600</v>
      </c>
      <c r="R2334" s="9">
        <v>0.33978009259259262</v>
      </c>
      <c r="S2334" s="8">
        <v>16</v>
      </c>
      <c r="T2334" s="7" t="s">
        <v>4456</v>
      </c>
      <c r="U2334" s="7" t="s">
        <v>4455</v>
      </c>
      <c r="V23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35" spans="1:22" x14ac:dyDescent="0.35">
      <c r="A2335" s="7" t="s">
        <v>4260</v>
      </c>
      <c r="B2335" s="7" t="s">
        <v>1027</v>
      </c>
      <c r="C2335" s="5">
        <v>86.79</v>
      </c>
      <c r="D2335" s="2">
        <v>0.68854166667006211</v>
      </c>
      <c r="E2335" s="4">
        <v>44949</v>
      </c>
      <c r="F2335" s="7" t="s">
        <v>17</v>
      </c>
      <c r="G2335" s="7" t="s">
        <v>157</v>
      </c>
      <c r="H2335" s="7" t="s">
        <v>1529</v>
      </c>
      <c r="I2335" s="7" t="s">
        <v>2350</v>
      </c>
      <c r="J2335" s="7" t="s">
        <v>740</v>
      </c>
      <c r="K2335" s="7" t="s">
        <v>69</v>
      </c>
      <c r="L2335" s="8">
        <v>33</v>
      </c>
      <c r="M2335" s="7" t="s">
        <v>23</v>
      </c>
      <c r="N2335" s="8">
        <v>166</v>
      </c>
      <c r="O2335" s="8">
        <v>1</v>
      </c>
      <c r="P2335" s="5">
        <v>8795.3700000000008</v>
      </c>
      <c r="Q2335" s="4">
        <v>45600</v>
      </c>
      <c r="R2335" s="9">
        <v>0.33875</v>
      </c>
      <c r="S2335" s="8">
        <v>16</v>
      </c>
      <c r="T2335" s="7" t="s">
        <v>4456</v>
      </c>
      <c r="U2335" s="7" t="s">
        <v>4455</v>
      </c>
      <c r="V23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36" spans="1:22" x14ac:dyDescent="0.35">
      <c r="A2336" s="7" t="s">
        <v>4261</v>
      </c>
      <c r="B2336" s="7" t="s">
        <v>2802</v>
      </c>
      <c r="C2336" s="5">
        <v>1105.8800000000001</v>
      </c>
      <c r="D2336" s="2">
        <v>0.73439814814628335</v>
      </c>
      <c r="E2336" s="4">
        <v>44991</v>
      </c>
      <c r="F2336" s="7" t="s">
        <v>17</v>
      </c>
      <c r="G2336" s="7" t="s">
        <v>296</v>
      </c>
      <c r="H2336" s="7" t="s">
        <v>2160</v>
      </c>
      <c r="I2336" s="7" t="s">
        <v>2268</v>
      </c>
      <c r="J2336" s="7" t="s">
        <v>478</v>
      </c>
      <c r="K2336" s="7" t="s">
        <v>22</v>
      </c>
      <c r="L2336" s="8">
        <v>34</v>
      </c>
      <c r="M2336" s="7" t="s">
        <v>77</v>
      </c>
      <c r="N2336" s="8">
        <v>36</v>
      </c>
      <c r="O2336" s="8">
        <v>1</v>
      </c>
      <c r="P2336" s="5">
        <v>2636.32</v>
      </c>
      <c r="Q2336" s="4">
        <v>45600</v>
      </c>
      <c r="R2336" s="9">
        <v>0.34122685185185186</v>
      </c>
      <c r="S2336" s="8">
        <v>17</v>
      </c>
      <c r="T2336" s="7" t="s">
        <v>4456</v>
      </c>
      <c r="U2336" s="7" t="s">
        <v>4455</v>
      </c>
      <c r="V23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37" spans="1:22" x14ac:dyDescent="0.35">
      <c r="A2337" s="7" t="s">
        <v>4262</v>
      </c>
      <c r="B2337" s="7" t="s">
        <v>3548</v>
      </c>
      <c r="C2337" s="5">
        <v>14.1</v>
      </c>
      <c r="D2337" s="2">
        <v>0.71789351852203254</v>
      </c>
      <c r="E2337" s="4">
        <v>45285</v>
      </c>
      <c r="F2337" s="7" t="s">
        <v>17</v>
      </c>
      <c r="G2337" s="7" t="s">
        <v>108</v>
      </c>
      <c r="H2337" s="7" t="s">
        <v>1971</v>
      </c>
      <c r="I2337" s="7" t="s">
        <v>1104</v>
      </c>
      <c r="J2337" s="7" t="s">
        <v>1562</v>
      </c>
      <c r="K2337" s="7" t="s">
        <v>69</v>
      </c>
      <c r="L2337" s="8">
        <v>45</v>
      </c>
      <c r="M2337" s="7" t="s">
        <v>77</v>
      </c>
      <c r="N2337" s="8">
        <v>73</v>
      </c>
      <c r="O2337" s="8">
        <v>1</v>
      </c>
      <c r="P2337" s="5">
        <v>6949.21</v>
      </c>
      <c r="Q2337" s="4">
        <v>45600</v>
      </c>
      <c r="R2337" s="9">
        <v>0.33907407407407408</v>
      </c>
      <c r="S2337" s="8">
        <v>17</v>
      </c>
      <c r="T2337" s="7" t="s">
        <v>4457</v>
      </c>
      <c r="U2337" s="7" t="s">
        <v>4455</v>
      </c>
      <c r="V23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38" spans="1:22" x14ac:dyDescent="0.35">
      <c r="A2338" s="7" t="s">
        <v>4263</v>
      </c>
      <c r="B2338" s="7" t="s">
        <v>2664</v>
      </c>
      <c r="C2338" s="5">
        <v>63.33</v>
      </c>
      <c r="D2338" s="2">
        <v>0.71528935185051523</v>
      </c>
      <c r="E2338" s="4">
        <v>45286</v>
      </c>
      <c r="F2338" s="7" t="s">
        <v>46</v>
      </c>
      <c r="G2338" s="7" t="s">
        <v>108</v>
      </c>
      <c r="H2338" s="7" t="s">
        <v>966</v>
      </c>
      <c r="I2338" s="7" t="s">
        <v>2190</v>
      </c>
      <c r="J2338" s="7" t="s">
        <v>240</v>
      </c>
      <c r="K2338" s="7" t="s">
        <v>69</v>
      </c>
      <c r="L2338" s="8">
        <v>23</v>
      </c>
      <c r="M2338" s="7" t="s">
        <v>37</v>
      </c>
      <c r="N2338" s="8">
        <v>124</v>
      </c>
      <c r="O2338" s="8">
        <v>1</v>
      </c>
      <c r="P2338" s="5">
        <v>792.33</v>
      </c>
      <c r="Q2338" s="4">
        <v>45600</v>
      </c>
      <c r="R2338" s="9">
        <v>0.34168981481481481</v>
      </c>
      <c r="S2338" s="8">
        <v>17</v>
      </c>
      <c r="T2338" s="7" t="s">
        <v>4456</v>
      </c>
      <c r="U2338" s="7" t="s">
        <v>4455</v>
      </c>
      <c r="V23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39" spans="1:22" x14ac:dyDescent="0.35">
      <c r="A2339" s="7" t="s">
        <v>4264</v>
      </c>
      <c r="B2339" s="7" t="s">
        <v>3811</v>
      </c>
      <c r="C2339" s="5">
        <v>606.27</v>
      </c>
      <c r="D2339" s="2">
        <v>0.71229166666307719</v>
      </c>
      <c r="E2339" s="4">
        <v>45099</v>
      </c>
      <c r="F2339" s="7" t="s">
        <v>17</v>
      </c>
      <c r="G2339" s="7" t="s">
        <v>108</v>
      </c>
      <c r="H2339" s="7" t="s">
        <v>3094</v>
      </c>
      <c r="I2339" s="7" t="s">
        <v>4265</v>
      </c>
      <c r="J2339" s="7" t="s">
        <v>762</v>
      </c>
      <c r="K2339" s="7" t="s">
        <v>69</v>
      </c>
      <c r="L2339" s="8">
        <v>29</v>
      </c>
      <c r="M2339" s="7" t="s">
        <v>23</v>
      </c>
      <c r="N2339" s="8">
        <v>42</v>
      </c>
      <c r="O2339" s="8">
        <v>1</v>
      </c>
      <c r="P2339" s="5">
        <v>9668.7800000000007</v>
      </c>
      <c r="Q2339" s="4">
        <v>45600</v>
      </c>
      <c r="R2339" s="9">
        <v>0.3399652777777778</v>
      </c>
      <c r="S2339" s="8">
        <v>17</v>
      </c>
      <c r="T2339" s="7" t="s">
        <v>4456</v>
      </c>
      <c r="U2339" s="7" t="s">
        <v>4455</v>
      </c>
      <c r="V23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40" spans="1:22" x14ac:dyDescent="0.35">
      <c r="A2340" s="7" t="s">
        <v>4266</v>
      </c>
      <c r="B2340" s="7" t="s">
        <v>3402</v>
      </c>
      <c r="C2340" s="5">
        <v>4.47</v>
      </c>
      <c r="D2340" s="2">
        <v>0.68112268518598285</v>
      </c>
      <c r="E2340" s="4">
        <v>45152</v>
      </c>
      <c r="F2340" s="7" t="s">
        <v>17</v>
      </c>
      <c r="G2340" s="7" t="s">
        <v>197</v>
      </c>
      <c r="H2340" s="7" t="s">
        <v>3025</v>
      </c>
      <c r="I2340" s="7" t="s">
        <v>623</v>
      </c>
      <c r="J2340" s="7" t="s">
        <v>450</v>
      </c>
      <c r="K2340" s="7" t="s">
        <v>69</v>
      </c>
      <c r="L2340" s="8">
        <v>27</v>
      </c>
      <c r="M2340" s="7" t="s">
        <v>37</v>
      </c>
      <c r="N2340" s="8">
        <v>132</v>
      </c>
      <c r="O2340" s="8">
        <v>1</v>
      </c>
      <c r="P2340" s="5">
        <v>1381.75</v>
      </c>
      <c r="Q2340" s="4">
        <v>45600</v>
      </c>
      <c r="R2340" s="9">
        <v>0.34055555555555556</v>
      </c>
      <c r="S2340" s="8">
        <v>16</v>
      </c>
      <c r="T2340" s="7" t="s">
        <v>4456</v>
      </c>
      <c r="U2340" s="7" t="s">
        <v>4455</v>
      </c>
      <c r="V23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41" spans="1:22" x14ac:dyDescent="0.35">
      <c r="A2341" s="7" t="s">
        <v>4267</v>
      </c>
      <c r="B2341" s="7" t="s">
        <v>2690</v>
      </c>
      <c r="C2341" s="5">
        <v>289.01</v>
      </c>
      <c r="D2341" s="2">
        <v>0.695381944446126</v>
      </c>
      <c r="E2341" s="4">
        <v>45166</v>
      </c>
      <c r="F2341" s="7" t="s">
        <v>17</v>
      </c>
      <c r="G2341" s="7" t="s">
        <v>172</v>
      </c>
      <c r="H2341" s="7" t="s">
        <v>2687</v>
      </c>
      <c r="I2341" s="7" t="s">
        <v>714</v>
      </c>
      <c r="J2341" s="7" t="s">
        <v>252</v>
      </c>
      <c r="K2341" s="7" t="s">
        <v>36</v>
      </c>
      <c r="L2341" s="8">
        <v>66</v>
      </c>
      <c r="M2341" s="7" t="s">
        <v>70</v>
      </c>
      <c r="N2341" s="8">
        <v>96</v>
      </c>
      <c r="O2341" s="8">
        <v>1</v>
      </c>
      <c r="P2341" s="5">
        <v>4226.26</v>
      </c>
      <c r="Q2341" s="4">
        <v>45600</v>
      </c>
      <c r="R2341" s="9">
        <v>0.33902777777777776</v>
      </c>
      <c r="S2341" s="8">
        <v>16</v>
      </c>
      <c r="T2341" s="7" t="s">
        <v>4454</v>
      </c>
      <c r="U2341" s="7" t="s">
        <v>4455</v>
      </c>
      <c r="V23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42" spans="1:22" x14ac:dyDescent="0.35">
      <c r="A2342" s="7" t="s">
        <v>4268</v>
      </c>
      <c r="B2342" s="7" t="s">
        <v>2650</v>
      </c>
      <c r="C2342" s="5">
        <v>338.69</v>
      </c>
      <c r="D2342" s="2">
        <v>0.78253472222422715</v>
      </c>
      <c r="E2342" s="4">
        <v>45222</v>
      </c>
      <c r="F2342" s="7" t="s">
        <v>17</v>
      </c>
      <c r="G2342" s="7" t="s">
        <v>301</v>
      </c>
      <c r="H2342" s="7" t="s">
        <v>1097</v>
      </c>
      <c r="I2342" s="7" t="s">
        <v>1797</v>
      </c>
      <c r="J2342" s="7" t="s">
        <v>607</v>
      </c>
      <c r="K2342" s="7" t="s">
        <v>69</v>
      </c>
      <c r="L2342" s="8">
        <v>18</v>
      </c>
      <c r="M2342" s="7" t="s">
        <v>37</v>
      </c>
      <c r="N2342" s="8">
        <v>169</v>
      </c>
      <c r="O2342" s="8">
        <v>1</v>
      </c>
      <c r="P2342" s="5">
        <v>1137.8900000000001</v>
      </c>
      <c r="Q2342" s="4">
        <v>45600</v>
      </c>
      <c r="R2342" s="9">
        <v>0.33787037037037038</v>
      </c>
      <c r="S2342" s="8">
        <v>18</v>
      </c>
      <c r="T2342" s="7" t="s">
        <v>4456</v>
      </c>
      <c r="U2342" s="7" t="s">
        <v>4455</v>
      </c>
      <c r="V23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43" spans="1:22" x14ac:dyDescent="0.35">
      <c r="A2343" s="7" t="s">
        <v>4269</v>
      </c>
      <c r="B2343" s="7" t="s">
        <v>1874</v>
      </c>
      <c r="C2343" s="5">
        <v>97.73</v>
      </c>
      <c r="D2343" s="2">
        <v>0.74679398148145992</v>
      </c>
      <c r="E2343" s="4">
        <v>45075</v>
      </c>
      <c r="F2343" s="7" t="s">
        <v>17</v>
      </c>
      <c r="G2343" s="7" t="s">
        <v>285</v>
      </c>
      <c r="H2343" s="7" t="s">
        <v>233</v>
      </c>
      <c r="I2343" s="7" t="s">
        <v>1055</v>
      </c>
      <c r="J2343" s="7" t="s">
        <v>762</v>
      </c>
      <c r="K2343" s="7" t="s">
        <v>69</v>
      </c>
      <c r="L2343" s="8">
        <v>69</v>
      </c>
      <c r="M2343" s="7" t="s">
        <v>23</v>
      </c>
      <c r="N2343" s="8">
        <v>156</v>
      </c>
      <c r="O2343" s="8">
        <v>1</v>
      </c>
      <c r="P2343" s="5">
        <v>7885.21</v>
      </c>
      <c r="Q2343" s="4">
        <v>45600</v>
      </c>
      <c r="R2343" s="9">
        <v>0.3392013888888889</v>
      </c>
      <c r="S2343" s="8">
        <v>17</v>
      </c>
      <c r="T2343" s="7" t="s">
        <v>4454</v>
      </c>
      <c r="U2343" s="7" t="s">
        <v>4455</v>
      </c>
      <c r="V23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44" spans="1:22" x14ac:dyDescent="0.35">
      <c r="A2344" s="7" t="s">
        <v>4270</v>
      </c>
      <c r="B2344" s="7" t="s">
        <v>1542</v>
      </c>
      <c r="C2344" s="5">
        <v>1021.16</v>
      </c>
      <c r="D2344" s="2">
        <v>0.73074074074247619</v>
      </c>
      <c r="E2344" s="4">
        <v>45215</v>
      </c>
      <c r="F2344" s="7" t="s">
        <v>17</v>
      </c>
      <c r="G2344" s="7" t="s">
        <v>86</v>
      </c>
      <c r="H2344" s="7" t="s">
        <v>1875</v>
      </c>
      <c r="I2344" s="7" t="s">
        <v>490</v>
      </c>
      <c r="J2344" s="7" t="s">
        <v>246</v>
      </c>
      <c r="K2344" s="7" t="s">
        <v>22</v>
      </c>
      <c r="L2344" s="8">
        <v>20</v>
      </c>
      <c r="M2344" s="7" t="s">
        <v>37</v>
      </c>
      <c r="N2344" s="8">
        <v>104</v>
      </c>
      <c r="O2344" s="8">
        <v>1</v>
      </c>
      <c r="P2344" s="5">
        <v>9427.06</v>
      </c>
      <c r="Q2344" s="4">
        <v>45600</v>
      </c>
      <c r="R2344" s="9">
        <v>0.33877314814814813</v>
      </c>
      <c r="S2344" s="8">
        <v>17</v>
      </c>
      <c r="T2344" s="7" t="s">
        <v>4456</v>
      </c>
      <c r="U2344" s="7" t="s">
        <v>4455</v>
      </c>
      <c r="V23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45" spans="1:22" x14ac:dyDescent="0.35">
      <c r="A2345" s="7" t="s">
        <v>4271</v>
      </c>
      <c r="B2345" s="7" t="s">
        <v>1057</v>
      </c>
      <c r="C2345" s="5">
        <v>27.61</v>
      </c>
      <c r="D2345" s="2">
        <v>0.6861921296294895</v>
      </c>
      <c r="E2345" s="4">
        <v>44995</v>
      </c>
      <c r="F2345" s="7" t="s">
        <v>46</v>
      </c>
      <c r="G2345" s="7" t="s">
        <v>157</v>
      </c>
      <c r="H2345" s="7" t="s">
        <v>2079</v>
      </c>
      <c r="I2345" s="7" t="s">
        <v>2527</v>
      </c>
      <c r="J2345" s="7" t="s">
        <v>21</v>
      </c>
      <c r="K2345" s="7" t="s">
        <v>22</v>
      </c>
      <c r="L2345" s="8">
        <v>54</v>
      </c>
      <c r="M2345" s="7" t="s">
        <v>70</v>
      </c>
      <c r="N2345" s="8">
        <v>26</v>
      </c>
      <c r="O2345" s="8">
        <v>1</v>
      </c>
      <c r="P2345" s="5">
        <v>3679.64</v>
      </c>
      <c r="Q2345" s="4">
        <v>45600</v>
      </c>
      <c r="R2345" s="9">
        <v>0.33976851851851853</v>
      </c>
      <c r="S2345" s="8">
        <v>16</v>
      </c>
      <c r="T2345" s="7" t="s">
        <v>4457</v>
      </c>
      <c r="U2345" s="7" t="s">
        <v>4455</v>
      </c>
      <c r="V23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46" spans="1:22" x14ac:dyDescent="0.35">
      <c r="A2346" s="7" t="s">
        <v>4272</v>
      </c>
      <c r="B2346" s="7" t="s">
        <v>781</v>
      </c>
      <c r="C2346" s="5">
        <v>284.17</v>
      </c>
      <c r="D2346" s="2">
        <v>0.66850694444292458</v>
      </c>
      <c r="E2346" s="4">
        <v>45070</v>
      </c>
      <c r="F2346" s="7" t="s">
        <v>17</v>
      </c>
      <c r="G2346" s="7" t="s">
        <v>92</v>
      </c>
      <c r="H2346" s="7" t="s">
        <v>4273</v>
      </c>
      <c r="I2346" s="7" t="s">
        <v>897</v>
      </c>
      <c r="J2346" s="7" t="s">
        <v>226</v>
      </c>
      <c r="K2346" s="7" t="s">
        <v>22</v>
      </c>
      <c r="L2346" s="8">
        <v>51</v>
      </c>
      <c r="M2346" s="7" t="s">
        <v>70</v>
      </c>
      <c r="N2346" s="8">
        <v>189</v>
      </c>
      <c r="O2346" s="8">
        <v>1</v>
      </c>
      <c r="P2346" s="5">
        <v>3479.56</v>
      </c>
      <c r="Q2346" s="4">
        <v>45600</v>
      </c>
      <c r="R2346" s="9">
        <v>0.33894675925925927</v>
      </c>
      <c r="S2346" s="8">
        <v>16</v>
      </c>
      <c r="T2346" s="7" t="s">
        <v>4457</v>
      </c>
      <c r="U2346" s="7" t="s">
        <v>4455</v>
      </c>
      <c r="V23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47" spans="1:22" x14ac:dyDescent="0.35">
      <c r="A2347" s="7" t="s">
        <v>4274</v>
      </c>
      <c r="B2347" s="7" t="s">
        <v>550</v>
      </c>
      <c r="C2347" s="5">
        <v>76.209999999999994</v>
      </c>
      <c r="D2347" s="2">
        <v>0.69562500000029104</v>
      </c>
      <c r="E2347" s="4">
        <v>44936</v>
      </c>
      <c r="F2347" s="7" t="s">
        <v>17</v>
      </c>
      <c r="G2347" s="7" t="s">
        <v>140</v>
      </c>
      <c r="H2347" s="7" t="s">
        <v>1671</v>
      </c>
      <c r="I2347" s="7" t="s">
        <v>1230</v>
      </c>
      <c r="J2347" s="7" t="s">
        <v>288</v>
      </c>
      <c r="K2347" s="7" t="s">
        <v>69</v>
      </c>
      <c r="L2347" s="8">
        <v>22</v>
      </c>
      <c r="M2347" s="7" t="s">
        <v>37</v>
      </c>
      <c r="N2347" s="8">
        <v>69</v>
      </c>
      <c r="O2347" s="8">
        <v>1</v>
      </c>
      <c r="P2347" s="5">
        <v>664.93</v>
      </c>
      <c r="Q2347" s="4">
        <v>45600</v>
      </c>
      <c r="R2347" s="9">
        <v>0.34078703703703705</v>
      </c>
      <c r="S2347" s="8">
        <v>16</v>
      </c>
      <c r="T2347" s="7" t="s">
        <v>4456</v>
      </c>
      <c r="U2347" s="7" t="s">
        <v>4455</v>
      </c>
      <c r="V23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48" spans="1:22" x14ac:dyDescent="0.35">
      <c r="A2348" s="7" t="s">
        <v>4275</v>
      </c>
      <c r="B2348" s="7" t="s">
        <v>322</v>
      </c>
      <c r="C2348" s="5">
        <v>334.79</v>
      </c>
      <c r="D2348" s="2">
        <v>0.74380787037080154</v>
      </c>
      <c r="E2348" s="4">
        <v>45250</v>
      </c>
      <c r="F2348" s="7" t="s">
        <v>46</v>
      </c>
      <c r="G2348" s="7" t="s">
        <v>114</v>
      </c>
      <c r="H2348" s="7" t="s">
        <v>562</v>
      </c>
      <c r="I2348" s="7" t="s">
        <v>1048</v>
      </c>
      <c r="J2348" s="7" t="s">
        <v>348</v>
      </c>
      <c r="K2348" s="7" t="s">
        <v>69</v>
      </c>
      <c r="L2348" s="8">
        <v>69</v>
      </c>
      <c r="M2348" s="7" t="s">
        <v>23</v>
      </c>
      <c r="N2348" s="8">
        <v>292</v>
      </c>
      <c r="O2348" s="8">
        <v>1</v>
      </c>
      <c r="P2348" s="5">
        <v>624.09</v>
      </c>
      <c r="Q2348" s="4">
        <v>45600</v>
      </c>
      <c r="R2348" s="9">
        <v>0.33918981481481481</v>
      </c>
      <c r="S2348" s="8">
        <v>17</v>
      </c>
      <c r="T2348" s="7" t="s">
        <v>4454</v>
      </c>
      <c r="U2348" s="7" t="s">
        <v>4455</v>
      </c>
      <c r="V23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49" spans="1:22" x14ac:dyDescent="0.35">
      <c r="A2349" s="7" t="s">
        <v>4276</v>
      </c>
      <c r="B2349" s="7" t="s">
        <v>781</v>
      </c>
      <c r="C2349" s="5">
        <v>584.51</v>
      </c>
      <c r="D2349" s="2">
        <v>0.74105324073752854</v>
      </c>
      <c r="E2349" s="4">
        <v>45163</v>
      </c>
      <c r="F2349" s="7" t="s">
        <v>17</v>
      </c>
      <c r="G2349" s="7" t="s">
        <v>114</v>
      </c>
      <c r="H2349" s="7" t="s">
        <v>1633</v>
      </c>
      <c r="I2349" s="7" t="s">
        <v>4133</v>
      </c>
      <c r="J2349" s="7" t="s">
        <v>752</v>
      </c>
      <c r="K2349" s="7" t="s">
        <v>22</v>
      </c>
      <c r="L2349" s="8">
        <v>74</v>
      </c>
      <c r="M2349" s="7" t="s">
        <v>70</v>
      </c>
      <c r="N2349" s="8">
        <v>76</v>
      </c>
      <c r="O2349" s="8">
        <v>1</v>
      </c>
      <c r="P2349" s="5">
        <v>3254.56</v>
      </c>
      <c r="Q2349" s="4">
        <v>45600</v>
      </c>
      <c r="R2349" s="9">
        <v>0.33945601851851853</v>
      </c>
      <c r="S2349" s="8">
        <v>17</v>
      </c>
      <c r="T2349" s="7" t="s">
        <v>4454</v>
      </c>
      <c r="U2349" s="7" t="s">
        <v>4455</v>
      </c>
      <c r="V23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50" spans="1:22" x14ac:dyDescent="0.35">
      <c r="A2350" s="7" t="s">
        <v>4277</v>
      </c>
      <c r="B2350" s="7" t="s">
        <v>1433</v>
      </c>
      <c r="C2350" s="5">
        <v>432.18</v>
      </c>
      <c r="D2350" s="2">
        <v>0.68832175926218042</v>
      </c>
      <c r="E2350" s="4">
        <v>45065</v>
      </c>
      <c r="F2350" s="7" t="s">
        <v>17</v>
      </c>
      <c r="G2350" s="7" t="s">
        <v>146</v>
      </c>
      <c r="H2350" s="7" t="s">
        <v>1855</v>
      </c>
      <c r="I2350" s="7" t="s">
        <v>1411</v>
      </c>
      <c r="J2350" s="7" t="s">
        <v>181</v>
      </c>
      <c r="K2350" s="7" t="s">
        <v>69</v>
      </c>
      <c r="L2350" s="8">
        <v>18</v>
      </c>
      <c r="M2350" s="7" t="s">
        <v>37</v>
      </c>
      <c r="N2350" s="8">
        <v>162</v>
      </c>
      <c r="O2350" s="8">
        <v>1</v>
      </c>
      <c r="P2350" s="5">
        <v>678.83</v>
      </c>
      <c r="Q2350" s="4">
        <v>45600</v>
      </c>
      <c r="R2350" s="9">
        <v>0.33923611111111113</v>
      </c>
      <c r="S2350" s="8">
        <v>16</v>
      </c>
      <c r="T2350" s="7" t="s">
        <v>4456</v>
      </c>
      <c r="U2350" s="7" t="s">
        <v>4455</v>
      </c>
      <c r="V23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51" spans="1:22" x14ac:dyDescent="0.35">
      <c r="A2351" s="7" t="s">
        <v>4278</v>
      </c>
      <c r="B2351" s="7" t="s">
        <v>3561</v>
      </c>
      <c r="C2351" s="5">
        <v>134.55000000000001</v>
      </c>
      <c r="D2351" s="2">
        <v>0.69780092592554865</v>
      </c>
      <c r="E2351" s="4">
        <v>45208</v>
      </c>
      <c r="F2351" s="7" t="s">
        <v>17</v>
      </c>
      <c r="G2351" s="7" t="s">
        <v>223</v>
      </c>
      <c r="H2351" s="7" t="s">
        <v>2611</v>
      </c>
      <c r="I2351" s="7" t="s">
        <v>1225</v>
      </c>
      <c r="J2351" s="7" t="s">
        <v>607</v>
      </c>
      <c r="K2351" s="7" t="s">
        <v>36</v>
      </c>
      <c r="L2351" s="8">
        <v>59</v>
      </c>
      <c r="M2351" s="7" t="s">
        <v>23</v>
      </c>
      <c r="N2351" s="8">
        <v>165</v>
      </c>
      <c r="O2351" s="8">
        <v>1</v>
      </c>
      <c r="P2351" s="5">
        <v>14852.42</v>
      </c>
      <c r="Q2351" s="4">
        <v>45600</v>
      </c>
      <c r="R2351" s="9">
        <v>0.33917824074074077</v>
      </c>
      <c r="S2351" s="8">
        <v>16</v>
      </c>
      <c r="T2351" s="7" t="s">
        <v>4454</v>
      </c>
      <c r="U2351" s="7" t="s">
        <v>4455</v>
      </c>
      <c r="V23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52" spans="1:22" x14ac:dyDescent="0.35">
      <c r="A2352" s="7" t="s">
        <v>4279</v>
      </c>
      <c r="B2352" s="7" t="s">
        <v>993</v>
      </c>
      <c r="C2352" s="5">
        <v>61.66</v>
      </c>
      <c r="D2352" s="2">
        <v>0.69027777777955635</v>
      </c>
      <c r="E2352" s="4">
        <v>44967</v>
      </c>
      <c r="F2352" s="7" t="s">
        <v>17</v>
      </c>
      <c r="G2352" s="7" t="s">
        <v>285</v>
      </c>
      <c r="H2352" s="7" t="s">
        <v>3757</v>
      </c>
      <c r="I2352" s="7" t="s">
        <v>1490</v>
      </c>
      <c r="J2352" s="7" t="s">
        <v>674</v>
      </c>
      <c r="K2352" s="7" t="s">
        <v>22</v>
      </c>
      <c r="L2352" s="8">
        <v>26</v>
      </c>
      <c r="M2352" s="7" t="s">
        <v>37</v>
      </c>
      <c r="N2352" s="8">
        <v>86</v>
      </c>
      <c r="O2352" s="8">
        <v>1</v>
      </c>
      <c r="P2352" s="5">
        <v>5705.4</v>
      </c>
      <c r="Q2352" s="4">
        <v>45600</v>
      </c>
      <c r="R2352" s="9">
        <v>0.33805555555555555</v>
      </c>
      <c r="S2352" s="8">
        <v>16</v>
      </c>
      <c r="T2352" s="7" t="s">
        <v>4456</v>
      </c>
      <c r="U2352" s="7" t="s">
        <v>4455</v>
      </c>
      <c r="V23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53" spans="1:22" x14ac:dyDescent="0.35">
      <c r="A2353" s="7" t="s">
        <v>4280</v>
      </c>
      <c r="B2353" s="7" t="s">
        <v>1343</v>
      </c>
      <c r="C2353" s="5">
        <v>12.35</v>
      </c>
      <c r="D2353" s="2">
        <v>0.77766203703504289</v>
      </c>
      <c r="E2353" s="4">
        <v>44963</v>
      </c>
      <c r="F2353" s="7" t="s">
        <v>17</v>
      </c>
      <c r="G2353" s="7" t="s">
        <v>558</v>
      </c>
      <c r="H2353" s="7" t="s">
        <v>782</v>
      </c>
      <c r="I2353" s="7" t="s">
        <v>2925</v>
      </c>
      <c r="J2353" s="7" t="s">
        <v>186</v>
      </c>
      <c r="K2353" s="7" t="s">
        <v>69</v>
      </c>
      <c r="L2353" s="8">
        <v>25</v>
      </c>
      <c r="M2353" s="7" t="s">
        <v>37</v>
      </c>
      <c r="N2353" s="8">
        <v>22</v>
      </c>
      <c r="O2353" s="8">
        <v>1</v>
      </c>
      <c r="P2353" s="5">
        <v>1846.85</v>
      </c>
      <c r="Q2353" s="4">
        <v>45600</v>
      </c>
      <c r="R2353" s="9">
        <v>0.34111111111111109</v>
      </c>
      <c r="S2353" s="8">
        <v>18</v>
      </c>
      <c r="T2353" s="7" t="s">
        <v>4456</v>
      </c>
      <c r="U2353" s="7" t="s">
        <v>4455</v>
      </c>
      <c r="V23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54" spans="1:22" x14ac:dyDescent="0.35">
      <c r="A2354" s="7" t="s">
        <v>4281</v>
      </c>
      <c r="B2354" s="7" t="s">
        <v>1308</v>
      </c>
      <c r="C2354" s="5">
        <v>213.25</v>
      </c>
      <c r="D2354" s="2">
        <v>0.729247685187147</v>
      </c>
      <c r="E2354" s="4">
        <v>44980</v>
      </c>
      <c r="F2354" s="7" t="s">
        <v>17</v>
      </c>
      <c r="G2354" s="7" t="s">
        <v>212</v>
      </c>
      <c r="H2354" s="7" t="s">
        <v>1815</v>
      </c>
      <c r="I2354" s="7" t="s">
        <v>3350</v>
      </c>
      <c r="J2354" s="7" t="s">
        <v>592</v>
      </c>
      <c r="K2354" s="7" t="s">
        <v>69</v>
      </c>
      <c r="L2354" s="8">
        <v>25</v>
      </c>
      <c r="M2354" s="7" t="s">
        <v>37</v>
      </c>
      <c r="N2354" s="8">
        <v>63</v>
      </c>
      <c r="O2354" s="8">
        <v>1</v>
      </c>
      <c r="P2354" s="5">
        <v>677.79</v>
      </c>
      <c r="Q2354" s="4">
        <v>45600</v>
      </c>
      <c r="R2354" s="9">
        <v>0.33892361111111113</v>
      </c>
      <c r="S2354" s="8">
        <v>17</v>
      </c>
      <c r="T2354" s="7" t="s">
        <v>4456</v>
      </c>
      <c r="U2354" s="7" t="s">
        <v>4455</v>
      </c>
      <c r="V23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55" spans="1:22" x14ac:dyDescent="0.35">
      <c r="A2355" s="7" t="s">
        <v>4282</v>
      </c>
      <c r="B2355" s="7" t="s">
        <v>97</v>
      </c>
      <c r="C2355" s="5">
        <v>34.93</v>
      </c>
      <c r="D2355" s="2">
        <v>0.67490740741050104</v>
      </c>
      <c r="E2355" s="4">
        <v>45215</v>
      </c>
      <c r="F2355" s="7" t="s">
        <v>17</v>
      </c>
      <c r="G2355" s="7" t="s">
        <v>125</v>
      </c>
      <c r="H2355" s="7" t="s">
        <v>586</v>
      </c>
      <c r="I2355" s="7" t="s">
        <v>3182</v>
      </c>
      <c r="J2355" s="7" t="s">
        <v>682</v>
      </c>
      <c r="K2355" s="7" t="s">
        <v>69</v>
      </c>
      <c r="L2355" s="8">
        <v>31</v>
      </c>
      <c r="M2355" s="7" t="s">
        <v>77</v>
      </c>
      <c r="N2355" s="8">
        <v>72</v>
      </c>
      <c r="O2355" s="8">
        <v>1</v>
      </c>
      <c r="P2355" s="5">
        <v>2810.37</v>
      </c>
      <c r="Q2355" s="4">
        <v>45600</v>
      </c>
      <c r="R2355" s="9">
        <v>0.34111111111111109</v>
      </c>
      <c r="S2355" s="8">
        <v>16</v>
      </c>
      <c r="T2355" s="7" t="s">
        <v>4456</v>
      </c>
      <c r="U2355" s="7" t="s">
        <v>4455</v>
      </c>
      <c r="V23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56" spans="1:22" x14ac:dyDescent="0.35">
      <c r="A2356" s="7" t="s">
        <v>4283</v>
      </c>
      <c r="B2356" s="7" t="s">
        <v>269</v>
      </c>
      <c r="C2356" s="5">
        <v>959.48</v>
      </c>
      <c r="D2356" s="2">
        <v>0.68613425926014315</v>
      </c>
      <c r="E2356" s="4">
        <v>44936</v>
      </c>
      <c r="F2356" s="7" t="s">
        <v>17</v>
      </c>
      <c r="G2356" s="7" t="s">
        <v>172</v>
      </c>
      <c r="H2356" s="7" t="s">
        <v>2001</v>
      </c>
      <c r="I2356" s="7" t="s">
        <v>1540</v>
      </c>
      <c r="J2356" s="7" t="s">
        <v>432</v>
      </c>
      <c r="K2356" s="7" t="s">
        <v>69</v>
      </c>
      <c r="L2356" s="8">
        <v>67</v>
      </c>
      <c r="M2356" s="7" t="s">
        <v>23</v>
      </c>
      <c r="N2356" s="8">
        <v>36</v>
      </c>
      <c r="O2356" s="8">
        <v>1</v>
      </c>
      <c r="P2356" s="5">
        <v>10631.43</v>
      </c>
      <c r="Q2356" s="4">
        <v>45600</v>
      </c>
      <c r="R2356" s="9">
        <v>0.33885416666666668</v>
      </c>
      <c r="S2356" s="8">
        <v>16</v>
      </c>
      <c r="T2356" s="7" t="s">
        <v>4454</v>
      </c>
      <c r="U2356" s="7" t="s">
        <v>4455</v>
      </c>
      <c r="V23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57" spans="1:22" x14ac:dyDescent="0.35">
      <c r="A2357" s="7" t="s">
        <v>4284</v>
      </c>
      <c r="B2357" s="7" t="s">
        <v>4285</v>
      </c>
      <c r="C2357" s="5">
        <v>335.68</v>
      </c>
      <c r="D2357" s="2">
        <v>0.72268518518831115</v>
      </c>
      <c r="E2357" s="4">
        <v>45236</v>
      </c>
      <c r="F2357" s="7" t="s">
        <v>17</v>
      </c>
      <c r="G2357" s="7" t="s">
        <v>255</v>
      </c>
      <c r="H2357" s="7" t="s">
        <v>1754</v>
      </c>
      <c r="I2357" s="7" t="s">
        <v>2981</v>
      </c>
      <c r="J2357" s="7" t="s">
        <v>619</v>
      </c>
      <c r="K2357" s="7" t="s">
        <v>36</v>
      </c>
      <c r="L2357" s="8">
        <v>24</v>
      </c>
      <c r="M2357" s="7" t="s">
        <v>37</v>
      </c>
      <c r="N2357" s="8">
        <v>142</v>
      </c>
      <c r="O2357" s="8">
        <v>1</v>
      </c>
      <c r="P2357" s="5">
        <v>1188.95</v>
      </c>
      <c r="Q2357" s="4">
        <v>45600</v>
      </c>
      <c r="R2357" s="9">
        <v>0.34120370370370373</v>
      </c>
      <c r="S2357" s="8">
        <v>17</v>
      </c>
      <c r="T2357" s="7" t="s">
        <v>4456</v>
      </c>
      <c r="U2357" s="7" t="s">
        <v>4455</v>
      </c>
      <c r="V23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58" spans="1:22" x14ac:dyDescent="0.35">
      <c r="A2358" s="7" t="s">
        <v>4286</v>
      </c>
      <c r="B2358" s="7" t="s">
        <v>905</v>
      </c>
      <c r="C2358" s="5">
        <v>423.96</v>
      </c>
      <c r="D2358" s="2">
        <v>0.78488425925752381</v>
      </c>
      <c r="E2358" s="4">
        <v>44956</v>
      </c>
      <c r="F2358" s="7" t="s">
        <v>17</v>
      </c>
      <c r="G2358" s="7" t="s">
        <v>18</v>
      </c>
      <c r="H2358" s="7" t="s">
        <v>216</v>
      </c>
      <c r="I2358" s="7" t="s">
        <v>1270</v>
      </c>
      <c r="J2358" s="7" t="s">
        <v>572</v>
      </c>
      <c r="K2358" s="7" t="s">
        <v>22</v>
      </c>
      <c r="L2358" s="8">
        <v>43</v>
      </c>
      <c r="M2358" s="7" t="s">
        <v>23</v>
      </c>
      <c r="N2358" s="8">
        <v>75</v>
      </c>
      <c r="O2358" s="8">
        <v>1</v>
      </c>
      <c r="P2358" s="5">
        <v>8374.3799999999992</v>
      </c>
      <c r="Q2358" s="4">
        <v>45600</v>
      </c>
      <c r="R2358" s="9">
        <v>0.33936342592592594</v>
      </c>
      <c r="S2358" s="8">
        <v>18</v>
      </c>
      <c r="T2358" s="7" t="s">
        <v>4457</v>
      </c>
      <c r="U2358" s="7" t="s">
        <v>4455</v>
      </c>
      <c r="V23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59" spans="1:22" x14ac:dyDescent="0.35">
      <c r="A2359" s="7" t="s">
        <v>4287</v>
      </c>
      <c r="B2359" s="7" t="s">
        <v>1060</v>
      </c>
      <c r="C2359" s="5">
        <v>361.38</v>
      </c>
      <c r="D2359" s="2">
        <v>0.71038194444554392</v>
      </c>
      <c r="E2359" s="4">
        <v>44987</v>
      </c>
      <c r="F2359" s="7" t="s">
        <v>46</v>
      </c>
      <c r="G2359" s="7" t="s">
        <v>178</v>
      </c>
      <c r="H2359" s="7" t="s">
        <v>1550</v>
      </c>
      <c r="I2359" s="7" t="s">
        <v>251</v>
      </c>
      <c r="J2359" s="7" t="s">
        <v>312</v>
      </c>
      <c r="K2359" s="7" t="s">
        <v>36</v>
      </c>
      <c r="L2359" s="8">
        <v>72</v>
      </c>
      <c r="M2359" s="7" t="s">
        <v>70</v>
      </c>
      <c r="N2359" s="8">
        <v>71</v>
      </c>
      <c r="O2359" s="8">
        <v>3</v>
      </c>
      <c r="P2359" s="5">
        <v>4972.92</v>
      </c>
      <c r="Q2359" s="4">
        <v>45600</v>
      </c>
      <c r="R2359" s="9">
        <v>0.34186342592592595</v>
      </c>
      <c r="S2359" s="8">
        <v>17</v>
      </c>
      <c r="T2359" s="7" t="s">
        <v>4454</v>
      </c>
      <c r="U2359" s="7" t="s">
        <v>4458</v>
      </c>
      <c r="V23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60" spans="1:22" x14ac:dyDescent="0.35">
      <c r="A2360" s="7" t="s">
        <v>4288</v>
      </c>
      <c r="B2360" s="7" t="s">
        <v>822</v>
      </c>
      <c r="C2360" s="5">
        <v>220.82</v>
      </c>
      <c r="D2360" s="2">
        <v>0.68811342592380242</v>
      </c>
      <c r="E2360" s="4">
        <v>45289</v>
      </c>
      <c r="F2360" s="7" t="s">
        <v>17</v>
      </c>
      <c r="G2360" s="7" t="s">
        <v>108</v>
      </c>
      <c r="H2360" s="7" t="s">
        <v>189</v>
      </c>
      <c r="I2360" s="7" t="s">
        <v>3227</v>
      </c>
      <c r="J2360" s="7" t="s">
        <v>548</v>
      </c>
      <c r="K2360" s="7" t="s">
        <v>69</v>
      </c>
      <c r="L2360" s="8">
        <v>42</v>
      </c>
      <c r="M2360" s="7" t="s">
        <v>77</v>
      </c>
      <c r="N2360" s="8">
        <v>31</v>
      </c>
      <c r="O2360" s="8">
        <v>1</v>
      </c>
      <c r="P2360" s="5">
        <v>4298.13</v>
      </c>
      <c r="Q2360" s="4">
        <v>45600</v>
      </c>
      <c r="R2360" s="9">
        <v>0.33916666666666667</v>
      </c>
      <c r="S2360" s="8">
        <v>16</v>
      </c>
      <c r="T2360" s="7" t="s">
        <v>4457</v>
      </c>
      <c r="U2360" s="7" t="s">
        <v>4455</v>
      </c>
      <c r="V23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61" spans="1:22" x14ac:dyDescent="0.35">
      <c r="A2361" s="7" t="s">
        <v>4289</v>
      </c>
      <c r="B2361" s="7" t="s">
        <v>2024</v>
      </c>
      <c r="C2361" s="5">
        <v>717.36</v>
      </c>
      <c r="D2361" s="2">
        <v>0.70871527777489973</v>
      </c>
      <c r="E2361" s="4">
        <v>44928</v>
      </c>
      <c r="F2361" s="7" t="s">
        <v>46</v>
      </c>
      <c r="G2361" s="7" t="s">
        <v>18</v>
      </c>
      <c r="H2361" s="7" t="s">
        <v>2461</v>
      </c>
      <c r="I2361" s="7" t="s">
        <v>1717</v>
      </c>
      <c r="J2361" s="7" t="s">
        <v>68</v>
      </c>
      <c r="K2361" s="7" t="s">
        <v>36</v>
      </c>
      <c r="L2361" s="8">
        <v>22</v>
      </c>
      <c r="M2361" s="7" t="s">
        <v>37</v>
      </c>
      <c r="N2361" s="8">
        <v>138</v>
      </c>
      <c r="O2361" s="8">
        <v>1</v>
      </c>
      <c r="P2361" s="5">
        <v>514.88</v>
      </c>
      <c r="Q2361" s="4">
        <v>45600</v>
      </c>
      <c r="R2361" s="9">
        <v>0.3400347222222222</v>
      </c>
      <c r="S2361" s="8">
        <v>17</v>
      </c>
      <c r="T2361" s="7" t="s">
        <v>4456</v>
      </c>
      <c r="U2361" s="7" t="s">
        <v>4455</v>
      </c>
      <c r="V23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62" spans="1:22" x14ac:dyDescent="0.35">
      <c r="A2362" s="7" t="s">
        <v>4290</v>
      </c>
      <c r="B2362" s="7" t="s">
        <v>2169</v>
      </c>
      <c r="C2362" s="5">
        <v>406.12</v>
      </c>
      <c r="D2362" s="2">
        <v>0.73100694444292458</v>
      </c>
      <c r="E2362" s="4">
        <v>45141</v>
      </c>
      <c r="F2362" s="7" t="s">
        <v>17</v>
      </c>
      <c r="G2362" s="7" t="s">
        <v>26</v>
      </c>
      <c r="H2362" s="7" t="s">
        <v>680</v>
      </c>
      <c r="I2362" s="7" t="s">
        <v>3007</v>
      </c>
      <c r="J2362" s="7" t="s">
        <v>432</v>
      </c>
      <c r="K2362" s="7" t="s">
        <v>22</v>
      </c>
      <c r="L2362" s="8">
        <v>42</v>
      </c>
      <c r="M2362" s="7" t="s">
        <v>23</v>
      </c>
      <c r="N2362" s="8">
        <v>106</v>
      </c>
      <c r="O2362" s="8">
        <v>1</v>
      </c>
      <c r="P2362" s="5">
        <v>10501.53</v>
      </c>
      <c r="Q2362" s="4">
        <v>45600</v>
      </c>
      <c r="R2362" s="9">
        <v>0.34130787037037036</v>
      </c>
      <c r="S2362" s="8">
        <v>17</v>
      </c>
      <c r="T2362" s="7" t="s">
        <v>4457</v>
      </c>
      <c r="U2362" s="7" t="s">
        <v>4455</v>
      </c>
      <c r="V23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63" spans="1:22" x14ac:dyDescent="0.35">
      <c r="A2363" s="7" t="s">
        <v>4291</v>
      </c>
      <c r="B2363" s="7" t="s">
        <v>1707</v>
      </c>
      <c r="C2363" s="5">
        <v>427.83</v>
      </c>
      <c r="D2363" s="2">
        <v>0.71031249999941792</v>
      </c>
      <c r="E2363" s="4">
        <v>45056</v>
      </c>
      <c r="F2363" s="7" t="s">
        <v>17</v>
      </c>
      <c r="G2363" s="7" t="s">
        <v>425</v>
      </c>
      <c r="H2363" s="7" t="s">
        <v>2568</v>
      </c>
      <c r="I2363" s="7" t="s">
        <v>1669</v>
      </c>
      <c r="J2363" s="7" t="s">
        <v>386</v>
      </c>
      <c r="K2363" s="7" t="s">
        <v>22</v>
      </c>
      <c r="L2363" s="8">
        <v>47</v>
      </c>
      <c r="M2363" s="7" t="s">
        <v>77</v>
      </c>
      <c r="N2363" s="8">
        <v>29</v>
      </c>
      <c r="O2363" s="8">
        <v>1</v>
      </c>
      <c r="P2363" s="5">
        <v>3293.06</v>
      </c>
      <c r="Q2363" s="4">
        <v>45600</v>
      </c>
      <c r="R2363" s="9">
        <v>0.34015046296296297</v>
      </c>
      <c r="S2363" s="8">
        <v>17</v>
      </c>
      <c r="T2363" s="7" t="s">
        <v>4457</v>
      </c>
      <c r="U2363" s="7" t="s">
        <v>4455</v>
      </c>
      <c r="V23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64" spans="1:22" x14ac:dyDescent="0.35">
      <c r="A2364" s="7" t="s">
        <v>4292</v>
      </c>
      <c r="B2364" s="7" t="s">
        <v>3702</v>
      </c>
      <c r="C2364" s="5">
        <v>416.62</v>
      </c>
      <c r="D2364" s="2">
        <v>0.72707175926188938</v>
      </c>
      <c r="E2364" s="4">
        <v>44991</v>
      </c>
      <c r="F2364" s="7" t="s">
        <v>46</v>
      </c>
      <c r="G2364" s="7" t="s">
        <v>197</v>
      </c>
      <c r="H2364" s="7" t="s">
        <v>4230</v>
      </c>
      <c r="I2364" s="7" t="s">
        <v>3210</v>
      </c>
      <c r="J2364" s="7" t="s">
        <v>50</v>
      </c>
      <c r="K2364" s="7" t="s">
        <v>36</v>
      </c>
      <c r="L2364" s="8">
        <v>26</v>
      </c>
      <c r="M2364" s="7" t="s">
        <v>37</v>
      </c>
      <c r="N2364" s="8">
        <v>67</v>
      </c>
      <c r="O2364" s="8">
        <v>1</v>
      </c>
      <c r="P2364" s="5">
        <v>9700.9</v>
      </c>
      <c r="Q2364" s="4">
        <v>45600</v>
      </c>
      <c r="R2364" s="9">
        <v>0.3412384259259259</v>
      </c>
      <c r="S2364" s="8">
        <v>17</v>
      </c>
      <c r="T2364" s="7" t="s">
        <v>4456</v>
      </c>
      <c r="U2364" s="7" t="s">
        <v>4455</v>
      </c>
      <c r="V23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65" spans="1:22" x14ac:dyDescent="0.35">
      <c r="A2365" s="7" t="s">
        <v>4293</v>
      </c>
      <c r="B2365" s="7" t="s">
        <v>1357</v>
      </c>
      <c r="C2365" s="5">
        <v>21.9</v>
      </c>
      <c r="D2365" s="2">
        <v>0.71143518518510973</v>
      </c>
      <c r="E2365" s="4">
        <v>45026</v>
      </c>
      <c r="F2365" s="7" t="s">
        <v>17</v>
      </c>
      <c r="G2365" s="7" t="s">
        <v>425</v>
      </c>
      <c r="H2365" s="7" t="s">
        <v>1680</v>
      </c>
      <c r="I2365" s="7" t="s">
        <v>2416</v>
      </c>
      <c r="J2365" s="7" t="s">
        <v>820</v>
      </c>
      <c r="K2365" s="7" t="s">
        <v>22</v>
      </c>
      <c r="L2365" s="8">
        <v>28</v>
      </c>
      <c r="M2365" s="7" t="s">
        <v>37</v>
      </c>
      <c r="N2365" s="8">
        <v>30</v>
      </c>
      <c r="O2365" s="8">
        <v>1</v>
      </c>
      <c r="P2365" s="5">
        <v>1052.27</v>
      </c>
      <c r="Q2365" s="4">
        <v>45600</v>
      </c>
      <c r="R2365" s="9">
        <v>0.34114583333333331</v>
      </c>
      <c r="S2365" s="8">
        <v>17</v>
      </c>
      <c r="T2365" s="7" t="s">
        <v>4456</v>
      </c>
      <c r="U2365" s="7" t="s">
        <v>4455</v>
      </c>
      <c r="V23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66" spans="1:22" x14ac:dyDescent="0.35">
      <c r="A2366" s="7" t="s">
        <v>4294</v>
      </c>
      <c r="B2366" s="7" t="s">
        <v>1114</v>
      </c>
      <c r="C2366" s="5">
        <v>717.74</v>
      </c>
      <c r="D2366" s="2">
        <v>0.70240740740700858</v>
      </c>
      <c r="E2366" s="4">
        <v>45268</v>
      </c>
      <c r="F2366" s="7" t="s">
        <v>46</v>
      </c>
      <c r="G2366" s="7" t="s">
        <v>285</v>
      </c>
      <c r="H2366" s="7" t="s">
        <v>796</v>
      </c>
      <c r="I2366" s="7" t="s">
        <v>735</v>
      </c>
      <c r="J2366" s="7" t="s">
        <v>68</v>
      </c>
      <c r="K2366" s="7" t="s">
        <v>36</v>
      </c>
      <c r="L2366" s="8">
        <v>42</v>
      </c>
      <c r="M2366" s="7" t="s">
        <v>77</v>
      </c>
      <c r="N2366" s="8">
        <v>168</v>
      </c>
      <c r="O2366" s="8">
        <v>1</v>
      </c>
      <c r="P2366" s="5">
        <v>8375.16</v>
      </c>
      <c r="Q2366" s="4">
        <v>45600</v>
      </c>
      <c r="R2366" s="9">
        <v>0.34077546296296296</v>
      </c>
      <c r="S2366" s="8">
        <v>16</v>
      </c>
      <c r="T2366" s="7" t="s">
        <v>4457</v>
      </c>
      <c r="U2366" s="7" t="s">
        <v>4455</v>
      </c>
      <c r="V23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67" spans="1:22" x14ac:dyDescent="0.35">
      <c r="A2367" s="7" t="s">
        <v>4295</v>
      </c>
      <c r="B2367" s="7" t="s">
        <v>3855</v>
      </c>
      <c r="C2367" s="5">
        <v>393.68</v>
      </c>
      <c r="D2367" s="2">
        <v>0.69508101851533866</v>
      </c>
      <c r="E2367" s="4">
        <v>45187</v>
      </c>
      <c r="F2367" s="7" t="s">
        <v>17</v>
      </c>
      <c r="G2367" s="7" t="s">
        <v>18</v>
      </c>
      <c r="H2367" s="7" t="s">
        <v>1749</v>
      </c>
      <c r="I2367" s="7" t="s">
        <v>3347</v>
      </c>
      <c r="J2367" s="7" t="s">
        <v>343</v>
      </c>
      <c r="K2367" s="7" t="s">
        <v>22</v>
      </c>
      <c r="L2367" s="8">
        <v>55</v>
      </c>
      <c r="M2367" s="7" t="s">
        <v>23</v>
      </c>
      <c r="N2367" s="8">
        <v>141</v>
      </c>
      <c r="O2367" s="8">
        <v>1</v>
      </c>
      <c r="P2367" s="5">
        <v>10135.879999999999</v>
      </c>
      <c r="Q2367" s="4">
        <v>45600</v>
      </c>
      <c r="R2367" s="9">
        <v>0.33819444444444446</v>
      </c>
      <c r="S2367" s="8">
        <v>16</v>
      </c>
      <c r="T2367" s="7" t="s">
        <v>4454</v>
      </c>
      <c r="U2367" s="7" t="s">
        <v>4455</v>
      </c>
      <c r="V23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68" spans="1:22" x14ac:dyDescent="0.35">
      <c r="A2368" s="7" t="s">
        <v>4296</v>
      </c>
      <c r="B2368" s="7" t="s">
        <v>484</v>
      </c>
      <c r="C2368" s="5">
        <v>281.91000000000003</v>
      </c>
      <c r="D2368" s="2">
        <v>0.71531249999679858</v>
      </c>
      <c r="E2368" s="4">
        <v>44938</v>
      </c>
      <c r="F2368" s="7" t="s">
        <v>17</v>
      </c>
      <c r="G2368" s="7" t="s">
        <v>114</v>
      </c>
      <c r="H2368" s="7" t="s">
        <v>1297</v>
      </c>
      <c r="I2368" s="7" t="s">
        <v>75</v>
      </c>
      <c r="J2368" s="7" t="s">
        <v>853</v>
      </c>
      <c r="K2368" s="7" t="s">
        <v>69</v>
      </c>
      <c r="L2368" s="8">
        <v>25</v>
      </c>
      <c r="M2368" s="7" t="s">
        <v>37</v>
      </c>
      <c r="N2368" s="8">
        <v>269</v>
      </c>
      <c r="O2368" s="8">
        <v>1</v>
      </c>
      <c r="P2368" s="5">
        <v>225.53</v>
      </c>
      <c r="Q2368" s="4">
        <v>45600</v>
      </c>
      <c r="R2368" s="9">
        <v>0.33847222222222223</v>
      </c>
      <c r="S2368" s="8">
        <v>17</v>
      </c>
      <c r="T2368" s="7" t="s">
        <v>4456</v>
      </c>
      <c r="U2368" s="7" t="s">
        <v>4455</v>
      </c>
      <c r="V23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69" spans="1:22" x14ac:dyDescent="0.35">
      <c r="A2369" s="7" t="s">
        <v>4297</v>
      </c>
      <c r="B2369" s="7" t="s">
        <v>1992</v>
      </c>
      <c r="C2369" s="5">
        <v>239.85</v>
      </c>
      <c r="D2369" s="2">
        <v>0.67907407407619758</v>
      </c>
      <c r="E2369" s="4">
        <v>44952</v>
      </c>
      <c r="F2369" s="7" t="s">
        <v>17</v>
      </c>
      <c r="G2369" s="7" t="s">
        <v>255</v>
      </c>
      <c r="H2369" s="7" t="s">
        <v>746</v>
      </c>
      <c r="I2369" s="7" t="s">
        <v>662</v>
      </c>
      <c r="J2369" s="7" t="s">
        <v>478</v>
      </c>
      <c r="K2369" s="7" t="s">
        <v>22</v>
      </c>
      <c r="L2369" s="8">
        <v>70</v>
      </c>
      <c r="M2369" s="7" t="s">
        <v>70</v>
      </c>
      <c r="N2369" s="8">
        <v>50</v>
      </c>
      <c r="O2369" s="8">
        <v>1</v>
      </c>
      <c r="P2369" s="5">
        <v>1477.63</v>
      </c>
      <c r="Q2369" s="4">
        <v>45600</v>
      </c>
      <c r="R2369" s="9">
        <v>0.33878472222222222</v>
      </c>
      <c r="S2369" s="8">
        <v>16</v>
      </c>
      <c r="T2369" s="7" t="s">
        <v>4454</v>
      </c>
      <c r="U2369" s="7" t="s">
        <v>4455</v>
      </c>
      <c r="V23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70" spans="1:22" x14ac:dyDescent="0.35">
      <c r="A2370" s="7" t="s">
        <v>4298</v>
      </c>
      <c r="B2370" s="7" t="s">
        <v>222</v>
      </c>
      <c r="C2370" s="5">
        <v>237.84</v>
      </c>
      <c r="D2370" s="2">
        <v>0.73637731481721858</v>
      </c>
      <c r="E2370" s="4">
        <v>45191</v>
      </c>
      <c r="F2370" s="7" t="s">
        <v>17</v>
      </c>
      <c r="G2370" s="7" t="s">
        <v>80</v>
      </c>
      <c r="H2370" s="7" t="s">
        <v>207</v>
      </c>
      <c r="I2370" s="7" t="s">
        <v>486</v>
      </c>
      <c r="J2370" s="7" t="s">
        <v>478</v>
      </c>
      <c r="K2370" s="7" t="s">
        <v>69</v>
      </c>
      <c r="L2370" s="8">
        <v>26</v>
      </c>
      <c r="M2370" s="7" t="s">
        <v>37</v>
      </c>
      <c r="N2370" s="8">
        <v>16</v>
      </c>
      <c r="O2370" s="8">
        <v>1</v>
      </c>
      <c r="P2370" s="5">
        <v>8932.39</v>
      </c>
      <c r="Q2370" s="4">
        <v>45600</v>
      </c>
      <c r="R2370" s="9">
        <v>0.33991898148148147</v>
      </c>
      <c r="S2370" s="8">
        <v>17</v>
      </c>
      <c r="T2370" s="7" t="s">
        <v>4456</v>
      </c>
      <c r="U2370" s="7" t="s">
        <v>4455</v>
      </c>
      <c r="V23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71" spans="1:22" x14ac:dyDescent="0.35">
      <c r="A2371" s="7" t="s">
        <v>4299</v>
      </c>
      <c r="B2371" s="7" t="s">
        <v>1501</v>
      </c>
      <c r="C2371" s="5">
        <v>459.29</v>
      </c>
      <c r="D2371" s="2">
        <v>0.75486111111240461</v>
      </c>
      <c r="E2371" s="4">
        <v>44952</v>
      </c>
      <c r="F2371" s="7" t="s">
        <v>46</v>
      </c>
      <c r="G2371" s="7" t="s">
        <v>291</v>
      </c>
      <c r="H2371" s="7" t="s">
        <v>2794</v>
      </c>
      <c r="I2371" s="7" t="s">
        <v>4133</v>
      </c>
      <c r="J2371" s="7" t="s">
        <v>1810</v>
      </c>
      <c r="K2371" s="7" t="s">
        <v>36</v>
      </c>
      <c r="L2371" s="8">
        <v>64</v>
      </c>
      <c r="M2371" s="7" t="s">
        <v>70</v>
      </c>
      <c r="N2371" s="8">
        <v>109</v>
      </c>
      <c r="O2371" s="8">
        <v>1</v>
      </c>
      <c r="P2371" s="5">
        <v>1006.12</v>
      </c>
      <c r="Q2371" s="4">
        <v>45600</v>
      </c>
      <c r="R2371" s="9">
        <v>0.34106481481481482</v>
      </c>
      <c r="S2371" s="8">
        <v>18</v>
      </c>
      <c r="T2371" s="7" t="s">
        <v>4454</v>
      </c>
      <c r="U2371" s="7" t="s">
        <v>4455</v>
      </c>
      <c r="V23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72" spans="1:22" x14ac:dyDescent="0.35">
      <c r="A2372" s="7" t="s">
        <v>4300</v>
      </c>
      <c r="B2372" s="7" t="s">
        <v>1799</v>
      </c>
      <c r="C2372" s="5">
        <v>196.49</v>
      </c>
      <c r="D2372" s="2">
        <v>0.73054398148087785</v>
      </c>
      <c r="E2372" s="4">
        <v>45282</v>
      </c>
      <c r="F2372" s="7" t="s">
        <v>17</v>
      </c>
      <c r="G2372" s="7" t="s">
        <v>53</v>
      </c>
      <c r="H2372" s="7" t="s">
        <v>4189</v>
      </c>
      <c r="I2372" s="7" t="s">
        <v>293</v>
      </c>
      <c r="J2372" s="7" t="s">
        <v>1810</v>
      </c>
      <c r="K2372" s="7" t="s">
        <v>69</v>
      </c>
      <c r="L2372" s="8">
        <v>41</v>
      </c>
      <c r="M2372" s="7" t="s">
        <v>77</v>
      </c>
      <c r="N2372" s="8">
        <v>65</v>
      </c>
      <c r="O2372" s="8">
        <v>1</v>
      </c>
      <c r="P2372" s="5">
        <v>7516.56</v>
      </c>
      <c r="Q2372" s="4">
        <v>45600</v>
      </c>
      <c r="R2372" s="9">
        <v>0.33993055555555557</v>
      </c>
      <c r="S2372" s="8">
        <v>17</v>
      </c>
      <c r="T2372" s="7" t="s">
        <v>4457</v>
      </c>
      <c r="U2372" s="7" t="s">
        <v>4455</v>
      </c>
      <c r="V23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73" spans="1:22" x14ac:dyDescent="0.35">
      <c r="A2373" s="7" t="s">
        <v>4301</v>
      </c>
      <c r="B2373" s="7" t="s">
        <v>1796</v>
      </c>
      <c r="C2373" s="5">
        <v>21.23</v>
      </c>
      <c r="D2373" s="2">
        <v>0.69114583333430346</v>
      </c>
      <c r="E2373" s="4">
        <v>45180</v>
      </c>
      <c r="F2373" s="7" t="s">
        <v>17</v>
      </c>
      <c r="G2373" s="7" t="s">
        <v>301</v>
      </c>
      <c r="H2373" s="7" t="s">
        <v>2911</v>
      </c>
      <c r="I2373" s="7" t="s">
        <v>2091</v>
      </c>
      <c r="J2373" s="7" t="s">
        <v>209</v>
      </c>
      <c r="K2373" s="7" t="s">
        <v>22</v>
      </c>
      <c r="L2373" s="8">
        <v>23</v>
      </c>
      <c r="M2373" s="7" t="s">
        <v>37</v>
      </c>
      <c r="N2373" s="8">
        <v>103</v>
      </c>
      <c r="O2373" s="8">
        <v>4</v>
      </c>
      <c r="P2373" s="5">
        <v>319.18</v>
      </c>
      <c r="Q2373" s="4">
        <v>45600</v>
      </c>
      <c r="R2373" s="9">
        <v>0.3402662037037037</v>
      </c>
      <c r="S2373" s="8">
        <v>16</v>
      </c>
      <c r="T2373" s="7" t="s">
        <v>4456</v>
      </c>
      <c r="U2373" s="7" t="s">
        <v>4458</v>
      </c>
      <c r="V23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74" spans="1:22" x14ac:dyDescent="0.35">
      <c r="A2374" s="7" t="s">
        <v>4302</v>
      </c>
      <c r="B2374" s="7" t="s">
        <v>1009</v>
      </c>
      <c r="C2374" s="5">
        <v>95.23</v>
      </c>
      <c r="D2374" s="2">
        <v>0.78283564814773854</v>
      </c>
      <c r="E2374" s="4">
        <v>45215</v>
      </c>
      <c r="F2374" s="7" t="s">
        <v>17</v>
      </c>
      <c r="G2374" s="7" t="s">
        <v>114</v>
      </c>
      <c r="H2374" s="7" t="s">
        <v>1441</v>
      </c>
      <c r="I2374" s="7" t="s">
        <v>1898</v>
      </c>
      <c r="J2374" s="7" t="s">
        <v>543</v>
      </c>
      <c r="K2374" s="7" t="s">
        <v>36</v>
      </c>
      <c r="L2374" s="8">
        <v>20</v>
      </c>
      <c r="M2374" s="7" t="s">
        <v>37</v>
      </c>
      <c r="N2374" s="8">
        <v>60</v>
      </c>
      <c r="O2374" s="8">
        <v>3</v>
      </c>
      <c r="P2374" s="5">
        <v>966.88</v>
      </c>
      <c r="Q2374" s="4">
        <v>45600</v>
      </c>
      <c r="R2374" s="9">
        <v>0.34141203703703704</v>
      </c>
      <c r="S2374" s="8">
        <v>18</v>
      </c>
      <c r="T2374" s="7" t="s">
        <v>4456</v>
      </c>
      <c r="U2374" s="7" t="s">
        <v>4458</v>
      </c>
      <c r="V23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75" spans="1:22" x14ac:dyDescent="0.35">
      <c r="A2375" s="7" t="s">
        <v>4303</v>
      </c>
      <c r="B2375" s="7" t="s">
        <v>905</v>
      </c>
      <c r="C2375" s="5">
        <v>344.87</v>
      </c>
      <c r="D2375" s="2">
        <v>0.74967592592292931</v>
      </c>
      <c r="E2375" s="4">
        <v>45166</v>
      </c>
      <c r="F2375" s="7" t="s">
        <v>17</v>
      </c>
      <c r="G2375" s="7" t="s">
        <v>26</v>
      </c>
      <c r="H2375" s="7" t="s">
        <v>2359</v>
      </c>
      <c r="I2375" s="7" t="s">
        <v>287</v>
      </c>
      <c r="J2375" s="7" t="s">
        <v>277</v>
      </c>
      <c r="K2375" s="7" t="s">
        <v>69</v>
      </c>
      <c r="L2375" s="8">
        <v>58</v>
      </c>
      <c r="M2375" s="7" t="s">
        <v>70</v>
      </c>
      <c r="N2375" s="8">
        <v>25</v>
      </c>
      <c r="O2375" s="8">
        <v>1</v>
      </c>
      <c r="P2375" s="5">
        <v>7447.44</v>
      </c>
      <c r="Q2375" s="4">
        <v>45600</v>
      </c>
      <c r="R2375" s="9">
        <v>0.34121527777777777</v>
      </c>
      <c r="S2375" s="8">
        <v>17</v>
      </c>
      <c r="T2375" s="7" t="s">
        <v>4454</v>
      </c>
      <c r="U2375" s="7" t="s">
        <v>4455</v>
      </c>
      <c r="V23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76" spans="1:22" x14ac:dyDescent="0.35">
      <c r="A2376" s="7" t="s">
        <v>4304</v>
      </c>
      <c r="B2376" s="7" t="s">
        <v>3561</v>
      </c>
      <c r="C2376" s="5">
        <v>129.62</v>
      </c>
      <c r="D2376" s="2">
        <v>0.6993055555576575</v>
      </c>
      <c r="E2376" s="4">
        <v>45113</v>
      </c>
      <c r="F2376" s="7" t="s">
        <v>46</v>
      </c>
      <c r="G2376" s="7" t="s">
        <v>223</v>
      </c>
      <c r="H2376" s="7" t="s">
        <v>2958</v>
      </c>
      <c r="I2376" s="7" t="s">
        <v>3227</v>
      </c>
      <c r="J2376" s="7" t="s">
        <v>272</v>
      </c>
      <c r="K2376" s="7" t="s">
        <v>22</v>
      </c>
      <c r="L2376" s="8">
        <v>23</v>
      </c>
      <c r="M2376" s="7" t="s">
        <v>37</v>
      </c>
      <c r="N2376" s="8">
        <v>124</v>
      </c>
      <c r="O2376" s="8">
        <v>1</v>
      </c>
      <c r="P2376" s="5">
        <v>620.28</v>
      </c>
      <c r="Q2376" s="4">
        <v>45600</v>
      </c>
      <c r="R2376" s="9">
        <v>0.33809027777777778</v>
      </c>
      <c r="S2376" s="8">
        <v>16</v>
      </c>
      <c r="T2376" s="7" t="s">
        <v>4456</v>
      </c>
      <c r="U2376" s="7" t="s">
        <v>4455</v>
      </c>
      <c r="V23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77" spans="1:22" x14ac:dyDescent="0.35">
      <c r="A2377" s="7" t="s">
        <v>4305</v>
      </c>
      <c r="B2377" s="7" t="s">
        <v>625</v>
      </c>
      <c r="C2377" s="5">
        <v>16.53</v>
      </c>
      <c r="D2377" s="2">
        <v>0.71350694444117835</v>
      </c>
      <c r="E2377" s="4">
        <v>45131</v>
      </c>
      <c r="F2377" s="7" t="s">
        <v>17</v>
      </c>
      <c r="G2377" s="7" t="s">
        <v>26</v>
      </c>
      <c r="H2377" s="7" t="s">
        <v>522</v>
      </c>
      <c r="I2377" s="7" t="s">
        <v>1046</v>
      </c>
      <c r="J2377" s="7" t="s">
        <v>111</v>
      </c>
      <c r="K2377" s="7" t="s">
        <v>22</v>
      </c>
      <c r="L2377" s="8">
        <v>21</v>
      </c>
      <c r="M2377" s="7" t="s">
        <v>37</v>
      </c>
      <c r="N2377" s="8">
        <v>220</v>
      </c>
      <c r="O2377" s="8">
        <v>1</v>
      </c>
      <c r="P2377" s="5">
        <v>707.95</v>
      </c>
      <c r="Q2377" s="4">
        <v>45600</v>
      </c>
      <c r="R2377" s="9">
        <v>0.33922453703703703</v>
      </c>
      <c r="S2377" s="8">
        <v>17</v>
      </c>
      <c r="T2377" s="7" t="s">
        <v>4456</v>
      </c>
      <c r="U2377" s="7" t="s">
        <v>4455</v>
      </c>
      <c r="V23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78" spans="1:22" x14ac:dyDescent="0.35">
      <c r="A2378" s="7" t="s">
        <v>4306</v>
      </c>
      <c r="B2378" s="7" t="s">
        <v>2264</v>
      </c>
      <c r="C2378" s="5">
        <v>277.02</v>
      </c>
      <c r="D2378" s="2">
        <v>0.67833333333692281</v>
      </c>
      <c r="E2378" s="4">
        <v>45243</v>
      </c>
      <c r="F2378" s="7" t="s">
        <v>46</v>
      </c>
      <c r="G2378" s="7" t="s">
        <v>114</v>
      </c>
      <c r="H2378" s="7" t="s">
        <v>413</v>
      </c>
      <c r="I2378" s="7" t="s">
        <v>3248</v>
      </c>
      <c r="J2378" s="7" t="s">
        <v>564</v>
      </c>
      <c r="K2378" s="7" t="s">
        <v>22</v>
      </c>
      <c r="L2378" s="8">
        <v>46</v>
      </c>
      <c r="M2378" s="7" t="s">
        <v>23</v>
      </c>
      <c r="N2378" s="8">
        <v>227</v>
      </c>
      <c r="O2378" s="8">
        <v>1</v>
      </c>
      <c r="P2378" s="5">
        <v>8586.3799999999992</v>
      </c>
      <c r="Q2378" s="4">
        <v>45600</v>
      </c>
      <c r="R2378" s="9">
        <v>0.34023148148148147</v>
      </c>
      <c r="S2378" s="8">
        <v>16</v>
      </c>
      <c r="T2378" s="7" t="s">
        <v>4457</v>
      </c>
      <c r="U2378" s="7" t="s">
        <v>4455</v>
      </c>
      <c r="V23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79" spans="1:22" x14ac:dyDescent="0.35">
      <c r="A2379" s="7" t="s">
        <v>4307</v>
      </c>
      <c r="B2379" s="7" t="s">
        <v>611</v>
      </c>
      <c r="C2379" s="5">
        <v>13.02</v>
      </c>
      <c r="D2379" s="2">
        <v>0.68342592592671281</v>
      </c>
      <c r="E2379" s="4">
        <v>45091</v>
      </c>
      <c r="F2379" s="7" t="s">
        <v>17</v>
      </c>
      <c r="G2379" s="7" t="s">
        <v>249</v>
      </c>
      <c r="H2379" s="7" t="s">
        <v>1402</v>
      </c>
      <c r="I2379" s="7" t="s">
        <v>662</v>
      </c>
      <c r="J2379" s="7" t="s">
        <v>240</v>
      </c>
      <c r="K2379" s="7" t="s">
        <v>69</v>
      </c>
      <c r="L2379" s="8">
        <v>51</v>
      </c>
      <c r="M2379" s="7" t="s">
        <v>23</v>
      </c>
      <c r="N2379" s="8">
        <v>42</v>
      </c>
      <c r="O2379" s="8">
        <v>1</v>
      </c>
      <c r="P2379" s="5">
        <v>6076.45</v>
      </c>
      <c r="Q2379" s="4">
        <v>45600</v>
      </c>
      <c r="R2379" s="9">
        <v>0.3414699074074074</v>
      </c>
      <c r="S2379" s="8">
        <v>16</v>
      </c>
      <c r="T2379" s="7" t="s">
        <v>4457</v>
      </c>
      <c r="U2379" s="7" t="s">
        <v>4455</v>
      </c>
      <c r="V23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80" spans="1:22" x14ac:dyDescent="0.35">
      <c r="A2380" s="7" t="s">
        <v>4308</v>
      </c>
      <c r="B2380" s="7" t="s">
        <v>85</v>
      </c>
      <c r="C2380" s="5">
        <v>199.02</v>
      </c>
      <c r="D2380" s="2">
        <v>0.73395833333051996</v>
      </c>
      <c r="E2380" s="4">
        <v>44956</v>
      </c>
      <c r="F2380" s="7" t="s">
        <v>17</v>
      </c>
      <c r="G2380" s="7" t="s">
        <v>92</v>
      </c>
      <c r="H2380" s="7" t="s">
        <v>1824</v>
      </c>
      <c r="I2380" s="7" t="s">
        <v>575</v>
      </c>
      <c r="J2380" s="7" t="s">
        <v>427</v>
      </c>
      <c r="K2380" s="7" t="s">
        <v>22</v>
      </c>
      <c r="L2380" s="8">
        <v>22</v>
      </c>
      <c r="M2380" s="7" t="s">
        <v>37</v>
      </c>
      <c r="N2380" s="8">
        <v>185</v>
      </c>
      <c r="O2380" s="8">
        <v>1</v>
      </c>
      <c r="P2380" s="5">
        <v>793.63</v>
      </c>
      <c r="Q2380" s="4">
        <v>45600</v>
      </c>
      <c r="R2380" s="9">
        <v>0.33914351851851854</v>
      </c>
      <c r="S2380" s="8">
        <v>17</v>
      </c>
      <c r="T2380" s="7" t="s">
        <v>4456</v>
      </c>
      <c r="U2380" s="7" t="s">
        <v>4455</v>
      </c>
      <c r="V23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1" spans="1:22" x14ac:dyDescent="0.35">
      <c r="A2381" s="7" t="s">
        <v>4309</v>
      </c>
      <c r="B2381" s="7" t="s">
        <v>1520</v>
      </c>
      <c r="C2381" s="5">
        <v>684.5</v>
      </c>
      <c r="D2381" s="2">
        <v>0.78627314815093996</v>
      </c>
      <c r="E2381" s="4">
        <v>45138</v>
      </c>
      <c r="F2381" s="7" t="s">
        <v>17</v>
      </c>
      <c r="G2381" s="7" t="s">
        <v>157</v>
      </c>
      <c r="H2381" s="7" t="s">
        <v>1931</v>
      </c>
      <c r="I2381" s="7" t="s">
        <v>1589</v>
      </c>
      <c r="J2381" s="7" t="s">
        <v>76</v>
      </c>
      <c r="K2381" s="7" t="s">
        <v>69</v>
      </c>
      <c r="L2381" s="8">
        <v>29</v>
      </c>
      <c r="M2381" s="7" t="s">
        <v>23</v>
      </c>
      <c r="N2381" s="8">
        <v>76</v>
      </c>
      <c r="O2381" s="8">
        <v>1</v>
      </c>
      <c r="P2381" s="5">
        <v>6258.63</v>
      </c>
      <c r="Q2381" s="4">
        <v>45600</v>
      </c>
      <c r="R2381" s="9">
        <v>0.34043981481481483</v>
      </c>
      <c r="S2381" s="8">
        <v>18</v>
      </c>
      <c r="T2381" s="7" t="s">
        <v>4456</v>
      </c>
      <c r="U2381" s="7" t="s">
        <v>4455</v>
      </c>
      <c r="V23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2" spans="1:22" x14ac:dyDescent="0.35">
      <c r="A2382" s="7" t="s">
        <v>4310</v>
      </c>
      <c r="B2382" s="7" t="s">
        <v>442</v>
      </c>
      <c r="C2382" s="5">
        <v>1173.74</v>
      </c>
      <c r="D2382" s="2">
        <v>0.697824074071832</v>
      </c>
      <c r="E2382" s="4">
        <v>45194</v>
      </c>
      <c r="F2382" s="7" t="s">
        <v>46</v>
      </c>
      <c r="G2382" s="7" t="s">
        <v>301</v>
      </c>
      <c r="H2382" s="7" t="s">
        <v>3011</v>
      </c>
      <c r="I2382" s="7" t="s">
        <v>2523</v>
      </c>
      <c r="J2382" s="7" t="s">
        <v>572</v>
      </c>
      <c r="K2382" s="7" t="s">
        <v>36</v>
      </c>
      <c r="L2382" s="8">
        <v>61</v>
      </c>
      <c r="M2382" s="7" t="s">
        <v>23</v>
      </c>
      <c r="N2382" s="8">
        <v>61</v>
      </c>
      <c r="O2382" s="8">
        <v>1</v>
      </c>
      <c r="P2382" s="5">
        <v>10456.24</v>
      </c>
      <c r="Q2382" s="4">
        <v>45600</v>
      </c>
      <c r="R2382" s="9">
        <v>0.33855324074074072</v>
      </c>
      <c r="S2382" s="8">
        <v>16</v>
      </c>
      <c r="T2382" s="7" t="s">
        <v>4454</v>
      </c>
      <c r="U2382" s="7" t="s">
        <v>4455</v>
      </c>
      <c r="V23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83" spans="1:22" x14ac:dyDescent="0.35">
      <c r="A2383" s="7" t="s">
        <v>4311</v>
      </c>
      <c r="B2383" s="7" t="s">
        <v>872</v>
      </c>
      <c r="C2383" s="5">
        <v>45.92</v>
      </c>
      <c r="D2383" s="2">
        <v>0.72609953703795327</v>
      </c>
      <c r="E2383" s="4">
        <v>45096</v>
      </c>
      <c r="F2383" s="7" t="s">
        <v>17</v>
      </c>
      <c r="G2383" s="7" t="s">
        <v>80</v>
      </c>
      <c r="H2383" s="7" t="s">
        <v>485</v>
      </c>
      <c r="I2383" s="7" t="s">
        <v>136</v>
      </c>
      <c r="J2383" s="7" t="s">
        <v>343</v>
      </c>
      <c r="K2383" s="7" t="s">
        <v>22</v>
      </c>
      <c r="L2383" s="8">
        <v>26</v>
      </c>
      <c r="M2383" s="7" t="s">
        <v>37</v>
      </c>
      <c r="N2383" s="8">
        <v>23</v>
      </c>
      <c r="O2383" s="8">
        <v>1</v>
      </c>
      <c r="P2383" s="5">
        <v>544.55999999999995</v>
      </c>
      <c r="Q2383" s="4">
        <v>45600</v>
      </c>
      <c r="R2383" s="9">
        <v>0.33787037037037038</v>
      </c>
      <c r="S2383" s="8">
        <v>17</v>
      </c>
      <c r="T2383" s="7" t="s">
        <v>4456</v>
      </c>
      <c r="U2383" s="7" t="s">
        <v>4455</v>
      </c>
      <c r="V23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4" spans="1:22" x14ac:dyDescent="0.35">
      <c r="A2384" s="7" t="s">
        <v>4312</v>
      </c>
      <c r="B2384" s="7" t="s">
        <v>1167</v>
      </c>
      <c r="C2384" s="5">
        <v>761.73</v>
      </c>
      <c r="D2384" s="2">
        <v>0.71879629629984265</v>
      </c>
      <c r="E2384" s="4">
        <v>45180</v>
      </c>
      <c r="F2384" s="7" t="s">
        <v>17</v>
      </c>
      <c r="G2384" s="7" t="s">
        <v>125</v>
      </c>
      <c r="H2384" s="7" t="s">
        <v>1005</v>
      </c>
      <c r="I2384" s="7" t="s">
        <v>1163</v>
      </c>
      <c r="J2384" s="7" t="s">
        <v>326</v>
      </c>
      <c r="K2384" s="7" t="s">
        <v>22</v>
      </c>
      <c r="L2384" s="8">
        <v>19</v>
      </c>
      <c r="M2384" s="7" t="s">
        <v>37</v>
      </c>
      <c r="N2384" s="8">
        <v>27</v>
      </c>
      <c r="O2384" s="8">
        <v>1</v>
      </c>
      <c r="P2384" s="5">
        <v>151.28</v>
      </c>
      <c r="Q2384" s="4">
        <v>45600</v>
      </c>
      <c r="R2384" s="9">
        <v>0.33984953703703702</v>
      </c>
      <c r="S2384" s="8">
        <v>17</v>
      </c>
      <c r="T2384" s="7" t="s">
        <v>4456</v>
      </c>
      <c r="U2384" s="7" t="s">
        <v>4455</v>
      </c>
      <c r="V23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5" spans="1:22" x14ac:dyDescent="0.35">
      <c r="A2385" s="7" t="s">
        <v>4313</v>
      </c>
      <c r="B2385" s="7" t="s">
        <v>2262</v>
      </c>
      <c r="C2385" s="5">
        <v>331.38</v>
      </c>
      <c r="D2385" s="2">
        <v>0.71780092592234723</v>
      </c>
      <c r="E2385" s="4">
        <v>45076</v>
      </c>
      <c r="F2385" s="7" t="s">
        <v>17</v>
      </c>
      <c r="G2385" s="7" t="s">
        <v>172</v>
      </c>
      <c r="H2385" s="7" t="s">
        <v>204</v>
      </c>
      <c r="I2385" s="7" t="s">
        <v>2327</v>
      </c>
      <c r="J2385" s="7" t="s">
        <v>267</v>
      </c>
      <c r="K2385" s="7" t="s">
        <v>22</v>
      </c>
      <c r="L2385" s="8">
        <v>42</v>
      </c>
      <c r="M2385" s="7" t="s">
        <v>77</v>
      </c>
      <c r="N2385" s="8">
        <v>122</v>
      </c>
      <c r="O2385" s="8">
        <v>1</v>
      </c>
      <c r="P2385" s="5">
        <v>844.55</v>
      </c>
      <c r="Q2385" s="4">
        <v>45600</v>
      </c>
      <c r="R2385" s="9">
        <v>0.33932870370370372</v>
      </c>
      <c r="S2385" s="8">
        <v>17</v>
      </c>
      <c r="T2385" s="7" t="s">
        <v>4457</v>
      </c>
      <c r="U2385" s="7" t="s">
        <v>4455</v>
      </c>
      <c r="V23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6" spans="1:22" x14ac:dyDescent="0.35">
      <c r="A2386" s="7" t="s">
        <v>4314</v>
      </c>
      <c r="B2386" s="7" t="s">
        <v>2208</v>
      </c>
      <c r="C2386" s="5">
        <v>602.79999999999995</v>
      </c>
      <c r="D2386" s="2">
        <v>0.72586805555329192</v>
      </c>
      <c r="E2386" s="4">
        <v>45005</v>
      </c>
      <c r="F2386" s="7" t="s">
        <v>17</v>
      </c>
      <c r="G2386" s="7" t="s">
        <v>197</v>
      </c>
      <c r="H2386" s="7" t="s">
        <v>3318</v>
      </c>
      <c r="I2386" s="7" t="s">
        <v>841</v>
      </c>
      <c r="J2386" s="7" t="s">
        <v>362</v>
      </c>
      <c r="K2386" s="7" t="s">
        <v>69</v>
      </c>
      <c r="L2386" s="8">
        <v>60</v>
      </c>
      <c r="M2386" s="7" t="s">
        <v>70</v>
      </c>
      <c r="N2386" s="8">
        <v>173</v>
      </c>
      <c r="O2386" s="8">
        <v>1</v>
      </c>
      <c r="P2386" s="5">
        <v>7417.69</v>
      </c>
      <c r="Q2386" s="4">
        <v>45600</v>
      </c>
      <c r="R2386" s="9">
        <v>0.3409375</v>
      </c>
      <c r="S2386" s="8">
        <v>17</v>
      </c>
      <c r="T2386" s="7" t="s">
        <v>4454</v>
      </c>
      <c r="U2386" s="7" t="s">
        <v>4455</v>
      </c>
      <c r="V23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7" spans="1:22" x14ac:dyDescent="0.35">
      <c r="A2387" s="7" t="s">
        <v>4315</v>
      </c>
      <c r="B2387" s="7" t="s">
        <v>509</v>
      </c>
      <c r="C2387" s="5">
        <v>64.12</v>
      </c>
      <c r="D2387" s="2">
        <v>0.7173032407372375</v>
      </c>
      <c r="E2387" s="4">
        <v>45148</v>
      </c>
      <c r="F2387" s="7" t="s">
        <v>46</v>
      </c>
      <c r="G2387" s="7" t="s">
        <v>65</v>
      </c>
      <c r="H2387" s="7" t="s">
        <v>315</v>
      </c>
      <c r="I2387" s="7" t="s">
        <v>983</v>
      </c>
      <c r="J2387" s="7" t="s">
        <v>348</v>
      </c>
      <c r="K2387" s="7" t="s">
        <v>69</v>
      </c>
      <c r="L2387" s="8">
        <v>57</v>
      </c>
      <c r="M2387" s="7" t="s">
        <v>23</v>
      </c>
      <c r="N2387" s="8">
        <v>222</v>
      </c>
      <c r="O2387" s="8">
        <v>1</v>
      </c>
      <c r="P2387" s="5">
        <v>1029.0899999999999</v>
      </c>
      <c r="Q2387" s="4">
        <v>45600</v>
      </c>
      <c r="R2387" s="9">
        <v>0.3400347222222222</v>
      </c>
      <c r="S2387" s="8">
        <v>17</v>
      </c>
      <c r="T2387" s="7" t="s">
        <v>4454</v>
      </c>
      <c r="U2387" s="7" t="s">
        <v>4455</v>
      </c>
      <c r="V23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8" spans="1:22" x14ac:dyDescent="0.35">
      <c r="A2388" s="7" t="s">
        <v>4316</v>
      </c>
      <c r="B2388" s="7" t="s">
        <v>1673</v>
      </c>
      <c r="C2388" s="5">
        <v>57.38</v>
      </c>
      <c r="D2388" s="2">
        <v>0.76914351851883112</v>
      </c>
      <c r="E2388" s="4">
        <v>44970</v>
      </c>
      <c r="F2388" s="7" t="s">
        <v>17</v>
      </c>
      <c r="G2388" s="7" t="s">
        <v>291</v>
      </c>
      <c r="H2388" s="7" t="s">
        <v>2969</v>
      </c>
      <c r="I2388" s="7" t="s">
        <v>1295</v>
      </c>
      <c r="J2388" s="7" t="s">
        <v>619</v>
      </c>
      <c r="K2388" s="7" t="s">
        <v>36</v>
      </c>
      <c r="L2388" s="8">
        <v>28</v>
      </c>
      <c r="M2388" s="7" t="s">
        <v>37</v>
      </c>
      <c r="N2388" s="8">
        <v>86</v>
      </c>
      <c r="O2388" s="8">
        <v>1</v>
      </c>
      <c r="P2388" s="5">
        <v>899.52</v>
      </c>
      <c r="Q2388" s="4">
        <v>45600</v>
      </c>
      <c r="R2388" s="9">
        <v>0.33924768518518517</v>
      </c>
      <c r="S2388" s="8">
        <v>18</v>
      </c>
      <c r="T2388" s="7" t="s">
        <v>4456</v>
      </c>
      <c r="U2388" s="7" t="s">
        <v>4455</v>
      </c>
      <c r="V23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89" spans="1:22" x14ac:dyDescent="0.35">
      <c r="A2389" s="7" t="s">
        <v>4317</v>
      </c>
      <c r="B2389" s="7" t="s">
        <v>1197</v>
      </c>
      <c r="C2389" s="5">
        <v>94.64</v>
      </c>
      <c r="D2389" s="2">
        <v>0.77146990740584442</v>
      </c>
      <c r="E2389" s="4">
        <v>45061</v>
      </c>
      <c r="F2389" s="7" t="s">
        <v>46</v>
      </c>
      <c r="G2389" s="7" t="s">
        <v>203</v>
      </c>
      <c r="H2389" s="7" t="s">
        <v>4318</v>
      </c>
      <c r="I2389" s="7" t="s">
        <v>696</v>
      </c>
      <c r="J2389" s="7" t="s">
        <v>308</v>
      </c>
      <c r="K2389" s="7" t="s">
        <v>22</v>
      </c>
      <c r="L2389" s="8">
        <v>28</v>
      </c>
      <c r="M2389" s="7" t="s">
        <v>37</v>
      </c>
      <c r="N2389" s="8">
        <v>144</v>
      </c>
      <c r="O2389" s="8">
        <v>1</v>
      </c>
      <c r="P2389" s="5">
        <v>586.76</v>
      </c>
      <c r="Q2389" s="4">
        <v>45600</v>
      </c>
      <c r="R2389" s="9">
        <v>0.33946759259259257</v>
      </c>
      <c r="S2389" s="8">
        <v>18</v>
      </c>
      <c r="T2389" s="7" t="s">
        <v>4456</v>
      </c>
      <c r="U2389" s="7" t="s">
        <v>4455</v>
      </c>
      <c r="V23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90" spans="1:22" x14ac:dyDescent="0.35">
      <c r="A2390" s="7" t="s">
        <v>4319</v>
      </c>
      <c r="B2390" s="7" t="s">
        <v>1770</v>
      </c>
      <c r="C2390" s="5">
        <v>155.56</v>
      </c>
      <c r="D2390" s="2">
        <v>0.67214120370044839</v>
      </c>
      <c r="E2390" s="4">
        <v>45040</v>
      </c>
      <c r="F2390" s="7" t="s">
        <v>46</v>
      </c>
      <c r="G2390" s="7" t="s">
        <v>119</v>
      </c>
      <c r="H2390" s="7" t="s">
        <v>2479</v>
      </c>
      <c r="I2390" s="7" t="s">
        <v>121</v>
      </c>
      <c r="J2390" s="7" t="s">
        <v>240</v>
      </c>
      <c r="K2390" s="7" t="s">
        <v>69</v>
      </c>
      <c r="L2390" s="8">
        <v>19</v>
      </c>
      <c r="M2390" s="7" t="s">
        <v>37</v>
      </c>
      <c r="N2390" s="8">
        <v>64</v>
      </c>
      <c r="O2390" s="8">
        <v>1</v>
      </c>
      <c r="P2390" s="5">
        <v>129.79</v>
      </c>
      <c r="Q2390" s="4">
        <v>45600</v>
      </c>
      <c r="R2390" s="9">
        <v>0.33872685185185186</v>
      </c>
      <c r="S2390" s="8">
        <v>16</v>
      </c>
      <c r="T2390" s="7" t="s">
        <v>4456</v>
      </c>
      <c r="U2390" s="7" t="s">
        <v>4455</v>
      </c>
      <c r="V23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91" spans="1:22" x14ac:dyDescent="0.35">
      <c r="A2391" s="7" t="s">
        <v>4320</v>
      </c>
      <c r="B2391" s="7" t="s">
        <v>2978</v>
      </c>
      <c r="C2391" s="5">
        <v>301.39</v>
      </c>
      <c r="D2391" s="2">
        <v>0.68138888888643123</v>
      </c>
      <c r="E2391" s="4">
        <v>45111</v>
      </c>
      <c r="F2391" s="7" t="s">
        <v>46</v>
      </c>
      <c r="G2391" s="7" t="s">
        <v>114</v>
      </c>
      <c r="H2391" s="7" t="s">
        <v>416</v>
      </c>
      <c r="I2391" s="7" t="s">
        <v>1064</v>
      </c>
      <c r="J2391" s="7" t="s">
        <v>1345</v>
      </c>
      <c r="K2391" s="7" t="s">
        <v>36</v>
      </c>
      <c r="L2391" s="8">
        <v>47</v>
      </c>
      <c r="M2391" s="7" t="s">
        <v>23</v>
      </c>
      <c r="N2391" s="8">
        <v>104</v>
      </c>
      <c r="O2391" s="8">
        <v>1</v>
      </c>
      <c r="P2391" s="5">
        <v>10548.58</v>
      </c>
      <c r="Q2391" s="4">
        <v>45600</v>
      </c>
      <c r="R2391" s="9">
        <v>0.3384490740740741</v>
      </c>
      <c r="S2391" s="8">
        <v>16</v>
      </c>
      <c r="T2391" s="7" t="s">
        <v>4457</v>
      </c>
      <c r="U2391" s="7" t="s">
        <v>4455</v>
      </c>
      <c r="V23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92" spans="1:22" x14ac:dyDescent="0.35">
      <c r="A2392" s="7" t="s">
        <v>4321</v>
      </c>
      <c r="B2392" s="7" t="s">
        <v>935</v>
      </c>
      <c r="C2392" s="5">
        <v>136.31</v>
      </c>
      <c r="D2392" s="2">
        <v>0.69321759259037208</v>
      </c>
      <c r="E2392" s="4">
        <v>45229</v>
      </c>
      <c r="F2392" s="7" t="s">
        <v>17</v>
      </c>
      <c r="G2392" s="7" t="s">
        <v>80</v>
      </c>
      <c r="H2392" s="7" t="s">
        <v>2008</v>
      </c>
      <c r="I2392" s="7" t="s">
        <v>239</v>
      </c>
      <c r="J2392" s="7" t="s">
        <v>288</v>
      </c>
      <c r="K2392" s="7" t="s">
        <v>36</v>
      </c>
      <c r="L2392" s="8">
        <v>74</v>
      </c>
      <c r="M2392" s="7" t="s">
        <v>70</v>
      </c>
      <c r="N2392" s="8">
        <v>65</v>
      </c>
      <c r="O2392" s="8">
        <v>1</v>
      </c>
      <c r="P2392" s="5">
        <v>4384.95</v>
      </c>
      <c r="Q2392" s="4">
        <v>45600</v>
      </c>
      <c r="R2392" s="9">
        <v>0.33936342592592594</v>
      </c>
      <c r="S2392" s="8">
        <v>16</v>
      </c>
      <c r="T2392" s="7" t="s">
        <v>4454</v>
      </c>
      <c r="U2392" s="7" t="s">
        <v>4455</v>
      </c>
      <c r="V23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93" spans="1:22" x14ac:dyDescent="0.35">
      <c r="A2393" s="7" t="s">
        <v>4322</v>
      </c>
      <c r="B2393" s="7" t="s">
        <v>1343</v>
      </c>
      <c r="C2393" s="5">
        <v>4.3899999999999997</v>
      </c>
      <c r="D2393" s="2">
        <v>0.66923611111269565</v>
      </c>
      <c r="E2393" s="4">
        <v>45089</v>
      </c>
      <c r="F2393" s="7" t="s">
        <v>17</v>
      </c>
      <c r="G2393" s="7" t="s">
        <v>243</v>
      </c>
      <c r="H2393" s="7" t="s">
        <v>1815</v>
      </c>
      <c r="I2393" s="7" t="s">
        <v>1595</v>
      </c>
      <c r="J2393" s="7" t="s">
        <v>820</v>
      </c>
      <c r="K2393" s="7" t="s">
        <v>22</v>
      </c>
      <c r="L2393" s="8">
        <v>26</v>
      </c>
      <c r="M2393" s="7" t="s">
        <v>37</v>
      </c>
      <c r="N2393" s="8">
        <v>63</v>
      </c>
      <c r="O2393" s="8">
        <v>1</v>
      </c>
      <c r="P2393" s="5">
        <v>1429.61</v>
      </c>
      <c r="Q2393" s="4">
        <v>45600</v>
      </c>
      <c r="R2393" s="9">
        <v>0.34152777777777776</v>
      </c>
      <c r="S2393" s="8">
        <v>16</v>
      </c>
      <c r="T2393" s="7" t="s">
        <v>4456</v>
      </c>
      <c r="U2393" s="7" t="s">
        <v>4455</v>
      </c>
      <c r="V23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94" spans="1:22" x14ac:dyDescent="0.35">
      <c r="A2394" s="7" t="s">
        <v>4323</v>
      </c>
      <c r="B2394" s="7" t="s">
        <v>968</v>
      </c>
      <c r="C2394" s="5">
        <v>429.25</v>
      </c>
      <c r="D2394" s="2">
        <v>0.68513888888992369</v>
      </c>
      <c r="E2394" s="4">
        <v>45089</v>
      </c>
      <c r="F2394" s="7" t="s">
        <v>17</v>
      </c>
      <c r="G2394" s="7" t="s">
        <v>59</v>
      </c>
      <c r="H2394" s="7" t="s">
        <v>81</v>
      </c>
      <c r="I2394" s="7" t="s">
        <v>1985</v>
      </c>
      <c r="J2394" s="7" t="s">
        <v>277</v>
      </c>
      <c r="K2394" s="7" t="s">
        <v>36</v>
      </c>
      <c r="L2394" s="8">
        <v>29</v>
      </c>
      <c r="M2394" s="7" t="s">
        <v>77</v>
      </c>
      <c r="N2394" s="8">
        <v>107</v>
      </c>
      <c r="O2394" s="8">
        <v>1</v>
      </c>
      <c r="P2394" s="5">
        <v>5019.68</v>
      </c>
      <c r="Q2394" s="4">
        <v>45600</v>
      </c>
      <c r="R2394" s="9">
        <v>0.33930555555555558</v>
      </c>
      <c r="S2394" s="8">
        <v>16</v>
      </c>
      <c r="T2394" s="7" t="s">
        <v>4456</v>
      </c>
      <c r="U2394" s="7" t="s">
        <v>4455</v>
      </c>
      <c r="V23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95" spans="1:22" x14ac:dyDescent="0.35">
      <c r="A2395" s="7" t="s">
        <v>4324</v>
      </c>
      <c r="B2395" s="7" t="s">
        <v>641</v>
      </c>
      <c r="C2395" s="5">
        <v>138.54</v>
      </c>
      <c r="D2395" s="2">
        <v>0.74765046295942739</v>
      </c>
      <c r="E2395" s="4">
        <v>44929</v>
      </c>
      <c r="F2395" s="7" t="s">
        <v>46</v>
      </c>
      <c r="G2395" s="7" t="s">
        <v>119</v>
      </c>
      <c r="H2395" s="7" t="s">
        <v>856</v>
      </c>
      <c r="I2395" s="7" t="s">
        <v>1556</v>
      </c>
      <c r="J2395" s="7" t="s">
        <v>165</v>
      </c>
      <c r="K2395" s="7" t="s">
        <v>69</v>
      </c>
      <c r="L2395" s="8">
        <v>60</v>
      </c>
      <c r="M2395" s="7" t="s">
        <v>77</v>
      </c>
      <c r="N2395" s="8">
        <v>93</v>
      </c>
      <c r="O2395" s="8">
        <v>1</v>
      </c>
      <c r="P2395" s="5">
        <v>8274.77</v>
      </c>
      <c r="Q2395" s="4">
        <v>45600</v>
      </c>
      <c r="R2395" s="9">
        <v>0.33964120370370371</v>
      </c>
      <c r="S2395" s="8">
        <v>17</v>
      </c>
      <c r="T2395" s="7" t="s">
        <v>4454</v>
      </c>
      <c r="U2395" s="7" t="s">
        <v>4455</v>
      </c>
      <c r="V23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96" spans="1:22" x14ac:dyDescent="0.35">
      <c r="A2396" s="7" t="s">
        <v>4325</v>
      </c>
      <c r="B2396" s="7" t="s">
        <v>1333</v>
      </c>
      <c r="C2396" s="5">
        <v>33.03</v>
      </c>
      <c r="D2396" s="2">
        <v>0.70706018518831115</v>
      </c>
      <c r="E2396" s="4">
        <v>45148</v>
      </c>
      <c r="F2396" s="7" t="s">
        <v>17</v>
      </c>
      <c r="G2396" s="7" t="s">
        <v>453</v>
      </c>
      <c r="H2396" s="7" t="s">
        <v>2604</v>
      </c>
      <c r="I2396" s="7" t="s">
        <v>1219</v>
      </c>
      <c r="J2396" s="7" t="s">
        <v>62</v>
      </c>
      <c r="K2396" s="7" t="s">
        <v>69</v>
      </c>
      <c r="L2396" s="8">
        <v>21</v>
      </c>
      <c r="M2396" s="7" t="s">
        <v>37</v>
      </c>
      <c r="N2396" s="8">
        <v>28</v>
      </c>
      <c r="O2396" s="8">
        <v>1</v>
      </c>
      <c r="P2396" s="5">
        <v>935.88</v>
      </c>
      <c r="Q2396" s="4">
        <v>45600</v>
      </c>
      <c r="R2396" s="9">
        <v>0.34024305555555556</v>
      </c>
      <c r="S2396" s="8">
        <v>16</v>
      </c>
      <c r="T2396" s="7" t="s">
        <v>4456</v>
      </c>
      <c r="U2396" s="7" t="s">
        <v>4455</v>
      </c>
      <c r="V23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97" spans="1:22" x14ac:dyDescent="0.35">
      <c r="A2397" s="7" t="s">
        <v>4326</v>
      </c>
      <c r="B2397" s="7" t="s">
        <v>2914</v>
      </c>
      <c r="C2397" s="5">
        <v>76.39</v>
      </c>
      <c r="D2397" s="2">
        <v>0.68637731481430819</v>
      </c>
      <c r="E2397" s="4">
        <v>44984</v>
      </c>
      <c r="F2397" s="7" t="s">
        <v>17</v>
      </c>
      <c r="G2397" s="7" t="s">
        <v>285</v>
      </c>
      <c r="H2397" s="7" t="s">
        <v>3490</v>
      </c>
      <c r="I2397" s="7" t="s">
        <v>1742</v>
      </c>
      <c r="J2397" s="7" t="s">
        <v>262</v>
      </c>
      <c r="K2397" s="7" t="s">
        <v>36</v>
      </c>
      <c r="L2397" s="8">
        <v>30</v>
      </c>
      <c r="M2397" s="7" t="s">
        <v>23</v>
      </c>
      <c r="N2397" s="8">
        <v>80</v>
      </c>
      <c r="O2397" s="8">
        <v>1</v>
      </c>
      <c r="P2397" s="5">
        <v>11584.32</v>
      </c>
      <c r="Q2397" s="4">
        <v>45600</v>
      </c>
      <c r="R2397" s="9">
        <v>0.34096064814814814</v>
      </c>
      <c r="S2397" s="8">
        <v>16</v>
      </c>
      <c r="T2397" s="7" t="s">
        <v>4456</v>
      </c>
      <c r="U2397" s="7" t="s">
        <v>4455</v>
      </c>
      <c r="V23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398" spans="1:22" x14ac:dyDescent="0.35">
      <c r="A2398" s="7" t="s">
        <v>4327</v>
      </c>
      <c r="B2398" s="7" t="s">
        <v>162</v>
      </c>
      <c r="C2398" s="5">
        <v>25.32</v>
      </c>
      <c r="D2398" s="2">
        <v>0.74251157407707069</v>
      </c>
      <c r="E2398" s="4">
        <v>44992</v>
      </c>
      <c r="F2398" s="7" t="s">
        <v>17</v>
      </c>
      <c r="G2398" s="7" t="s">
        <v>53</v>
      </c>
      <c r="H2398" s="7" t="s">
        <v>1622</v>
      </c>
      <c r="I2398" s="7" t="s">
        <v>347</v>
      </c>
      <c r="J2398" s="7" t="s">
        <v>277</v>
      </c>
      <c r="K2398" s="7" t="s">
        <v>22</v>
      </c>
      <c r="L2398" s="8">
        <v>19</v>
      </c>
      <c r="M2398" s="7" t="s">
        <v>37</v>
      </c>
      <c r="N2398" s="8">
        <v>25</v>
      </c>
      <c r="O2398" s="8">
        <v>1</v>
      </c>
      <c r="P2398" s="5">
        <v>1642.34</v>
      </c>
      <c r="Q2398" s="4">
        <v>45600</v>
      </c>
      <c r="R2398" s="9">
        <v>0.33991898148148147</v>
      </c>
      <c r="S2398" s="8">
        <v>17</v>
      </c>
      <c r="T2398" s="7" t="s">
        <v>4456</v>
      </c>
      <c r="U2398" s="7" t="s">
        <v>4455</v>
      </c>
      <c r="V23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399" spans="1:22" x14ac:dyDescent="0.35">
      <c r="A2399" s="7" t="s">
        <v>4328</v>
      </c>
      <c r="B2399" s="7" t="s">
        <v>4329</v>
      </c>
      <c r="C2399" s="5">
        <v>330.91</v>
      </c>
      <c r="D2399" s="2">
        <v>0.72592592592263827</v>
      </c>
      <c r="E2399" s="4">
        <v>44991</v>
      </c>
      <c r="F2399" s="7" t="s">
        <v>17</v>
      </c>
      <c r="G2399" s="7" t="s">
        <v>291</v>
      </c>
      <c r="H2399" s="7" t="s">
        <v>2333</v>
      </c>
      <c r="I2399" s="7" t="s">
        <v>2353</v>
      </c>
      <c r="J2399" s="7" t="s">
        <v>576</v>
      </c>
      <c r="K2399" s="7" t="s">
        <v>22</v>
      </c>
      <c r="L2399" s="8">
        <v>36</v>
      </c>
      <c r="M2399" s="7" t="s">
        <v>77</v>
      </c>
      <c r="N2399" s="8">
        <v>28</v>
      </c>
      <c r="O2399" s="8">
        <v>1</v>
      </c>
      <c r="P2399" s="5">
        <v>6481.35</v>
      </c>
      <c r="Q2399" s="4">
        <v>45600</v>
      </c>
      <c r="R2399" s="9">
        <v>0.34108796296296295</v>
      </c>
      <c r="S2399" s="8">
        <v>17</v>
      </c>
      <c r="T2399" s="7" t="s">
        <v>4457</v>
      </c>
      <c r="U2399" s="7" t="s">
        <v>4455</v>
      </c>
      <c r="V23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0" spans="1:22" x14ac:dyDescent="0.35">
      <c r="A2400" s="7" t="s">
        <v>4330</v>
      </c>
      <c r="B2400" s="7" t="s">
        <v>4329</v>
      </c>
      <c r="C2400" s="5">
        <v>153.55000000000001</v>
      </c>
      <c r="D2400" s="2">
        <v>0.74574074074189411</v>
      </c>
      <c r="E2400" s="4">
        <v>45238</v>
      </c>
      <c r="F2400" s="7" t="s">
        <v>17</v>
      </c>
      <c r="G2400" s="7" t="s">
        <v>114</v>
      </c>
      <c r="H2400" s="7" t="s">
        <v>2272</v>
      </c>
      <c r="I2400" s="7" t="s">
        <v>1042</v>
      </c>
      <c r="J2400" s="7" t="s">
        <v>514</v>
      </c>
      <c r="K2400" s="7" t="s">
        <v>36</v>
      </c>
      <c r="L2400" s="8">
        <v>37</v>
      </c>
      <c r="M2400" s="7" t="s">
        <v>23</v>
      </c>
      <c r="N2400" s="8">
        <v>16</v>
      </c>
      <c r="O2400" s="8">
        <v>1</v>
      </c>
      <c r="P2400" s="5">
        <v>5619.91</v>
      </c>
      <c r="Q2400" s="4">
        <v>45600</v>
      </c>
      <c r="R2400" s="9">
        <v>0.33863425925925927</v>
      </c>
      <c r="S2400" s="8">
        <v>17</v>
      </c>
      <c r="T2400" s="7" t="s">
        <v>4457</v>
      </c>
      <c r="U2400" s="7" t="s">
        <v>4455</v>
      </c>
      <c r="V24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1" spans="1:22" x14ac:dyDescent="0.35">
      <c r="A2401" s="7" t="s">
        <v>4331</v>
      </c>
      <c r="B2401" s="7" t="s">
        <v>3866</v>
      </c>
      <c r="C2401" s="5">
        <v>217.61</v>
      </c>
      <c r="D2401" s="2">
        <v>0.73203703703620704</v>
      </c>
      <c r="E2401" s="4">
        <v>44985</v>
      </c>
      <c r="F2401" s="7" t="s">
        <v>17</v>
      </c>
      <c r="G2401" s="7" t="s">
        <v>296</v>
      </c>
      <c r="H2401" s="7" t="s">
        <v>4137</v>
      </c>
      <c r="I2401" s="7" t="s">
        <v>2111</v>
      </c>
      <c r="J2401" s="7" t="s">
        <v>137</v>
      </c>
      <c r="K2401" s="7" t="s">
        <v>36</v>
      </c>
      <c r="L2401" s="8">
        <v>27</v>
      </c>
      <c r="M2401" s="7" t="s">
        <v>37</v>
      </c>
      <c r="N2401" s="8">
        <v>120</v>
      </c>
      <c r="O2401" s="8">
        <v>1</v>
      </c>
      <c r="P2401" s="5">
        <v>1661.1</v>
      </c>
      <c r="Q2401" s="4">
        <v>45600</v>
      </c>
      <c r="R2401" s="9">
        <v>0.34109953703703705</v>
      </c>
      <c r="S2401" s="8">
        <v>17</v>
      </c>
      <c r="T2401" s="7" t="s">
        <v>4456</v>
      </c>
      <c r="U2401" s="7" t="s">
        <v>4455</v>
      </c>
      <c r="V24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2" spans="1:22" x14ac:dyDescent="0.35">
      <c r="A2402" s="7" t="s">
        <v>4332</v>
      </c>
      <c r="B2402" s="7" t="s">
        <v>884</v>
      </c>
      <c r="C2402" s="5">
        <v>131.69</v>
      </c>
      <c r="D2402" s="2">
        <v>0.68231481481780065</v>
      </c>
      <c r="E2402" s="4">
        <v>45215</v>
      </c>
      <c r="F2402" s="7" t="s">
        <v>46</v>
      </c>
      <c r="G2402" s="7" t="s">
        <v>114</v>
      </c>
      <c r="H2402" s="7" t="s">
        <v>2447</v>
      </c>
      <c r="I2402" s="7" t="s">
        <v>811</v>
      </c>
      <c r="J2402" s="7" t="s">
        <v>652</v>
      </c>
      <c r="K2402" s="7" t="s">
        <v>69</v>
      </c>
      <c r="L2402" s="8">
        <v>53</v>
      </c>
      <c r="M2402" s="7" t="s">
        <v>77</v>
      </c>
      <c r="N2402" s="8">
        <v>59</v>
      </c>
      <c r="O2402" s="8">
        <v>1</v>
      </c>
      <c r="P2402" s="5">
        <v>2958.43</v>
      </c>
      <c r="Q2402" s="4">
        <v>45600</v>
      </c>
      <c r="R2402" s="9">
        <v>0.33822916666666669</v>
      </c>
      <c r="S2402" s="8">
        <v>16</v>
      </c>
      <c r="T2402" s="7" t="s">
        <v>4457</v>
      </c>
      <c r="U2402" s="7" t="s">
        <v>4455</v>
      </c>
      <c r="V24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03" spans="1:22" x14ac:dyDescent="0.35">
      <c r="A2403" s="7" t="s">
        <v>4333</v>
      </c>
      <c r="B2403" s="7" t="s">
        <v>1044</v>
      </c>
      <c r="C2403" s="5">
        <v>953.17</v>
      </c>
      <c r="D2403" s="2">
        <v>0.73550925926247146</v>
      </c>
      <c r="E2403" s="4">
        <v>45211</v>
      </c>
      <c r="F2403" s="7" t="s">
        <v>17</v>
      </c>
      <c r="G2403" s="7" t="s">
        <v>40</v>
      </c>
      <c r="H2403" s="7" t="s">
        <v>2276</v>
      </c>
      <c r="I2403" s="7" t="s">
        <v>2999</v>
      </c>
      <c r="J2403" s="7" t="s">
        <v>1209</v>
      </c>
      <c r="K2403" s="7" t="s">
        <v>36</v>
      </c>
      <c r="L2403" s="8">
        <v>60</v>
      </c>
      <c r="M2403" s="7" t="s">
        <v>70</v>
      </c>
      <c r="N2403" s="8">
        <v>84</v>
      </c>
      <c r="O2403" s="8">
        <v>1</v>
      </c>
      <c r="P2403" s="5">
        <v>3506.11</v>
      </c>
      <c r="Q2403" s="4">
        <v>45600</v>
      </c>
      <c r="R2403" s="9">
        <v>0.33944444444444444</v>
      </c>
      <c r="S2403" s="8">
        <v>17</v>
      </c>
      <c r="T2403" s="7" t="s">
        <v>4454</v>
      </c>
      <c r="U2403" s="7" t="s">
        <v>4455</v>
      </c>
      <c r="V24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4" spans="1:22" x14ac:dyDescent="0.35">
      <c r="A2404" s="7" t="s">
        <v>4334</v>
      </c>
      <c r="B2404" s="7" t="s">
        <v>872</v>
      </c>
      <c r="C2404" s="5">
        <v>68.489999999999995</v>
      </c>
      <c r="D2404" s="2">
        <v>0.734375</v>
      </c>
      <c r="E2404" s="4">
        <v>45224</v>
      </c>
      <c r="F2404" s="7" t="s">
        <v>17</v>
      </c>
      <c r="G2404" s="7" t="s">
        <v>80</v>
      </c>
      <c r="H2404" s="7" t="s">
        <v>1754</v>
      </c>
      <c r="I2404" s="7" t="s">
        <v>1249</v>
      </c>
      <c r="J2404" s="7" t="s">
        <v>267</v>
      </c>
      <c r="K2404" s="7" t="s">
        <v>36</v>
      </c>
      <c r="L2404" s="8">
        <v>67</v>
      </c>
      <c r="M2404" s="7" t="s">
        <v>70</v>
      </c>
      <c r="N2404" s="8">
        <v>49</v>
      </c>
      <c r="O2404" s="8">
        <v>1</v>
      </c>
      <c r="P2404" s="5">
        <v>6683.31</v>
      </c>
      <c r="Q2404" s="4">
        <v>45600</v>
      </c>
      <c r="R2404" s="9">
        <v>0.34086805555555555</v>
      </c>
      <c r="S2404" s="8">
        <v>17</v>
      </c>
      <c r="T2404" s="7" t="s">
        <v>4454</v>
      </c>
      <c r="U2404" s="7" t="s">
        <v>4455</v>
      </c>
      <c r="V24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5" spans="1:22" x14ac:dyDescent="0.35">
      <c r="A2405" s="7" t="s">
        <v>4335</v>
      </c>
      <c r="B2405" s="7" t="s">
        <v>712</v>
      </c>
      <c r="C2405" s="5">
        <v>1493</v>
      </c>
      <c r="D2405" s="2">
        <v>0.7122800925935735</v>
      </c>
      <c r="E2405" s="4">
        <v>45084</v>
      </c>
      <c r="F2405" s="7" t="s">
        <v>17</v>
      </c>
      <c r="G2405" s="7" t="s">
        <v>521</v>
      </c>
      <c r="H2405" s="7" t="s">
        <v>2566</v>
      </c>
      <c r="I2405" s="7" t="s">
        <v>2641</v>
      </c>
      <c r="J2405" s="7" t="s">
        <v>1287</v>
      </c>
      <c r="K2405" s="7" t="s">
        <v>22</v>
      </c>
      <c r="L2405" s="8">
        <v>69</v>
      </c>
      <c r="M2405" s="7" t="s">
        <v>70</v>
      </c>
      <c r="N2405" s="8">
        <v>151</v>
      </c>
      <c r="O2405" s="8">
        <v>1</v>
      </c>
      <c r="P2405" s="5">
        <v>1619.16</v>
      </c>
      <c r="Q2405" s="4">
        <v>45600</v>
      </c>
      <c r="R2405" s="9">
        <v>0.33827546296296296</v>
      </c>
      <c r="S2405" s="8">
        <v>17</v>
      </c>
      <c r="T2405" s="7" t="s">
        <v>4454</v>
      </c>
      <c r="U2405" s="7" t="s">
        <v>4455</v>
      </c>
      <c r="V24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6" spans="1:22" x14ac:dyDescent="0.35">
      <c r="A2406" s="7" t="s">
        <v>4336</v>
      </c>
      <c r="B2406" s="7" t="s">
        <v>85</v>
      </c>
      <c r="C2406" s="5">
        <v>470.62</v>
      </c>
      <c r="D2406" s="2">
        <v>0.74494212962599704</v>
      </c>
      <c r="E2406" s="4">
        <v>44984</v>
      </c>
      <c r="F2406" s="7" t="s">
        <v>17</v>
      </c>
      <c r="G2406" s="7" t="s">
        <v>255</v>
      </c>
      <c r="H2406" s="7" t="s">
        <v>311</v>
      </c>
      <c r="I2406" s="7" t="s">
        <v>1430</v>
      </c>
      <c r="J2406" s="7" t="s">
        <v>43</v>
      </c>
      <c r="K2406" s="7" t="s">
        <v>69</v>
      </c>
      <c r="L2406" s="8">
        <v>57</v>
      </c>
      <c r="M2406" s="7" t="s">
        <v>23</v>
      </c>
      <c r="N2406" s="8">
        <v>127</v>
      </c>
      <c r="O2406" s="8">
        <v>1</v>
      </c>
      <c r="P2406" s="5">
        <v>12470.62</v>
      </c>
      <c r="Q2406" s="4">
        <v>45600</v>
      </c>
      <c r="R2406" s="9">
        <v>0.3379861111111111</v>
      </c>
      <c r="S2406" s="8">
        <v>17</v>
      </c>
      <c r="T2406" s="7" t="s">
        <v>4454</v>
      </c>
      <c r="U2406" s="7" t="s">
        <v>4455</v>
      </c>
      <c r="V24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7" spans="1:22" x14ac:dyDescent="0.35">
      <c r="A2407" s="7" t="s">
        <v>4337</v>
      </c>
      <c r="B2407" s="7" t="s">
        <v>1682</v>
      </c>
      <c r="C2407" s="5">
        <v>385.35</v>
      </c>
      <c r="D2407" s="2">
        <v>0.71862268518452765</v>
      </c>
      <c r="E2407" s="4">
        <v>45202</v>
      </c>
      <c r="F2407" s="7" t="s">
        <v>17</v>
      </c>
      <c r="G2407" s="7" t="s">
        <v>172</v>
      </c>
      <c r="H2407" s="7" t="s">
        <v>3094</v>
      </c>
      <c r="I2407" s="7" t="s">
        <v>302</v>
      </c>
      <c r="J2407" s="7" t="s">
        <v>414</v>
      </c>
      <c r="K2407" s="7" t="s">
        <v>69</v>
      </c>
      <c r="L2407" s="8">
        <v>38</v>
      </c>
      <c r="M2407" s="7" t="s">
        <v>23</v>
      </c>
      <c r="N2407" s="8">
        <v>269</v>
      </c>
      <c r="O2407" s="8">
        <v>1</v>
      </c>
      <c r="P2407" s="5">
        <v>5184.13</v>
      </c>
      <c r="Q2407" s="4">
        <v>45600</v>
      </c>
      <c r="R2407" s="9">
        <v>0.34180555555555553</v>
      </c>
      <c r="S2407" s="8">
        <v>17</v>
      </c>
      <c r="T2407" s="7" t="s">
        <v>4457</v>
      </c>
      <c r="U2407" s="7" t="s">
        <v>4455</v>
      </c>
      <c r="V24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8" spans="1:22" x14ac:dyDescent="0.35">
      <c r="A2408" s="7" t="s">
        <v>4338</v>
      </c>
      <c r="B2408" s="7" t="s">
        <v>611</v>
      </c>
      <c r="C2408" s="5">
        <v>74.72</v>
      </c>
      <c r="D2408" s="2">
        <v>0.79049768518598285</v>
      </c>
      <c r="E2408" s="4">
        <v>45132</v>
      </c>
      <c r="F2408" s="7" t="s">
        <v>17</v>
      </c>
      <c r="G2408" s="7" t="s">
        <v>425</v>
      </c>
      <c r="H2408" s="7" t="s">
        <v>802</v>
      </c>
      <c r="I2408" s="7" t="s">
        <v>615</v>
      </c>
      <c r="J2408" s="7" t="s">
        <v>1000</v>
      </c>
      <c r="K2408" s="7" t="s">
        <v>36</v>
      </c>
      <c r="L2408" s="8">
        <v>26</v>
      </c>
      <c r="M2408" s="7" t="s">
        <v>37</v>
      </c>
      <c r="N2408" s="8">
        <v>132</v>
      </c>
      <c r="O2408" s="8">
        <v>1</v>
      </c>
      <c r="P2408" s="5">
        <v>165.75</v>
      </c>
      <c r="Q2408" s="4">
        <v>45600</v>
      </c>
      <c r="R2408" s="9">
        <v>0.34049768518518519</v>
      </c>
      <c r="S2408" s="8">
        <v>18</v>
      </c>
      <c r="T2408" s="7" t="s">
        <v>4456</v>
      </c>
      <c r="U2408" s="7" t="s">
        <v>4455</v>
      </c>
      <c r="V24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09" spans="1:22" x14ac:dyDescent="0.35">
      <c r="A2409" s="7" t="s">
        <v>4339</v>
      </c>
      <c r="B2409" s="7" t="s">
        <v>1060</v>
      </c>
      <c r="C2409" s="5">
        <v>352.03</v>
      </c>
      <c r="D2409" s="2">
        <v>0.70092592592845904</v>
      </c>
      <c r="E2409" s="4">
        <v>45085</v>
      </c>
      <c r="F2409" s="7" t="s">
        <v>46</v>
      </c>
      <c r="G2409" s="7" t="s">
        <v>425</v>
      </c>
      <c r="H2409" s="7" t="s">
        <v>1493</v>
      </c>
      <c r="I2409" s="7" t="s">
        <v>1887</v>
      </c>
      <c r="J2409" s="7" t="s">
        <v>353</v>
      </c>
      <c r="K2409" s="7" t="s">
        <v>36</v>
      </c>
      <c r="L2409" s="8">
        <v>27</v>
      </c>
      <c r="M2409" s="7" t="s">
        <v>37</v>
      </c>
      <c r="N2409" s="8">
        <v>219</v>
      </c>
      <c r="O2409" s="8">
        <v>1</v>
      </c>
      <c r="P2409" s="5">
        <v>4846.68</v>
      </c>
      <c r="Q2409" s="4">
        <v>45600</v>
      </c>
      <c r="R2409" s="9">
        <v>0.34113425925925928</v>
      </c>
      <c r="S2409" s="8">
        <v>16</v>
      </c>
      <c r="T2409" s="7" t="s">
        <v>4456</v>
      </c>
      <c r="U2409" s="7" t="s">
        <v>4455</v>
      </c>
      <c r="V24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10" spans="1:22" x14ac:dyDescent="0.35">
      <c r="A2410" s="7" t="s">
        <v>4340</v>
      </c>
      <c r="B2410" s="7" t="s">
        <v>801</v>
      </c>
      <c r="C2410" s="5">
        <v>275.87</v>
      </c>
      <c r="D2410" s="2">
        <v>0.76943287037283881</v>
      </c>
      <c r="E2410" s="4">
        <v>45166</v>
      </c>
      <c r="F2410" s="7" t="s">
        <v>17</v>
      </c>
      <c r="G2410" s="7" t="s">
        <v>59</v>
      </c>
      <c r="H2410" s="7" t="s">
        <v>3454</v>
      </c>
      <c r="I2410" s="7" t="s">
        <v>718</v>
      </c>
      <c r="J2410" s="7" t="s">
        <v>1287</v>
      </c>
      <c r="K2410" s="7" t="s">
        <v>22</v>
      </c>
      <c r="L2410" s="8">
        <v>25</v>
      </c>
      <c r="M2410" s="7" t="s">
        <v>37</v>
      </c>
      <c r="N2410" s="8">
        <v>112</v>
      </c>
      <c r="O2410" s="8">
        <v>1</v>
      </c>
      <c r="P2410" s="5">
        <v>1697.58</v>
      </c>
      <c r="Q2410" s="4">
        <v>45600</v>
      </c>
      <c r="R2410" s="9">
        <v>0.33829861111111109</v>
      </c>
      <c r="S2410" s="8">
        <v>18</v>
      </c>
      <c r="T2410" s="7" t="s">
        <v>4456</v>
      </c>
      <c r="U2410" s="7" t="s">
        <v>4455</v>
      </c>
      <c r="V24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11" spans="1:22" x14ac:dyDescent="0.35">
      <c r="A2411" s="7" t="s">
        <v>4341</v>
      </c>
      <c r="B2411" s="7" t="s">
        <v>215</v>
      </c>
      <c r="C2411" s="5">
        <v>90.94</v>
      </c>
      <c r="D2411" s="2">
        <v>0.74665509258920792</v>
      </c>
      <c r="E2411" s="4">
        <v>45254</v>
      </c>
      <c r="F2411" s="7" t="s">
        <v>46</v>
      </c>
      <c r="G2411" s="7" t="s">
        <v>521</v>
      </c>
      <c r="H2411" s="7" t="s">
        <v>3480</v>
      </c>
      <c r="I2411" s="7" t="s">
        <v>1242</v>
      </c>
      <c r="J2411" s="7" t="s">
        <v>820</v>
      </c>
      <c r="K2411" s="7" t="s">
        <v>22</v>
      </c>
      <c r="L2411" s="8">
        <v>63</v>
      </c>
      <c r="M2411" s="7" t="s">
        <v>70</v>
      </c>
      <c r="N2411" s="8">
        <v>56</v>
      </c>
      <c r="O2411" s="8">
        <v>1</v>
      </c>
      <c r="P2411" s="5">
        <v>3896.08</v>
      </c>
      <c r="Q2411" s="4">
        <v>45600</v>
      </c>
      <c r="R2411" s="9">
        <v>0.34190972222222221</v>
      </c>
      <c r="S2411" s="8">
        <v>17</v>
      </c>
      <c r="T2411" s="7" t="s">
        <v>4454</v>
      </c>
      <c r="U2411" s="7" t="s">
        <v>4455</v>
      </c>
      <c r="V24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12" spans="1:22" x14ac:dyDescent="0.35">
      <c r="A2412" s="7" t="s">
        <v>4342</v>
      </c>
      <c r="B2412" s="7" t="s">
        <v>2311</v>
      </c>
      <c r="C2412" s="5">
        <v>206.25</v>
      </c>
      <c r="D2412" s="2">
        <v>0.68251157407212304</v>
      </c>
      <c r="E2412" s="4">
        <v>45202</v>
      </c>
      <c r="F2412" s="7" t="s">
        <v>17</v>
      </c>
      <c r="G2412" s="7" t="s">
        <v>197</v>
      </c>
      <c r="H2412" s="7" t="s">
        <v>1330</v>
      </c>
      <c r="I2412" s="7" t="s">
        <v>1868</v>
      </c>
      <c r="J2412" s="7" t="s">
        <v>226</v>
      </c>
      <c r="K2412" s="7" t="s">
        <v>22</v>
      </c>
      <c r="L2412" s="8">
        <v>74</v>
      </c>
      <c r="M2412" s="7" t="s">
        <v>70</v>
      </c>
      <c r="N2412" s="8">
        <v>56</v>
      </c>
      <c r="O2412" s="8">
        <v>1</v>
      </c>
      <c r="P2412" s="5">
        <v>3651.07</v>
      </c>
      <c r="Q2412" s="4">
        <v>45600</v>
      </c>
      <c r="R2412" s="9">
        <v>0.33887731481481481</v>
      </c>
      <c r="S2412" s="8">
        <v>16</v>
      </c>
      <c r="T2412" s="7" t="s">
        <v>4454</v>
      </c>
      <c r="U2412" s="7" t="s">
        <v>4455</v>
      </c>
      <c r="V24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13" spans="1:22" x14ac:dyDescent="0.35">
      <c r="A2413" s="7" t="s">
        <v>4343</v>
      </c>
      <c r="B2413" s="7" t="s">
        <v>1114</v>
      </c>
      <c r="C2413" s="5">
        <v>116.76</v>
      </c>
      <c r="D2413" s="2">
        <v>0.70501157407124992</v>
      </c>
      <c r="E2413" s="4">
        <v>44942</v>
      </c>
      <c r="F2413" s="7" t="s">
        <v>17</v>
      </c>
      <c r="G2413" s="7" t="s">
        <v>243</v>
      </c>
      <c r="H2413" s="7" t="s">
        <v>2433</v>
      </c>
      <c r="I2413" s="7" t="s">
        <v>405</v>
      </c>
      <c r="J2413" s="7" t="s">
        <v>652</v>
      </c>
      <c r="K2413" s="7" t="s">
        <v>22</v>
      </c>
      <c r="L2413" s="8">
        <v>51</v>
      </c>
      <c r="M2413" s="7" t="s">
        <v>77</v>
      </c>
      <c r="N2413" s="8">
        <v>212</v>
      </c>
      <c r="O2413" s="8">
        <v>1</v>
      </c>
      <c r="P2413" s="5">
        <v>4480.43</v>
      </c>
      <c r="Q2413" s="4">
        <v>45600</v>
      </c>
      <c r="R2413" s="9">
        <v>0.33829861111111109</v>
      </c>
      <c r="S2413" s="8">
        <v>16</v>
      </c>
      <c r="T2413" s="7" t="s">
        <v>4457</v>
      </c>
      <c r="U2413" s="7" t="s">
        <v>4455</v>
      </c>
      <c r="V24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14" spans="1:22" x14ac:dyDescent="0.35">
      <c r="A2414" s="7" t="s">
        <v>4344</v>
      </c>
      <c r="B2414" s="7" t="s">
        <v>3465</v>
      </c>
      <c r="C2414" s="5">
        <v>91.5</v>
      </c>
      <c r="D2414" s="2">
        <v>0.68520833333604969</v>
      </c>
      <c r="E2414" s="4">
        <v>45012</v>
      </c>
      <c r="F2414" s="7" t="s">
        <v>17</v>
      </c>
      <c r="G2414" s="7" t="s">
        <v>296</v>
      </c>
      <c r="H2414" s="7" t="s">
        <v>1379</v>
      </c>
      <c r="I2414" s="7" t="s">
        <v>4345</v>
      </c>
      <c r="J2414" s="7" t="s">
        <v>450</v>
      </c>
      <c r="K2414" s="7" t="s">
        <v>22</v>
      </c>
      <c r="L2414" s="8">
        <v>47</v>
      </c>
      <c r="M2414" s="7" t="s">
        <v>23</v>
      </c>
      <c r="N2414" s="8">
        <v>77</v>
      </c>
      <c r="O2414" s="8">
        <v>1</v>
      </c>
      <c r="P2414" s="5">
        <v>667.66</v>
      </c>
      <c r="Q2414" s="4">
        <v>45600</v>
      </c>
      <c r="R2414" s="9">
        <v>0.33884259259259258</v>
      </c>
      <c r="S2414" s="8">
        <v>16</v>
      </c>
      <c r="T2414" s="7" t="s">
        <v>4457</v>
      </c>
      <c r="U2414" s="7" t="s">
        <v>4455</v>
      </c>
      <c r="V241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15" spans="1:22" x14ac:dyDescent="0.35">
      <c r="A2415" s="7" t="s">
        <v>4346</v>
      </c>
      <c r="B2415" s="7" t="s">
        <v>31</v>
      </c>
      <c r="C2415" s="5">
        <v>489.31</v>
      </c>
      <c r="D2415" s="2">
        <v>0.69039351851824904</v>
      </c>
      <c r="E2415" s="4">
        <v>45019</v>
      </c>
      <c r="F2415" s="7" t="s">
        <v>17</v>
      </c>
      <c r="G2415" s="7" t="s">
        <v>108</v>
      </c>
      <c r="H2415" s="7" t="s">
        <v>1566</v>
      </c>
      <c r="I2415" s="7" t="s">
        <v>1351</v>
      </c>
      <c r="J2415" s="7" t="s">
        <v>548</v>
      </c>
      <c r="K2415" s="7" t="s">
        <v>69</v>
      </c>
      <c r="L2415" s="8">
        <v>43</v>
      </c>
      <c r="M2415" s="7" t="s">
        <v>77</v>
      </c>
      <c r="N2415" s="8">
        <v>36</v>
      </c>
      <c r="O2415" s="8">
        <v>1</v>
      </c>
      <c r="P2415" s="5">
        <v>5595.22</v>
      </c>
      <c r="Q2415" s="4">
        <v>45600</v>
      </c>
      <c r="R2415" s="9">
        <v>0.34192129629629631</v>
      </c>
      <c r="S2415" s="8">
        <v>16</v>
      </c>
      <c r="T2415" s="7" t="s">
        <v>4457</v>
      </c>
      <c r="U2415" s="7" t="s">
        <v>4455</v>
      </c>
      <c r="V241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16" spans="1:22" x14ac:dyDescent="0.35">
      <c r="A2416" s="7" t="s">
        <v>4347</v>
      </c>
      <c r="B2416" s="7" t="s">
        <v>3218</v>
      </c>
      <c r="C2416" s="5">
        <v>1664.33</v>
      </c>
      <c r="D2416" s="2">
        <v>0.71619212962832535</v>
      </c>
      <c r="E2416" s="4">
        <v>45194</v>
      </c>
      <c r="F2416" s="7" t="s">
        <v>17</v>
      </c>
      <c r="G2416" s="7" t="s">
        <v>237</v>
      </c>
      <c r="H2416" s="7" t="s">
        <v>1305</v>
      </c>
      <c r="I2416" s="7" t="s">
        <v>2738</v>
      </c>
      <c r="J2416" s="7" t="s">
        <v>331</v>
      </c>
      <c r="K2416" s="7" t="s">
        <v>69</v>
      </c>
      <c r="L2416" s="8">
        <v>18</v>
      </c>
      <c r="M2416" s="7" t="s">
        <v>37</v>
      </c>
      <c r="N2416" s="8">
        <v>65</v>
      </c>
      <c r="O2416" s="8">
        <v>1</v>
      </c>
      <c r="P2416" s="5">
        <v>1588.31</v>
      </c>
      <c r="Q2416" s="4">
        <v>45600</v>
      </c>
      <c r="R2416" s="9">
        <v>0.33827546296296296</v>
      </c>
      <c r="S2416" s="8">
        <v>17</v>
      </c>
      <c r="T2416" s="7" t="s">
        <v>4456</v>
      </c>
      <c r="U2416" s="7" t="s">
        <v>4455</v>
      </c>
      <c r="V241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17" spans="1:22" x14ac:dyDescent="0.35">
      <c r="A2417" s="7" t="s">
        <v>4348</v>
      </c>
      <c r="B2417" s="7" t="s">
        <v>91</v>
      </c>
      <c r="C2417" s="5">
        <v>414.49</v>
      </c>
      <c r="D2417" s="2">
        <v>0.66913194444350665</v>
      </c>
      <c r="E2417" s="4">
        <v>44970</v>
      </c>
      <c r="F2417" s="7" t="s">
        <v>46</v>
      </c>
      <c r="G2417" s="7" t="s">
        <v>425</v>
      </c>
      <c r="H2417" s="7" t="s">
        <v>324</v>
      </c>
      <c r="I2417" s="7" t="s">
        <v>1219</v>
      </c>
      <c r="J2417" s="7" t="s">
        <v>267</v>
      </c>
      <c r="K2417" s="7" t="s">
        <v>36</v>
      </c>
      <c r="L2417" s="8">
        <v>58</v>
      </c>
      <c r="M2417" s="7" t="s">
        <v>23</v>
      </c>
      <c r="N2417" s="8">
        <v>108</v>
      </c>
      <c r="O2417" s="8">
        <v>1</v>
      </c>
      <c r="P2417" s="5">
        <v>12709.58</v>
      </c>
      <c r="Q2417" s="4">
        <v>45600</v>
      </c>
      <c r="R2417" s="9">
        <v>0.33967592592592594</v>
      </c>
      <c r="S2417" s="8">
        <v>16</v>
      </c>
      <c r="T2417" s="7" t="s">
        <v>4454</v>
      </c>
      <c r="U2417" s="7" t="s">
        <v>4455</v>
      </c>
      <c r="V241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18" spans="1:22" x14ac:dyDescent="0.35">
      <c r="A2418" s="7" t="s">
        <v>4349</v>
      </c>
      <c r="B2418" s="7" t="s">
        <v>64</v>
      </c>
      <c r="C2418" s="5">
        <v>315.13</v>
      </c>
      <c r="D2418" s="2">
        <v>0.66983796295971842</v>
      </c>
      <c r="E2418" s="4">
        <v>45265</v>
      </c>
      <c r="F2418" s="7" t="s">
        <v>17</v>
      </c>
      <c r="G2418" s="7" t="s">
        <v>296</v>
      </c>
      <c r="H2418" s="7" t="s">
        <v>4057</v>
      </c>
      <c r="I2418" s="7" t="s">
        <v>2319</v>
      </c>
      <c r="J2418" s="7" t="s">
        <v>414</v>
      </c>
      <c r="K2418" s="7" t="s">
        <v>69</v>
      </c>
      <c r="L2418" s="8">
        <v>30</v>
      </c>
      <c r="M2418" s="7" t="s">
        <v>77</v>
      </c>
      <c r="N2418" s="8">
        <v>143</v>
      </c>
      <c r="O2418" s="8">
        <v>1</v>
      </c>
      <c r="P2418" s="5">
        <v>6570.94</v>
      </c>
      <c r="Q2418" s="4">
        <v>45600</v>
      </c>
      <c r="R2418" s="9">
        <v>0.3384375</v>
      </c>
      <c r="S2418" s="8">
        <v>16</v>
      </c>
      <c r="T2418" s="7" t="s">
        <v>4456</v>
      </c>
      <c r="U2418" s="7" t="s">
        <v>4455</v>
      </c>
      <c r="V241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19" spans="1:22" x14ac:dyDescent="0.35">
      <c r="A2419" s="7" t="s">
        <v>4350</v>
      </c>
      <c r="B2419" s="7" t="s">
        <v>2172</v>
      </c>
      <c r="C2419" s="5">
        <v>28.38</v>
      </c>
      <c r="D2419" s="2">
        <v>0.69395833333692281</v>
      </c>
      <c r="E2419" s="4">
        <v>45202</v>
      </c>
      <c r="F2419" s="7" t="s">
        <v>17</v>
      </c>
      <c r="G2419" s="7" t="s">
        <v>255</v>
      </c>
      <c r="H2419" s="7" t="s">
        <v>2687</v>
      </c>
      <c r="I2419" s="7" t="s">
        <v>1496</v>
      </c>
      <c r="J2419" s="7" t="s">
        <v>564</v>
      </c>
      <c r="K2419" s="7" t="s">
        <v>69</v>
      </c>
      <c r="L2419" s="8">
        <v>45</v>
      </c>
      <c r="M2419" s="7" t="s">
        <v>23</v>
      </c>
      <c r="N2419" s="8">
        <v>260</v>
      </c>
      <c r="O2419" s="8">
        <v>1</v>
      </c>
      <c r="P2419" s="5">
        <v>8892.6200000000008</v>
      </c>
      <c r="Q2419" s="4">
        <v>45600</v>
      </c>
      <c r="R2419" s="9">
        <v>0.3401851851851852</v>
      </c>
      <c r="S2419" s="8">
        <v>16</v>
      </c>
      <c r="T2419" s="7" t="s">
        <v>4457</v>
      </c>
      <c r="U2419" s="7" t="s">
        <v>4455</v>
      </c>
      <c r="V241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20" spans="1:22" x14ac:dyDescent="0.35">
      <c r="A2420" s="7" t="s">
        <v>4351</v>
      </c>
      <c r="B2420" s="7" t="s">
        <v>1193</v>
      </c>
      <c r="C2420" s="5">
        <v>456.05</v>
      </c>
      <c r="D2420" s="2">
        <v>0.71045138889166992</v>
      </c>
      <c r="E2420" s="4">
        <v>45002</v>
      </c>
      <c r="F2420" s="7" t="s">
        <v>17</v>
      </c>
      <c r="G2420" s="7" t="s">
        <v>73</v>
      </c>
      <c r="H2420" s="7" t="s">
        <v>1489</v>
      </c>
      <c r="I2420" s="7" t="s">
        <v>1540</v>
      </c>
      <c r="J2420" s="7" t="s">
        <v>89</v>
      </c>
      <c r="K2420" s="7" t="s">
        <v>69</v>
      </c>
      <c r="L2420" s="8">
        <v>68</v>
      </c>
      <c r="M2420" s="7" t="s">
        <v>23</v>
      </c>
      <c r="N2420" s="8">
        <v>20</v>
      </c>
      <c r="O2420" s="8">
        <v>1</v>
      </c>
      <c r="P2420" s="5">
        <v>11729.51</v>
      </c>
      <c r="Q2420" s="4">
        <v>45600</v>
      </c>
      <c r="R2420" s="9">
        <v>0.34070601851851851</v>
      </c>
      <c r="S2420" s="8">
        <v>17</v>
      </c>
      <c r="T2420" s="7" t="s">
        <v>4454</v>
      </c>
      <c r="U2420" s="7" t="s">
        <v>4455</v>
      </c>
      <c r="V242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21" spans="1:22" x14ac:dyDescent="0.35">
      <c r="A2421" s="7" t="s">
        <v>4352</v>
      </c>
      <c r="B2421" s="7" t="s">
        <v>729</v>
      </c>
      <c r="C2421" s="5">
        <v>277.22000000000003</v>
      </c>
      <c r="D2421" s="2">
        <v>0.71556712962774327</v>
      </c>
      <c r="E2421" s="4">
        <v>45155</v>
      </c>
      <c r="F2421" s="7" t="s">
        <v>17</v>
      </c>
      <c r="G2421" s="7" t="s">
        <v>291</v>
      </c>
      <c r="H2421" s="7" t="s">
        <v>877</v>
      </c>
      <c r="I2421" s="7" t="s">
        <v>2559</v>
      </c>
      <c r="J2421" s="7" t="s">
        <v>76</v>
      </c>
      <c r="K2421" s="7" t="s">
        <v>69</v>
      </c>
      <c r="L2421" s="8">
        <v>35</v>
      </c>
      <c r="M2421" s="7" t="s">
        <v>23</v>
      </c>
      <c r="N2421" s="8">
        <v>41</v>
      </c>
      <c r="O2421" s="8">
        <v>1</v>
      </c>
      <c r="P2421" s="5">
        <v>12104.51</v>
      </c>
      <c r="Q2421" s="4">
        <v>45600</v>
      </c>
      <c r="R2421" s="9">
        <v>0.33850694444444446</v>
      </c>
      <c r="S2421" s="8">
        <v>17</v>
      </c>
      <c r="T2421" s="7" t="s">
        <v>4457</v>
      </c>
      <c r="U2421" s="7" t="s">
        <v>4455</v>
      </c>
      <c r="V242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22" spans="1:22" x14ac:dyDescent="0.35">
      <c r="A2422" s="7" t="s">
        <v>4353</v>
      </c>
      <c r="B2422" s="7" t="s">
        <v>997</v>
      </c>
      <c r="C2422" s="5">
        <v>54.84</v>
      </c>
      <c r="D2422" s="2">
        <v>0.70035879629722331</v>
      </c>
      <c r="E2422" s="4">
        <v>45054</v>
      </c>
      <c r="F2422" s="7" t="s">
        <v>17</v>
      </c>
      <c r="G2422" s="7" t="s">
        <v>291</v>
      </c>
      <c r="H2422" s="7" t="s">
        <v>1526</v>
      </c>
      <c r="I2422" s="7" t="s">
        <v>330</v>
      </c>
      <c r="J2422" s="7" t="s">
        <v>43</v>
      </c>
      <c r="K2422" s="7" t="s">
        <v>36</v>
      </c>
      <c r="L2422" s="8">
        <v>52</v>
      </c>
      <c r="M2422" s="7" t="s">
        <v>70</v>
      </c>
      <c r="N2422" s="8">
        <v>124</v>
      </c>
      <c r="O2422" s="8">
        <v>1</v>
      </c>
      <c r="P2422" s="5">
        <v>3495.51</v>
      </c>
      <c r="Q2422" s="4">
        <v>45600</v>
      </c>
      <c r="R2422" s="9">
        <v>0.3414814814814815</v>
      </c>
      <c r="S2422" s="8">
        <v>16</v>
      </c>
      <c r="T2422" s="7" t="s">
        <v>4457</v>
      </c>
      <c r="U2422" s="7" t="s">
        <v>4455</v>
      </c>
      <c r="V242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23" spans="1:22" x14ac:dyDescent="0.35">
      <c r="A2423" s="7" t="s">
        <v>4354</v>
      </c>
      <c r="B2423" s="7" t="s">
        <v>1760</v>
      </c>
      <c r="C2423" s="5">
        <v>29.92</v>
      </c>
      <c r="D2423" s="2">
        <v>0.68417824074276723</v>
      </c>
      <c r="E2423" s="4">
        <v>45292</v>
      </c>
      <c r="F2423" s="7" t="s">
        <v>46</v>
      </c>
      <c r="G2423" s="7" t="s">
        <v>114</v>
      </c>
      <c r="H2423" s="7" t="s">
        <v>1458</v>
      </c>
      <c r="I2423" s="7" t="s">
        <v>2378</v>
      </c>
      <c r="J2423" s="7" t="s">
        <v>752</v>
      </c>
      <c r="K2423" s="7" t="s">
        <v>36</v>
      </c>
      <c r="L2423" s="8">
        <v>68</v>
      </c>
      <c r="M2423" s="7" t="s">
        <v>23</v>
      </c>
      <c r="N2423" s="8">
        <v>63</v>
      </c>
      <c r="O2423" s="8">
        <v>1</v>
      </c>
      <c r="P2423" s="5">
        <v>7855.01</v>
      </c>
      <c r="Q2423" s="4">
        <v>45600</v>
      </c>
      <c r="R2423" s="9">
        <v>0.34045138888888887</v>
      </c>
      <c r="S2423" s="8">
        <v>16</v>
      </c>
      <c r="T2423" s="7" t="s">
        <v>4454</v>
      </c>
      <c r="U2423" s="7" t="s">
        <v>4455</v>
      </c>
      <c r="V242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24" spans="1:22" x14ac:dyDescent="0.35">
      <c r="A2424" s="7" t="s">
        <v>4355</v>
      </c>
      <c r="B2424" s="7" t="s">
        <v>1179</v>
      </c>
      <c r="C2424" s="5">
        <v>133.06</v>
      </c>
      <c r="D2424" s="2">
        <v>0.70878472222102573</v>
      </c>
      <c r="E2424" s="4">
        <v>44960</v>
      </c>
      <c r="F2424" s="7" t="s">
        <v>17</v>
      </c>
      <c r="G2424" s="7" t="s">
        <v>146</v>
      </c>
      <c r="H2424" s="7" t="s">
        <v>435</v>
      </c>
      <c r="I2424" s="7" t="s">
        <v>2254</v>
      </c>
      <c r="J2424" s="7" t="s">
        <v>831</v>
      </c>
      <c r="K2424" s="7" t="s">
        <v>36</v>
      </c>
      <c r="L2424" s="8">
        <v>35</v>
      </c>
      <c r="M2424" s="7" t="s">
        <v>77</v>
      </c>
      <c r="N2424" s="8">
        <v>143</v>
      </c>
      <c r="O2424" s="8">
        <v>1</v>
      </c>
      <c r="P2424" s="5">
        <v>8843.44</v>
      </c>
      <c r="Q2424" s="4">
        <v>45600</v>
      </c>
      <c r="R2424" s="9">
        <v>0.34019675925925924</v>
      </c>
      <c r="S2424" s="8">
        <v>17</v>
      </c>
      <c r="T2424" s="7" t="s">
        <v>4457</v>
      </c>
      <c r="U2424" s="7" t="s">
        <v>4455</v>
      </c>
      <c r="V242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25" spans="1:22" x14ac:dyDescent="0.35">
      <c r="A2425" s="7" t="s">
        <v>4356</v>
      </c>
      <c r="B2425" s="7" t="s">
        <v>600</v>
      </c>
      <c r="C2425" s="5">
        <v>332.06</v>
      </c>
      <c r="D2425" s="2">
        <v>0.69368055555241881</v>
      </c>
      <c r="E2425" s="4">
        <v>45098</v>
      </c>
      <c r="F2425" s="7" t="s">
        <v>17</v>
      </c>
      <c r="G2425" s="7" t="s">
        <v>59</v>
      </c>
      <c r="H2425" s="7" t="s">
        <v>2666</v>
      </c>
      <c r="I2425" s="7" t="s">
        <v>410</v>
      </c>
      <c r="J2425" s="7" t="s">
        <v>572</v>
      </c>
      <c r="K2425" s="7" t="s">
        <v>22</v>
      </c>
      <c r="L2425" s="8">
        <v>29</v>
      </c>
      <c r="M2425" s="7" t="s">
        <v>23</v>
      </c>
      <c r="N2425" s="8">
        <v>221</v>
      </c>
      <c r="O2425" s="8">
        <v>4</v>
      </c>
      <c r="P2425" s="5">
        <v>11826.52</v>
      </c>
      <c r="Q2425" s="4">
        <v>45600</v>
      </c>
      <c r="R2425" s="9">
        <v>0.33776620370370369</v>
      </c>
      <c r="S2425" s="8">
        <v>16</v>
      </c>
      <c r="T2425" s="7" t="s">
        <v>4456</v>
      </c>
      <c r="U2425" s="7" t="s">
        <v>4458</v>
      </c>
      <c r="V242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26" spans="1:22" x14ac:dyDescent="0.35">
      <c r="A2426" s="7" t="s">
        <v>4357</v>
      </c>
      <c r="B2426" s="7" t="s">
        <v>1425</v>
      </c>
      <c r="C2426" s="5">
        <v>14.34</v>
      </c>
      <c r="D2426" s="2">
        <v>0.74396990740933688</v>
      </c>
      <c r="E2426" s="4">
        <v>45216</v>
      </c>
      <c r="F2426" s="7" t="s">
        <v>46</v>
      </c>
      <c r="G2426" s="7" t="s">
        <v>92</v>
      </c>
      <c r="H2426" s="7" t="s">
        <v>1618</v>
      </c>
      <c r="I2426" s="7" t="s">
        <v>953</v>
      </c>
      <c r="J2426" s="7" t="s">
        <v>432</v>
      </c>
      <c r="K2426" s="7" t="s">
        <v>36</v>
      </c>
      <c r="L2426" s="8">
        <v>67</v>
      </c>
      <c r="M2426" s="7" t="s">
        <v>70</v>
      </c>
      <c r="N2426" s="8">
        <v>24</v>
      </c>
      <c r="O2426" s="8">
        <v>1</v>
      </c>
      <c r="P2426" s="5">
        <v>7932.51</v>
      </c>
      <c r="Q2426" s="4">
        <v>45600</v>
      </c>
      <c r="R2426" s="9">
        <v>0.33826388888888886</v>
      </c>
      <c r="S2426" s="8">
        <v>17</v>
      </c>
      <c r="T2426" s="7" t="s">
        <v>4454</v>
      </c>
      <c r="U2426" s="7" t="s">
        <v>4455</v>
      </c>
      <c r="V242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27" spans="1:22" x14ac:dyDescent="0.35">
      <c r="A2427" s="7" t="s">
        <v>4358</v>
      </c>
      <c r="B2427" s="7" t="s">
        <v>1179</v>
      </c>
      <c r="C2427" s="5">
        <v>468.32</v>
      </c>
      <c r="D2427" s="2">
        <v>0.6808912037013215</v>
      </c>
      <c r="E2427" s="4">
        <v>45085</v>
      </c>
      <c r="F2427" s="7" t="s">
        <v>17</v>
      </c>
      <c r="G2427" s="7" t="s">
        <v>558</v>
      </c>
      <c r="H2427" s="7" t="s">
        <v>3355</v>
      </c>
      <c r="I2427" s="7" t="s">
        <v>3141</v>
      </c>
      <c r="J2427" s="7" t="s">
        <v>312</v>
      </c>
      <c r="K2427" s="7" t="s">
        <v>36</v>
      </c>
      <c r="L2427" s="8">
        <v>69</v>
      </c>
      <c r="M2427" s="7" t="s">
        <v>70</v>
      </c>
      <c r="N2427" s="8">
        <v>152</v>
      </c>
      <c r="O2427" s="8">
        <v>1</v>
      </c>
      <c r="P2427" s="5">
        <v>4710.04</v>
      </c>
      <c r="Q2427" s="4">
        <v>45600</v>
      </c>
      <c r="R2427" s="9">
        <v>0.33804398148148146</v>
      </c>
      <c r="S2427" s="8">
        <v>16</v>
      </c>
      <c r="T2427" s="7" t="s">
        <v>4454</v>
      </c>
      <c r="U2427" s="7" t="s">
        <v>4455</v>
      </c>
      <c r="V242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28" spans="1:22" x14ac:dyDescent="0.35">
      <c r="A2428" s="7" t="s">
        <v>4359</v>
      </c>
      <c r="B2428" s="7" t="s">
        <v>1992</v>
      </c>
      <c r="C2428" s="5">
        <v>582.16999999999996</v>
      </c>
      <c r="D2428" s="2">
        <v>0.66859953703533392</v>
      </c>
      <c r="E2428" s="4">
        <v>45267</v>
      </c>
      <c r="F2428" s="7" t="s">
        <v>17</v>
      </c>
      <c r="G2428" s="7" t="s">
        <v>255</v>
      </c>
      <c r="H2428" s="7" t="s">
        <v>98</v>
      </c>
      <c r="I2428" s="7" t="s">
        <v>1370</v>
      </c>
      <c r="J2428" s="7" t="s">
        <v>482</v>
      </c>
      <c r="K2428" s="7" t="s">
        <v>69</v>
      </c>
      <c r="L2428" s="8">
        <v>57</v>
      </c>
      <c r="M2428" s="7" t="s">
        <v>77</v>
      </c>
      <c r="N2428" s="8">
        <v>135</v>
      </c>
      <c r="O2428" s="8">
        <v>1</v>
      </c>
      <c r="P2428" s="5">
        <v>7310.83</v>
      </c>
      <c r="Q2428" s="4">
        <v>45600</v>
      </c>
      <c r="R2428" s="9">
        <v>0.33894675925925927</v>
      </c>
      <c r="S2428" s="8">
        <v>16</v>
      </c>
      <c r="T2428" s="7" t="s">
        <v>4454</v>
      </c>
      <c r="U2428" s="7" t="s">
        <v>4455</v>
      </c>
      <c r="V242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29" spans="1:22" x14ac:dyDescent="0.35">
      <c r="A2429" s="7" t="s">
        <v>4360</v>
      </c>
      <c r="B2429" s="7" t="s">
        <v>314</v>
      </c>
      <c r="C2429" s="5">
        <v>245.62</v>
      </c>
      <c r="D2429" s="2">
        <v>0.7096990740756155</v>
      </c>
      <c r="E2429" s="4">
        <v>45275</v>
      </c>
      <c r="F2429" s="7" t="s">
        <v>17</v>
      </c>
      <c r="G2429" s="7" t="s">
        <v>237</v>
      </c>
      <c r="H2429" s="7" t="s">
        <v>1330</v>
      </c>
      <c r="I2429" s="7" t="s">
        <v>1503</v>
      </c>
      <c r="J2429" s="7" t="s">
        <v>1037</v>
      </c>
      <c r="K2429" s="7" t="s">
        <v>69</v>
      </c>
      <c r="L2429" s="8">
        <v>23</v>
      </c>
      <c r="M2429" s="7" t="s">
        <v>37</v>
      </c>
      <c r="N2429" s="8">
        <v>127</v>
      </c>
      <c r="O2429" s="8">
        <v>1</v>
      </c>
      <c r="P2429" s="5">
        <v>1879.82</v>
      </c>
      <c r="Q2429" s="4">
        <v>45600</v>
      </c>
      <c r="R2429" s="9">
        <v>0.33923611111111113</v>
      </c>
      <c r="S2429" s="8">
        <v>17</v>
      </c>
      <c r="T2429" s="7" t="s">
        <v>4456</v>
      </c>
      <c r="U2429" s="7" t="s">
        <v>4455</v>
      </c>
      <c r="V242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30" spans="1:22" x14ac:dyDescent="0.35">
      <c r="A2430" s="7" t="s">
        <v>4361</v>
      </c>
      <c r="B2430" s="7" t="s">
        <v>447</v>
      </c>
      <c r="C2430" s="5">
        <v>981.9</v>
      </c>
      <c r="D2430" s="2">
        <v>0.67900462963007158</v>
      </c>
      <c r="E2430" s="4">
        <v>45258</v>
      </c>
      <c r="F2430" s="7" t="s">
        <v>46</v>
      </c>
      <c r="G2430" s="7" t="s">
        <v>197</v>
      </c>
      <c r="H2430" s="7" t="s">
        <v>1334</v>
      </c>
      <c r="I2430" s="7" t="s">
        <v>2140</v>
      </c>
      <c r="J2430" s="7" t="s">
        <v>175</v>
      </c>
      <c r="K2430" s="7" t="s">
        <v>36</v>
      </c>
      <c r="L2430" s="8">
        <v>43</v>
      </c>
      <c r="M2430" s="7" t="s">
        <v>23</v>
      </c>
      <c r="N2430" s="8">
        <v>112</v>
      </c>
      <c r="O2430" s="8">
        <v>1</v>
      </c>
      <c r="P2430" s="5">
        <v>9018.33</v>
      </c>
      <c r="Q2430" s="4">
        <v>45600</v>
      </c>
      <c r="R2430" s="9">
        <v>0.33811342592592591</v>
      </c>
      <c r="S2430" s="8">
        <v>16</v>
      </c>
      <c r="T2430" s="7" t="s">
        <v>4457</v>
      </c>
      <c r="U2430" s="7" t="s">
        <v>4455</v>
      </c>
      <c r="V243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31" spans="1:22" x14ac:dyDescent="0.35">
      <c r="A2431" s="7" t="s">
        <v>4362</v>
      </c>
      <c r="B2431" s="7" t="s">
        <v>412</v>
      </c>
      <c r="C2431" s="5">
        <v>83.6</v>
      </c>
      <c r="D2431" s="2">
        <v>0.77040509258949896</v>
      </c>
      <c r="E2431" s="4">
        <v>45289</v>
      </c>
      <c r="F2431" s="7" t="s">
        <v>17</v>
      </c>
      <c r="G2431" s="7" t="s">
        <v>223</v>
      </c>
      <c r="H2431" s="7" t="s">
        <v>633</v>
      </c>
      <c r="I2431" s="7" t="s">
        <v>591</v>
      </c>
      <c r="J2431" s="7" t="s">
        <v>277</v>
      </c>
      <c r="K2431" s="7" t="s">
        <v>22</v>
      </c>
      <c r="L2431" s="8">
        <v>47</v>
      </c>
      <c r="M2431" s="7" t="s">
        <v>23</v>
      </c>
      <c r="N2431" s="8">
        <v>192</v>
      </c>
      <c r="O2431" s="8">
        <v>1</v>
      </c>
      <c r="P2431" s="5">
        <v>13899.24</v>
      </c>
      <c r="Q2431" s="4">
        <v>45600</v>
      </c>
      <c r="R2431" s="9">
        <v>0.33980324074074075</v>
      </c>
      <c r="S2431" s="8">
        <v>18</v>
      </c>
      <c r="T2431" s="7" t="s">
        <v>4457</v>
      </c>
      <c r="U2431" s="7" t="s">
        <v>4455</v>
      </c>
      <c r="V243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32" spans="1:22" x14ac:dyDescent="0.35">
      <c r="A2432" s="7" t="s">
        <v>4363</v>
      </c>
      <c r="B2432" s="7" t="s">
        <v>2779</v>
      </c>
      <c r="C2432" s="5">
        <v>331.22</v>
      </c>
      <c r="D2432" s="2">
        <v>0.68561342592875008</v>
      </c>
      <c r="E2432" s="4">
        <v>45071</v>
      </c>
      <c r="F2432" s="7" t="s">
        <v>46</v>
      </c>
      <c r="G2432" s="7" t="s">
        <v>53</v>
      </c>
      <c r="H2432" s="7" t="s">
        <v>1550</v>
      </c>
      <c r="I2432" s="7" t="s">
        <v>571</v>
      </c>
      <c r="J2432" s="7" t="s">
        <v>76</v>
      </c>
      <c r="K2432" s="7" t="s">
        <v>69</v>
      </c>
      <c r="L2432" s="8">
        <v>61</v>
      </c>
      <c r="M2432" s="7" t="s">
        <v>23</v>
      </c>
      <c r="N2432" s="8">
        <v>161</v>
      </c>
      <c r="O2432" s="8">
        <v>1</v>
      </c>
      <c r="P2432" s="5">
        <v>12613.25</v>
      </c>
      <c r="Q2432" s="4">
        <v>45600</v>
      </c>
      <c r="R2432" s="9">
        <v>0.34190972222222221</v>
      </c>
      <c r="S2432" s="8">
        <v>16</v>
      </c>
      <c r="T2432" s="7" t="s">
        <v>4454</v>
      </c>
      <c r="U2432" s="7" t="s">
        <v>4455</v>
      </c>
      <c r="V243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33" spans="1:22" x14ac:dyDescent="0.35">
      <c r="A2433" s="7" t="s">
        <v>4364</v>
      </c>
      <c r="B2433" s="7" t="s">
        <v>452</v>
      </c>
      <c r="C2433" s="5">
        <v>57.49</v>
      </c>
      <c r="D2433" s="2">
        <v>0.75665509259124519</v>
      </c>
      <c r="E2433" s="4">
        <v>45246</v>
      </c>
      <c r="F2433" s="7" t="s">
        <v>46</v>
      </c>
      <c r="G2433" s="7" t="s">
        <v>73</v>
      </c>
      <c r="H2433" s="7" t="s">
        <v>1737</v>
      </c>
      <c r="I2433" s="7" t="s">
        <v>1018</v>
      </c>
      <c r="J2433" s="7" t="s">
        <v>240</v>
      </c>
      <c r="K2433" s="7" t="s">
        <v>36</v>
      </c>
      <c r="L2433" s="8">
        <v>24</v>
      </c>
      <c r="M2433" s="7" t="s">
        <v>37</v>
      </c>
      <c r="N2433" s="8">
        <v>177</v>
      </c>
      <c r="O2433" s="8">
        <v>1</v>
      </c>
      <c r="P2433" s="5">
        <v>765.15</v>
      </c>
      <c r="Q2433" s="4">
        <v>45600</v>
      </c>
      <c r="R2433" s="9">
        <v>0.34136574074074072</v>
      </c>
      <c r="S2433" s="8">
        <v>18</v>
      </c>
      <c r="T2433" s="7" t="s">
        <v>4456</v>
      </c>
      <c r="U2433" s="7" t="s">
        <v>4455</v>
      </c>
      <c r="V243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34" spans="1:22" x14ac:dyDescent="0.35">
      <c r="A2434" s="7" t="s">
        <v>4365</v>
      </c>
      <c r="B2434" s="7" t="s">
        <v>1200</v>
      </c>
      <c r="C2434" s="5">
        <v>85.58</v>
      </c>
      <c r="D2434" s="2">
        <v>0.72082175925606862</v>
      </c>
      <c r="E2434" s="4">
        <v>45253</v>
      </c>
      <c r="F2434" s="7" t="s">
        <v>17</v>
      </c>
      <c r="G2434" s="7" t="s">
        <v>157</v>
      </c>
      <c r="H2434" s="7" t="s">
        <v>2809</v>
      </c>
      <c r="I2434" s="7" t="s">
        <v>1249</v>
      </c>
      <c r="J2434" s="7" t="s">
        <v>175</v>
      </c>
      <c r="K2434" s="7" t="s">
        <v>22</v>
      </c>
      <c r="L2434" s="8">
        <v>55</v>
      </c>
      <c r="M2434" s="7" t="s">
        <v>77</v>
      </c>
      <c r="N2434" s="8">
        <v>60</v>
      </c>
      <c r="O2434" s="8">
        <v>1</v>
      </c>
      <c r="P2434" s="5">
        <v>7794.84</v>
      </c>
      <c r="Q2434" s="4">
        <v>45600</v>
      </c>
      <c r="R2434" s="9">
        <v>0.33876157407407409</v>
      </c>
      <c r="S2434" s="8">
        <v>17</v>
      </c>
      <c r="T2434" s="7" t="s">
        <v>4454</v>
      </c>
      <c r="U2434" s="7" t="s">
        <v>4455</v>
      </c>
      <c r="V243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35" spans="1:22" x14ac:dyDescent="0.35">
      <c r="A2435" s="7" t="s">
        <v>4366</v>
      </c>
      <c r="B2435" s="7" t="s">
        <v>1927</v>
      </c>
      <c r="C2435" s="5">
        <v>157.56</v>
      </c>
      <c r="D2435" s="2">
        <v>0.71304398147913162</v>
      </c>
      <c r="E2435" s="4">
        <v>45027</v>
      </c>
      <c r="F2435" s="7" t="s">
        <v>17</v>
      </c>
      <c r="G2435" s="7" t="s">
        <v>65</v>
      </c>
      <c r="H2435" s="7" t="s">
        <v>2737</v>
      </c>
      <c r="I2435" s="7" t="s">
        <v>3054</v>
      </c>
      <c r="J2435" s="7" t="s">
        <v>682</v>
      </c>
      <c r="K2435" s="7" t="s">
        <v>69</v>
      </c>
      <c r="L2435" s="8">
        <v>43</v>
      </c>
      <c r="M2435" s="7" t="s">
        <v>23</v>
      </c>
      <c r="N2435" s="8">
        <v>159</v>
      </c>
      <c r="O2435" s="8">
        <v>1</v>
      </c>
      <c r="P2435" s="5">
        <v>7541.16</v>
      </c>
      <c r="Q2435" s="4">
        <v>45600</v>
      </c>
      <c r="R2435" s="9">
        <v>0.33871527777777777</v>
      </c>
      <c r="S2435" s="8">
        <v>17</v>
      </c>
      <c r="T2435" s="7" t="s">
        <v>4457</v>
      </c>
      <c r="U2435" s="7" t="s">
        <v>4455</v>
      </c>
      <c r="V243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36" spans="1:22" x14ac:dyDescent="0.35">
      <c r="A2436" s="7" t="s">
        <v>4367</v>
      </c>
      <c r="B2436" s="7" t="s">
        <v>1074</v>
      </c>
      <c r="C2436" s="5">
        <v>230.3</v>
      </c>
      <c r="D2436" s="2">
        <v>0.70652777778013842</v>
      </c>
      <c r="E2436" s="4">
        <v>44981</v>
      </c>
      <c r="F2436" s="7" t="s">
        <v>17</v>
      </c>
      <c r="G2436" s="7" t="s">
        <v>521</v>
      </c>
      <c r="H2436" s="7" t="s">
        <v>947</v>
      </c>
      <c r="I2436" s="7" t="s">
        <v>4368</v>
      </c>
      <c r="J2436" s="7" t="s">
        <v>418</v>
      </c>
      <c r="K2436" s="7" t="s">
        <v>36</v>
      </c>
      <c r="L2436" s="8">
        <v>46</v>
      </c>
      <c r="M2436" s="7" t="s">
        <v>77</v>
      </c>
      <c r="N2436" s="8">
        <v>24</v>
      </c>
      <c r="O2436" s="8">
        <v>1</v>
      </c>
      <c r="P2436" s="5">
        <v>8356.8799999999992</v>
      </c>
      <c r="Q2436" s="4">
        <v>45600</v>
      </c>
      <c r="R2436" s="9">
        <v>0.33913194444444444</v>
      </c>
      <c r="S2436" s="8">
        <v>16</v>
      </c>
      <c r="T2436" s="7" t="s">
        <v>4457</v>
      </c>
      <c r="U2436" s="7" t="s">
        <v>4455</v>
      </c>
      <c r="V243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37" spans="1:22" x14ac:dyDescent="0.35">
      <c r="A2437" s="7" t="s">
        <v>4369</v>
      </c>
      <c r="B2437" s="7" t="s">
        <v>1125</v>
      </c>
      <c r="C2437" s="5">
        <v>305.92</v>
      </c>
      <c r="D2437" s="2">
        <v>0.69604166666977108</v>
      </c>
      <c r="E2437" s="4">
        <v>45266</v>
      </c>
      <c r="F2437" s="7" t="s">
        <v>17</v>
      </c>
      <c r="G2437" s="7" t="s">
        <v>506</v>
      </c>
      <c r="H2437" s="7" t="s">
        <v>373</v>
      </c>
      <c r="I2437" s="7" t="s">
        <v>2416</v>
      </c>
      <c r="J2437" s="7" t="s">
        <v>100</v>
      </c>
      <c r="K2437" s="7" t="s">
        <v>22</v>
      </c>
      <c r="L2437" s="8">
        <v>72</v>
      </c>
      <c r="M2437" s="7" t="s">
        <v>70</v>
      </c>
      <c r="N2437" s="8">
        <v>88</v>
      </c>
      <c r="O2437" s="8">
        <v>1</v>
      </c>
      <c r="P2437" s="5">
        <v>1445.47</v>
      </c>
      <c r="Q2437" s="4">
        <v>45600</v>
      </c>
      <c r="R2437" s="9">
        <v>0.33921296296296294</v>
      </c>
      <c r="S2437" s="8">
        <v>16</v>
      </c>
      <c r="T2437" s="7" t="s">
        <v>4454</v>
      </c>
      <c r="U2437" s="7" t="s">
        <v>4455</v>
      </c>
      <c r="V243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38" spans="1:22" x14ac:dyDescent="0.35">
      <c r="A2438" s="7" t="s">
        <v>4370</v>
      </c>
      <c r="B2438" s="7" t="s">
        <v>2172</v>
      </c>
      <c r="C2438" s="5">
        <v>942.7</v>
      </c>
      <c r="D2438" s="2">
        <v>0.68385416666569654</v>
      </c>
      <c r="E2438" s="4">
        <v>45236</v>
      </c>
      <c r="F2438" s="7" t="s">
        <v>17</v>
      </c>
      <c r="G2438" s="7" t="s">
        <v>388</v>
      </c>
      <c r="H2438" s="7" t="s">
        <v>2006</v>
      </c>
      <c r="I2438" s="7" t="s">
        <v>320</v>
      </c>
      <c r="J2438" s="7" t="s">
        <v>122</v>
      </c>
      <c r="K2438" s="7" t="s">
        <v>36</v>
      </c>
      <c r="L2438" s="8">
        <v>35</v>
      </c>
      <c r="M2438" s="7" t="s">
        <v>77</v>
      </c>
      <c r="N2438" s="8">
        <v>29</v>
      </c>
      <c r="O2438" s="8">
        <v>1</v>
      </c>
      <c r="P2438" s="5">
        <v>5141.32</v>
      </c>
      <c r="Q2438" s="4">
        <v>45600</v>
      </c>
      <c r="R2438" s="9">
        <v>0.34108796296296295</v>
      </c>
      <c r="S2438" s="8">
        <v>16</v>
      </c>
      <c r="T2438" s="7" t="s">
        <v>4457</v>
      </c>
      <c r="U2438" s="7" t="s">
        <v>4455</v>
      </c>
      <c r="V243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39" spans="1:22" x14ac:dyDescent="0.35">
      <c r="A2439" s="7" t="s">
        <v>4371</v>
      </c>
      <c r="B2439" s="7" t="s">
        <v>771</v>
      </c>
      <c r="C2439" s="5">
        <v>116.33</v>
      </c>
      <c r="D2439" s="2">
        <v>0.69243055555853061</v>
      </c>
      <c r="E2439" s="4">
        <v>44974</v>
      </c>
      <c r="F2439" s="7" t="s">
        <v>17</v>
      </c>
      <c r="G2439" s="7" t="s">
        <v>558</v>
      </c>
      <c r="H2439" s="7" t="s">
        <v>1323</v>
      </c>
      <c r="I2439" s="7" t="s">
        <v>257</v>
      </c>
      <c r="J2439" s="7" t="s">
        <v>277</v>
      </c>
      <c r="K2439" s="7" t="s">
        <v>69</v>
      </c>
      <c r="L2439" s="8">
        <v>27</v>
      </c>
      <c r="M2439" s="7" t="s">
        <v>37</v>
      </c>
      <c r="N2439" s="8">
        <v>144</v>
      </c>
      <c r="O2439" s="8">
        <v>1</v>
      </c>
      <c r="P2439" s="5">
        <v>1696.15</v>
      </c>
      <c r="Q2439" s="4">
        <v>45600</v>
      </c>
      <c r="R2439" s="9">
        <v>0.33937499999999998</v>
      </c>
      <c r="S2439" s="8">
        <v>16</v>
      </c>
      <c r="T2439" s="7" t="s">
        <v>4456</v>
      </c>
      <c r="U2439" s="7" t="s">
        <v>4455</v>
      </c>
      <c r="V243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40" spans="1:22" x14ac:dyDescent="0.35">
      <c r="A2440" s="7" t="s">
        <v>4372</v>
      </c>
      <c r="B2440" s="7" t="s">
        <v>2097</v>
      </c>
      <c r="C2440" s="5">
        <v>537.71</v>
      </c>
      <c r="D2440" s="2">
        <v>0.67157407407648861</v>
      </c>
      <c r="E2440" s="4">
        <v>45020</v>
      </c>
      <c r="F2440" s="7" t="s">
        <v>46</v>
      </c>
      <c r="G2440" s="7" t="s">
        <v>32</v>
      </c>
      <c r="H2440" s="7" t="s">
        <v>400</v>
      </c>
      <c r="I2440" s="7" t="s">
        <v>1119</v>
      </c>
      <c r="J2440" s="7" t="s">
        <v>303</v>
      </c>
      <c r="K2440" s="7" t="s">
        <v>36</v>
      </c>
      <c r="L2440" s="8">
        <v>19</v>
      </c>
      <c r="M2440" s="7" t="s">
        <v>37</v>
      </c>
      <c r="N2440" s="8">
        <v>175</v>
      </c>
      <c r="O2440" s="8">
        <v>1</v>
      </c>
      <c r="P2440" s="5">
        <v>1806.08</v>
      </c>
      <c r="Q2440" s="4">
        <v>45600</v>
      </c>
      <c r="R2440" s="9">
        <v>0.3384490740740741</v>
      </c>
      <c r="S2440" s="8">
        <v>16</v>
      </c>
      <c r="T2440" s="7" t="s">
        <v>4456</v>
      </c>
      <c r="U2440" s="7" t="s">
        <v>4455</v>
      </c>
      <c r="V244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41" spans="1:22" x14ac:dyDescent="0.35">
      <c r="A2441" s="7" t="s">
        <v>4373</v>
      </c>
      <c r="B2441" s="7" t="s">
        <v>274</v>
      </c>
      <c r="C2441" s="5">
        <v>538.16999999999996</v>
      </c>
      <c r="D2441" s="2">
        <v>0.72728009259299142</v>
      </c>
      <c r="E2441" s="4">
        <v>45195</v>
      </c>
      <c r="F2441" s="7" t="s">
        <v>46</v>
      </c>
      <c r="G2441" s="7" t="s">
        <v>453</v>
      </c>
      <c r="H2441" s="7" t="s">
        <v>1588</v>
      </c>
      <c r="I2441" s="7" t="s">
        <v>142</v>
      </c>
      <c r="J2441" s="7" t="s">
        <v>288</v>
      </c>
      <c r="K2441" s="7" t="s">
        <v>69</v>
      </c>
      <c r="L2441" s="8">
        <v>27</v>
      </c>
      <c r="M2441" s="7" t="s">
        <v>77</v>
      </c>
      <c r="N2441" s="8">
        <v>252</v>
      </c>
      <c r="O2441" s="8">
        <v>1</v>
      </c>
      <c r="P2441" s="5">
        <v>5908.04</v>
      </c>
      <c r="Q2441" s="4">
        <v>45600</v>
      </c>
      <c r="R2441" s="9">
        <v>0.34056712962962965</v>
      </c>
      <c r="S2441" s="8">
        <v>17</v>
      </c>
      <c r="T2441" s="7" t="s">
        <v>4456</v>
      </c>
      <c r="U2441" s="7" t="s">
        <v>4455</v>
      </c>
      <c r="V244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42" spans="1:22" x14ac:dyDescent="0.35">
      <c r="A2442" s="7" t="s">
        <v>4374</v>
      </c>
      <c r="B2442" s="7" t="s">
        <v>1569</v>
      </c>
      <c r="C2442" s="5">
        <v>219.44</v>
      </c>
      <c r="D2442" s="2">
        <v>0.75910879629373085</v>
      </c>
      <c r="E2442" s="4">
        <v>45127</v>
      </c>
      <c r="F2442" s="7" t="s">
        <v>17</v>
      </c>
      <c r="G2442" s="7" t="s">
        <v>453</v>
      </c>
      <c r="H2442" s="7" t="s">
        <v>260</v>
      </c>
      <c r="I2442" s="7" t="s">
        <v>251</v>
      </c>
      <c r="J2442" s="7" t="s">
        <v>362</v>
      </c>
      <c r="K2442" s="7" t="s">
        <v>36</v>
      </c>
      <c r="L2442" s="8">
        <v>42</v>
      </c>
      <c r="M2442" s="7" t="s">
        <v>77</v>
      </c>
      <c r="N2442" s="8">
        <v>23</v>
      </c>
      <c r="O2442" s="8">
        <v>1</v>
      </c>
      <c r="P2442" s="5">
        <v>4207.2700000000004</v>
      </c>
      <c r="Q2442" s="4">
        <v>45600</v>
      </c>
      <c r="R2442" s="9">
        <v>0.34002314814814816</v>
      </c>
      <c r="S2442" s="8">
        <v>18</v>
      </c>
      <c r="T2442" s="7" t="s">
        <v>4457</v>
      </c>
      <c r="U2442" s="7" t="s">
        <v>4455</v>
      </c>
      <c r="V244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43" spans="1:22" x14ac:dyDescent="0.35">
      <c r="A2443" s="7" t="s">
        <v>4375</v>
      </c>
      <c r="B2443" s="7" t="s">
        <v>935</v>
      </c>
      <c r="C2443" s="5">
        <v>61.62</v>
      </c>
      <c r="D2443" s="2">
        <v>0.66765046296495711</v>
      </c>
      <c r="E2443" s="4">
        <v>45208</v>
      </c>
      <c r="F2443" s="7" t="s">
        <v>17</v>
      </c>
      <c r="G2443" s="7" t="s">
        <v>172</v>
      </c>
      <c r="H2443" s="7" t="s">
        <v>2020</v>
      </c>
      <c r="I2443" s="7" t="s">
        <v>132</v>
      </c>
      <c r="J2443" s="7" t="s">
        <v>386</v>
      </c>
      <c r="K2443" s="7" t="s">
        <v>36</v>
      </c>
      <c r="L2443" s="8">
        <v>57</v>
      </c>
      <c r="M2443" s="7" t="s">
        <v>23</v>
      </c>
      <c r="N2443" s="8">
        <v>19</v>
      </c>
      <c r="O2443" s="8">
        <v>1</v>
      </c>
      <c r="P2443" s="5">
        <v>8365.3700000000008</v>
      </c>
      <c r="Q2443" s="4">
        <v>45600</v>
      </c>
      <c r="R2443" s="9">
        <v>0.34168981481481481</v>
      </c>
      <c r="S2443" s="8">
        <v>16</v>
      </c>
      <c r="T2443" s="7" t="s">
        <v>4454</v>
      </c>
      <c r="U2443" s="7" t="s">
        <v>4455</v>
      </c>
      <c r="V244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44" spans="1:22" x14ac:dyDescent="0.35">
      <c r="A2444" s="7" t="s">
        <v>4376</v>
      </c>
      <c r="B2444" s="7" t="s">
        <v>2978</v>
      </c>
      <c r="C2444" s="5">
        <v>58.77</v>
      </c>
      <c r="D2444" s="2">
        <v>0.69140046296524815</v>
      </c>
      <c r="E2444" s="4">
        <v>45120</v>
      </c>
      <c r="F2444" s="7" t="s">
        <v>17</v>
      </c>
      <c r="G2444" s="7" t="s">
        <v>92</v>
      </c>
      <c r="H2444" s="7" t="s">
        <v>2969</v>
      </c>
      <c r="I2444" s="7" t="s">
        <v>1387</v>
      </c>
      <c r="J2444" s="7" t="s">
        <v>308</v>
      </c>
      <c r="K2444" s="7" t="s">
        <v>36</v>
      </c>
      <c r="L2444" s="8">
        <v>27</v>
      </c>
      <c r="M2444" s="7" t="s">
        <v>77</v>
      </c>
      <c r="N2444" s="8">
        <v>191</v>
      </c>
      <c r="O2444" s="8">
        <v>1</v>
      </c>
      <c r="P2444" s="5">
        <v>7261.7</v>
      </c>
      <c r="Q2444" s="4">
        <v>45600</v>
      </c>
      <c r="R2444" s="9">
        <v>0.33795138888888887</v>
      </c>
      <c r="S2444" s="8">
        <v>16</v>
      </c>
      <c r="T2444" s="7" t="s">
        <v>4456</v>
      </c>
      <c r="U2444" s="7" t="s">
        <v>4455</v>
      </c>
      <c r="V244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45" spans="1:22" x14ac:dyDescent="0.35">
      <c r="A2445" s="7" t="s">
        <v>4377</v>
      </c>
      <c r="B2445" s="7" t="s">
        <v>1794</v>
      </c>
      <c r="C2445" s="5">
        <v>538.13</v>
      </c>
      <c r="D2445" s="2">
        <v>0.73918981481256196</v>
      </c>
      <c r="E2445" s="4">
        <v>45176</v>
      </c>
      <c r="F2445" s="7" t="s">
        <v>17</v>
      </c>
      <c r="G2445" s="7" t="s">
        <v>249</v>
      </c>
      <c r="H2445" s="7" t="s">
        <v>1145</v>
      </c>
      <c r="I2445" s="7" t="s">
        <v>82</v>
      </c>
      <c r="J2445" s="7" t="s">
        <v>414</v>
      </c>
      <c r="K2445" s="7" t="s">
        <v>22</v>
      </c>
      <c r="L2445" s="8">
        <v>62</v>
      </c>
      <c r="M2445" s="7" t="s">
        <v>70</v>
      </c>
      <c r="N2445" s="8">
        <v>165</v>
      </c>
      <c r="O2445" s="8">
        <v>1</v>
      </c>
      <c r="P2445" s="5">
        <v>5008.59</v>
      </c>
      <c r="Q2445" s="4">
        <v>45600</v>
      </c>
      <c r="R2445" s="9">
        <v>0.34181712962962962</v>
      </c>
      <c r="S2445" s="8">
        <v>17</v>
      </c>
      <c r="T2445" s="7" t="s">
        <v>4454</v>
      </c>
      <c r="U2445" s="7" t="s">
        <v>4455</v>
      </c>
      <c r="V244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46" spans="1:22" x14ac:dyDescent="0.35">
      <c r="A2446" s="7" t="s">
        <v>4378</v>
      </c>
      <c r="B2446" s="7" t="s">
        <v>1361</v>
      </c>
      <c r="C2446" s="5">
        <v>177.05</v>
      </c>
      <c r="D2446" s="2">
        <v>0.68240740741021</v>
      </c>
      <c r="E2446" s="4">
        <v>45167</v>
      </c>
      <c r="F2446" s="7" t="s">
        <v>17</v>
      </c>
      <c r="G2446" s="7" t="s">
        <v>243</v>
      </c>
      <c r="H2446" s="7" t="s">
        <v>1466</v>
      </c>
      <c r="I2446" s="7" t="s">
        <v>2727</v>
      </c>
      <c r="J2446" s="7" t="s">
        <v>406</v>
      </c>
      <c r="K2446" s="7" t="s">
        <v>69</v>
      </c>
      <c r="L2446" s="8">
        <v>24</v>
      </c>
      <c r="M2446" s="7" t="s">
        <v>37</v>
      </c>
      <c r="N2446" s="8">
        <v>235</v>
      </c>
      <c r="O2446" s="8">
        <v>1</v>
      </c>
      <c r="P2446" s="5">
        <v>4287.82</v>
      </c>
      <c r="Q2446" s="4">
        <v>45600</v>
      </c>
      <c r="R2446" s="9">
        <v>0.33813657407407405</v>
      </c>
      <c r="S2446" s="8">
        <v>16</v>
      </c>
      <c r="T2446" s="7" t="s">
        <v>4456</v>
      </c>
      <c r="U2446" s="7" t="s">
        <v>4455</v>
      </c>
      <c r="V244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47" spans="1:22" x14ac:dyDescent="0.35">
      <c r="A2447" s="7" t="s">
        <v>4379</v>
      </c>
      <c r="B2447" s="7" t="s">
        <v>274</v>
      </c>
      <c r="C2447" s="5">
        <v>403.01</v>
      </c>
      <c r="D2447" s="2">
        <v>0.73096064815035788</v>
      </c>
      <c r="E2447" s="4">
        <v>45173</v>
      </c>
      <c r="F2447" s="7" t="s">
        <v>17</v>
      </c>
      <c r="G2447" s="7" t="s">
        <v>453</v>
      </c>
      <c r="H2447" s="7" t="s">
        <v>1788</v>
      </c>
      <c r="I2447" s="7" t="s">
        <v>799</v>
      </c>
      <c r="J2447" s="7" t="s">
        <v>175</v>
      </c>
      <c r="K2447" s="7" t="s">
        <v>36</v>
      </c>
      <c r="L2447" s="8">
        <v>63</v>
      </c>
      <c r="M2447" s="7" t="s">
        <v>23</v>
      </c>
      <c r="N2447" s="8">
        <v>286</v>
      </c>
      <c r="O2447" s="8">
        <v>3</v>
      </c>
      <c r="P2447" s="5">
        <v>10513.52</v>
      </c>
      <c r="Q2447" s="4">
        <v>45600</v>
      </c>
      <c r="R2447" s="9">
        <v>0.3399537037037037</v>
      </c>
      <c r="S2447" s="8">
        <v>17</v>
      </c>
      <c r="T2447" s="7" t="s">
        <v>4454</v>
      </c>
      <c r="U2447" s="7" t="s">
        <v>4458</v>
      </c>
      <c r="V244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48" spans="1:22" x14ac:dyDescent="0.35">
      <c r="A2448" s="7" t="s">
        <v>4380</v>
      </c>
      <c r="B2448" s="7" t="s">
        <v>145</v>
      </c>
      <c r="C2448" s="5">
        <v>719.76</v>
      </c>
      <c r="D2448" s="2">
        <v>0.74332175926247146</v>
      </c>
      <c r="E2448" s="4">
        <v>45015</v>
      </c>
      <c r="F2448" s="7" t="s">
        <v>17</v>
      </c>
      <c r="G2448" s="7" t="s">
        <v>212</v>
      </c>
      <c r="H2448" s="7" t="s">
        <v>351</v>
      </c>
      <c r="I2448" s="7" t="s">
        <v>976</v>
      </c>
      <c r="J2448" s="7" t="s">
        <v>858</v>
      </c>
      <c r="K2448" s="7" t="s">
        <v>69</v>
      </c>
      <c r="L2448" s="8">
        <v>19</v>
      </c>
      <c r="M2448" s="7" t="s">
        <v>37</v>
      </c>
      <c r="N2448" s="8">
        <v>190</v>
      </c>
      <c r="O2448" s="8">
        <v>1</v>
      </c>
      <c r="P2448" s="5">
        <v>690.52</v>
      </c>
      <c r="Q2448" s="4">
        <v>45600</v>
      </c>
      <c r="R2448" s="9">
        <v>0.34126157407407409</v>
      </c>
      <c r="S2448" s="8">
        <v>17</v>
      </c>
      <c r="T2448" s="7" t="s">
        <v>4456</v>
      </c>
      <c r="U2448" s="7" t="s">
        <v>4455</v>
      </c>
      <c r="V244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49" spans="1:22" x14ac:dyDescent="0.35">
      <c r="A2449" s="7" t="s">
        <v>4381</v>
      </c>
      <c r="B2449" s="7" t="s">
        <v>438</v>
      </c>
      <c r="C2449" s="5">
        <v>163.22</v>
      </c>
      <c r="D2449" s="2">
        <v>0.75430555555794854</v>
      </c>
      <c r="E2449" s="4">
        <v>45022</v>
      </c>
      <c r="F2449" s="7" t="s">
        <v>17</v>
      </c>
      <c r="G2449" s="7" t="s">
        <v>172</v>
      </c>
      <c r="H2449" s="7" t="s">
        <v>2811</v>
      </c>
      <c r="I2449" s="7" t="s">
        <v>330</v>
      </c>
      <c r="J2449" s="7" t="s">
        <v>175</v>
      </c>
      <c r="K2449" s="7" t="s">
        <v>36</v>
      </c>
      <c r="L2449" s="8">
        <v>26</v>
      </c>
      <c r="M2449" s="7" t="s">
        <v>37</v>
      </c>
      <c r="N2449" s="8">
        <v>217</v>
      </c>
      <c r="O2449" s="8">
        <v>1</v>
      </c>
      <c r="P2449" s="5">
        <v>1788.27</v>
      </c>
      <c r="Q2449" s="4">
        <v>45600</v>
      </c>
      <c r="R2449" s="9">
        <v>0.33884259259259258</v>
      </c>
      <c r="S2449" s="8">
        <v>18</v>
      </c>
      <c r="T2449" s="7" t="s">
        <v>4456</v>
      </c>
      <c r="U2449" s="7" t="s">
        <v>4455</v>
      </c>
      <c r="V244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50" spans="1:22" x14ac:dyDescent="0.35">
      <c r="A2450" s="7" t="s">
        <v>4382</v>
      </c>
      <c r="B2450" s="7" t="s">
        <v>367</v>
      </c>
      <c r="C2450" s="5">
        <v>242.85</v>
      </c>
      <c r="D2450" s="2">
        <v>0.68031250000058208</v>
      </c>
      <c r="E2450" s="4">
        <v>45222</v>
      </c>
      <c r="F2450" s="7" t="s">
        <v>17</v>
      </c>
      <c r="G2450" s="7" t="s">
        <v>237</v>
      </c>
      <c r="H2450" s="7" t="s">
        <v>2084</v>
      </c>
      <c r="I2450" s="7" t="s">
        <v>287</v>
      </c>
      <c r="J2450" s="7" t="s">
        <v>308</v>
      </c>
      <c r="K2450" s="7" t="s">
        <v>36</v>
      </c>
      <c r="L2450" s="8">
        <v>42</v>
      </c>
      <c r="M2450" s="7" t="s">
        <v>77</v>
      </c>
      <c r="N2450" s="8">
        <v>93</v>
      </c>
      <c r="O2450" s="8">
        <v>1</v>
      </c>
      <c r="P2450" s="5">
        <v>4672.8</v>
      </c>
      <c r="Q2450" s="4">
        <v>45600</v>
      </c>
      <c r="R2450" s="9">
        <v>0.34053240740740742</v>
      </c>
      <c r="S2450" s="8">
        <v>16</v>
      </c>
      <c r="T2450" s="7" t="s">
        <v>4457</v>
      </c>
      <c r="U2450" s="7" t="s">
        <v>4455</v>
      </c>
      <c r="V245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51" spans="1:22" x14ac:dyDescent="0.35">
      <c r="A2451" s="7" t="s">
        <v>4383</v>
      </c>
      <c r="B2451" s="7" t="s">
        <v>2949</v>
      </c>
      <c r="C2451" s="5">
        <v>291.22000000000003</v>
      </c>
      <c r="D2451" s="2">
        <v>0.69820601851824904</v>
      </c>
      <c r="E2451" s="4">
        <v>45233</v>
      </c>
      <c r="F2451" s="7" t="s">
        <v>46</v>
      </c>
      <c r="G2451" s="7" t="s">
        <v>197</v>
      </c>
      <c r="H2451" s="7" t="s">
        <v>4121</v>
      </c>
      <c r="I2451" s="7" t="s">
        <v>531</v>
      </c>
      <c r="J2451" s="7" t="s">
        <v>312</v>
      </c>
      <c r="K2451" s="7" t="s">
        <v>36</v>
      </c>
      <c r="L2451" s="8">
        <v>41</v>
      </c>
      <c r="M2451" s="7" t="s">
        <v>77</v>
      </c>
      <c r="N2451" s="8">
        <v>100</v>
      </c>
      <c r="O2451" s="8">
        <v>1</v>
      </c>
      <c r="P2451" s="5">
        <v>3677.63</v>
      </c>
      <c r="Q2451" s="4">
        <v>45600</v>
      </c>
      <c r="R2451" s="9">
        <v>0.34</v>
      </c>
      <c r="S2451" s="8">
        <v>16</v>
      </c>
      <c r="T2451" s="7" t="s">
        <v>4457</v>
      </c>
      <c r="U2451" s="7" t="s">
        <v>4455</v>
      </c>
      <c r="V245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52" spans="1:22" x14ac:dyDescent="0.35">
      <c r="A2452" s="7" t="s">
        <v>4384</v>
      </c>
      <c r="B2452" s="7" t="s">
        <v>350</v>
      </c>
      <c r="C2452" s="5">
        <v>56.52</v>
      </c>
      <c r="D2452" s="2">
        <v>0.67290509259328246</v>
      </c>
      <c r="E2452" s="4">
        <v>45264</v>
      </c>
      <c r="F2452" s="7" t="s">
        <v>17</v>
      </c>
      <c r="G2452" s="7" t="s">
        <v>296</v>
      </c>
      <c r="H2452" s="7" t="s">
        <v>1198</v>
      </c>
      <c r="I2452" s="7" t="s">
        <v>2588</v>
      </c>
      <c r="J2452" s="7" t="s">
        <v>543</v>
      </c>
      <c r="K2452" s="7" t="s">
        <v>22</v>
      </c>
      <c r="L2452" s="8">
        <v>42</v>
      </c>
      <c r="M2452" s="7" t="s">
        <v>77</v>
      </c>
      <c r="N2452" s="8">
        <v>152</v>
      </c>
      <c r="O2452" s="8">
        <v>1</v>
      </c>
      <c r="P2452" s="5">
        <v>6911.2</v>
      </c>
      <c r="Q2452" s="4">
        <v>45600</v>
      </c>
      <c r="R2452" s="9">
        <v>0.33946759259259257</v>
      </c>
      <c r="S2452" s="8">
        <v>16</v>
      </c>
      <c r="T2452" s="7" t="s">
        <v>4457</v>
      </c>
      <c r="U2452" s="7" t="s">
        <v>4455</v>
      </c>
      <c r="V245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53" spans="1:22" x14ac:dyDescent="0.35">
      <c r="A2453" s="7" t="s">
        <v>4385</v>
      </c>
      <c r="B2453" s="7" t="s">
        <v>85</v>
      </c>
      <c r="C2453" s="5">
        <v>195.8</v>
      </c>
      <c r="D2453" s="2">
        <v>0.73458333333110204</v>
      </c>
      <c r="E2453" s="4">
        <v>44985</v>
      </c>
      <c r="F2453" s="7" t="s">
        <v>17</v>
      </c>
      <c r="G2453" s="7" t="s">
        <v>40</v>
      </c>
      <c r="H2453" s="7" t="s">
        <v>1207</v>
      </c>
      <c r="I2453" s="7" t="s">
        <v>1064</v>
      </c>
      <c r="J2453" s="7" t="s">
        <v>29</v>
      </c>
      <c r="K2453" s="7" t="s">
        <v>36</v>
      </c>
      <c r="L2453" s="8">
        <v>39</v>
      </c>
      <c r="M2453" s="7" t="s">
        <v>23</v>
      </c>
      <c r="N2453" s="8">
        <v>186</v>
      </c>
      <c r="O2453" s="8">
        <v>1</v>
      </c>
      <c r="P2453" s="5">
        <v>12027.68</v>
      </c>
      <c r="Q2453" s="4">
        <v>45600</v>
      </c>
      <c r="R2453" s="9">
        <v>0.33818287037037037</v>
      </c>
      <c r="S2453" s="8">
        <v>17</v>
      </c>
      <c r="T2453" s="7" t="s">
        <v>4457</v>
      </c>
      <c r="U2453" s="7" t="s">
        <v>4455</v>
      </c>
      <c r="V245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54" spans="1:22" x14ac:dyDescent="0.35">
      <c r="A2454" s="7" t="s">
        <v>4386</v>
      </c>
      <c r="B2454" s="7" t="s">
        <v>130</v>
      </c>
      <c r="C2454" s="5">
        <v>66.760000000000005</v>
      </c>
      <c r="D2454" s="2">
        <v>0.77043981481256196</v>
      </c>
      <c r="E2454" s="4">
        <v>45040</v>
      </c>
      <c r="F2454" s="7" t="s">
        <v>46</v>
      </c>
      <c r="G2454" s="7" t="s">
        <v>119</v>
      </c>
      <c r="H2454" s="7" t="s">
        <v>1522</v>
      </c>
      <c r="I2454" s="7" t="s">
        <v>2620</v>
      </c>
      <c r="J2454" s="7" t="s">
        <v>432</v>
      </c>
      <c r="K2454" s="7" t="s">
        <v>69</v>
      </c>
      <c r="L2454" s="8">
        <v>36</v>
      </c>
      <c r="M2454" s="7" t="s">
        <v>23</v>
      </c>
      <c r="N2454" s="8">
        <v>44</v>
      </c>
      <c r="O2454" s="8">
        <v>1</v>
      </c>
      <c r="P2454" s="5">
        <v>184.72</v>
      </c>
      <c r="Q2454" s="4">
        <v>45600</v>
      </c>
      <c r="R2454" s="9">
        <v>0.3409490740740741</v>
      </c>
      <c r="S2454" s="8">
        <v>18</v>
      </c>
      <c r="T2454" s="7" t="s">
        <v>4457</v>
      </c>
      <c r="U2454" s="7" t="s">
        <v>4455</v>
      </c>
      <c r="V245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55" spans="1:22" x14ac:dyDescent="0.35">
      <c r="A2455" s="7" t="s">
        <v>4387</v>
      </c>
      <c r="B2455" s="7" t="s">
        <v>2464</v>
      </c>
      <c r="C2455" s="5">
        <v>190.9</v>
      </c>
      <c r="D2455" s="2">
        <v>0.67855324073752854</v>
      </c>
      <c r="E2455" s="4">
        <v>45208</v>
      </c>
      <c r="F2455" s="7" t="s">
        <v>17</v>
      </c>
      <c r="G2455" s="7" t="s">
        <v>392</v>
      </c>
      <c r="H2455" s="7" t="s">
        <v>3940</v>
      </c>
      <c r="I2455" s="7" t="s">
        <v>837</v>
      </c>
      <c r="J2455" s="7" t="s">
        <v>43</v>
      </c>
      <c r="K2455" s="7" t="s">
        <v>36</v>
      </c>
      <c r="L2455" s="8">
        <v>28</v>
      </c>
      <c r="M2455" s="7" t="s">
        <v>37</v>
      </c>
      <c r="N2455" s="8">
        <v>40</v>
      </c>
      <c r="O2455" s="8">
        <v>1</v>
      </c>
      <c r="P2455" s="5">
        <v>101.25</v>
      </c>
      <c r="Q2455" s="4">
        <v>45600</v>
      </c>
      <c r="R2455" s="9">
        <v>0.34059027777777778</v>
      </c>
      <c r="S2455" s="8">
        <v>16</v>
      </c>
      <c r="T2455" s="7" t="s">
        <v>4456</v>
      </c>
      <c r="U2455" s="7" t="s">
        <v>4455</v>
      </c>
      <c r="V245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56" spans="1:22" x14ac:dyDescent="0.35">
      <c r="A2456" s="7" t="s">
        <v>4388</v>
      </c>
      <c r="B2456" s="7" t="s">
        <v>516</v>
      </c>
      <c r="C2456" s="5">
        <v>106.99</v>
      </c>
      <c r="D2456" s="2">
        <v>0.70864583333604969</v>
      </c>
      <c r="E2456" s="4">
        <v>45254</v>
      </c>
      <c r="F2456" s="7" t="s">
        <v>17</v>
      </c>
      <c r="G2456" s="7" t="s">
        <v>296</v>
      </c>
      <c r="H2456" s="7" t="s">
        <v>1355</v>
      </c>
      <c r="I2456" s="7" t="s">
        <v>2523</v>
      </c>
      <c r="J2456" s="7" t="s">
        <v>303</v>
      </c>
      <c r="K2456" s="7" t="s">
        <v>69</v>
      </c>
      <c r="L2456" s="8">
        <v>38</v>
      </c>
      <c r="M2456" s="7" t="s">
        <v>77</v>
      </c>
      <c r="N2456" s="8">
        <v>152</v>
      </c>
      <c r="O2456" s="8">
        <v>1</v>
      </c>
      <c r="P2456" s="5">
        <v>5771.4</v>
      </c>
      <c r="Q2456" s="4">
        <v>45600</v>
      </c>
      <c r="R2456" s="9">
        <v>0.34077546296296296</v>
      </c>
      <c r="S2456" s="8">
        <v>17</v>
      </c>
      <c r="T2456" s="7" t="s">
        <v>4457</v>
      </c>
      <c r="U2456" s="7" t="s">
        <v>4455</v>
      </c>
      <c r="V245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57" spans="1:22" x14ac:dyDescent="0.35">
      <c r="A2457" s="7" t="s">
        <v>4389</v>
      </c>
      <c r="B2457" s="7" t="s">
        <v>1739</v>
      </c>
      <c r="C2457" s="5">
        <v>655.81</v>
      </c>
      <c r="D2457" s="2">
        <v>0.70328703703853535</v>
      </c>
      <c r="E2457" s="4">
        <v>45051</v>
      </c>
      <c r="F2457" s="7" t="s">
        <v>17</v>
      </c>
      <c r="G2457" s="7" t="s">
        <v>296</v>
      </c>
      <c r="H2457" s="7" t="s">
        <v>1138</v>
      </c>
      <c r="I2457" s="7" t="s">
        <v>2981</v>
      </c>
      <c r="J2457" s="7" t="s">
        <v>252</v>
      </c>
      <c r="K2457" s="7" t="s">
        <v>22</v>
      </c>
      <c r="L2457" s="8">
        <v>55</v>
      </c>
      <c r="M2457" s="7" t="s">
        <v>70</v>
      </c>
      <c r="N2457" s="8">
        <v>164</v>
      </c>
      <c r="O2457" s="8">
        <v>2</v>
      </c>
      <c r="P2457" s="5">
        <v>4539.99</v>
      </c>
      <c r="Q2457" s="4">
        <v>45600</v>
      </c>
      <c r="R2457" s="9">
        <v>0.34175925925925926</v>
      </c>
      <c r="S2457" s="8">
        <v>16</v>
      </c>
      <c r="T2457" s="7" t="s">
        <v>4454</v>
      </c>
      <c r="U2457" s="7" t="s">
        <v>4458</v>
      </c>
      <c r="V245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58" spans="1:22" x14ac:dyDescent="0.35">
      <c r="A2458" s="7" t="s">
        <v>4390</v>
      </c>
      <c r="B2458" s="7" t="s">
        <v>1974</v>
      </c>
      <c r="C2458" s="5">
        <v>107.1</v>
      </c>
      <c r="D2458" s="2">
        <v>0.69528935185371665</v>
      </c>
      <c r="E2458" s="4">
        <v>45093</v>
      </c>
      <c r="F2458" s="7" t="s">
        <v>46</v>
      </c>
      <c r="G2458" s="7" t="s">
        <v>243</v>
      </c>
      <c r="H2458" s="7" t="s">
        <v>457</v>
      </c>
      <c r="I2458" s="7" t="s">
        <v>673</v>
      </c>
      <c r="J2458" s="7" t="s">
        <v>29</v>
      </c>
      <c r="K2458" s="7" t="s">
        <v>36</v>
      </c>
      <c r="L2458" s="8">
        <v>25</v>
      </c>
      <c r="M2458" s="7" t="s">
        <v>37</v>
      </c>
      <c r="N2458" s="8">
        <v>175</v>
      </c>
      <c r="O2458" s="8">
        <v>1</v>
      </c>
      <c r="P2458" s="5">
        <v>193.8</v>
      </c>
      <c r="Q2458" s="4">
        <v>45600</v>
      </c>
      <c r="R2458" s="9">
        <v>0.34135416666666668</v>
      </c>
      <c r="S2458" s="8">
        <v>16</v>
      </c>
      <c r="T2458" s="7" t="s">
        <v>4456</v>
      </c>
      <c r="U2458" s="7" t="s">
        <v>4455</v>
      </c>
      <c r="V245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59" spans="1:22" x14ac:dyDescent="0.35">
      <c r="A2459" s="7" t="s">
        <v>4391</v>
      </c>
      <c r="B2459" s="7" t="s">
        <v>3154</v>
      </c>
      <c r="C2459" s="5">
        <v>79.92</v>
      </c>
      <c r="D2459" s="2">
        <v>0.73068287037312984</v>
      </c>
      <c r="E2459" s="4">
        <v>44963</v>
      </c>
      <c r="F2459" s="7" t="s">
        <v>17</v>
      </c>
      <c r="G2459" s="7" t="s">
        <v>172</v>
      </c>
      <c r="H2459" s="7" t="s">
        <v>2811</v>
      </c>
      <c r="I2459" s="7" t="s">
        <v>2553</v>
      </c>
      <c r="J2459" s="7" t="s">
        <v>362</v>
      </c>
      <c r="K2459" s="7" t="s">
        <v>22</v>
      </c>
      <c r="L2459" s="8">
        <v>44</v>
      </c>
      <c r="M2459" s="7" t="s">
        <v>77</v>
      </c>
      <c r="N2459" s="8">
        <v>274</v>
      </c>
      <c r="O2459" s="8">
        <v>2</v>
      </c>
      <c r="P2459" s="5">
        <v>9138.76</v>
      </c>
      <c r="Q2459" s="4">
        <v>45600</v>
      </c>
      <c r="R2459" s="9">
        <v>0.33974537037037039</v>
      </c>
      <c r="S2459" s="8">
        <v>17</v>
      </c>
      <c r="T2459" s="7" t="s">
        <v>4457</v>
      </c>
      <c r="U2459" s="7" t="s">
        <v>4458</v>
      </c>
      <c r="V245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60" spans="1:22" x14ac:dyDescent="0.35">
      <c r="A2460" s="7" t="s">
        <v>4392</v>
      </c>
      <c r="B2460" s="7" t="s">
        <v>1915</v>
      </c>
      <c r="C2460" s="5">
        <v>430.83</v>
      </c>
      <c r="D2460" s="2">
        <v>0.67315972222422715</v>
      </c>
      <c r="E2460" s="4">
        <v>45152</v>
      </c>
      <c r="F2460" s="7" t="s">
        <v>17</v>
      </c>
      <c r="G2460" s="7" t="s">
        <v>140</v>
      </c>
      <c r="H2460" s="7" t="s">
        <v>1645</v>
      </c>
      <c r="I2460" s="7" t="s">
        <v>1751</v>
      </c>
      <c r="J2460" s="7" t="s">
        <v>1281</v>
      </c>
      <c r="K2460" s="7" t="s">
        <v>69</v>
      </c>
      <c r="L2460" s="8">
        <v>18</v>
      </c>
      <c r="M2460" s="7" t="s">
        <v>37</v>
      </c>
      <c r="N2460" s="8">
        <v>292</v>
      </c>
      <c r="O2460" s="8">
        <v>1</v>
      </c>
      <c r="P2460" s="5">
        <v>941.49</v>
      </c>
      <c r="Q2460" s="4">
        <v>45600</v>
      </c>
      <c r="R2460" s="9">
        <v>0.33876157407407409</v>
      </c>
      <c r="S2460" s="8">
        <v>16</v>
      </c>
      <c r="T2460" s="7" t="s">
        <v>4456</v>
      </c>
      <c r="U2460" s="7" t="s">
        <v>4455</v>
      </c>
      <c r="V246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61" spans="1:22" x14ac:dyDescent="0.35">
      <c r="A2461" s="7" t="s">
        <v>4393</v>
      </c>
      <c r="B2461" s="7" t="s">
        <v>2877</v>
      </c>
      <c r="C2461" s="5">
        <v>235.34</v>
      </c>
      <c r="D2461" s="2">
        <v>0.67635416666598758</v>
      </c>
      <c r="E2461" s="4">
        <v>45215</v>
      </c>
      <c r="F2461" s="7" t="s">
        <v>17</v>
      </c>
      <c r="G2461" s="7" t="s">
        <v>453</v>
      </c>
      <c r="H2461" s="7" t="s">
        <v>833</v>
      </c>
      <c r="I2461" s="7" t="s">
        <v>335</v>
      </c>
      <c r="J2461" s="7" t="s">
        <v>674</v>
      </c>
      <c r="K2461" s="7" t="s">
        <v>69</v>
      </c>
      <c r="L2461" s="8">
        <v>26</v>
      </c>
      <c r="M2461" s="7" t="s">
        <v>37</v>
      </c>
      <c r="N2461" s="8">
        <v>68</v>
      </c>
      <c r="O2461" s="8">
        <v>1</v>
      </c>
      <c r="P2461" s="5">
        <v>566.83000000000004</v>
      </c>
      <c r="Q2461" s="4">
        <v>45600</v>
      </c>
      <c r="R2461" s="9">
        <v>0.34167824074074077</v>
      </c>
      <c r="S2461" s="8">
        <v>16</v>
      </c>
      <c r="T2461" s="7" t="s">
        <v>4456</v>
      </c>
      <c r="U2461" s="7" t="s">
        <v>4455</v>
      </c>
      <c r="V246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62" spans="1:22" x14ac:dyDescent="0.35">
      <c r="A2462" s="7" t="s">
        <v>4394</v>
      </c>
      <c r="B2462" s="7" t="s">
        <v>962</v>
      </c>
      <c r="C2462" s="5">
        <v>86.35</v>
      </c>
      <c r="D2462" s="2">
        <v>0.72060185185546288</v>
      </c>
      <c r="E2462" s="4">
        <v>45173</v>
      </c>
      <c r="F2462" s="7" t="s">
        <v>46</v>
      </c>
      <c r="G2462" s="7" t="s">
        <v>65</v>
      </c>
      <c r="H2462" s="7" t="s">
        <v>1269</v>
      </c>
      <c r="I2462" s="7" t="s">
        <v>518</v>
      </c>
      <c r="J2462" s="7" t="s">
        <v>607</v>
      </c>
      <c r="K2462" s="7" t="s">
        <v>69</v>
      </c>
      <c r="L2462" s="8">
        <v>52</v>
      </c>
      <c r="M2462" s="7" t="s">
        <v>70</v>
      </c>
      <c r="N2462" s="8">
        <v>24</v>
      </c>
      <c r="O2462" s="8">
        <v>1</v>
      </c>
      <c r="P2462" s="5">
        <v>1550.48</v>
      </c>
      <c r="Q2462" s="4">
        <v>45600</v>
      </c>
      <c r="R2462" s="9">
        <v>0.34039351851851851</v>
      </c>
      <c r="S2462" s="8">
        <v>17</v>
      </c>
      <c r="T2462" s="7" t="s">
        <v>4457</v>
      </c>
      <c r="U2462" s="7" t="s">
        <v>4455</v>
      </c>
      <c r="V246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63" spans="1:22" x14ac:dyDescent="0.35">
      <c r="A2463" s="7" t="s">
        <v>4395</v>
      </c>
      <c r="B2463" s="7" t="s">
        <v>617</v>
      </c>
      <c r="C2463" s="5">
        <v>337.99</v>
      </c>
      <c r="D2463" s="2">
        <v>0.69579861110833008</v>
      </c>
      <c r="E2463" s="4">
        <v>44987</v>
      </c>
      <c r="F2463" s="7" t="s">
        <v>17</v>
      </c>
      <c r="G2463" s="7" t="s">
        <v>521</v>
      </c>
      <c r="H2463" s="7" t="s">
        <v>1989</v>
      </c>
      <c r="I2463" s="7" t="s">
        <v>271</v>
      </c>
      <c r="J2463" s="7" t="s">
        <v>853</v>
      </c>
      <c r="K2463" s="7" t="s">
        <v>22</v>
      </c>
      <c r="L2463" s="8">
        <v>70</v>
      </c>
      <c r="M2463" s="7" t="s">
        <v>23</v>
      </c>
      <c r="N2463" s="8">
        <v>115</v>
      </c>
      <c r="O2463" s="8">
        <v>1</v>
      </c>
      <c r="P2463" s="5">
        <v>9038.6299999999992</v>
      </c>
      <c r="Q2463" s="4">
        <v>45600</v>
      </c>
      <c r="R2463" s="9">
        <v>0.33791666666666664</v>
      </c>
      <c r="S2463" s="8">
        <v>16</v>
      </c>
      <c r="T2463" s="7" t="s">
        <v>4454</v>
      </c>
      <c r="U2463" s="7" t="s">
        <v>4455</v>
      </c>
      <c r="V246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64" spans="1:22" x14ac:dyDescent="0.35">
      <c r="A2464" s="7" t="s">
        <v>4396</v>
      </c>
      <c r="B2464" s="7" t="s">
        <v>412</v>
      </c>
      <c r="C2464" s="5">
        <v>577.13</v>
      </c>
      <c r="D2464" s="2">
        <v>0.70140046296000946</v>
      </c>
      <c r="E2464" s="4">
        <v>45196</v>
      </c>
      <c r="F2464" s="7" t="s">
        <v>46</v>
      </c>
      <c r="G2464" s="7" t="s">
        <v>223</v>
      </c>
      <c r="H2464" s="7" t="s">
        <v>2272</v>
      </c>
      <c r="I2464" s="7" t="s">
        <v>849</v>
      </c>
      <c r="J2464" s="7" t="s">
        <v>149</v>
      </c>
      <c r="K2464" s="7" t="s">
        <v>69</v>
      </c>
      <c r="L2464" s="8">
        <v>40</v>
      </c>
      <c r="M2464" s="7" t="s">
        <v>77</v>
      </c>
      <c r="N2464" s="8">
        <v>66</v>
      </c>
      <c r="O2464" s="8">
        <v>1</v>
      </c>
      <c r="P2464" s="5">
        <v>6640.51</v>
      </c>
      <c r="Q2464" s="4">
        <v>45600</v>
      </c>
      <c r="R2464" s="9">
        <v>0.33937499999999998</v>
      </c>
      <c r="S2464" s="8">
        <v>16</v>
      </c>
      <c r="T2464" s="7" t="s">
        <v>4457</v>
      </c>
      <c r="U2464" s="7" t="s">
        <v>4455</v>
      </c>
      <c r="V246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65" spans="1:22" x14ac:dyDescent="0.35">
      <c r="A2465" s="7" t="s">
        <v>4397</v>
      </c>
      <c r="B2465" s="7" t="s">
        <v>1905</v>
      </c>
      <c r="C2465" s="5">
        <v>213.33</v>
      </c>
      <c r="D2465" s="2">
        <v>0.69579861110833008</v>
      </c>
      <c r="E2465" s="4">
        <v>45166</v>
      </c>
      <c r="F2465" s="7" t="s">
        <v>17</v>
      </c>
      <c r="G2465" s="7" t="s">
        <v>296</v>
      </c>
      <c r="H2465" s="7" t="s">
        <v>2445</v>
      </c>
      <c r="I2465" s="7" t="s">
        <v>3111</v>
      </c>
      <c r="J2465" s="7" t="s">
        <v>769</v>
      </c>
      <c r="K2465" s="7" t="s">
        <v>22</v>
      </c>
      <c r="L2465" s="8">
        <v>52</v>
      </c>
      <c r="M2465" s="7" t="s">
        <v>70</v>
      </c>
      <c r="N2465" s="8">
        <v>161</v>
      </c>
      <c r="O2465" s="8">
        <v>1</v>
      </c>
      <c r="P2465" s="5">
        <v>5400.44</v>
      </c>
      <c r="Q2465" s="4">
        <v>45600</v>
      </c>
      <c r="R2465" s="9">
        <v>0.34184027777777776</v>
      </c>
      <c r="S2465" s="8">
        <v>16</v>
      </c>
      <c r="T2465" s="7" t="s">
        <v>4457</v>
      </c>
      <c r="U2465" s="7" t="s">
        <v>4455</v>
      </c>
      <c r="V246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66" spans="1:22" x14ac:dyDescent="0.35">
      <c r="A2466" s="7" t="s">
        <v>4398</v>
      </c>
      <c r="B2466" s="7" t="s">
        <v>687</v>
      </c>
      <c r="C2466" s="5">
        <v>54.52</v>
      </c>
      <c r="D2466" s="2">
        <v>0.73077546296553919</v>
      </c>
      <c r="E2466" s="4">
        <v>44987</v>
      </c>
      <c r="F2466" s="7" t="s">
        <v>17</v>
      </c>
      <c r="G2466" s="7" t="s">
        <v>65</v>
      </c>
      <c r="H2466" s="7" t="s">
        <v>877</v>
      </c>
      <c r="I2466" s="7" t="s">
        <v>2630</v>
      </c>
      <c r="J2466" s="7" t="s">
        <v>478</v>
      </c>
      <c r="K2466" s="7" t="s">
        <v>69</v>
      </c>
      <c r="L2466" s="8">
        <v>32</v>
      </c>
      <c r="M2466" s="7" t="s">
        <v>23</v>
      </c>
      <c r="N2466" s="8">
        <v>164</v>
      </c>
      <c r="O2466" s="8">
        <v>1</v>
      </c>
      <c r="P2466" s="5">
        <v>6980.98</v>
      </c>
      <c r="Q2466" s="4">
        <v>45600</v>
      </c>
      <c r="R2466" s="9">
        <v>0.3396527777777778</v>
      </c>
      <c r="S2466" s="8">
        <v>17</v>
      </c>
      <c r="T2466" s="7" t="s">
        <v>4456</v>
      </c>
      <c r="U2466" s="7" t="s">
        <v>4455</v>
      </c>
      <c r="V246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67" spans="1:22" x14ac:dyDescent="0.35">
      <c r="A2467" s="7" t="s">
        <v>4399</v>
      </c>
      <c r="B2467" s="7" t="s">
        <v>1905</v>
      </c>
      <c r="C2467" s="5">
        <v>100.13</v>
      </c>
      <c r="D2467" s="2">
        <v>0.69504629629955161</v>
      </c>
      <c r="E2467" s="4">
        <v>45271</v>
      </c>
      <c r="F2467" s="7" t="s">
        <v>17</v>
      </c>
      <c r="G2467" s="7" t="s">
        <v>114</v>
      </c>
      <c r="H2467" s="7" t="s">
        <v>1680</v>
      </c>
      <c r="I2467" s="7" t="s">
        <v>3364</v>
      </c>
      <c r="J2467" s="7" t="s">
        <v>1524</v>
      </c>
      <c r="K2467" s="7" t="s">
        <v>69</v>
      </c>
      <c r="L2467" s="8">
        <v>57</v>
      </c>
      <c r="M2467" s="7" t="s">
        <v>23</v>
      </c>
      <c r="N2467" s="8">
        <v>168</v>
      </c>
      <c r="O2467" s="8">
        <v>1</v>
      </c>
      <c r="P2467" s="5">
        <v>5209.16</v>
      </c>
      <c r="Q2467" s="4">
        <v>45600</v>
      </c>
      <c r="R2467" s="9">
        <v>0.34106481481481482</v>
      </c>
      <c r="S2467" s="8">
        <v>16</v>
      </c>
      <c r="T2467" s="7" t="s">
        <v>4454</v>
      </c>
      <c r="U2467" s="7" t="s">
        <v>4455</v>
      </c>
      <c r="V246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68" spans="1:22" x14ac:dyDescent="0.35">
      <c r="A2468" s="7" t="s">
        <v>4400</v>
      </c>
      <c r="B2468" s="7" t="s">
        <v>1422</v>
      </c>
      <c r="C2468" s="5">
        <v>883.92</v>
      </c>
      <c r="D2468" s="2">
        <v>0.67222222222335404</v>
      </c>
      <c r="E2468" s="4">
        <v>45233</v>
      </c>
      <c r="F2468" s="7" t="s">
        <v>46</v>
      </c>
      <c r="G2468" s="7" t="s">
        <v>255</v>
      </c>
      <c r="H2468" s="7" t="s">
        <v>1967</v>
      </c>
      <c r="I2468" s="7" t="s">
        <v>55</v>
      </c>
      <c r="J2468" s="7" t="s">
        <v>598</v>
      </c>
      <c r="K2468" s="7" t="s">
        <v>36</v>
      </c>
      <c r="L2468" s="8">
        <v>53</v>
      </c>
      <c r="M2468" s="7" t="s">
        <v>70</v>
      </c>
      <c r="N2468" s="8">
        <v>129</v>
      </c>
      <c r="O2468" s="8">
        <v>1</v>
      </c>
      <c r="P2468" s="5">
        <v>2342.64</v>
      </c>
      <c r="Q2468" s="4">
        <v>45600</v>
      </c>
      <c r="R2468" s="9">
        <v>0.34106481481481482</v>
      </c>
      <c r="S2468" s="8">
        <v>16</v>
      </c>
      <c r="T2468" s="7" t="s">
        <v>4457</v>
      </c>
      <c r="U2468" s="7" t="s">
        <v>4455</v>
      </c>
      <c r="V246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69" spans="1:22" x14ac:dyDescent="0.35">
      <c r="A2469" s="7" t="s">
        <v>4401</v>
      </c>
      <c r="B2469" s="7" t="s">
        <v>2372</v>
      </c>
      <c r="C2469" s="5">
        <v>69.8</v>
      </c>
      <c r="D2469" s="2">
        <v>0.66740740741079208</v>
      </c>
      <c r="E2469" s="4">
        <v>45048</v>
      </c>
      <c r="F2469" s="7" t="s">
        <v>46</v>
      </c>
      <c r="G2469" s="7" t="s">
        <v>203</v>
      </c>
      <c r="H2469" s="7" t="s">
        <v>3128</v>
      </c>
      <c r="I2469" s="7" t="s">
        <v>352</v>
      </c>
      <c r="J2469" s="7" t="s">
        <v>432</v>
      </c>
      <c r="K2469" s="7" t="s">
        <v>69</v>
      </c>
      <c r="L2469" s="8">
        <v>27</v>
      </c>
      <c r="M2469" s="7" t="s">
        <v>37</v>
      </c>
      <c r="N2469" s="8">
        <v>138</v>
      </c>
      <c r="O2469" s="8">
        <v>1</v>
      </c>
      <c r="P2469" s="5">
        <v>136.77000000000001</v>
      </c>
      <c r="Q2469" s="4">
        <v>45600</v>
      </c>
      <c r="R2469" s="9">
        <v>0.33959490740740739</v>
      </c>
      <c r="S2469" s="8">
        <v>16</v>
      </c>
      <c r="T2469" s="7" t="s">
        <v>4456</v>
      </c>
      <c r="U2469" s="7" t="s">
        <v>4455</v>
      </c>
      <c r="V246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70" spans="1:22" x14ac:dyDescent="0.35">
      <c r="A2470" s="7" t="s">
        <v>4402</v>
      </c>
      <c r="B2470" s="7" t="s">
        <v>604</v>
      </c>
      <c r="C2470" s="5">
        <v>768.94</v>
      </c>
      <c r="D2470" s="2">
        <v>0.73351851852203254</v>
      </c>
      <c r="E2470" s="4">
        <v>45210</v>
      </c>
      <c r="F2470" s="7" t="s">
        <v>17</v>
      </c>
      <c r="G2470" s="7" t="s">
        <v>65</v>
      </c>
      <c r="H2470" s="7" t="s">
        <v>738</v>
      </c>
      <c r="I2470" s="7" t="s">
        <v>1291</v>
      </c>
      <c r="J2470" s="7" t="s">
        <v>267</v>
      </c>
      <c r="K2470" s="7" t="s">
        <v>69</v>
      </c>
      <c r="L2470" s="8">
        <v>64</v>
      </c>
      <c r="M2470" s="7" t="s">
        <v>70</v>
      </c>
      <c r="N2470" s="8">
        <v>53</v>
      </c>
      <c r="O2470" s="8">
        <v>1</v>
      </c>
      <c r="P2470" s="5">
        <v>6860.18</v>
      </c>
      <c r="Q2470" s="4">
        <v>45600</v>
      </c>
      <c r="R2470" s="9">
        <v>0.33862268518518518</v>
      </c>
      <c r="S2470" s="8">
        <v>17</v>
      </c>
      <c r="T2470" s="7" t="s">
        <v>4454</v>
      </c>
      <c r="U2470" s="7" t="s">
        <v>4455</v>
      </c>
      <c r="V247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71" spans="1:22" x14ac:dyDescent="0.35">
      <c r="A2471" s="7" t="s">
        <v>4403</v>
      </c>
      <c r="B2471" s="7" t="s">
        <v>1631</v>
      </c>
      <c r="C2471" s="5">
        <v>179.62</v>
      </c>
      <c r="D2471" s="2">
        <v>0.66710648148000473</v>
      </c>
      <c r="E2471" s="4">
        <v>45245</v>
      </c>
      <c r="F2471" s="7" t="s">
        <v>17</v>
      </c>
      <c r="G2471" s="7" t="s">
        <v>255</v>
      </c>
      <c r="H2471" s="7" t="s">
        <v>1314</v>
      </c>
      <c r="I2471" s="7" t="s">
        <v>783</v>
      </c>
      <c r="J2471" s="7" t="s">
        <v>984</v>
      </c>
      <c r="K2471" s="7" t="s">
        <v>36</v>
      </c>
      <c r="L2471" s="8">
        <v>24</v>
      </c>
      <c r="M2471" s="7" t="s">
        <v>37</v>
      </c>
      <c r="N2471" s="8">
        <v>119</v>
      </c>
      <c r="O2471" s="8">
        <v>1</v>
      </c>
      <c r="P2471" s="5">
        <v>409.26</v>
      </c>
      <c r="Q2471" s="4">
        <v>45600</v>
      </c>
      <c r="R2471" s="9">
        <v>0.34145833333333331</v>
      </c>
      <c r="S2471" s="8">
        <v>16</v>
      </c>
      <c r="T2471" s="7" t="s">
        <v>4456</v>
      </c>
      <c r="U2471" s="7" t="s">
        <v>4455</v>
      </c>
      <c r="V247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72" spans="1:22" x14ac:dyDescent="0.35">
      <c r="A2472" s="7" t="s">
        <v>4404</v>
      </c>
      <c r="B2472" s="7" t="s">
        <v>16</v>
      </c>
      <c r="C2472" s="5">
        <v>425.91</v>
      </c>
      <c r="D2472" s="2">
        <v>0.69059027777984738</v>
      </c>
      <c r="E2472" s="4">
        <v>45009</v>
      </c>
      <c r="F2472" s="7" t="s">
        <v>17</v>
      </c>
      <c r="G2472" s="7" t="s">
        <v>392</v>
      </c>
      <c r="H2472" s="7" t="s">
        <v>2918</v>
      </c>
      <c r="I2472" s="7" t="s">
        <v>793</v>
      </c>
      <c r="J2472" s="7" t="s">
        <v>858</v>
      </c>
      <c r="K2472" s="7" t="s">
        <v>22</v>
      </c>
      <c r="L2472" s="8">
        <v>23</v>
      </c>
      <c r="M2472" s="7" t="s">
        <v>37</v>
      </c>
      <c r="N2472" s="8">
        <v>47</v>
      </c>
      <c r="O2472" s="8">
        <v>1</v>
      </c>
      <c r="P2472" s="5">
        <v>383.58</v>
      </c>
      <c r="Q2472" s="4">
        <v>45600</v>
      </c>
      <c r="R2472" s="9">
        <v>0.33835648148148151</v>
      </c>
      <c r="S2472" s="8">
        <v>16</v>
      </c>
      <c r="T2472" s="7" t="s">
        <v>4456</v>
      </c>
      <c r="U2472" s="7" t="s">
        <v>4455</v>
      </c>
      <c r="V247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73" spans="1:22" x14ac:dyDescent="0.35">
      <c r="A2473" s="7" t="s">
        <v>4405</v>
      </c>
      <c r="B2473" s="7" t="s">
        <v>429</v>
      </c>
      <c r="C2473" s="5">
        <v>263.33999999999997</v>
      </c>
      <c r="D2473" s="2">
        <v>0.73866898148116888</v>
      </c>
      <c r="E2473" s="4">
        <v>44993</v>
      </c>
      <c r="F2473" s="7" t="s">
        <v>17</v>
      </c>
      <c r="G2473" s="7" t="s">
        <v>114</v>
      </c>
      <c r="H2473" s="7" t="s">
        <v>3385</v>
      </c>
      <c r="I2473" s="7" t="s">
        <v>3456</v>
      </c>
      <c r="J2473" s="7" t="s">
        <v>820</v>
      </c>
      <c r="K2473" s="7" t="s">
        <v>22</v>
      </c>
      <c r="L2473" s="8">
        <v>64</v>
      </c>
      <c r="M2473" s="7" t="s">
        <v>70</v>
      </c>
      <c r="N2473" s="8">
        <v>55</v>
      </c>
      <c r="O2473" s="8">
        <v>1</v>
      </c>
      <c r="P2473" s="5">
        <v>2411.02</v>
      </c>
      <c r="Q2473" s="4">
        <v>45600</v>
      </c>
      <c r="R2473" s="9">
        <v>0.34115740740740741</v>
      </c>
      <c r="S2473" s="8">
        <v>17</v>
      </c>
      <c r="T2473" s="7" t="s">
        <v>4454</v>
      </c>
      <c r="U2473" s="7" t="s">
        <v>4455</v>
      </c>
      <c r="V247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74" spans="1:22" x14ac:dyDescent="0.35">
      <c r="A2474" s="7" t="s">
        <v>4406</v>
      </c>
      <c r="B2474" s="7" t="s">
        <v>716</v>
      </c>
      <c r="C2474" s="5">
        <v>113.03</v>
      </c>
      <c r="D2474" s="2">
        <v>0.74524305555678438</v>
      </c>
      <c r="E2474" s="4">
        <v>45000</v>
      </c>
      <c r="F2474" s="7" t="s">
        <v>46</v>
      </c>
      <c r="G2474" s="7" t="s">
        <v>255</v>
      </c>
      <c r="H2474" s="7" t="s">
        <v>3045</v>
      </c>
      <c r="I2474" s="7" t="s">
        <v>2575</v>
      </c>
      <c r="J2474" s="7" t="s">
        <v>353</v>
      </c>
      <c r="K2474" s="7" t="s">
        <v>36</v>
      </c>
      <c r="L2474" s="8">
        <v>36</v>
      </c>
      <c r="M2474" s="7" t="s">
        <v>23</v>
      </c>
      <c r="N2474" s="8">
        <v>12</v>
      </c>
      <c r="O2474" s="8">
        <v>1</v>
      </c>
      <c r="P2474" s="5">
        <v>6756.13</v>
      </c>
      <c r="Q2474" s="4">
        <v>45600</v>
      </c>
      <c r="R2474" s="9">
        <v>0.33944444444444444</v>
      </c>
      <c r="S2474" s="8">
        <v>17</v>
      </c>
      <c r="T2474" s="7" t="s">
        <v>4457</v>
      </c>
      <c r="U2474" s="7" t="s">
        <v>4455</v>
      </c>
      <c r="V247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75" spans="1:22" x14ac:dyDescent="0.35">
      <c r="A2475" s="7" t="s">
        <v>4407</v>
      </c>
      <c r="B2475" s="7" t="s">
        <v>1561</v>
      </c>
      <c r="C2475" s="5">
        <v>11.02</v>
      </c>
      <c r="D2475" s="2">
        <v>0.74262731481576338</v>
      </c>
      <c r="E2475" s="4">
        <v>45138</v>
      </c>
      <c r="F2475" s="7" t="s">
        <v>17</v>
      </c>
      <c r="G2475" s="7" t="s">
        <v>119</v>
      </c>
      <c r="H2475" s="7" t="s">
        <v>743</v>
      </c>
      <c r="I2475" s="7" t="s">
        <v>261</v>
      </c>
      <c r="J2475" s="7" t="s">
        <v>272</v>
      </c>
      <c r="K2475" s="7" t="s">
        <v>36</v>
      </c>
      <c r="L2475" s="8">
        <v>42</v>
      </c>
      <c r="M2475" s="7" t="s">
        <v>23</v>
      </c>
      <c r="N2475" s="8">
        <v>42</v>
      </c>
      <c r="O2475" s="8">
        <v>1</v>
      </c>
      <c r="P2475" s="5">
        <v>7879.66</v>
      </c>
      <c r="Q2475" s="4">
        <v>45600</v>
      </c>
      <c r="R2475" s="9">
        <v>0.3384490740740741</v>
      </c>
      <c r="S2475" s="8">
        <v>17</v>
      </c>
      <c r="T2475" s="7" t="s">
        <v>4457</v>
      </c>
      <c r="U2475" s="7" t="s">
        <v>4455</v>
      </c>
      <c r="V247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76" spans="1:22" x14ac:dyDescent="0.35">
      <c r="A2476" s="7" t="s">
        <v>4408</v>
      </c>
      <c r="B2476" s="7" t="s">
        <v>2376</v>
      </c>
      <c r="C2476" s="5">
        <v>865.17</v>
      </c>
      <c r="D2476" s="2">
        <v>0.7175462962986785</v>
      </c>
      <c r="E2476" s="4">
        <v>45267</v>
      </c>
      <c r="F2476" s="7" t="s">
        <v>17</v>
      </c>
      <c r="G2476" s="7" t="s">
        <v>26</v>
      </c>
      <c r="H2476" s="7" t="s">
        <v>3203</v>
      </c>
      <c r="I2476" s="7" t="s">
        <v>615</v>
      </c>
      <c r="J2476" s="7" t="s">
        <v>35</v>
      </c>
      <c r="K2476" s="7" t="s">
        <v>69</v>
      </c>
      <c r="L2476" s="8">
        <v>24</v>
      </c>
      <c r="M2476" s="7" t="s">
        <v>37</v>
      </c>
      <c r="N2476" s="8">
        <v>161</v>
      </c>
      <c r="O2476" s="8">
        <v>1</v>
      </c>
      <c r="P2476" s="5">
        <v>9297.5</v>
      </c>
      <c r="Q2476" s="4">
        <v>45600</v>
      </c>
      <c r="R2476" s="9">
        <v>0.34042824074074074</v>
      </c>
      <c r="S2476" s="8">
        <v>17</v>
      </c>
      <c r="T2476" s="7" t="s">
        <v>4456</v>
      </c>
      <c r="U2476" s="7" t="s">
        <v>4455</v>
      </c>
      <c r="V247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77" spans="1:22" x14ac:dyDescent="0.35">
      <c r="A2477" s="7" t="s">
        <v>4409</v>
      </c>
      <c r="B2477" s="7" t="s">
        <v>1984</v>
      </c>
      <c r="C2477" s="5">
        <v>152</v>
      </c>
      <c r="D2477" s="2">
        <v>0.757916666669189</v>
      </c>
      <c r="E2477" s="4">
        <v>45278</v>
      </c>
      <c r="F2477" s="7" t="s">
        <v>17</v>
      </c>
      <c r="G2477" s="7" t="s">
        <v>86</v>
      </c>
      <c r="H2477" s="7" t="s">
        <v>1222</v>
      </c>
      <c r="I2477" s="7" t="s">
        <v>2868</v>
      </c>
      <c r="J2477" s="7" t="s">
        <v>406</v>
      </c>
      <c r="K2477" s="7" t="s">
        <v>22</v>
      </c>
      <c r="L2477" s="8">
        <v>51</v>
      </c>
      <c r="M2477" s="7" t="s">
        <v>77</v>
      </c>
      <c r="N2477" s="8">
        <v>63</v>
      </c>
      <c r="O2477" s="8">
        <v>1</v>
      </c>
      <c r="P2477" s="5">
        <v>7531.43</v>
      </c>
      <c r="Q2477" s="4">
        <v>45600</v>
      </c>
      <c r="R2477" s="9">
        <v>0.33848379629629627</v>
      </c>
      <c r="S2477" s="8">
        <v>18</v>
      </c>
      <c r="T2477" s="7" t="s">
        <v>4457</v>
      </c>
      <c r="U2477" s="7" t="s">
        <v>4455</v>
      </c>
      <c r="V247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78" spans="1:22" x14ac:dyDescent="0.35">
      <c r="A2478" s="7" t="s">
        <v>4410</v>
      </c>
      <c r="B2478" s="7" t="s">
        <v>1984</v>
      </c>
      <c r="C2478" s="5">
        <v>270.39</v>
      </c>
      <c r="D2478" s="2">
        <v>0.72978009259531973</v>
      </c>
      <c r="E2478" s="4">
        <v>45089</v>
      </c>
      <c r="F2478" s="7" t="s">
        <v>17</v>
      </c>
      <c r="G2478" s="7" t="s">
        <v>392</v>
      </c>
      <c r="H2478" s="7" t="s">
        <v>939</v>
      </c>
      <c r="I2478" s="7" t="s">
        <v>518</v>
      </c>
      <c r="J2478" s="7" t="s">
        <v>598</v>
      </c>
      <c r="K2478" s="7" t="s">
        <v>22</v>
      </c>
      <c r="L2478" s="8">
        <v>25</v>
      </c>
      <c r="M2478" s="7" t="s">
        <v>37</v>
      </c>
      <c r="N2478" s="8">
        <v>104</v>
      </c>
      <c r="O2478" s="8">
        <v>1</v>
      </c>
      <c r="P2478" s="5">
        <v>899.15</v>
      </c>
      <c r="Q2478" s="4">
        <v>45600</v>
      </c>
      <c r="R2478" s="9">
        <v>0.33864583333333331</v>
      </c>
      <c r="S2478" s="8">
        <v>17</v>
      </c>
      <c r="T2478" s="7" t="s">
        <v>4456</v>
      </c>
      <c r="U2478" s="7" t="s">
        <v>4455</v>
      </c>
      <c r="V247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79" spans="1:22" x14ac:dyDescent="0.35">
      <c r="A2479" s="7" t="s">
        <v>4411</v>
      </c>
      <c r="B2479" s="7" t="s">
        <v>3136</v>
      </c>
      <c r="C2479" s="5">
        <v>246.41</v>
      </c>
      <c r="D2479" s="2">
        <v>0.71574074074305827</v>
      </c>
      <c r="E2479" s="4">
        <v>45072</v>
      </c>
      <c r="F2479" s="7" t="s">
        <v>17</v>
      </c>
      <c r="G2479" s="7" t="s">
        <v>73</v>
      </c>
      <c r="H2479" s="7" t="s">
        <v>1584</v>
      </c>
      <c r="I2479" s="7" t="s">
        <v>1551</v>
      </c>
      <c r="J2479" s="7" t="s">
        <v>358</v>
      </c>
      <c r="K2479" s="7" t="s">
        <v>22</v>
      </c>
      <c r="L2479" s="8">
        <v>54</v>
      </c>
      <c r="M2479" s="7" t="s">
        <v>70</v>
      </c>
      <c r="N2479" s="8">
        <v>23</v>
      </c>
      <c r="O2479" s="8">
        <v>1</v>
      </c>
      <c r="P2479" s="5">
        <v>1431.6</v>
      </c>
      <c r="Q2479" s="4">
        <v>45600</v>
      </c>
      <c r="R2479" s="9">
        <v>0.34180555555555553</v>
      </c>
      <c r="S2479" s="8">
        <v>17</v>
      </c>
      <c r="T2479" s="7" t="s">
        <v>4457</v>
      </c>
      <c r="U2479" s="7" t="s">
        <v>4455</v>
      </c>
      <c r="V247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80" spans="1:22" x14ac:dyDescent="0.35">
      <c r="A2480" s="7" t="s">
        <v>4412</v>
      </c>
      <c r="B2480" s="7" t="s">
        <v>2003</v>
      </c>
      <c r="C2480" s="5">
        <v>336.84</v>
      </c>
      <c r="D2480" s="2">
        <v>0.72552083332993789</v>
      </c>
      <c r="E2480" s="4">
        <v>44992</v>
      </c>
      <c r="F2480" s="7" t="s">
        <v>17</v>
      </c>
      <c r="G2480" s="7" t="s">
        <v>453</v>
      </c>
      <c r="H2480" s="7" t="s">
        <v>1897</v>
      </c>
      <c r="I2480" s="7" t="s">
        <v>3210</v>
      </c>
      <c r="J2480" s="7" t="s">
        <v>89</v>
      </c>
      <c r="K2480" s="7" t="s">
        <v>22</v>
      </c>
      <c r="L2480" s="8">
        <v>22</v>
      </c>
      <c r="M2480" s="7" t="s">
        <v>37</v>
      </c>
      <c r="N2480" s="8">
        <v>100</v>
      </c>
      <c r="O2480" s="8">
        <v>1</v>
      </c>
      <c r="P2480" s="5">
        <v>4500.26</v>
      </c>
      <c r="Q2480" s="4">
        <v>45600</v>
      </c>
      <c r="R2480" s="9">
        <v>0.34025462962962966</v>
      </c>
      <c r="S2480" s="8">
        <v>17</v>
      </c>
      <c r="T2480" s="7" t="s">
        <v>4456</v>
      </c>
      <c r="U2480" s="7" t="s">
        <v>4455</v>
      </c>
      <c r="V248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81" spans="1:22" x14ac:dyDescent="0.35">
      <c r="A2481" s="7" t="s">
        <v>4413</v>
      </c>
      <c r="B2481" s="7" t="s">
        <v>716</v>
      </c>
      <c r="C2481" s="5">
        <v>261.45</v>
      </c>
      <c r="D2481" s="2">
        <v>0.70979166666802485</v>
      </c>
      <c r="E2481" s="4">
        <v>45226</v>
      </c>
      <c r="F2481" s="7" t="s">
        <v>46</v>
      </c>
      <c r="G2481" s="7" t="s">
        <v>53</v>
      </c>
      <c r="H2481" s="7" t="s">
        <v>2333</v>
      </c>
      <c r="I2481" s="7" t="s">
        <v>2673</v>
      </c>
      <c r="J2481" s="7" t="s">
        <v>358</v>
      </c>
      <c r="K2481" s="7" t="s">
        <v>36</v>
      </c>
      <c r="L2481" s="8">
        <v>50</v>
      </c>
      <c r="M2481" s="7" t="s">
        <v>77</v>
      </c>
      <c r="N2481" s="8">
        <v>96</v>
      </c>
      <c r="O2481" s="8">
        <v>1</v>
      </c>
      <c r="P2481" s="5">
        <v>6735.74</v>
      </c>
      <c r="Q2481" s="4">
        <v>45600</v>
      </c>
      <c r="R2481" s="9">
        <v>0.33971064814814816</v>
      </c>
      <c r="S2481" s="8">
        <v>17</v>
      </c>
      <c r="T2481" s="7" t="s">
        <v>4457</v>
      </c>
      <c r="U2481" s="7" t="s">
        <v>4455</v>
      </c>
      <c r="V248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82" spans="1:22" x14ac:dyDescent="0.35">
      <c r="A2482" s="7" t="s">
        <v>4414</v>
      </c>
      <c r="B2482" s="7" t="s">
        <v>39</v>
      </c>
      <c r="C2482" s="5">
        <v>99.98</v>
      </c>
      <c r="D2482" s="2">
        <v>0.70283564814599231</v>
      </c>
      <c r="E2482" s="4">
        <v>45015</v>
      </c>
      <c r="F2482" s="7" t="s">
        <v>46</v>
      </c>
      <c r="G2482" s="7" t="s">
        <v>453</v>
      </c>
      <c r="H2482" s="7" t="s">
        <v>2068</v>
      </c>
      <c r="I2482" s="7" t="s">
        <v>4257</v>
      </c>
      <c r="J2482" s="7" t="s">
        <v>482</v>
      </c>
      <c r="K2482" s="7" t="s">
        <v>36</v>
      </c>
      <c r="L2482" s="8">
        <v>73</v>
      </c>
      <c r="M2482" s="7" t="s">
        <v>70</v>
      </c>
      <c r="N2482" s="8">
        <v>152</v>
      </c>
      <c r="O2482" s="8">
        <v>1</v>
      </c>
      <c r="P2482" s="5">
        <v>3037.97</v>
      </c>
      <c r="Q2482" s="4">
        <v>45600</v>
      </c>
      <c r="R2482" s="9">
        <v>0.33887731481481481</v>
      </c>
      <c r="S2482" s="8">
        <v>16</v>
      </c>
      <c r="T2482" s="7" t="s">
        <v>4454</v>
      </c>
      <c r="U2482" s="7" t="s">
        <v>4455</v>
      </c>
      <c r="V248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83" spans="1:22" x14ac:dyDescent="0.35">
      <c r="A2483" s="7" t="s">
        <v>4415</v>
      </c>
      <c r="B2483" s="7" t="s">
        <v>118</v>
      </c>
      <c r="C2483" s="5">
        <v>400.69</v>
      </c>
      <c r="D2483" s="2">
        <v>0.68054398147796746</v>
      </c>
      <c r="E2483" s="4">
        <v>45019</v>
      </c>
      <c r="F2483" s="7" t="s">
        <v>17</v>
      </c>
      <c r="G2483" s="7" t="s">
        <v>146</v>
      </c>
      <c r="H2483" s="7" t="s">
        <v>3902</v>
      </c>
      <c r="I2483" s="7" t="s">
        <v>1202</v>
      </c>
      <c r="J2483" s="7" t="s">
        <v>386</v>
      </c>
      <c r="K2483" s="7" t="s">
        <v>36</v>
      </c>
      <c r="L2483" s="8">
        <v>32</v>
      </c>
      <c r="M2483" s="7" t="s">
        <v>77</v>
      </c>
      <c r="N2483" s="8">
        <v>26</v>
      </c>
      <c r="O2483" s="8">
        <v>1</v>
      </c>
      <c r="P2483" s="5">
        <v>9040.33</v>
      </c>
      <c r="Q2483" s="4">
        <v>45600</v>
      </c>
      <c r="R2483" s="9">
        <v>0.33885416666666668</v>
      </c>
      <c r="S2483" s="8">
        <v>16</v>
      </c>
      <c r="T2483" s="7" t="s">
        <v>4456</v>
      </c>
      <c r="U2483" s="7" t="s">
        <v>4455</v>
      </c>
      <c r="V248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84" spans="1:22" x14ac:dyDescent="0.35">
      <c r="A2484" s="7" t="s">
        <v>4416</v>
      </c>
      <c r="B2484" s="7" t="s">
        <v>2889</v>
      </c>
      <c r="C2484" s="5">
        <v>411.47</v>
      </c>
      <c r="D2484" s="2">
        <v>0.68451388888934162</v>
      </c>
      <c r="E2484" s="4">
        <v>45285</v>
      </c>
      <c r="F2484" s="7" t="s">
        <v>17</v>
      </c>
      <c r="G2484" s="7" t="s">
        <v>157</v>
      </c>
      <c r="H2484" s="7" t="s">
        <v>1461</v>
      </c>
      <c r="I2484" s="7" t="s">
        <v>190</v>
      </c>
      <c r="J2484" s="7" t="s">
        <v>1014</v>
      </c>
      <c r="K2484" s="7" t="s">
        <v>22</v>
      </c>
      <c r="L2484" s="8">
        <v>26</v>
      </c>
      <c r="M2484" s="7" t="s">
        <v>37</v>
      </c>
      <c r="N2484" s="8">
        <v>120</v>
      </c>
      <c r="O2484" s="8">
        <v>1</v>
      </c>
      <c r="P2484" s="5">
        <v>796.63</v>
      </c>
      <c r="Q2484" s="4">
        <v>45600</v>
      </c>
      <c r="R2484" s="9">
        <v>0.34109953703703705</v>
      </c>
      <c r="S2484" s="8">
        <v>16</v>
      </c>
      <c r="T2484" s="7" t="s">
        <v>4456</v>
      </c>
      <c r="U2484" s="7" t="s">
        <v>4455</v>
      </c>
      <c r="V248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85" spans="1:22" x14ac:dyDescent="0.35">
      <c r="A2485" s="7" t="s">
        <v>4417</v>
      </c>
      <c r="B2485" s="7" t="s">
        <v>2467</v>
      </c>
      <c r="C2485" s="5">
        <v>204.63</v>
      </c>
      <c r="D2485" s="2">
        <v>0.74185185185342561</v>
      </c>
      <c r="E2485" s="4">
        <v>45098</v>
      </c>
      <c r="F2485" s="7" t="s">
        <v>17</v>
      </c>
      <c r="G2485" s="7" t="s">
        <v>146</v>
      </c>
      <c r="H2485" s="7" t="s">
        <v>3595</v>
      </c>
      <c r="I2485" s="7" t="s">
        <v>1505</v>
      </c>
      <c r="J2485" s="7" t="s">
        <v>277</v>
      </c>
      <c r="K2485" s="7" t="s">
        <v>36</v>
      </c>
      <c r="L2485" s="8">
        <v>52</v>
      </c>
      <c r="M2485" s="7" t="s">
        <v>77</v>
      </c>
      <c r="N2485" s="8">
        <v>92</v>
      </c>
      <c r="O2485" s="8">
        <v>1</v>
      </c>
      <c r="P2485" s="5">
        <v>9199.52</v>
      </c>
      <c r="Q2485" s="4">
        <v>45600</v>
      </c>
      <c r="R2485" s="9">
        <v>0.34020833333333333</v>
      </c>
      <c r="S2485" s="8">
        <v>17</v>
      </c>
      <c r="T2485" s="7" t="s">
        <v>4457</v>
      </c>
      <c r="U2485" s="7" t="s">
        <v>4455</v>
      </c>
      <c r="V248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86" spans="1:22" x14ac:dyDescent="0.35">
      <c r="A2486" s="7" t="s">
        <v>4418</v>
      </c>
      <c r="B2486" s="7" t="s">
        <v>3354</v>
      </c>
      <c r="C2486" s="5">
        <v>421.56</v>
      </c>
      <c r="D2486" s="2">
        <v>0.74785879629780538</v>
      </c>
      <c r="E2486" s="4">
        <v>45125</v>
      </c>
      <c r="F2486" s="7" t="s">
        <v>17</v>
      </c>
      <c r="G2486" s="7" t="s">
        <v>223</v>
      </c>
      <c r="H2486" s="7" t="s">
        <v>1089</v>
      </c>
      <c r="I2486" s="7" t="s">
        <v>1208</v>
      </c>
      <c r="J2486" s="7" t="s">
        <v>478</v>
      </c>
      <c r="K2486" s="7" t="s">
        <v>36</v>
      </c>
      <c r="L2486" s="8">
        <v>53</v>
      </c>
      <c r="M2486" s="7" t="s">
        <v>77</v>
      </c>
      <c r="N2486" s="8">
        <v>144</v>
      </c>
      <c r="O2486" s="8">
        <v>1</v>
      </c>
      <c r="P2486" s="5">
        <v>8037.87</v>
      </c>
      <c r="Q2486" s="4">
        <v>45600</v>
      </c>
      <c r="R2486" s="9">
        <v>0.3409490740740741</v>
      </c>
      <c r="S2486" s="8">
        <v>17</v>
      </c>
      <c r="T2486" s="7" t="s">
        <v>4457</v>
      </c>
      <c r="U2486" s="7" t="s">
        <v>4455</v>
      </c>
      <c r="V248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87" spans="1:22" x14ac:dyDescent="0.35">
      <c r="A2487" s="7" t="s">
        <v>4419</v>
      </c>
      <c r="B2487" s="7" t="s">
        <v>1889</v>
      </c>
      <c r="C2487" s="5">
        <v>193.38</v>
      </c>
      <c r="D2487" s="2">
        <v>0.67026620370597811</v>
      </c>
      <c r="E2487" s="4">
        <v>45127</v>
      </c>
      <c r="F2487" s="7" t="s">
        <v>17</v>
      </c>
      <c r="G2487" s="7" t="s">
        <v>92</v>
      </c>
      <c r="H2487" s="7" t="s">
        <v>1893</v>
      </c>
      <c r="I2487" s="7" t="s">
        <v>933</v>
      </c>
      <c r="J2487" s="7" t="s">
        <v>853</v>
      </c>
      <c r="K2487" s="7" t="s">
        <v>22</v>
      </c>
      <c r="L2487" s="8">
        <v>18</v>
      </c>
      <c r="M2487" s="7" t="s">
        <v>37</v>
      </c>
      <c r="N2487" s="8">
        <v>285</v>
      </c>
      <c r="O2487" s="8">
        <v>1</v>
      </c>
      <c r="P2487" s="5">
        <v>1081.79</v>
      </c>
      <c r="Q2487" s="4">
        <v>45600</v>
      </c>
      <c r="R2487" s="9">
        <v>0.34092592592592591</v>
      </c>
      <c r="S2487" s="8">
        <v>16</v>
      </c>
      <c r="T2487" s="7" t="s">
        <v>4456</v>
      </c>
      <c r="U2487" s="7" t="s">
        <v>4455</v>
      </c>
      <c r="V248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88" spans="1:22" x14ac:dyDescent="0.35">
      <c r="A2488" s="7" t="s">
        <v>4420</v>
      </c>
      <c r="B2488" s="7" t="s">
        <v>222</v>
      </c>
      <c r="C2488" s="5">
        <v>377.04</v>
      </c>
      <c r="D2488" s="2">
        <v>0.70282407407648861</v>
      </c>
      <c r="E2488" s="4">
        <v>45001</v>
      </c>
      <c r="F2488" s="7" t="s">
        <v>17</v>
      </c>
      <c r="G2488" s="7" t="s">
        <v>265</v>
      </c>
      <c r="H2488" s="7" t="s">
        <v>193</v>
      </c>
      <c r="I2488" s="7" t="s">
        <v>4157</v>
      </c>
      <c r="J2488" s="7" t="s">
        <v>56</v>
      </c>
      <c r="K2488" s="7" t="s">
        <v>22</v>
      </c>
      <c r="L2488" s="8">
        <v>34</v>
      </c>
      <c r="M2488" s="7" t="s">
        <v>77</v>
      </c>
      <c r="N2488" s="8">
        <v>64</v>
      </c>
      <c r="O2488" s="8">
        <v>1</v>
      </c>
      <c r="P2488" s="5">
        <v>3812.87</v>
      </c>
      <c r="Q2488" s="4">
        <v>45600</v>
      </c>
      <c r="R2488" s="9">
        <v>0.34020833333333333</v>
      </c>
      <c r="S2488" s="8">
        <v>16</v>
      </c>
      <c r="T2488" s="7" t="s">
        <v>4456</v>
      </c>
      <c r="U2488" s="7" t="s">
        <v>4455</v>
      </c>
      <c r="V248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89" spans="1:22" x14ac:dyDescent="0.35">
      <c r="A2489" s="7" t="s">
        <v>4421</v>
      </c>
      <c r="B2489" s="7" t="s">
        <v>1765</v>
      </c>
      <c r="C2489" s="5">
        <v>54.1</v>
      </c>
      <c r="D2489" s="2">
        <v>0.74144675926072523</v>
      </c>
      <c r="E2489" s="4">
        <v>45065</v>
      </c>
      <c r="F2489" s="7" t="s">
        <v>46</v>
      </c>
      <c r="G2489" s="7" t="s">
        <v>388</v>
      </c>
      <c r="H2489" s="7" t="s">
        <v>1573</v>
      </c>
      <c r="I2489" s="7" t="s">
        <v>3538</v>
      </c>
      <c r="J2489" s="7" t="s">
        <v>674</v>
      </c>
      <c r="K2489" s="7" t="s">
        <v>69</v>
      </c>
      <c r="L2489" s="8">
        <v>28</v>
      </c>
      <c r="M2489" s="7" t="s">
        <v>77</v>
      </c>
      <c r="N2489" s="8">
        <v>17</v>
      </c>
      <c r="O2489" s="8">
        <v>1</v>
      </c>
      <c r="P2489" s="5">
        <v>940.91</v>
      </c>
      <c r="Q2489" s="4">
        <v>45600</v>
      </c>
      <c r="R2489" s="9">
        <v>0.33818287037037037</v>
      </c>
      <c r="S2489" s="8">
        <v>17</v>
      </c>
      <c r="T2489" s="7" t="s">
        <v>4456</v>
      </c>
      <c r="U2489" s="7" t="s">
        <v>4455</v>
      </c>
      <c r="V248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90" spans="1:22" x14ac:dyDescent="0.35">
      <c r="A2490" s="7" t="s">
        <v>4422</v>
      </c>
      <c r="B2490" s="7" t="s">
        <v>589</v>
      </c>
      <c r="C2490" s="5">
        <v>18.100000000000001</v>
      </c>
      <c r="D2490" s="2">
        <v>0.68973379629460396</v>
      </c>
      <c r="E2490" s="4">
        <v>45030</v>
      </c>
      <c r="F2490" s="7" t="s">
        <v>17</v>
      </c>
      <c r="G2490" s="7" t="s">
        <v>108</v>
      </c>
      <c r="H2490" s="7" t="s">
        <v>1928</v>
      </c>
      <c r="I2490" s="7" t="s">
        <v>828</v>
      </c>
      <c r="J2490" s="7" t="s">
        <v>68</v>
      </c>
      <c r="K2490" s="7" t="s">
        <v>22</v>
      </c>
      <c r="L2490" s="8">
        <v>57</v>
      </c>
      <c r="M2490" s="7" t="s">
        <v>70</v>
      </c>
      <c r="N2490" s="8">
        <v>66</v>
      </c>
      <c r="O2490" s="8">
        <v>1</v>
      </c>
      <c r="P2490" s="5">
        <v>6474.34</v>
      </c>
      <c r="Q2490" s="4">
        <v>45600</v>
      </c>
      <c r="R2490" s="9">
        <v>0.33797453703703706</v>
      </c>
      <c r="S2490" s="8">
        <v>16</v>
      </c>
      <c r="T2490" s="7" t="s">
        <v>4454</v>
      </c>
      <c r="U2490" s="7" t="s">
        <v>4455</v>
      </c>
      <c r="V249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91" spans="1:22" x14ac:dyDescent="0.35">
      <c r="A2491" s="7" t="s">
        <v>4423</v>
      </c>
      <c r="B2491" s="7" t="s">
        <v>1425</v>
      </c>
      <c r="C2491" s="5">
        <v>408.62</v>
      </c>
      <c r="D2491" s="2">
        <v>0.73736111111065838</v>
      </c>
      <c r="E2491" s="4">
        <v>45068</v>
      </c>
      <c r="F2491" s="7" t="s">
        <v>46</v>
      </c>
      <c r="G2491" s="7" t="s">
        <v>157</v>
      </c>
      <c r="H2491" s="7" t="s">
        <v>377</v>
      </c>
      <c r="I2491" s="7" t="s">
        <v>2775</v>
      </c>
      <c r="J2491" s="7" t="s">
        <v>1037</v>
      </c>
      <c r="K2491" s="7" t="s">
        <v>36</v>
      </c>
      <c r="L2491" s="8">
        <v>48</v>
      </c>
      <c r="M2491" s="7" t="s">
        <v>77</v>
      </c>
      <c r="N2491" s="8">
        <v>159</v>
      </c>
      <c r="O2491" s="8">
        <v>1</v>
      </c>
      <c r="P2491" s="5">
        <v>2498.48</v>
      </c>
      <c r="Q2491" s="4">
        <v>45600</v>
      </c>
      <c r="R2491" s="9">
        <v>0.33828703703703705</v>
      </c>
      <c r="S2491" s="8">
        <v>17</v>
      </c>
      <c r="T2491" s="7" t="s">
        <v>4457</v>
      </c>
      <c r="U2491" s="7" t="s">
        <v>4455</v>
      </c>
      <c r="V249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92" spans="1:22" x14ac:dyDescent="0.35">
      <c r="A2492" s="7" t="s">
        <v>4424</v>
      </c>
      <c r="B2492" s="7" t="s">
        <v>396</v>
      </c>
      <c r="C2492" s="5">
        <v>162.1</v>
      </c>
      <c r="D2492" s="2">
        <v>0.67646990740468027</v>
      </c>
      <c r="E2492" s="4">
        <v>45264</v>
      </c>
      <c r="F2492" s="7" t="s">
        <v>17</v>
      </c>
      <c r="G2492" s="7" t="s">
        <v>197</v>
      </c>
      <c r="H2492" s="7" t="s">
        <v>1251</v>
      </c>
      <c r="I2492" s="7" t="s">
        <v>2523</v>
      </c>
      <c r="J2492" s="7" t="s">
        <v>762</v>
      </c>
      <c r="K2492" s="7" t="s">
        <v>69</v>
      </c>
      <c r="L2492" s="8">
        <v>64</v>
      </c>
      <c r="M2492" s="7" t="s">
        <v>23</v>
      </c>
      <c r="N2492" s="8">
        <v>221</v>
      </c>
      <c r="O2492" s="8">
        <v>1</v>
      </c>
      <c r="P2492" s="5">
        <v>9578.74</v>
      </c>
      <c r="Q2492" s="4">
        <v>45600</v>
      </c>
      <c r="R2492" s="9">
        <v>0.34137731481481481</v>
      </c>
      <c r="S2492" s="8">
        <v>16</v>
      </c>
      <c r="T2492" s="7" t="s">
        <v>4454</v>
      </c>
      <c r="U2492" s="7" t="s">
        <v>4455</v>
      </c>
      <c r="V249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93" spans="1:22" x14ac:dyDescent="0.35">
      <c r="A2493" s="7" t="s">
        <v>4425</v>
      </c>
      <c r="B2493" s="7" t="s">
        <v>1289</v>
      </c>
      <c r="C2493" s="5">
        <v>165.31</v>
      </c>
      <c r="D2493" s="2">
        <v>0.67048611111385981</v>
      </c>
      <c r="E2493" s="4">
        <v>45019</v>
      </c>
      <c r="F2493" s="7" t="s">
        <v>17</v>
      </c>
      <c r="G2493" s="7" t="s">
        <v>388</v>
      </c>
      <c r="H2493" s="7" t="s">
        <v>1871</v>
      </c>
      <c r="I2493" s="7" t="s">
        <v>1366</v>
      </c>
      <c r="J2493" s="7" t="s">
        <v>128</v>
      </c>
      <c r="K2493" s="7" t="s">
        <v>22</v>
      </c>
      <c r="L2493" s="8">
        <v>49</v>
      </c>
      <c r="M2493" s="7" t="s">
        <v>23</v>
      </c>
      <c r="N2493" s="8">
        <v>28</v>
      </c>
      <c r="O2493" s="8">
        <v>1</v>
      </c>
      <c r="P2493" s="5">
        <v>7346.66</v>
      </c>
      <c r="Q2493" s="4">
        <v>45600</v>
      </c>
      <c r="R2493" s="9">
        <v>0.34041666666666665</v>
      </c>
      <c r="S2493" s="8">
        <v>16</v>
      </c>
      <c r="T2493" s="7" t="s">
        <v>4457</v>
      </c>
      <c r="U2493" s="7" t="s">
        <v>4455</v>
      </c>
      <c r="V249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94" spans="1:22" x14ac:dyDescent="0.35">
      <c r="A2494" s="7" t="s">
        <v>4426</v>
      </c>
      <c r="B2494" s="7" t="s">
        <v>177</v>
      </c>
      <c r="C2494" s="5">
        <v>267.48</v>
      </c>
      <c r="D2494" s="2">
        <v>0.71233796296291985</v>
      </c>
      <c r="E2494" s="4">
        <v>44956</v>
      </c>
      <c r="F2494" s="7" t="s">
        <v>17</v>
      </c>
      <c r="G2494" s="7" t="s">
        <v>86</v>
      </c>
      <c r="H2494" s="7" t="s">
        <v>2215</v>
      </c>
      <c r="I2494" s="7" t="s">
        <v>841</v>
      </c>
      <c r="J2494" s="7" t="s">
        <v>43</v>
      </c>
      <c r="K2494" s="7" t="s">
        <v>22</v>
      </c>
      <c r="L2494" s="8">
        <v>21</v>
      </c>
      <c r="M2494" s="7" t="s">
        <v>37</v>
      </c>
      <c r="N2494" s="8">
        <v>159</v>
      </c>
      <c r="O2494" s="8">
        <v>2</v>
      </c>
      <c r="P2494" s="5">
        <v>811.86</v>
      </c>
      <c r="Q2494" s="4">
        <v>45600</v>
      </c>
      <c r="R2494" s="9">
        <v>0.3399537037037037</v>
      </c>
      <c r="S2494" s="8">
        <v>17</v>
      </c>
      <c r="T2494" s="7" t="s">
        <v>4456</v>
      </c>
      <c r="U2494" s="7" t="s">
        <v>4458</v>
      </c>
      <c r="V249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95" spans="1:22" x14ac:dyDescent="0.35">
      <c r="A2495" s="7" t="s">
        <v>4427</v>
      </c>
      <c r="B2495" s="7" t="s">
        <v>687</v>
      </c>
      <c r="C2495" s="5">
        <v>856.9</v>
      </c>
      <c r="D2495" s="2">
        <v>0.67401620370219462</v>
      </c>
      <c r="E2495" s="4">
        <v>45002</v>
      </c>
      <c r="F2495" s="7" t="s">
        <v>17</v>
      </c>
      <c r="G2495" s="7" t="s">
        <v>203</v>
      </c>
      <c r="H2495" s="7" t="s">
        <v>562</v>
      </c>
      <c r="I2495" s="7" t="s">
        <v>2038</v>
      </c>
      <c r="J2495" s="7" t="s">
        <v>769</v>
      </c>
      <c r="K2495" s="7" t="s">
        <v>69</v>
      </c>
      <c r="L2495" s="8">
        <v>36</v>
      </c>
      <c r="M2495" s="7" t="s">
        <v>77</v>
      </c>
      <c r="N2495" s="8">
        <v>150</v>
      </c>
      <c r="O2495" s="8">
        <v>1</v>
      </c>
      <c r="P2495" s="5">
        <v>8579.69</v>
      </c>
      <c r="Q2495" s="4">
        <v>45600</v>
      </c>
      <c r="R2495" s="9">
        <v>0.3401851851851852</v>
      </c>
      <c r="S2495" s="8">
        <v>16</v>
      </c>
      <c r="T2495" s="7" t="s">
        <v>4457</v>
      </c>
      <c r="U2495" s="7" t="s">
        <v>4455</v>
      </c>
      <c r="V249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96" spans="1:22" x14ac:dyDescent="0.35">
      <c r="A2496" s="7" t="s">
        <v>4428</v>
      </c>
      <c r="B2496" s="7" t="s">
        <v>1368</v>
      </c>
      <c r="C2496" s="5">
        <v>433.9</v>
      </c>
      <c r="D2496" s="2">
        <v>0.73539351851650281</v>
      </c>
      <c r="E2496" s="4">
        <v>44995</v>
      </c>
      <c r="F2496" s="7" t="s">
        <v>17</v>
      </c>
      <c r="G2496" s="7" t="s">
        <v>86</v>
      </c>
      <c r="H2496" s="7" t="s">
        <v>393</v>
      </c>
      <c r="I2496" s="7" t="s">
        <v>1249</v>
      </c>
      <c r="J2496" s="7" t="s">
        <v>759</v>
      </c>
      <c r="K2496" s="7" t="s">
        <v>36</v>
      </c>
      <c r="L2496" s="8">
        <v>65</v>
      </c>
      <c r="M2496" s="7" t="s">
        <v>23</v>
      </c>
      <c r="N2496" s="8">
        <v>37</v>
      </c>
      <c r="O2496" s="8">
        <v>1</v>
      </c>
      <c r="P2496" s="5">
        <v>9013.1</v>
      </c>
      <c r="Q2496" s="4">
        <v>45600</v>
      </c>
      <c r="R2496" s="9">
        <v>0.33870370370370373</v>
      </c>
      <c r="S2496" s="8">
        <v>17</v>
      </c>
      <c r="T2496" s="7" t="s">
        <v>4454</v>
      </c>
      <c r="U2496" s="7" t="s">
        <v>4455</v>
      </c>
      <c r="V249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97" spans="1:22" x14ac:dyDescent="0.35">
      <c r="A2497" s="7" t="s">
        <v>4429</v>
      </c>
      <c r="B2497" s="7" t="s">
        <v>742</v>
      </c>
      <c r="C2497" s="5">
        <v>271.22000000000003</v>
      </c>
      <c r="D2497" s="2">
        <v>0.67214120370044839</v>
      </c>
      <c r="E2497" s="4">
        <v>45019</v>
      </c>
      <c r="F2497" s="7" t="s">
        <v>46</v>
      </c>
      <c r="G2497" s="7" t="s">
        <v>108</v>
      </c>
      <c r="H2497" s="7" t="s">
        <v>626</v>
      </c>
      <c r="I2497" s="7" t="s">
        <v>1341</v>
      </c>
      <c r="J2497" s="7" t="s">
        <v>682</v>
      </c>
      <c r="K2497" s="7" t="s">
        <v>22</v>
      </c>
      <c r="L2497" s="8">
        <v>45</v>
      </c>
      <c r="M2497" s="7" t="s">
        <v>23</v>
      </c>
      <c r="N2497" s="8">
        <v>87</v>
      </c>
      <c r="O2497" s="8">
        <v>1</v>
      </c>
      <c r="P2497" s="5">
        <v>6863.02</v>
      </c>
      <c r="Q2497" s="4">
        <v>45600</v>
      </c>
      <c r="R2497" s="9">
        <v>0.33810185185185188</v>
      </c>
      <c r="S2497" s="8">
        <v>16</v>
      </c>
      <c r="T2497" s="7" t="s">
        <v>4457</v>
      </c>
      <c r="U2497" s="7" t="s">
        <v>4455</v>
      </c>
      <c r="V249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498" spans="1:22" x14ac:dyDescent="0.35">
      <c r="A2498" s="7" t="s">
        <v>4430</v>
      </c>
      <c r="B2498" s="7" t="s">
        <v>2097</v>
      </c>
      <c r="C2498" s="5">
        <v>307.68</v>
      </c>
      <c r="D2498" s="2">
        <v>0.72322916666598758</v>
      </c>
      <c r="E2498" s="4">
        <v>44944</v>
      </c>
      <c r="F2498" s="7" t="s">
        <v>46</v>
      </c>
      <c r="G2498" s="7" t="s">
        <v>73</v>
      </c>
      <c r="H2498" s="7" t="s">
        <v>1479</v>
      </c>
      <c r="I2498" s="7" t="s">
        <v>2974</v>
      </c>
      <c r="J2498" s="7" t="s">
        <v>1524</v>
      </c>
      <c r="K2498" s="7" t="s">
        <v>36</v>
      </c>
      <c r="L2498" s="8">
        <v>75</v>
      </c>
      <c r="M2498" s="7" t="s">
        <v>70</v>
      </c>
      <c r="N2498" s="8">
        <v>162</v>
      </c>
      <c r="O2498" s="8">
        <v>1</v>
      </c>
      <c r="P2498" s="5">
        <v>2052.84</v>
      </c>
      <c r="Q2498" s="4">
        <v>45600</v>
      </c>
      <c r="R2498" s="9">
        <v>0.3417013888888889</v>
      </c>
      <c r="S2498" s="8">
        <v>17</v>
      </c>
      <c r="T2498" s="7" t="s">
        <v>4454</v>
      </c>
      <c r="U2498" s="7" t="s">
        <v>4455</v>
      </c>
      <c r="V249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499" spans="1:22" x14ac:dyDescent="0.35">
      <c r="A2499" s="7" t="s">
        <v>4431</v>
      </c>
      <c r="B2499" s="7" t="s">
        <v>1814</v>
      </c>
      <c r="C2499" s="5">
        <v>348.17</v>
      </c>
      <c r="D2499" s="2">
        <v>0.74758101852057735</v>
      </c>
      <c r="E2499" s="4">
        <v>45056</v>
      </c>
      <c r="F2499" s="7" t="s">
        <v>17</v>
      </c>
      <c r="G2499" s="7" t="s">
        <v>506</v>
      </c>
      <c r="H2499" s="7" t="s">
        <v>2068</v>
      </c>
      <c r="I2499" s="7" t="s">
        <v>3352</v>
      </c>
      <c r="J2499" s="7" t="s">
        <v>831</v>
      </c>
      <c r="K2499" s="7" t="s">
        <v>22</v>
      </c>
      <c r="L2499" s="8">
        <v>21</v>
      </c>
      <c r="M2499" s="7" t="s">
        <v>37</v>
      </c>
      <c r="N2499" s="8">
        <v>181</v>
      </c>
      <c r="O2499" s="8">
        <v>1</v>
      </c>
      <c r="P2499" s="5">
        <v>1887.84</v>
      </c>
      <c r="Q2499" s="4">
        <v>45600</v>
      </c>
      <c r="R2499" s="9">
        <v>0.34104166666666669</v>
      </c>
      <c r="S2499" s="8">
        <v>17</v>
      </c>
      <c r="T2499" s="7" t="s">
        <v>4456</v>
      </c>
      <c r="U2499" s="7" t="s">
        <v>4455</v>
      </c>
      <c r="V249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00" spans="1:22" x14ac:dyDescent="0.35">
      <c r="A2500" s="7" t="s">
        <v>4432</v>
      </c>
      <c r="B2500" s="7" t="s">
        <v>1569</v>
      </c>
      <c r="C2500" s="5">
        <v>43.1</v>
      </c>
      <c r="D2500" s="2">
        <v>0.76787037037138361</v>
      </c>
      <c r="E2500" s="4">
        <v>45203</v>
      </c>
      <c r="F2500" s="7" t="s">
        <v>17</v>
      </c>
      <c r="G2500" s="7" t="s">
        <v>114</v>
      </c>
      <c r="H2500" s="7" t="s">
        <v>3298</v>
      </c>
      <c r="I2500" s="7" t="s">
        <v>4112</v>
      </c>
      <c r="J2500" s="7" t="s">
        <v>186</v>
      </c>
      <c r="K2500" s="7" t="s">
        <v>69</v>
      </c>
      <c r="L2500" s="8">
        <v>25</v>
      </c>
      <c r="M2500" s="7" t="s">
        <v>37</v>
      </c>
      <c r="N2500" s="8">
        <v>102</v>
      </c>
      <c r="O2500" s="8">
        <v>1</v>
      </c>
      <c r="P2500" s="5">
        <v>6944.9</v>
      </c>
      <c r="Q2500" s="4">
        <v>45600</v>
      </c>
      <c r="R2500" s="9">
        <v>0.33847222222222223</v>
      </c>
      <c r="S2500" s="8">
        <v>18</v>
      </c>
      <c r="T2500" s="7" t="s">
        <v>4456</v>
      </c>
      <c r="U2500" s="7" t="s">
        <v>4455</v>
      </c>
      <c r="V250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01" spans="1:22" x14ac:dyDescent="0.35">
      <c r="A2501" s="7" t="s">
        <v>4433</v>
      </c>
      <c r="B2501" s="7" t="s">
        <v>2707</v>
      </c>
      <c r="C2501" s="5">
        <v>557.78</v>
      </c>
      <c r="D2501" s="2">
        <v>0.70490740740933688</v>
      </c>
      <c r="E2501" s="4">
        <v>45076</v>
      </c>
      <c r="F2501" s="7" t="s">
        <v>46</v>
      </c>
      <c r="G2501" s="7" t="s">
        <v>425</v>
      </c>
      <c r="H2501" s="7" t="s">
        <v>2687</v>
      </c>
      <c r="I2501" s="7" t="s">
        <v>2381</v>
      </c>
      <c r="J2501" s="7" t="s">
        <v>831</v>
      </c>
      <c r="K2501" s="7" t="s">
        <v>69</v>
      </c>
      <c r="L2501" s="8">
        <v>26</v>
      </c>
      <c r="M2501" s="7" t="s">
        <v>37</v>
      </c>
      <c r="N2501" s="8">
        <v>102</v>
      </c>
      <c r="O2501" s="8">
        <v>1</v>
      </c>
      <c r="P2501" s="5">
        <v>1289.48</v>
      </c>
      <c r="Q2501" s="4">
        <v>45600</v>
      </c>
      <c r="R2501" s="9">
        <v>0.34112268518518518</v>
      </c>
      <c r="S2501" s="8">
        <v>16</v>
      </c>
      <c r="T2501" s="7" t="s">
        <v>4456</v>
      </c>
      <c r="U2501" s="7" t="s">
        <v>4455</v>
      </c>
      <c r="V250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02" spans="1:22" x14ac:dyDescent="0.35">
      <c r="A2502" s="7" t="s">
        <v>4434</v>
      </c>
      <c r="B2502" s="7" t="s">
        <v>1301</v>
      </c>
      <c r="C2502" s="5">
        <v>325.60000000000002</v>
      </c>
      <c r="D2502" s="2">
        <v>0.67749999999796273</v>
      </c>
      <c r="E2502" s="4">
        <v>45195</v>
      </c>
      <c r="F2502" s="7" t="s">
        <v>17</v>
      </c>
      <c r="G2502" s="7" t="s">
        <v>323</v>
      </c>
      <c r="H2502" s="7" t="s">
        <v>1935</v>
      </c>
      <c r="I2502" s="7" t="s">
        <v>2054</v>
      </c>
      <c r="J2502" s="7" t="s">
        <v>607</v>
      </c>
      <c r="K2502" s="7" t="s">
        <v>22</v>
      </c>
      <c r="L2502" s="8">
        <v>69</v>
      </c>
      <c r="M2502" s="7" t="s">
        <v>23</v>
      </c>
      <c r="N2502" s="8">
        <v>88</v>
      </c>
      <c r="O2502" s="8">
        <v>1</v>
      </c>
      <c r="P2502" s="5">
        <v>13777.1</v>
      </c>
      <c r="Q2502" s="4">
        <v>45600</v>
      </c>
      <c r="R2502" s="9">
        <v>0.34084490740740742</v>
      </c>
      <c r="S2502" s="8">
        <v>16</v>
      </c>
      <c r="T2502" s="7" t="s">
        <v>4454</v>
      </c>
      <c r="U2502" s="7" t="s">
        <v>4455</v>
      </c>
      <c r="V250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03" spans="1:22" x14ac:dyDescent="0.35">
      <c r="A2503" s="7" t="s">
        <v>4435</v>
      </c>
      <c r="B2503" s="7" t="s">
        <v>1821</v>
      </c>
      <c r="C2503" s="5">
        <v>235.83</v>
      </c>
      <c r="D2503" s="2">
        <v>0.68530092592845904</v>
      </c>
      <c r="E2503" s="4">
        <v>45170</v>
      </c>
      <c r="F2503" s="7" t="s">
        <v>46</v>
      </c>
      <c r="G2503" s="7" t="s">
        <v>92</v>
      </c>
      <c r="H2503" s="7" t="s">
        <v>2758</v>
      </c>
      <c r="I2503" s="7" t="s">
        <v>1868</v>
      </c>
      <c r="J2503" s="7" t="s">
        <v>445</v>
      </c>
      <c r="K2503" s="7" t="s">
        <v>36</v>
      </c>
      <c r="L2503" s="8">
        <v>53</v>
      </c>
      <c r="M2503" s="7" t="s">
        <v>77</v>
      </c>
      <c r="N2503" s="8">
        <v>169</v>
      </c>
      <c r="O2503" s="8">
        <v>1</v>
      </c>
      <c r="P2503" s="5">
        <v>4120.75</v>
      </c>
      <c r="Q2503" s="4">
        <v>45600</v>
      </c>
      <c r="R2503" s="9">
        <v>0.3395023148148148</v>
      </c>
      <c r="S2503" s="8">
        <v>16</v>
      </c>
      <c r="T2503" s="7" t="s">
        <v>4457</v>
      </c>
      <c r="U2503" s="7" t="s">
        <v>4455</v>
      </c>
      <c r="V250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04" spans="1:22" x14ac:dyDescent="0.35">
      <c r="A2504" s="7" t="s">
        <v>4436</v>
      </c>
      <c r="B2504" s="7" t="s">
        <v>64</v>
      </c>
      <c r="C2504" s="5">
        <v>603.54</v>
      </c>
      <c r="D2504" s="2">
        <v>0.68238425925665069</v>
      </c>
      <c r="E2504" s="4">
        <v>45037</v>
      </c>
      <c r="F2504" s="7" t="s">
        <v>17</v>
      </c>
      <c r="G2504" s="7" t="s">
        <v>86</v>
      </c>
      <c r="H2504" s="7" t="s">
        <v>502</v>
      </c>
      <c r="I2504" s="7" t="s">
        <v>1315</v>
      </c>
      <c r="J2504" s="7" t="s">
        <v>175</v>
      </c>
      <c r="K2504" s="7" t="s">
        <v>36</v>
      </c>
      <c r="L2504" s="8">
        <v>44</v>
      </c>
      <c r="M2504" s="7" t="s">
        <v>23</v>
      </c>
      <c r="N2504" s="8">
        <v>26</v>
      </c>
      <c r="O2504" s="8">
        <v>1</v>
      </c>
      <c r="P2504" s="5">
        <v>10517.47</v>
      </c>
      <c r="Q2504" s="4">
        <v>45600</v>
      </c>
      <c r="R2504" s="9">
        <v>0.33898148148148149</v>
      </c>
      <c r="S2504" s="8">
        <v>16</v>
      </c>
      <c r="T2504" s="7" t="s">
        <v>4457</v>
      </c>
      <c r="U2504" s="7" t="s">
        <v>4455</v>
      </c>
      <c r="V2504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05" spans="1:22" x14ac:dyDescent="0.35">
      <c r="A2505" s="7" t="s">
        <v>4437</v>
      </c>
      <c r="B2505" s="7" t="s">
        <v>333</v>
      </c>
      <c r="C2505" s="5">
        <v>270.25</v>
      </c>
      <c r="D2505" s="2">
        <v>0.70603009259502869</v>
      </c>
      <c r="E2505" s="4">
        <v>45236</v>
      </c>
      <c r="F2505" s="7" t="s">
        <v>17</v>
      </c>
      <c r="G2505" s="7" t="s">
        <v>255</v>
      </c>
      <c r="H2505" s="7" t="s">
        <v>1245</v>
      </c>
      <c r="I2505" s="7" t="s">
        <v>1370</v>
      </c>
      <c r="J2505" s="7" t="s">
        <v>149</v>
      </c>
      <c r="K2505" s="7" t="s">
        <v>22</v>
      </c>
      <c r="L2505" s="8">
        <v>31</v>
      </c>
      <c r="M2505" s="7" t="s">
        <v>77</v>
      </c>
      <c r="N2505" s="8">
        <v>42</v>
      </c>
      <c r="O2505" s="8">
        <v>1</v>
      </c>
      <c r="P2505" s="5">
        <v>5414.97</v>
      </c>
      <c r="Q2505" s="4">
        <v>45600</v>
      </c>
      <c r="R2505" s="9">
        <v>0.34083333333333332</v>
      </c>
      <c r="S2505" s="8">
        <v>16</v>
      </c>
      <c r="T2505" s="7" t="s">
        <v>4456</v>
      </c>
      <c r="U2505" s="7" t="s">
        <v>4455</v>
      </c>
      <c r="V2505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06" spans="1:22" x14ac:dyDescent="0.35">
      <c r="A2506" s="7" t="s">
        <v>4438</v>
      </c>
      <c r="B2506" s="7" t="s">
        <v>839</v>
      </c>
      <c r="C2506" s="5">
        <v>123.38</v>
      </c>
      <c r="D2506" s="2">
        <v>0.72356481481256196</v>
      </c>
      <c r="E2506" s="4">
        <v>45292</v>
      </c>
      <c r="F2506" s="7" t="s">
        <v>17</v>
      </c>
      <c r="G2506" s="7" t="s">
        <v>285</v>
      </c>
      <c r="H2506" s="7" t="s">
        <v>2611</v>
      </c>
      <c r="I2506" s="7" t="s">
        <v>673</v>
      </c>
      <c r="J2506" s="7" t="s">
        <v>474</v>
      </c>
      <c r="K2506" s="7" t="s">
        <v>36</v>
      </c>
      <c r="L2506" s="8">
        <v>59</v>
      </c>
      <c r="M2506" s="7" t="s">
        <v>23</v>
      </c>
      <c r="N2506" s="8">
        <v>40</v>
      </c>
      <c r="O2506" s="8">
        <v>1</v>
      </c>
      <c r="P2506" s="5">
        <v>13542.41</v>
      </c>
      <c r="Q2506" s="4">
        <v>45600</v>
      </c>
      <c r="R2506" s="9">
        <v>0.34089120370370368</v>
      </c>
      <c r="S2506" s="8">
        <v>17</v>
      </c>
      <c r="T2506" s="7" t="s">
        <v>4454</v>
      </c>
      <c r="U2506" s="7" t="s">
        <v>4455</v>
      </c>
      <c r="V2506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07" spans="1:22" x14ac:dyDescent="0.35">
      <c r="A2507" s="7" t="s">
        <v>4439</v>
      </c>
      <c r="B2507" s="7" t="s">
        <v>2525</v>
      </c>
      <c r="C2507" s="5">
        <v>577.12</v>
      </c>
      <c r="D2507" s="2">
        <v>0.73480324073898373</v>
      </c>
      <c r="E2507" s="4">
        <v>44953</v>
      </c>
      <c r="F2507" s="7" t="s">
        <v>17</v>
      </c>
      <c r="G2507" s="7" t="s">
        <v>301</v>
      </c>
      <c r="H2507" s="7" t="s">
        <v>1461</v>
      </c>
      <c r="I2507" s="7" t="s">
        <v>2494</v>
      </c>
      <c r="J2507" s="7" t="s">
        <v>326</v>
      </c>
      <c r="K2507" s="7" t="s">
        <v>22</v>
      </c>
      <c r="L2507" s="8">
        <v>39</v>
      </c>
      <c r="M2507" s="7" t="s">
        <v>77</v>
      </c>
      <c r="N2507" s="8">
        <v>69</v>
      </c>
      <c r="O2507" s="8">
        <v>1</v>
      </c>
      <c r="P2507" s="5">
        <v>5265.88</v>
      </c>
      <c r="Q2507" s="4">
        <v>45600</v>
      </c>
      <c r="R2507" s="9">
        <v>0.34085648148148145</v>
      </c>
      <c r="S2507" s="8">
        <v>17</v>
      </c>
      <c r="T2507" s="7" t="s">
        <v>4457</v>
      </c>
      <c r="U2507" s="7" t="s">
        <v>4455</v>
      </c>
      <c r="V2507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08" spans="1:22" x14ac:dyDescent="0.35">
      <c r="A2508" s="7" t="s">
        <v>4440</v>
      </c>
      <c r="B2508" s="7" t="s">
        <v>817</v>
      </c>
      <c r="C2508" s="5">
        <v>92.24</v>
      </c>
      <c r="D2508" s="2">
        <v>0.73996527777489973</v>
      </c>
      <c r="E2508" s="4">
        <v>45029</v>
      </c>
      <c r="F2508" s="7" t="s">
        <v>17</v>
      </c>
      <c r="G2508" s="7" t="s">
        <v>243</v>
      </c>
      <c r="H2508" s="7" t="s">
        <v>902</v>
      </c>
      <c r="I2508" s="7" t="s">
        <v>2627</v>
      </c>
      <c r="J2508" s="7" t="s">
        <v>592</v>
      </c>
      <c r="K2508" s="7" t="s">
        <v>69</v>
      </c>
      <c r="L2508" s="8">
        <v>60</v>
      </c>
      <c r="M2508" s="7" t="s">
        <v>77</v>
      </c>
      <c r="N2508" s="8">
        <v>93</v>
      </c>
      <c r="O2508" s="8">
        <v>1</v>
      </c>
      <c r="P2508" s="5">
        <v>6937.48</v>
      </c>
      <c r="Q2508" s="4">
        <v>45600</v>
      </c>
      <c r="R2508" s="9">
        <v>0.3396527777777778</v>
      </c>
      <c r="S2508" s="8">
        <v>17</v>
      </c>
      <c r="T2508" s="7" t="s">
        <v>4454</v>
      </c>
      <c r="U2508" s="7" t="s">
        <v>4455</v>
      </c>
      <c r="V2508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09" spans="1:22" x14ac:dyDescent="0.35">
      <c r="A2509" s="7" t="s">
        <v>4441</v>
      </c>
      <c r="B2509" s="7" t="s">
        <v>2133</v>
      </c>
      <c r="C2509" s="5">
        <v>856.21</v>
      </c>
      <c r="D2509" s="2">
        <v>0.71499999999650754</v>
      </c>
      <c r="E2509" s="4">
        <v>45042</v>
      </c>
      <c r="F2509" s="7" t="s">
        <v>46</v>
      </c>
      <c r="G2509" s="7" t="s">
        <v>521</v>
      </c>
      <c r="H2509" s="7" t="s">
        <v>3106</v>
      </c>
      <c r="I2509" s="7" t="s">
        <v>4442</v>
      </c>
      <c r="J2509" s="7" t="s">
        <v>831</v>
      </c>
      <c r="K2509" s="7" t="s">
        <v>69</v>
      </c>
      <c r="L2509" s="8">
        <v>33</v>
      </c>
      <c r="M2509" s="7" t="s">
        <v>23</v>
      </c>
      <c r="N2509" s="8">
        <v>109</v>
      </c>
      <c r="O2509" s="8">
        <v>1</v>
      </c>
      <c r="P2509" s="5">
        <v>12690.79</v>
      </c>
      <c r="Q2509" s="4">
        <v>45600</v>
      </c>
      <c r="R2509" s="9">
        <v>0.34130787037037036</v>
      </c>
      <c r="S2509" s="8">
        <v>17</v>
      </c>
      <c r="T2509" s="7" t="s">
        <v>4456</v>
      </c>
      <c r="U2509" s="7" t="s">
        <v>4455</v>
      </c>
      <c r="V2509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10" spans="1:22" x14ac:dyDescent="0.35">
      <c r="A2510" s="7" t="s">
        <v>4443</v>
      </c>
      <c r="B2510" s="7" t="s">
        <v>1368</v>
      </c>
      <c r="C2510" s="5">
        <v>251.54</v>
      </c>
      <c r="D2510" s="2">
        <v>0.73388888889166992</v>
      </c>
      <c r="E2510" s="4">
        <v>45007</v>
      </c>
      <c r="F2510" s="7" t="s">
        <v>17</v>
      </c>
      <c r="G2510" s="7" t="s">
        <v>255</v>
      </c>
      <c r="H2510" s="7" t="s">
        <v>385</v>
      </c>
      <c r="I2510" s="7" t="s">
        <v>2167</v>
      </c>
      <c r="J2510" s="7" t="s">
        <v>175</v>
      </c>
      <c r="K2510" s="7" t="s">
        <v>69</v>
      </c>
      <c r="L2510" s="8">
        <v>48</v>
      </c>
      <c r="M2510" s="7" t="s">
        <v>23</v>
      </c>
      <c r="N2510" s="8">
        <v>177</v>
      </c>
      <c r="O2510" s="8">
        <v>1</v>
      </c>
      <c r="P2510" s="5">
        <v>254.75</v>
      </c>
      <c r="Q2510" s="4">
        <v>45600</v>
      </c>
      <c r="R2510" s="9">
        <v>0.34145833333333331</v>
      </c>
      <c r="S2510" s="8">
        <v>17</v>
      </c>
      <c r="T2510" s="7" t="s">
        <v>4457</v>
      </c>
      <c r="U2510" s="7" t="s">
        <v>4455</v>
      </c>
      <c r="V2510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11" spans="1:22" x14ac:dyDescent="0.35">
      <c r="A2511" s="7" t="s">
        <v>4444</v>
      </c>
      <c r="B2511" s="7" t="s">
        <v>151</v>
      </c>
      <c r="C2511" s="5">
        <v>28.63</v>
      </c>
      <c r="D2511" s="2">
        <v>0.71446759259561077</v>
      </c>
      <c r="E2511" s="4">
        <v>45159</v>
      </c>
      <c r="F2511" s="7" t="s">
        <v>17</v>
      </c>
      <c r="G2511" s="7" t="s">
        <v>18</v>
      </c>
      <c r="H2511" s="7" t="s">
        <v>1328</v>
      </c>
      <c r="I2511" s="7" t="s">
        <v>2775</v>
      </c>
      <c r="J2511" s="7" t="s">
        <v>343</v>
      </c>
      <c r="K2511" s="7" t="s">
        <v>69</v>
      </c>
      <c r="L2511" s="8">
        <v>56</v>
      </c>
      <c r="M2511" s="7" t="s">
        <v>70</v>
      </c>
      <c r="N2511" s="8">
        <v>146</v>
      </c>
      <c r="O2511" s="8">
        <v>1</v>
      </c>
      <c r="P2511" s="5">
        <v>3382.91</v>
      </c>
      <c r="Q2511" s="4">
        <v>45600</v>
      </c>
      <c r="R2511" s="9">
        <v>0.33934027777777775</v>
      </c>
      <c r="S2511" s="8">
        <v>17</v>
      </c>
      <c r="T2511" s="7" t="s">
        <v>4454</v>
      </c>
      <c r="U2511" s="7" t="s">
        <v>4455</v>
      </c>
      <c r="V2511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Evening</v>
      </c>
    </row>
    <row r="2512" spans="1:22" x14ac:dyDescent="0.35">
      <c r="A2512" s="7" t="s">
        <v>4445</v>
      </c>
      <c r="B2512" s="7" t="s">
        <v>3215</v>
      </c>
      <c r="C2512" s="5">
        <v>185.97</v>
      </c>
      <c r="D2512" s="2">
        <v>0.68386574074247619</v>
      </c>
      <c r="E2512" s="4">
        <v>44981</v>
      </c>
      <c r="F2512" s="7" t="s">
        <v>17</v>
      </c>
      <c r="G2512" s="7" t="s">
        <v>114</v>
      </c>
      <c r="H2512" s="7" t="s">
        <v>2646</v>
      </c>
      <c r="I2512" s="7" t="s">
        <v>894</v>
      </c>
      <c r="J2512" s="7" t="s">
        <v>576</v>
      </c>
      <c r="K2512" s="7" t="s">
        <v>36</v>
      </c>
      <c r="L2512" s="8">
        <v>23</v>
      </c>
      <c r="M2512" s="7" t="s">
        <v>37</v>
      </c>
      <c r="N2512" s="8">
        <v>19</v>
      </c>
      <c r="O2512" s="8">
        <v>1</v>
      </c>
      <c r="P2512" s="5">
        <v>1776.91</v>
      </c>
      <c r="Q2512" s="4">
        <v>45600</v>
      </c>
      <c r="R2512" s="9">
        <v>0.34192129629629631</v>
      </c>
      <c r="S2512" s="8">
        <v>16</v>
      </c>
      <c r="T2512" s="7" t="s">
        <v>4456</v>
      </c>
      <c r="U2512" s="7" t="s">
        <v>4455</v>
      </c>
      <c r="V2512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  <row r="2513" spans="1:22" x14ac:dyDescent="0.35">
      <c r="A2513" s="7" t="s">
        <v>4446</v>
      </c>
      <c r="B2513" s="7" t="s">
        <v>1106</v>
      </c>
      <c r="C2513" s="5">
        <v>243.08</v>
      </c>
      <c r="D2513" s="2">
        <v>0.68151620370190358</v>
      </c>
      <c r="E2513" s="4">
        <v>44971</v>
      </c>
      <c r="F2513" s="7" t="s">
        <v>46</v>
      </c>
      <c r="G2513" s="7" t="s">
        <v>392</v>
      </c>
      <c r="H2513" s="7" t="s">
        <v>846</v>
      </c>
      <c r="I2513" s="7" t="s">
        <v>1523</v>
      </c>
      <c r="J2513" s="7" t="s">
        <v>576</v>
      </c>
      <c r="K2513" s="7" t="s">
        <v>36</v>
      </c>
      <c r="L2513" s="8">
        <v>24</v>
      </c>
      <c r="M2513" s="7" t="s">
        <v>37</v>
      </c>
      <c r="N2513" s="8">
        <v>93</v>
      </c>
      <c r="O2513" s="8">
        <v>1</v>
      </c>
      <c r="P2513" s="5">
        <v>131.25</v>
      </c>
      <c r="Q2513" s="4">
        <v>45600</v>
      </c>
      <c r="R2513" s="9">
        <v>0.33876157407407409</v>
      </c>
      <c r="S2513" s="8">
        <v>16</v>
      </c>
      <c r="T2513" s="7" t="s">
        <v>4456</v>
      </c>
      <c r="U2513" s="7" t="s">
        <v>4455</v>
      </c>
      <c r="V2513" t="str">
        <f>IF(AND(Table1[[#This Row],[Transaction Time]]&gt;=TIME(8,0,0),Table1[[#This Row],[Transaction Time]]&lt;TIME(12,0,0)),"Morning",IF(AND(Table1[[#This Row],[Transaction Time]]&gt;=TIME(12,0,0),Table1[[#This Row],[Transaction Time]]&lt;TIME(17,0,0)),"Afternoon",IF(AND(Table1[[#This Row],[Transaction Time]]&gt;=TIME(17,0,0),Table1[[#This Row],[Transaction Time]]&lt;TIME(21,0,0)),"Evening","Night")))</f>
        <v>Afternoon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bank_transactions_data_2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Chisom Kanu</cp:lastModifiedBy>
  <dcterms:created xsi:type="dcterms:W3CDTF">2026-06-24T11:58:00Z</dcterms:created>
  <dcterms:modified xsi:type="dcterms:W3CDTF">2026-06-24T20:39:53Z</dcterms:modified>
</cp:coreProperties>
</file>